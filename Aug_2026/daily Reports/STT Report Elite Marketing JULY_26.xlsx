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july 2026\Daily Reports\"/>
    </mc:Choice>
  </mc:AlternateContent>
  <xr:revisionPtr revIDLastSave="0" documentId="13_ncr:1_{8334AC0F-275E-485A-80CE-BE09CB81D367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</sheets>
  <definedNames>
    <definedName name="_xlnm._FilterDatabase" localSheetId="0" hidden="1">'STT Report'!$A$1:$AP$864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" i="1" l="1"/>
  <c r="R858" i="1" l="1"/>
  <c r="R857" i="1"/>
  <c r="R856" i="1"/>
  <c r="R855" i="1"/>
  <c r="R854" i="1"/>
  <c r="S854" i="1" s="1"/>
  <c r="R853" i="1"/>
  <c r="R852" i="1"/>
  <c r="R851" i="1"/>
  <c r="R850" i="1"/>
  <c r="S850" i="1" s="1"/>
  <c r="R848" i="1"/>
  <c r="N857" i="1"/>
  <c r="N856" i="1"/>
  <c r="N855" i="1"/>
  <c r="N854" i="1"/>
  <c r="N853" i="1"/>
  <c r="N852" i="1"/>
  <c r="N851" i="1"/>
  <c r="N850" i="1"/>
  <c r="N848" i="1"/>
  <c r="N847" i="1"/>
  <c r="N846" i="1"/>
  <c r="N845" i="1"/>
  <c r="N844" i="1"/>
  <c r="N843" i="1"/>
  <c r="N842" i="1"/>
  <c r="S855" i="1" l="1"/>
  <c r="S852" i="1"/>
  <c r="S856" i="1"/>
  <c r="S851" i="1"/>
  <c r="S848" i="1"/>
  <c r="S853" i="1"/>
  <c r="S857" i="1"/>
  <c r="R833" i="1" l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9" i="1"/>
  <c r="S849" i="1" s="1"/>
  <c r="N833" i="1"/>
  <c r="N834" i="1"/>
  <c r="N835" i="1"/>
  <c r="S835" i="1" s="1"/>
  <c r="N836" i="1"/>
  <c r="S836" i="1" s="1"/>
  <c r="N837" i="1"/>
  <c r="S837" i="1" s="1"/>
  <c r="N838" i="1"/>
  <c r="N839" i="1"/>
  <c r="S839" i="1" s="1"/>
  <c r="N840" i="1"/>
  <c r="S840" i="1" s="1"/>
  <c r="N841" i="1"/>
  <c r="S841" i="1" s="1"/>
  <c r="S846" i="1"/>
  <c r="S838" i="1" l="1"/>
  <c r="S834" i="1"/>
  <c r="S833" i="1"/>
  <c r="S842" i="1"/>
  <c r="S845" i="1"/>
  <c r="S847" i="1"/>
  <c r="S844" i="1"/>
  <c r="S843" i="1"/>
  <c r="R822" i="1"/>
  <c r="R823" i="1"/>
  <c r="R824" i="1"/>
  <c r="R825" i="1"/>
  <c r="R826" i="1"/>
  <c r="R827" i="1"/>
  <c r="R828" i="1"/>
  <c r="R829" i="1"/>
  <c r="R830" i="1"/>
  <c r="R831" i="1"/>
  <c r="R832" i="1"/>
  <c r="N813" i="1"/>
  <c r="N814" i="1"/>
  <c r="N815" i="1"/>
  <c r="N816" i="1"/>
  <c r="N817" i="1"/>
  <c r="N818" i="1"/>
  <c r="N819" i="1"/>
  <c r="N820" i="1"/>
  <c r="N821" i="1"/>
  <c r="N822" i="1"/>
  <c r="S822" i="1" s="1"/>
  <c r="N823" i="1"/>
  <c r="N824" i="1"/>
  <c r="S824" i="1" s="1"/>
  <c r="N825" i="1"/>
  <c r="S825" i="1" s="1"/>
  <c r="N826" i="1"/>
  <c r="N827" i="1"/>
  <c r="N828" i="1"/>
  <c r="N829" i="1"/>
  <c r="N830" i="1"/>
  <c r="N831" i="1"/>
  <c r="S831" i="1" s="1"/>
  <c r="N832" i="1"/>
  <c r="S832" i="1" s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S815" i="1" s="1"/>
  <c r="R816" i="1"/>
  <c r="S816" i="1" s="1"/>
  <c r="R817" i="1"/>
  <c r="R818" i="1"/>
  <c r="R819" i="1"/>
  <c r="R820" i="1"/>
  <c r="S820" i="1" s="1"/>
  <c r="R821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S798" i="1" s="1"/>
  <c r="N799" i="1"/>
  <c r="N800" i="1"/>
  <c r="N801" i="1"/>
  <c r="N802" i="1"/>
  <c r="N803" i="1"/>
  <c r="N804" i="1"/>
  <c r="N805" i="1"/>
  <c r="N806" i="1"/>
  <c r="S806" i="1" s="1"/>
  <c r="N807" i="1"/>
  <c r="N808" i="1"/>
  <c r="N809" i="1"/>
  <c r="N810" i="1"/>
  <c r="S810" i="1" s="1"/>
  <c r="N811" i="1"/>
  <c r="N812" i="1"/>
  <c r="S811" i="1" l="1"/>
  <c r="S812" i="1"/>
  <c r="S808" i="1"/>
  <c r="S814" i="1"/>
  <c r="S818" i="1"/>
  <c r="S823" i="1"/>
  <c r="S819" i="1"/>
  <c r="S827" i="1"/>
  <c r="S807" i="1"/>
  <c r="S804" i="1"/>
  <c r="S800" i="1"/>
  <c r="S796" i="1"/>
  <c r="S826" i="1"/>
  <c r="S797" i="1"/>
  <c r="S799" i="1"/>
  <c r="S795" i="1"/>
  <c r="S817" i="1"/>
  <c r="S813" i="1"/>
  <c r="S801" i="1"/>
  <c r="S802" i="1"/>
  <c r="S828" i="1"/>
  <c r="S830" i="1"/>
  <c r="S829" i="1"/>
  <c r="S821" i="1"/>
  <c r="S809" i="1"/>
  <c r="S805" i="1"/>
  <c r="S803" i="1"/>
  <c r="R777" i="1"/>
  <c r="R778" i="1"/>
  <c r="R779" i="1"/>
  <c r="R780" i="1"/>
  <c r="R781" i="1"/>
  <c r="R782" i="1"/>
  <c r="R783" i="1"/>
  <c r="R784" i="1"/>
  <c r="R785" i="1"/>
  <c r="R786" i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N777" i="1"/>
  <c r="N778" i="1"/>
  <c r="N779" i="1"/>
  <c r="N780" i="1"/>
  <c r="N781" i="1"/>
  <c r="N782" i="1"/>
  <c r="N783" i="1"/>
  <c r="N784" i="1"/>
  <c r="N785" i="1"/>
  <c r="N786" i="1"/>
  <c r="S784" i="1" l="1"/>
  <c r="S780" i="1"/>
  <c r="S785" i="1"/>
  <c r="S783" i="1"/>
  <c r="S779" i="1"/>
  <c r="S782" i="1"/>
  <c r="S778" i="1"/>
  <c r="S777" i="1"/>
  <c r="S786" i="1"/>
  <c r="S781" i="1"/>
  <c r="N743" i="1"/>
  <c r="R743" i="1"/>
  <c r="N744" i="1"/>
  <c r="R744" i="1"/>
  <c r="N745" i="1"/>
  <c r="R745" i="1"/>
  <c r="N746" i="1"/>
  <c r="R746" i="1"/>
  <c r="N747" i="1"/>
  <c r="R747" i="1"/>
  <c r="N748" i="1"/>
  <c r="R748" i="1"/>
  <c r="N749" i="1"/>
  <c r="R749" i="1"/>
  <c r="S749" i="1" s="1"/>
  <c r="N750" i="1"/>
  <c r="R750" i="1"/>
  <c r="N751" i="1"/>
  <c r="R751" i="1"/>
  <c r="N752" i="1"/>
  <c r="R752" i="1"/>
  <c r="N753" i="1"/>
  <c r="R753" i="1"/>
  <c r="N754" i="1"/>
  <c r="R754" i="1"/>
  <c r="N755" i="1"/>
  <c r="R755" i="1"/>
  <c r="N756" i="1"/>
  <c r="R756" i="1"/>
  <c r="N757" i="1"/>
  <c r="R757" i="1"/>
  <c r="N758" i="1"/>
  <c r="R758" i="1"/>
  <c r="N759" i="1"/>
  <c r="R759" i="1"/>
  <c r="N760" i="1"/>
  <c r="R760" i="1"/>
  <c r="N761" i="1"/>
  <c r="R761" i="1"/>
  <c r="N762" i="1"/>
  <c r="R762" i="1"/>
  <c r="N763" i="1"/>
  <c r="R763" i="1"/>
  <c r="N764" i="1"/>
  <c r="R764" i="1"/>
  <c r="N765" i="1"/>
  <c r="R765" i="1"/>
  <c r="N766" i="1"/>
  <c r="R766" i="1"/>
  <c r="N767" i="1"/>
  <c r="R767" i="1"/>
  <c r="N768" i="1"/>
  <c r="R768" i="1"/>
  <c r="N769" i="1"/>
  <c r="R769" i="1"/>
  <c r="N770" i="1"/>
  <c r="R770" i="1"/>
  <c r="N771" i="1"/>
  <c r="R771" i="1"/>
  <c r="N772" i="1"/>
  <c r="R772" i="1"/>
  <c r="N773" i="1"/>
  <c r="R773" i="1"/>
  <c r="N774" i="1"/>
  <c r="R774" i="1"/>
  <c r="N775" i="1"/>
  <c r="R775" i="1"/>
  <c r="N776" i="1"/>
  <c r="R776" i="1"/>
  <c r="N738" i="1"/>
  <c r="N739" i="1"/>
  <c r="N740" i="1"/>
  <c r="N741" i="1"/>
  <c r="N742" i="1"/>
  <c r="S773" i="1" l="1"/>
  <c r="S765" i="1"/>
  <c r="S763" i="1"/>
  <c r="S761" i="1"/>
  <c r="S757" i="1"/>
  <c r="S755" i="1"/>
  <c r="S753" i="1"/>
  <c r="S751" i="1"/>
  <c r="S776" i="1"/>
  <c r="S774" i="1"/>
  <c r="S772" i="1"/>
  <c r="S768" i="1"/>
  <c r="S762" i="1"/>
  <c r="S760" i="1"/>
  <c r="S756" i="1"/>
  <c r="S752" i="1"/>
  <c r="S775" i="1"/>
  <c r="S771" i="1"/>
  <c r="S770" i="1"/>
  <c r="S769" i="1"/>
  <c r="S767" i="1"/>
  <c r="S766" i="1"/>
  <c r="S764" i="1"/>
  <c r="S759" i="1"/>
  <c r="S758" i="1"/>
  <c r="S754" i="1"/>
  <c r="S750" i="1"/>
  <c r="N737" i="1" l="1"/>
  <c r="S743" i="1" l="1"/>
  <c r="S744" i="1"/>
  <c r="S745" i="1"/>
  <c r="S746" i="1"/>
  <c r="S747" i="1"/>
  <c r="S748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S713" i="1" l="1"/>
  <c r="S705" i="1"/>
  <c r="S735" i="1"/>
  <c r="S707" i="1"/>
  <c r="S703" i="1"/>
  <c r="S699" i="1"/>
  <c r="S695" i="1"/>
  <c r="S691" i="1"/>
  <c r="S687" i="1"/>
  <c r="S706" i="1"/>
  <c r="S698" i="1"/>
  <c r="S690" i="1"/>
  <c r="S734" i="1"/>
  <c r="S722" i="1"/>
  <c r="S725" i="1"/>
  <c r="S697" i="1"/>
  <c r="S689" i="1"/>
  <c r="S685" i="1"/>
  <c r="S728" i="1"/>
  <c r="S724" i="1"/>
  <c r="S716" i="1"/>
  <c r="S712" i="1"/>
  <c r="S708" i="1"/>
  <c r="S700" i="1"/>
  <c r="S696" i="1"/>
  <c r="S688" i="1"/>
  <c r="S684" i="1"/>
  <c r="S732" i="1"/>
  <c r="S720" i="1"/>
  <c r="S704" i="1"/>
  <c r="S731" i="1"/>
  <c r="S727" i="1"/>
  <c r="S723" i="1"/>
  <c r="S719" i="1"/>
  <c r="S715" i="1"/>
  <c r="S726" i="1"/>
  <c r="S710" i="1"/>
  <c r="S702" i="1"/>
  <c r="S694" i="1"/>
  <c r="S686" i="1"/>
  <c r="S692" i="1"/>
  <c r="S721" i="1"/>
  <c r="S717" i="1"/>
  <c r="S709" i="1"/>
  <c r="S701" i="1"/>
  <c r="S693" i="1"/>
  <c r="S736" i="1"/>
  <c r="S733" i="1"/>
  <c r="S730" i="1"/>
  <c r="S729" i="1"/>
  <c r="S718" i="1"/>
  <c r="S714" i="1"/>
  <c r="S711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N600" i="1"/>
  <c r="N601" i="1"/>
  <c r="N602" i="1"/>
  <c r="N603" i="1"/>
  <c r="N604" i="1"/>
  <c r="N605" i="1"/>
  <c r="N606" i="1"/>
  <c r="N607" i="1"/>
  <c r="S607" i="1" s="1"/>
  <c r="N608" i="1"/>
  <c r="S608" i="1" s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S623" i="1" s="1"/>
  <c r="N624" i="1"/>
  <c r="N625" i="1"/>
  <c r="N626" i="1"/>
  <c r="N627" i="1"/>
  <c r="N628" i="1"/>
  <c r="N629" i="1"/>
  <c r="N630" i="1"/>
  <c r="N631" i="1"/>
  <c r="S631" i="1" s="1"/>
  <c r="N632" i="1"/>
  <c r="N633" i="1"/>
  <c r="N634" i="1"/>
  <c r="N635" i="1"/>
  <c r="N636" i="1"/>
  <c r="N637" i="1"/>
  <c r="N638" i="1"/>
  <c r="N639" i="1"/>
  <c r="S639" i="1" s="1"/>
  <c r="N640" i="1"/>
  <c r="N641" i="1"/>
  <c r="N642" i="1"/>
  <c r="S642" i="1" s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S655" i="1" s="1"/>
  <c r="N656" i="1"/>
  <c r="S656" i="1" s="1"/>
  <c r="N657" i="1"/>
  <c r="S657" i="1" s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U578" i="1"/>
  <c r="S601" i="1" l="1"/>
  <c r="S602" i="1"/>
  <c r="S668" i="1"/>
  <c r="S664" i="1"/>
  <c r="S660" i="1"/>
  <c r="S671" i="1"/>
  <c r="S667" i="1"/>
  <c r="S663" i="1"/>
  <c r="S659" i="1"/>
  <c r="S670" i="1"/>
  <c r="S666" i="1"/>
  <c r="S662" i="1"/>
  <c r="S658" i="1"/>
  <c r="S669" i="1"/>
  <c r="S665" i="1"/>
  <c r="S661" i="1"/>
  <c r="S580" i="1"/>
  <c r="S588" i="1"/>
  <c r="S589" i="1"/>
  <c r="S597" i="1"/>
  <c r="S593" i="1"/>
  <c r="S585" i="1"/>
  <c r="S581" i="1"/>
  <c r="S577" i="1"/>
  <c r="S654" i="1"/>
  <c r="S646" i="1"/>
  <c r="S634" i="1"/>
  <c r="S626" i="1"/>
  <c r="S618" i="1"/>
  <c r="S606" i="1"/>
  <c r="S653" i="1"/>
  <c r="S645" i="1"/>
  <c r="S641" i="1"/>
  <c r="S633" i="1"/>
  <c r="S625" i="1"/>
  <c r="S617" i="1"/>
  <c r="S609" i="1"/>
  <c r="S592" i="1"/>
  <c r="S584" i="1"/>
  <c r="S652" i="1"/>
  <c r="S648" i="1"/>
  <c r="S644" i="1"/>
  <c r="S640" i="1"/>
  <c r="S636" i="1"/>
  <c r="S632" i="1"/>
  <c r="S628" i="1"/>
  <c r="S624" i="1"/>
  <c r="S620" i="1"/>
  <c r="S612" i="1"/>
  <c r="S604" i="1"/>
  <c r="S638" i="1"/>
  <c r="S614" i="1"/>
  <c r="S649" i="1"/>
  <c r="S637" i="1"/>
  <c r="S629" i="1"/>
  <c r="S621" i="1"/>
  <c r="S613" i="1"/>
  <c r="S605" i="1"/>
  <c r="S651" i="1"/>
  <c r="S647" i="1"/>
  <c r="S643" i="1"/>
  <c r="S635" i="1"/>
  <c r="S627" i="1"/>
  <c r="S619" i="1"/>
  <c r="S615" i="1"/>
  <c r="S603" i="1"/>
  <c r="S650" i="1"/>
  <c r="S630" i="1"/>
  <c r="S622" i="1"/>
  <c r="S616" i="1"/>
  <c r="S611" i="1"/>
  <c r="S610" i="1"/>
  <c r="S600" i="1"/>
  <c r="S596" i="1"/>
  <c r="S599" i="1"/>
  <c r="S595" i="1"/>
  <c r="S591" i="1"/>
  <c r="S587" i="1"/>
  <c r="S583" i="1"/>
  <c r="S579" i="1"/>
  <c r="S598" i="1"/>
  <c r="S594" i="1"/>
  <c r="S590" i="1"/>
  <c r="S586" i="1"/>
  <c r="S582" i="1"/>
  <c r="S578" i="1"/>
  <c r="Q532" i="1" l="1"/>
  <c r="P532" i="1"/>
  <c r="O532" i="1"/>
  <c r="L532" i="1"/>
  <c r="K532" i="1"/>
  <c r="R518" i="1" l="1"/>
  <c r="T43" i="1" l="1"/>
  <c r="R117" i="1"/>
  <c r="R118" i="1"/>
  <c r="R119" i="1"/>
  <c r="N116" i="1"/>
  <c r="N117" i="1"/>
  <c r="N118" i="1"/>
  <c r="N119" i="1"/>
  <c r="S117" i="1" l="1"/>
  <c r="R860" i="1"/>
  <c r="R859" i="1"/>
  <c r="R576" i="1"/>
  <c r="S576" i="1" s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6" i="1"/>
  <c r="S116" i="1" s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N860" i="1"/>
  <c r="N859" i="1"/>
  <c r="N858" i="1"/>
  <c r="S858" i="1" s="1"/>
  <c r="N575" i="1"/>
  <c r="N574" i="1"/>
  <c r="N573" i="1"/>
  <c r="N572" i="1"/>
  <c r="N571" i="1"/>
  <c r="S571" i="1" s="1"/>
  <c r="N570" i="1"/>
  <c r="N569" i="1"/>
  <c r="N568" i="1"/>
  <c r="N567" i="1"/>
  <c r="S567" i="1" s="1"/>
  <c r="N566" i="1"/>
  <c r="N565" i="1"/>
  <c r="N564" i="1"/>
  <c r="N563" i="1"/>
  <c r="S563" i="1" s="1"/>
  <c r="N562" i="1"/>
  <c r="N561" i="1"/>
  <c r="N560" i="1"/>
  <c r="N559" i="1"/>
  <c r="N558" i="1"/>
  <c r="N557" i="1"/>
  <c r="N556" i="1"/>
  <c r="N555" i="1"/>
  <c r="S555" i="1" s="1"/>
  <c r="N554" i="1"/>
  <c r="N553" i="1"/>
  <c r="N552" i="1"/>
  <c r="N551" i="1"/>
  <c r="S551" i="1" s="1"/>
  <c r="N550" i="1"/>
  <c r="N549" i="1"/>
  <c r="N548" i="1"/>
  <c r="N547" i="1"/>
  <c r="S547" i="1" s="1"/>
  <c r="N546" i="1"/>
  <c r="N545" i="1"/>
  <c r="N544" i="1"/>
  <c r="N543" i="1"/>
  <c r="N542" i="1"/>
  <c r="N541" i="1"/>
  <c r="N540" i="1"/>
  <c r="N539" i="1"/>
  <c r="S539" i="1" s="1"/>
  <c r="N538" i="1"/>
  <c r="N537" i="1"/>
  <c r="N536" i="1"/>
  <c r="N535" i="1"/>
  <c r="S535" i="1" s="1"/>
  <c r="N534" i="1"/>
  <c r="N533" i="1"/>
  <c r="N532" i="1"/>
  <c r="N531" i="1"/>
  <c r="S531" i="1" s="1"/>
  <c r="N530" i="1"/>
  <c r="N529" i="1"/>
  <c r="N528" i="1"/>
  <c r="N527" i="1"/>
  <c r="N526" i="1"/>
  <c r="N525" i="1"/>
  <c r="N524" i="1"/>
  <c r="N523" i="1"/>
  <c r="S523" i="1" s="1"/>
  <c r="N522" i="1"/>
  <c r="N521" i="1"/>
  <c r="N520" i="1"/>
  <c r="N519" i="1"/>
  <c r="S519" i="1" s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Q861" i="1"/>
  <c r="Q864" i="1" s="1"/>
  <c r="P861" i="1"/>
  <c r="P864" i="1" s="1"/>
  <c r="O861" i="1"/>
  <c r="O864" i="1" s="1"/>
  <c r="M861" i="1"/>
  <c r="M864" i="1" s="1"/>
  <c r="L861" i="1"/>
  <c r="L864" i="1" s="1"/>
  <c r="K861" i="1"/>
  <c r="K864" i="1" s="1"/>
  <c r="J861" i="1"/>
  <c r="J864" i="1" s="1"/>
  <c r="S574" i="1" l="1"/>
  <c r="AE574" i="1" s="1"/>
  <c r="S575" i="1"/>
  <c r="AE575" i="1" s="1"/>
  <c r="S572" i="1"/>
  <c r="AE572" i="1" s="1"/>
  <c r="S573" i="1"/>
  <c r="AE573" i="1" s="1"/>
  <c r="S437" i="1"/>
  <c r="AE437" i="1" s="1"/>
  <c r="AG437" i="1" s="1"/>
  <c r="S441" i="1"/>
  <c r="AE441" i="1" s="1"/>
  <c r="AG441" i="1" s="1"/>
  <c r="S445" i="1"/>
  <c r="AE445" i="1" s="1"/>
  <c r="AG445" i="1" s="1"/>
  <c r="S461" i="1"/>
  <c r="AE461" i="1" s="1"/>
  <c r="AG461" i="1" s="1"/>
  <c r="S465" i="1"/>
  <c r="AE465" i="1" s="1"/>
  <c r="AG465" i="1" s="1"/>
  <c r="S469" i="1"/>
  <c r="AE469" i="1" s="1"/>
  <c r="AG469" i="1" s="1"/>
  <c r="S473" i="1"/>
  <c r="AE473" i="1" s="1"/>
  <c r="AG473" i="1" s="1"/>
  <c r="S477" i="1"/>
  <c r="AE477" i="1" s="1"/>
  <c r="AG477" i="1" s="1"/>
  <c r="S481" i="1"/>
  <c r="AE481" i="1" s="1"/>
  <c r="AG481" i="1" s="1"/>
  <c r="S485" i="1"/>
  <c r="AE485" i="1" s="1"/>
  <c r="AG485" i="1" s="1"/>
  <c r="S489" i="1"/>
  <c r="AE489" i="1" s="1"/>
  <c r="AG489" i="1" s="1"/>
  <c r="S501" i="1"/>
  <c r="AE501" i="1" s="1"/>
  <c r="S505" i="1"/>
  <c r="AE505" i="1" s="1"/>
  <c r="S509" i="1"/>
  <c r="AE509" i="1" s="1"/>
  <c r="S517" i="1"/>
  <c r="AE517" i="1" s="1"/>
  <c r="S439" i="1"/>
  <c r="AE439" i="1" s="1"/>
  <c r="S443" i="1"/>
  <c r="AE443" i="1" s="1"/>
  <c r="AG443" i="1" s="1"/>
  <c r="S455" i="1"/>
  <c r="AE455" i="1" s="1"/>
  <c r="AG455" i="1" s="1"/>
  <c r="S459" i="1"/>
  <c r="AE459" i="1" s="1"/>
  <c r="AG459" i="1" s="1"/>
  <c r="S467" i="1"/>
  <c r="AE467" i="1" s="1"/>
  <c r="S471" i="1"/>
  <c r="AE471" i="1" s="1"/>
  <c r="AG471" i="1" s="1"/>
  <c r="AI471" i="1" s="1"/>
  <c r="AK471" i="1" s="1"/>
  <c r="S475" i="1"/>
  <c r="AE475" i="1" s="1"/>
  <c r="AG475" i="1" s="1"/>
  <c r="AI475" i="1" s="1"/>
  <c r="AK475" i="1" s="1"/>
  <c r="S483" i="1"/>
  <c r="AE483" i="1" s="1"/>
  <c r="AG483" i="1" s="1"/>
  <c r="AI483" i="1" s="1"/>
  <c r="AK483" i="1" s="1"/>
  <c r="S487" i="1"/>
  <c r="AE487" i="1" s="1"/>
  <c r="AG487" i="1" s="1"/>
  <c r="AI487" i="1" s="1"/>
  <c r="AK487" i="1" s="1"/>
  <c r="S491" i="1"/>
  <c r="AE491" i="1" s="1"/>
  <c r="AG491" i="1" s="1"/>
  <c r="AI491" i="1" s="1"/>
  <c r="AK491" i="1" s="1"/>
  <c r="S499" i="1"/>
  <c r="AE499" i="1" s="1"/>
  <c r="AG499" i="1" s="1"/>
  <c r="S503" i="1"/>
  <c r="AE503" i="1" s="1"/>
  <c r="AG503" i="1" s="1"/>
  <c r="S507" i="1"/>
  <c r="AE507" i="1" s="1"/>
  <c r="AG507" i="1" s="1"/>
  <c r="S515" i="1"/>
  <c r="AE515" i="1" s="1"/>
  <c r="AG515" i="1" s="1"/>
  <c r="S559" i="1"/>
  <c r="AE559" i="1" s="1"/>
  <c r="S860" i="1"/>
  <c r="S560" i="1"/>
  <c r="AE560" i="1" s="1"/>
  <c r="S564" i="1"/>
  <c r="AE564" i="1" s="1"/>
  <c r="S568" i="1"/>
  <c r="AE568" i="1" s="1"/>
  <c r="AE576" i="1"/>
  <c r="AE580" i="1"/>
  <c r="AE584" i="1"/>
  <c r="AE857" i="1"/>
  <c r="S565" i="1"/>
  <c r="AE565" i="1" s="1"/>
  <c r="S569" i="1"/>
  <c r="AE569" i="1" s="1"/>
  <c r="AE577" i="1"/>
  <c r="AE581" i="1"/>
  <c r="AE585" i="1"/>
  <c r="AE858" i="1"/>
  <c r="S561" i="1"/>
  <c r="AE561" i="1" s="1"/>
  <c r="S556" i="1"/>
  <c r="AE556" i="1" s="1"/>
  <c r="S553" i="1"/>
  <c r="AE553" i="1" s="1"/>
  <c r="S557" i="1"/>
  <c r="AE557" i="1" s="1"/>
  <c r="S447" i="1"/>
  <c r="AE447" i="1" s="1"/>
  <c r="AG447" i="1" s="1"/>
  <c r="S463" i="1"/>
  <c r="AE463" i="1" s="1"/>
  <c r="S479" i="1"/>
  <c r="AE479" i="1" s="1"/>
  <c r="AG479" i="1" s="1"/>
  <c r="AI479" i="1" s="1"/>
  <c r="AK479" i="1" s="1"/>
  <c r="S520" i="1"/>
  <c r="AE520" i="1" s="1"/>
  <c r="S528" i="1"/>
  <c r="AE528" i="1" s="1"/>
  <c r="S536" i="1"/>
  <c r="AE536" i="1" s="1"/>
  <c r="S540" i="1"/>
  <c r="AE540" i="1" s="1"/>
  <c r="S544" i="1"/>
  <c r="AE544" i="1" s="1"/>
  <c r="S552" i="1"/>
  <c r="AE552" i="1" s="1"/>
  <c r="S527" i="1"/>
  <c r="AE527" i="1" s="1"/>
  <c r="AG527" i="1" s="1"/>
  <c r="S436" i="1"/>
  <c r="AE436" i="1" s="1"/>
  <c r="S444" i="1"/>
  <c r="AE444" i="1" s="1"/>
  <c r="S460" i="1"/>
  <c r="AE460" i="1" s="1"/>
  <c r="S464" i="1"/>
  <c r="AE464" i="1" s="1"/>
  <c r="S476" i="1"/>
  <c r="AE476" i="1" s="1"/>
  <c r="S480" i="1"/>
  <c r="AE480" i="1" s="1"/>
  <c r="S488" i="1"/>
  <c r="AE488" i="1" s="1"/>
  <c r="S500" i="1"/>
  <c r="AE500" i="1" s="1"/>
  <c r="S504" i="1"/>
  <c r="AE504" i="1" s="1"/>
  <c r="S516" i="1"/>
  <c r="AE516" i="1" s="1"/>
  <c r="S521" i="1"/>
  <c r="AE521" i="1" s="1"/>
  <c r="S525" i="1"/>
  <c r="AE525" i="1" s="1"/>
  <c r="S529" i="1"/>
  <c r="AE529" i="1" s="1"/>
  <c r="S537" i="1"/>
  <c r="AE537" i="1" s="1"/>
  <c r="S541" i="1"/>
  <c r="AE541" i="1" s="1"/>
  <c r="S545" i="1"/>
  <c r="AE545" i="1" s="1"/>
  <c r="S549" i="1"/>
  <c r="AE549" i="1" s="1"/>
  <c r="S548" i="1"/>
  <c r="AE548" i="1" s="1"/>
  <c r="S543" i="1"/>
  <c r="AE543" i="1" s="1"/>
  <c r="S533" i="1"/>
  <c r="AE533" i="1" s="1"/>
  <c r="S532" i="1"/>
  <c r="AE532" i="1" s="1"/>
  <c r="S524" i="1"/>
  <c r="AE524" i="1" s="1"/>
  <c r="S513" i="1"/>
  <c r="AE513" i="1" s="1"/>
  <c r="S512" i="1"/>
  <c r="AE512" i="1" s="1"/>
  <c r="S511" i="1"/>
  <c r="AE511" i="1" s="1"/>
  <c r="AG511" i="1" s="1"/>
  <c r="S508" i="1"/>
  <c r="AE508" i="1" s="1"/>
  <c r="S497" i="1"/>
  <c r="AE497" i="1" s="1"/>
  <c r="AG497" i="1" s="1"/>
  <c r="S496" i="1"/>
  <c r="AE496" i="1" s="1"/>
  <c r="S495" i="1"/>
  <c r="AE495" i="1" s="1"/>
  <c r="AG495" i="1" s="1"/>
  <c r="AI495" i="1" s="1"/>
  <c r="AK495" i="1" s="1"/>
  <c r="S493" i="1"/>
  <c r="AE493" i="1" s="1"/>
  <c r="AG493" i="1" s="1"/>
  <c r="S492" i="1"/>
  <c r="AE492" i="1" s="1"/>
  <c r="S484" i="1"/>
  <c r="AE484" i="1" s="1"/>
  <c r="S472" i="1"/>
  <c r="AE472" i="1" s="1"/>
  <c r="S468" i="1"/>
  <c r="AE468" i="1" s="1"/>
  <c r="S452" i="1"/>
  <c r="AE452" i="1" s="1"/>
  <c r="S456" i="1"/>
  <c r="AE456" i="1" s="1"/>
  <c r="S453" i="1"/>
  <c r="AE453" i="1" s="1"/>
  <c r="AG453" i="1" s="1"/>
  <c r="S457" i="1"/>
  <c r="AE457" i="1" s="1"/>
  <c r="AG457" i="1" s="1"/>
  <c r="S451" i="1"/>
  <c r="AE451" i="1" s="1"/>
  <c r="AG451" i="1" s="1"/>
  <c r="S449" i="1"/>
  <c r="AE449" i="1" s="1"/>
  <c r="AG449" i="1" s="1"/>
  <c r="S448" i="1"/>
  <c r="AE448" i="1" s="1"/>
  <c r="S440" i="1"/>
  <c r="AE440" i="1" s="1"/>
  <c r="S435" i="1"/>
  <c r="AE435" i="1" s="1"/>
  <c r="AG435" i="1" s="1"/>
  <c r="S300" i="1"/>
  <c r="S332" i="1"/>
  <c r="S364" i="1"/>
  <c r="S400" i="1"/>
  <c r="S428" i="1"/>
  <c r="S434" i="1"/>
  <c r="AE434" i="1" s="1"/>
  <c r="AG434" i="1" s="1"/>
  <c r="AI434" i="1" s="1"/>
  <c r="S438" i="1"/>
  <c r="AE438" i="1" s="1"/>
  <c r="AG438" i="1" s="1"/>
  <c r="AI438" i="1" s="1"/>
  <c r="S442" i="1"/>
  <c r="AE442" i="1" s="1"/>
  <c r="AG442" i="1" s="1"/>
  <c r="AI442" i="1" s="1"/>
  <c r="S446" i="1"/>
  <c r="AE446" i="1" s="1"/>
  <c r="AG446" i="1" s="1"/>
  <c r="AI446" i="1" s="1"/>
  <c r="S450" i="1"/>
  <c r="AE450" i="1" s="1"/>
  <c r="AG450" i="1" s="1"/>
  <c r="AI450" i="1" s="1"/>
  <c r="S454" i="1"/>
  <c r="AE454" i="1" s="1"/>
  <c r="AG454" i="1" s="1"/>
  <c r="AI454" i="1" s="1"/>
  <c r="S458" i="1"/>
  <c r="AE458" i="1" s="1"/>
  <c r="AG458" i="1" s="1"/>
  <c r="AI458" i="1" s="1"/>
  <c r="S462" i="1"/>
  <c r="AE462" i="1" s="1"/>
  <c r="AG462" i="1" s="1"/>
  <c r="AI462" i="1" s="1"/>
  <c r="S466" i="1"/>
  <c r="AE466" i="1" s="1"/>
  <c r="AG466" i="1" s="1"/>
  <c r="AI466" i="1" s="1"/>
  <c r="S470" i="1"/>
  <c r="AE470" i="1" s="1"/>
  <c r="AG470" i="1" s="1"/>
  <c r="AI470" i="1" s="1"/>
  <c r="S474" i="1"/>
  <c r="AE474" i="1" s="1"/>
  <c r="AG474" i="1" s="1"/>
  <c r="AI474" i="1" s="1"/>
  <c r="S478" i="1"/>
  <c r="AE478" i="1" s="1"/>
  <c r="AG478" i="1" s="1"/>
  <c r="AI478" i="1" s="1"/>
  <c r="S482" i="1"/>
  <c r="AE482" i="1" s="1"/>
  <c r="AG482" i="1" s="1"/>
  <c r="AI482" i="1" s="1"/>
  <c r="S486" i="1"/>
  <c r="AE486" i="1" s="1"/>
  <c r="AG486" i="1" s="1"/>
  <c r="AI486" i="1" s="1"/>
  <c r="S490" i="1"/>
  <c r="AE490" i="1" s="1"/>
  <c r="AG490" i="1" s="1"/>
  <c r="AI490" i="1" s="1"/>
  <c r="S494" i="1"/>
  <c r="AE494" i="1" s="1"/>
  <c r="AG494" i="1" s="1"/>
  <c r="AI494" i="1" s="1"/>
  <c r="S498" i="1"/>
  <c r="AE498" i="1" s="1"/>
  <c r="S502" i="1"/>
  <c r="AE502" i="1" s="1"/>
  <c r="AG502" i="1" s="1"/>
  <c r="S506" i="1"/>
  <c r="AE506" i="1" s="1"/>
  <c r="S510" i="1"/>
  <c r="AE510" i="1" s="1"/>
  <c r="AG510" i="1" s="1"/>
  <c r="S514" i="1"/>
  <c r="AE514" i="1" s="1"/>
  <c r="S518" i="1"/>
  <c r="AE518" i="1" s="1"/>
  <c r="AG518" i="1" s="1"/>
  <c r="S522" i="1"/>
  <c r="AE522" i="1" s="1"/>
  <c r="S526" i="1"/>
  <c r="AE526" i="1" s="1"/>
  <c r="AG526" i="1" s="1"/>
  <c r="S530" i="1"/>
  <c r="AE530" i="1" s="1"/>
  <c r="S534" i="1"/>
  <c r="AE534" i="1" s="1"/>
  <c r="AG534" i="1" s="1"/>
  <c r="S538" i="1"/>
  <c r="AE538" i="1" s="1"/>
  <c r="AG538" i="1" s="1"/>
  <c r="S542" i="1"/>
  <c r="AE542" i="1" s="1"/>
  <c r="S546" i="1"/>
  <c r="AE546" i="1" s="1"/>
  <c r="S550" i="1"/>
  <c r="AE550" i="1" s="1"/>
  <c r="S554" i="1"/>
  <c r="AE554" i="1" s="1"/>
  <c r="S558" i="1"/>
  <c r="AE558" i="1" s="1"/>
  <c r="S562" i="1"/>
  <c r="AE562" i="1" s="1"/>
  <c r="S566" i="1"/>
  <c r="AE566" i="1" s="1"/>
  <c r="S570" i="1"/>
  <c r="AE570" i="1" s="1"/>
  <c r="AE578" i="1"/>
  <c r="AE582" i="1"/>
  <c r="AE586" i="1"/>
  <c r="S859" i="1"/>
  <c r="AE859" i="1" s="1"/>
  <c r="S316" i="1"/>
  <c r="S348" i="1"/>
  <c r="S380" i="1"/>
  <c r="S396" i="1"/>
  <c r="S416" i="1"/>
  <c r="S432" i="1"/>
  <c r="S5" i="1"/>
  <c r="S9" i="1"/>
  <c r="S13" i="1"/>
  <c r="S17" i="1"/>
  <c r="S21" i="1"/>
  <c r="S25" i="1"/>
  <c r="S29" i="1"/>
  <c r="S33" i="1"/>
  <c r="S37" i="1"/>
  <c r="S41" i="1"/>
  <c r="S45" i="1"/>
  <c r="S49" i="1"/>
  <c r="S53" i="1"/>
  <c r="S57" i="1"/>
  <c r="S61" i="1"/>
  <c r="S65" i="1"/>
  <c r="S69" i="1"/>
  <c r="S73" i="1"/>
  <c r="S77" i="1"/>
  <c r="S81" i="1"/>
  <c r="S85" i="1"/>
  <c r="S89" i="1"/>
  <c r="S93" i="1"/>
  <c r="S97" i="1"/>
  <c r="S101" i="1"/>
  <c r="S4" i="1"/>
  <c r="S8" i="1"/>
  <c r="S12" i="1"/>
  <c r="S16" i="1"/>
  <c r="S20" i="1"/>
  <c r="S24" i="1"/>
  <c r="S28" i="1"/>
  <c r="S32" i="1"/>
  <c r="S36" i="1"/>
  <c r="S40" i="1"/>
  <c r="S44" i="1"/>
  <c r="S48" i="1"/>
  <c r="S52" i="1"/>
  <c r="S56" i="1"/>
  <c r="S60" i="1"/>
  <c r="S64" i="1"/>
  <c r="S68" i="1"/>
  <c r="S72" i="1"/>
  <c r="S76" i="1"/>
  <c r="S80" i="1"/>
  <c r="S84" i="1"/>
  <c r="S88" i="1"/>
  <c r="S92" i="1"/>
  <c r="S96" i="1"/>
  <c r="S100" i="1"/>
  <c r="S104" i="1"/>
  <c r="S108" i="1"/>
  <c r="S112" i="1"/>
  <c r="S121" i="1"/>
  <c r="S125" i="1"/>
  <c r="S129" i="1"/>
  <c r="S133" i="1"/>
  <c r="S137" i="1"/>
  <c r="S141" i="1"/>
  <c r="S145" i="1"/>
  <c r="S149" i="1"/>
  <c r="S153" i="1"/>
  <c r="S157" i="1"/>
  <c r="S161" i="1"/>
  <c r="S165" i="1"/>
  <c r="S169" i="1"/>
  <c r="S173" i="1"/>
  <c r="S177" i="1"/>
  <c r="S181" i="1"/>
  <c r="S185" i="1"/>
  <c r="S189" i="1"/>
  <c r="S193" i="1"/>
  <c r="S197" i="1"/>
  <c r="S201" i="1"/>
  <c r="S205" i="1"/>
  <c r="S209" i="1"/>
  <c r="S213" i="1"/>
  <c r="S217" i="1"/>
  <c r="S221" i="1"/>
  <c r="S225" i="1"/>
  <c r="S229" i="1"/>
  <c r="S233" i="1"/>
  <c r="S237" i="1"/>
  <c r="S241" i="1"/>
  <c r="S245" i="1"/>
  <c r="S249" i="1"/>
  <c r="S253" i="1"/>
  <c r="S257" i="1"/>
  <c r="S261" i="1"/>
  <c r="S265" i="1"/>
  <c r="S269" i="1"/>
  <c r="S273" i="1"/>
  <c r="S277" i="1"/>
  <c r="S281" i="1"/>
  <c r="S285" i="1"/>
  <c r="S289" i="1"/>
  <c r="S293" i="1"/>
  <c r="S297" i="1"/>
  <c r="S301" i="1"/>
  <c r="S305" i="1"/>
  <c r="S309" i="1"/>
  <c r="S313" i="1"/>
  <c r="S317" i="1"/>
  <c r="S321" i="1"/>
  <c r="S325" i="1"/>
  <c r="S329" i="1"/>
  <c r="S333" i="1"/>
  <c r="S337" i="1"/>
  <c r="S341" i="1"/>
  <c r="S345" i="1"/>
  <c r="S349" i="1"/>
  <c r="S353" i="1"/>
  <c r="S357" i="1"/>
  <c r="S361" i="1"/>
  <c r="S365" i="1"/>
  <c r="S369" i="1"/>
  <c r="S373" i="1"/>
  <c r="S377" i="1"/>
  <c r="S381" i="1"/>
  <c r="S385" i="1"/>
  <c r="S389" i="1"/>
  <c r="S393" i="1"/>
  <c r="S397" i="1"/>
  <c r="S401" i="1"/>
  <c r="S405" i="1"/>
  <c r="S409" i="1"/>
  <c r="S413" i="1"/>
  <c r="S417" i="1"/>
  <c r="S421" i="1"/>
  <c r="S425" i="1"/>
  <c r="S429" i="1"/>
  <c r="S433" i="1"/>
  <c r="S7" i="1"/>
  <c r="S11" i="1"/>
  <c r="S15" i="1"/>
  <c r="S19" i="1"/>
  <c r="S23" i="1"/>
  <c r="S27" i="1"/>
  <c r="S31" i="1"/>
  <c r="S35" i="1"/>
  <c r="S39" i="1"/>
  <c r="S43" i="1"/>
  <c r="S47" i="1"/>
  <c r="S51" i="1"/>
  <c r="S55" i="1"/>
  <c r="S59" i="1"/>
  <c r="S63" i="1"/>
  <c r="S67" i="1"/>
  <c r="S71" i="1"/>
  <c r="S75" i="1"/>
  <c r="S79" i="1"/>
  <c r="S83" i="1"/>
  <c r="S87" i="1"/>
  <c r="S91" i="1"/>
  <c r="S95" i="1"/>
  <c r="S99" i="1"/>
  <c r="S103" i="1"/>
  <c r="S284" i="1"/>
  <c r="S412" i="1"/>
  <c r="S105" i="1"/>
  <c r="S109" i="1"/>
  <c r="S113" i="1"/>
  <c r="S118" i="1"/>
  <c r="S122" i="1"/>
  <c r="S126" i="1"/>
  <c r="S130" i="1"/>
  <c r="S134" i="1"/>
  <c r="S138" i="1"/>
  <c r="S142" i="1"/>
  <c r="S146" i="1"/>
  <c r="S150" i="1"/>
  <c r="S154" i="1"/>
  <c r="S158" i="1"/>
  <c r="S162" i="1"/>
  <c r="S166" i="1"/>
  <c r="S170" i="1"/>
  <c r="S174" i="1"/>
  <c r="S178" i="1"/>
  <c r="S182" i="1"/>
  <c r="S186" i="1"/>
  <c r="S190" i="1"/>
  <c r="S194" i="1"/>
  <c r="S198" i="1"/>
  <c r="S202" i="1"/>
  <c r="S206" i="1"/>
  <c r="S210" i="1"/>
  <c r="S214" i="1"/>
  <c r="S218" i="1"/>
  <c r="S222" i="1"/>
  <c r="S226" i="1"/>
  <c r="S230" i="1"/>
  <c r="S234" i="1"/>
  <c r="S238" i="1"/>
  <c r="S242" i="1"/>
  <c r="S246" i="1"/>
  <c r="S250" i="1"/>
  <c r="S254" i="1"/>
  <c r="S258" i="1"/>
  <c r="S262" i="1"/>
  <c r="S266" i="1"/>
  <c r="S270" i="1"/>
  <c r="S274" i="1"/>
  <c r="S278" i="1"/>
  <c r="S282" i="1"/>
  <c r="S286" i="1"/>
  <c r="S290" i="1"/>
  <c r="S294" i="1"/>
  <c r="S298" i="1"/>
  <c r="S302" i="1"/>
  <c r="S306" i="1"/>
  <c r="S310" i="1"/>
  <c r="S314" i="1"/>
  <c r="S318" i="1"/>
  <c r="S322" i="1"/>
  <c r="S326" i="1"/>
  <c r="S330" i="1"/>
  <c r="S334" i="1"/>
  <c r="S338" i="1"/>
  <c r="S342" i="1"/>
  <c r="S346" i="1"/>
  <c r="S350" i="1"/>
  <c r="S354" i="1"/>
  <c r="S358" i="1"/>
  <c r="S362" i="1"/>
  <c r="S366" i="1"/>
  <c r="S370" i="1"/>
  <c r="S374" i="1"/>
  <c r="S378" i="1"/>
  <c r="S382" i="1"/>
  <c r="S386" i="1"/>
  <c r="S390" i="1"/>
  <c r="S394" i="1"/>
  <c r="S398" i="1"/>
  <c r="S402" i="1"/>
  <c r="S406" i="1"/>
  <c r="S410" i="1"/>
  <c r="S414" i="1"/>
  <c r="S418" i="1"/>
  <c r="S422" i="1"/>
  <c r="S426" i="1"/>
  <c r="S430" i="1"/>
  <c r="S107" i="1"/>
  <c r="S111" i="1"/>
  <c r="S115" i="1"/>
  <c r="S120" i="1"/>
  <c r="S124" i="1"/>
  <c r="S128" i="1"/>
  <c r="S132" i="1"/>
  <c r="S140" i="1"/>
  <c r="S144" i="1"/>
  <c r="S148" i="1"/>
  <c r="S152" i="1"/>
  <c r="S156" i="1"/>
  <c r="S160" i="1"/>
  <c r="S164" i="1"/>
  <c r="S168" i="1"/>
  <c r="S172" i="1"/>
  <c r="S176" i="1"/>
  <c r="S180" i="1"/>
  <c r="S184" i="1"/>
  <c r="S188" i="1"/>
  <c r="S192" i="1"/>
  <c r="S196" i="1"/>
  <c r="S200" i="1"/>
  <c r="S204" i="1"/>
  <c r="S208" i="1"/>
  <c r="S212" i="1"/>
  <c r="S216" i="1"/>
  <c r="S220" i="1"/>
  <c r="S224" i="1"/>
  <c r="S228" i="1"/>
  <c r="S232" i="1"/>
  <c r="S236" i="1"/>
  <c r="S240" i="1"/>
  <c r="S244" i="1"/>
  <c r="S248" i="1"/>
  <c r="S252" i="1"/>
  <c r="S256" i="1"/>
  <c r="S260" i="1"/>
  <c r="S264" i="1"/>
  <c r="S268" i="1"/>
  <c r="S272" i="1"/>
  <c r="S276" i="1"/>
  <c r="S280" i="1"/>
  <c r="S288" i="1"/>
  <c r="S292" i="1"/>
  <c r="S296" i="1"/>
  <c r="S304" i="1"/>
  <c r="S308" i="1"/>
  <c r="S312" i="1"/>
  <c r="S320" i="1"/>
  <c r="S324" i="1"/>
  <c r="S328" i="1"/>
  <c r="S336" i="1"/>
  <c r="S340" i="1"/>
  <c r="S344" i="1"/>
  <c r="S352" i="1"/>
  <c r="S356" i="1"/>
  <c r="S360" i="1"/>
  <c r="S368" i="1"/>
  <c r="S372" i="1"/>
  <c r="S376" i="1"/>
  <c r="S384" i="1"/>
  <c r="S388" i="1"/>
  <c r="S392" i="1"/>
  <c r="S404" i="1"/>
  <c r="S408" i="1"/>
  <c r="S420" i="1"/>
  <c r="S424" i="1"/>
  <c r="S136" i="1"/>
  <c r="S6" i="1"/>
  <c r="S10" i="1"/>
  <c r="S14" i="1"/>
  <c r="S18" i="1"/>
  <c r="S22" i="1"/>
  <c r="S26" i="1"/>
  <c r="S30" i="1"/>
  <c r="S34" i="1"/>
  <c r="S38" i="1"/>
  <c r="S42" i="1"/>
  <c r="S46" i="1"/>
  <c r="S50" i="1"/>
  <c r="S54" i="1"/>
  <c r="S58" i="1"/>
  <c r="S62" i="1"/>
  <c r="S66" i="1"/>
  <c r="S70" i="1"/>
  <c r="S74" i="1"/>
  <c r="S78" i="1"/>
  <c r="S82" i="1"/>
  <c r="S86" i="1"/>
  <c r="S90" i="1"/>
  <c r="S94" i="1"/>
  <c r="S98" i="1"/>
  <c r="S102" i="1"/>
  <c r="S106" i="1"/>
  <c r="S110" i="1"/>
  <c r="S114" i="1"/>
  <c r="S119" i="1"/>
  <c r="S123" i="1"/>
  <c r="S127" i="1"/>
  <c r="S131" i="1"/>
  <c r="S135" i="1"/>
  <c r="S139" i="1"/>
  <c r="S143" i="1"/>
  <c r="S147" i="1"/>
  <c r="S151" i="1"/>
  <c r="S155" i="1"/>
  <c r="S159" i="1"/>
  <c r="S163" i="1"/>
  <c r="S167" i="1"/>
  <c r="S171" i="1"/>
  <c r="S175" i="1"/>
  <c r="S179" i="1"/>
  <c r="S183" i="1"/>
  <c r="S187" i="1"/>
  <c r="S191" i="1"/>
  <c r="S195" i="1"/>
  <c r="S199" i="1"/>
  <c r="S203" i="1"/>
  <c r="S207" i="1"/>
  <c r="S211" i="1"/>
  <c r="S215" i="1"/>
  <c r="S219" i="1"/>
  <c r="S223" i="1"/>
  <c r="S227" i="1"/>
  <c r="S231" i="1"/>
  <c r="S235" i="1"/>
  <c r="S239" i="1"/>
  <c r="S243" i="1"/>
  <c r="S247" i="1"/>
  <c r="S251" i="1"/>
  <c r="S255" i="1"/>
  <c r="S259" i="1"/>
  <c r="S263" i="1"/>
  <c r="S267" i="1"/>
  <c r="S271" i="1"/>
  <c r="S275" i="1"/>
  <c r="S279" i="1"/>
  <c r="S283" i="1"/>
  <c r="S287" i="1"/>
  <c r="S291" i="1"/>
  <c r="S295" i="1"/>
  <c r="S299" i="1"/>
  <c r="S303" i="1"/>
  <c r="S307" i="1"/>
  <c r="S311" i="1"/>
  <c r="S315" i="1"/>
  <c r="S319" i="1"/>
  <c r="S323" i="1"/>
  <c r="S327" i="1"/>
  <c r="S331" i="1"/>
  <c r="S335" i="1"/>
  <c r="S339" i="1"/>
  <c r="S343" i="1"/>
  <c r="S347" i="1"/>
  <c r="S351" i="1"/>
  <c r="S355" i="1"/>
  <c r="S359" i="1"/>
  <c r="S363" i="1"/>
  <c r="S367" i="1"/>
  <c r="S371" i="1"/>
  <c r="S375" i="1"/>
  <c r="S379" i="1"/>
  <c r="S383" i="1"/>
  <c r="S387" i="1"/>
  <c r="S391" i="1"/>
  <c r="S395" i="1"/>
  <c r="S399" i="1"/>
  <c r="S403" i="1"/>
  <c r="S407" i="1"/>
  <c r="S411" i="1"/>
  <c r="S415" i="1"/>
  <c r="S419" i="1"/>
  <c r="S423" i="1"/>
  <c r="S427" i="1"/>
  <c r="S431" i="1"/>
  <c r="AH859" i="1"/>
  <c r="AH858" i="1"/>
  <c r="AH857" i="1"/>
  <c r="AH587" i="1"/>
  <c r="AE587" i="1"/>
  <c r="AH586" i="1"/>
  <c r="AH585" i="1"/>
  <c r="AH584" i="1"/>
  <c r="AH583" i="1"/>
  <c r="AE583" i="1"/>
  <c r="AH582" i="1"/>
  <c r="AH581" i="1"/>
  <c r="AH580" i="1"/>
  <c r="AH579" i="1"/>
  <c r="AE579" i="1"/>
  <c r="AH578" i="1"/>
  <c r="AH577" i="1"/>
  <c r="AH576" i="1"/>
  <c r="AH575" i="1"/>
  <c r="AH574" i="1"/>
  <c r="AH573" i="1"/>
  <c r="AH572" i="1"/>
  <c r="AH571" i="1"/>
  <c r="AE571" i="1"/>
  <c r="AH570" i="1"/>
  <c r="AH569" i="1"/>
  <c r="AH568" i="1"/>
  <c r="AH567" i="1"/>
  <c r="AE567" i="1"/>
  <c r="AH566" i="1"/>
  <c r="AH565" i="1"/>
  <c r="AH564" i="1"/>
  <c r="AH563" i="1"/>
  <c r="AE563" i="1"/>
  <c r="AH562" i="1"/>
  <c r="AH561" i="1"/>
  <c r="AH560" i="1"/>
  <c r="AH559" i="1"/>
  <c r="AH558" i="1"/>
  <c r="AH557" i="1"/>
  <c r="AH556" i="1"/>
  <c r="AH555" i="1"/>
  <c r="AE555" i="1"/>
  <c r="AH554" i="1"/>
  <c r="AH553" i="1"/>
  <c r="AH552" i="1"/>
  <c r="AH551" i="1"/>
  <c r="AE551" i="1"/>
  <c r="AH550" i="1"/>
  <c r="AH549" i="1"/>
  <c r="AH548" i="1"/>
  <c r="AH547" i="1"/>
  <c r="AE547" i="1"/>
  <c r="AH546" i="1"/>
  <c r="AH545" i="1"/>
  <c r="AH544" i="1"/>
  <c r="AH543" i="1"/>
  <c r="AH542" i="1"/>
  <c r="AH541" i="1"/>
  <c r="AH540" i="1"/>
  <c r="AH539" i="1"/>
  <c r="AE539" i="1"/>
  <c r="AH538" i="1"/>
  <c r="AH537" i="1"/>
  <c r="AH536" i="1"/>
  <c r="AH535" i="1"/>
  <c r="AE535" i="1"/>
  <c r="AG535" i="1" s="1"/>
  <c r="AH534" i="1"/>
  <c r="AH533" i="1"/>
  <c r="AH532" i="1"/>
  <c r="AH531" i="1"/>
  <c r="AE531" i="1"/>
  <c r="AG531" i="1" s="1"/>
  <c r="AH530" i="1"/>
  <c r="AH529" i="1"/>
  <c r="AH528" i="1"/>
  <c r="AH527" i="1"/>
  <c r="AH526" i="1"/>
  <c r="AH525" i="1"/>
  <c r="AH524" i="1"/>
  <c r="AH523" i="1"/>
  <c r="AE523" i="1"/>
  <c r="AG523" i="1" s="1"/>
  <c r="AH522" i="1"/>
  <c r="AH521" i="1"/>
  <c r="AH520" i="1"/>
  <c r="AH519" i="1"/>
  <c r="AE519" i="1"/>
  <c r="AG519" i="1" s="1"/>
  <c r="AH518" i="1"/>
  <c r="AH517" i="1"/>
  <c r="AH516" i="1"/>
  <c r="AH515" i="1"/>
  <c r="AH514" i="1"/>
  <c r="AH513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G467" i="1" l="1"/>
  <c r="AI467" i="1" s="1"/>
  <c r="AI469" i="1"/>
  <c r="AK469" i="1" s="1"/>
  <c r="AL469" i="1" s="1"/>
  <c r="AI481" i="1"/>
  <c r="AK481" i="1" s="1"/>
  <c r="AL481" i="1" s="1"/>
  <c r="AI485" i="1"/>
  <c r="AK485" i="1" s="1"/>
  <c r="AL485" i="1" s="1"/>
  <c r="AI497" i="1"/>
  <c r="AK497" i="1" s="1"/>
  <c r="AL497" i="1" s="1"/>
  <c r="AI499" i="1"/>
  <c r="AK499" i="1" s="1"/>
  <c r="AL499" i="1" s="1"/>
  <c r="AI507" i="1"/>
  <c r="AK507" i="1" s="1"/>
  <c r="AL507" i="1" s="1"/>
  <c r="AI515" i="1"/>
  <c r="AK515" i="1" s="1"/>
  <c r="AL515" i="1" s="1"/>
  <c r="AI523" i="1"/>
  <c r="AK523" i="1" s="1"/>
  <c r="AL523" i="1" s="1"/>
  <c r="AI531" i="1"/>
  <c r="AK531" i="1" s="1"/>
  <c r="AL531" i="1" s="1"/>
  <c r="AI451" i="1"/>
  <c r="AK451" i="1" s="1"/>
  <c r="AG463" i="1"/>
  <c r="AI463" i="1" s="1"/>
  <c r="AI465" i="1"/>
  <c r="AK465" i="1" s="1"/>
  <c r="AL465" i="1" s="1"/>
  <c r="AL479" i="1"/>
  <c r="AL483" i="1"/>
  <c r="AL495" i="1"/>
  <c r="AI449" i="1"/>
  <c r="AK449" i="1" s="1"/>
  <c r="AL449" i="1" s="1"/>
  <c r="AI447" i="1"/>
  <c r="AK447" i="1" s="1"/>
  <c r="AI453" i="1"/>
  <c r="AK453" i="1" s="1"/>
  <c r="AL453" i="1" s="1"/>
  <c r="AI459" i="1"/>
  <c r="AK459" i="1" s="1"/>
  <c r="AG440" i="1"/>
  <c r="AI440" i="1" s="1"/>
  <c r="AG452" i="1"/>
  <c r="AI452" i="1" s="1"/>
  <c r="AG460" i="1"/>
  <c r="AI460" i="1" s="1"/>
  <c r="AG472" i="1"/>
  <c r="AI472" i="1" s="1"/>
  <c r="AG480" i="1"/>
  <c r="AI480" i="1" s="1"/>
  <c r="AG492" i="1"/>
  <c r="AI492" i="1" s="1"/>
  <c r="AG500" i="1"/>
  <c r="AI500" i="1" s="1"/>
  <c r="AG508" i="1"/>
  <c r="AI508" i="1" s="1"/>
  <c r="AG520" i="1"/>
  <c r="AI520" i="1" s="1"/>
  <c r="AG528" i="1"/>
  <c r="AI528" i="1" s="1"/>
  <c r="AG540" i="1"/>
  <c r="AI540" i="1" s="1"/>
  <c r="AG556" i="1"/>
  <c r="AI556" i="1" s="1"/>
  <c r="AG564" i="1"/>
  <c r="AI564" i="1" s="1"/>
  <c r="AG572" i="1"/>
  <c r="AI572" i="1" s="1"/>
  <c r="AG580" i="1"/>
  <c r="AI580" i="1" s="1"/>
  <c r="AG584" i="1"/>
  <c r="AI584" i="1" s="1"/>
  <c r="AG439" i="1"/>
  <c r="AI439" i="1" s="1"/>
  <c r="AG505" i="1"/>
  <c r="AI505" i="1" s="1"/>
  <c r="AG513" i="1"/>
  <c r="AI513" i="1" s="1"/>
  <c r="AG521" i="1"/>
  <c r="AI521" i="1" s="1"/>
  <c r="AG529" i="1"/>
  <c r="AI529" i="1" s="1"/>
  <c r="AG537" i="1"/>
  <c r="AI537" i="1" s="1"/>
  <c r="AG585" i="1"/>
  <c r="AI585" i="1" s="1"/>
  <c r="AI435" i="1"/>
  <c r="AI443" i="1"/>
  <c r="AG436" i="1"/>
  <c r="AI436" i="1" s="1"/>
  <c r="AG444" i="1"/>
  <c r="AI444" i="1" s="1"/>
  <c r="AG448" i="1"/>
  <c r="AI448" i="1" s="1"/>
  <c r="AG456" i="1"/>
  <c r="AI456" i="1" s="1"/>
  <c r="AG464" i="1"/>
  <c r="AI464" i="1" s="1"/>
  <c r="AG468" i="1"/>
  <c r="AI468" i="1" s="1"/>
  <c r="AG476" i="1"/>
  <c r="AI476" i="1" s="1"/>
  <c r="AG484" i="1"/>
  <c r="AI484" i="1" s="1"/>
  <c r="AG488" i="1"/>
  <c r="AI488" i="1" s="1"/>
  <c r="AG496" i="1"/>
  <c r="AI496" i="1" s="1"/>
  <c r="AG504" i="1"/>
  <c r="AI504" i="1" s="1"/>
  <c r="AG512" i="1"/>
  <c r="AI512" i="1" s="1"/>
  <c r="AG516" i="1"/>
  <c r="AI516" i="1" s="1"/>
  <c r="AG524" i="1"/>
  <c r="AI524" i="1" s="1"/>
  <c r="AG532" i="1"/>
  <c r="AI532" i="1" s="1"/>
  <c r="AG536" i="1"/>
  <c r="AI536" i="1" s="1"/>
  <c r="AG544" i="1"/>
  <c r="AI544" i="1" s="1"/>
  <c r="AG548" i="1"/>
  <c r="AI548" i="1" s="1"/>
  <c r="AG552" i="1"/>
  <c r="AI552" i="1" s="1"/>
  <c r="AG560" i="1"/>
  <c r="AI560" i="1" s="1"/>
  <c r="AG568" i="1"/>
  <c r="AI568" i="1" s="1"/>
  <c r="AG576" i="1"/>
  <c r="AI576" i="1" s="1"/>
  <c r="AG857" i="1"/>
  <c r="AI857" i="1" s="1"/>
  <c r="AG501" i="1"/>
  <c r="AI501" i="1" s="1"/>
  <c r="AG509" i="1"/>
  <c r="AI509" i="1" s="1"/>
  <c r="AG517" i="1"/>
  <c r="AI517" i="1" s="1"/>
  <c r="AG525" i="1"/>
  <c r="AI525" i="1" s="1"/>
  <c r="AG533" i="1"/>
  <c r="AI533" i="1" s="1"/>
  <c r="AG545" i="1"/>
  <c r="AI545" i="1" s="1"/>
  <c r="AG573" i="1"/>
  <c r="AI573" i="1" s="1"/>
  <c r="AG577" i="1"/>
  <c r="AI577" i="1" s="1"/>
  <c r="AG581" i="1"/>
  <c r="AI581" i="1" s="1"/>
  <c r="AG858" i="1"/>
  <c r="AI858" i="1" s="1"/>
  <c r="AI457" i="1"/>
  <c r="AL471" i="1"/>
  <c r="AI473" i="1"/>
  <c r="AL487" i="1"/>
  <c r="AI489" i="1"/>
  <c r="AK434" i="1"/>
  <c r="AL434" i="1" s="1"/>
  <c r="AK438" i="1"/>
  <c r="AL438" i="1" s="1"/>
  <c r="AK442" i="1"/>
  <c r="AL442" i="1" s="1"/>
  <c r="AK446" i="1"/>
  <c r="AL446" i="1" s="1"/>
  <c r="AK450" i="1"/>
  <c r="AL450" i="1" s="1"/>
  <c r="AK454" i="1"/>
  <c r="AL454" i="1" s="1"/>
  <c r="AK458" i="1"/>
  <c r="AL458" i="1" s="1"/>
  <c r="AK462" i="1"/>
  <c r="AL462" i="1" s="1"/>
  <c r="AK466" i="1"/>
  <c r="AL466" i="1" s="1"/>
  <c r="AK470" i="1"/>
  <c r="AL470" i="1" s="1"/>
  <c r="AK474" i="1"/>
  <c r="AL474" i="1" s="1"/>
  <c r="AK478" i="1"/>
  <c r="AL478" i="1" s="1"/>
  <c r="AK482" i="1"/>
  <c r="AL482" i="1" s="1"/>
  <c r="AK486" i="1"/>
  <c r="AL486" i="1" s="1"/>
  <c r="AK490" i="1"/>
  <c r="AL490" i="1" s="1"/>
  <c r="AK494" i="1"/>
  <c r="AL494" i="1" s="1"/>
  <c r="AI437" i="1"/>
  <c r="AI441" i="1"/>
  <c r="AI445" i="1"/>
  <c r="AI455" i="1"/>
  <c r="AI461" i="1"/>
  <c r="AL475" i="1"/>
  <c r="AI477" i="1"/>
  <c r="AL491" i="1"/>
  <c r="AI493" i="1"/>
  <c r="AG542" i="1"/>
  <c r="AI542" i="1" s="1"/>
  <c r="AG546" i="1"/>
  <c r="AI546" i="1" s="1"/>
  <c r="AG550" i="1"/>
  <c r="AI550" i="1" s="1"/>
  <c r="AG566" i="1"/>
  <c r="AI566" i="1" s="1"/>
  <c r="AG570" i="1"/>
  <c r="AI570" i="1" s="1"/>
  <c r="AG575" i="1"/>
  <c r="AI575" i="1" s="1"/>
  <c r="AG553" i="1"/>
  <c r="AI553" i="1" s="1"/>
  <c r="AG561" i="1"/>
  <c r="AI561" i="1" s="1"/>
  <c r="AG569" i="1"/>
  <c r="AI569" i="1" s="1"/>
  <c r="AI502" i="1"/>
  <c r="AI510" i="1"/>
  <c r="AI518" i="1"/>
  <c r="AI526" i="1"/>
  <c r="AI534" i="1"/>
  <c r="AG574" i="1"/>
  <c r="AI574" i="1" s="1"/>
  <c r="AG578" i="1"/>
  <c r="AI578" i="1" s="1"/>
  <c r="AG582" i="1"/>
  <c r="AI582" i="1" s="1"/>
  <c r="AG586" i="1"/>
  <c r="AI586" i="1" s="1"/>
  <c r="AG859" i="1"/>
  <c r="AI859" i="1" s="1"/>
  <c r="AI503" i="1"/>
  <c r="AI511" i="1"/>
  <c r="AI519" i="1"/>
  <c r="AI527" i="1"/>
  <c r="AG541" i="1"/>
  <c r="AI541" i="1" s="1"/>
  <c r="AG547" i="1"/>
  <c r="AI547" i="1" s="1"/>
  <c r="AG551" i="1"/>
  <c r="AI551" i="1" s="1"/>
  <c r="AG555" i="1"/>
  <c r="AI555" i="1" s="1"/>
  <c r="AG559" i="1"/>
  <c r="AI559" i="1" s="1"/>
  <c r="AG563" i="1"/>
  <c r="AI563" i="1" s="1"/>
  <c r="AG567" i="1"/>
  <c r="AI567" i="1" s="1"/>
  <c r="AG571" i="1"/>
  <c r="AI571" i="1" s="1"/>
  <c r="AG579" i="1"/>
  <c r="AI579" i="1" s="1"/>
  <c r="AG587" i="1"/>
  <c r="AI587" i="1" s="1"/>
  <c r="AG554" i="1"/>
  <c r="AI554" i="1" s="1"/>
  <c r="AG558" i="1"/>
  <c r="AI558" i="1" s="1"/>
  <c r="AG562" i="1"/>
  <c r="AI562" i="1" s="1"/>
  <c r="AG583" i="1"/>
  <c r="AI583" i="1" s="1"/>
  <c r="AG549" i="1"/>
  <c r="AI549" i="1" s="1"/>
  <c r="AG557" i="1"/>
  <c r="AI557" i="1" s="1"/>
  <c r="AG565" i="1"/>
  <c r="AI565" i="1" s="1"/>
  <c r="AG498" i="1"/>
  <c r="AI498" i="1" s="1"/>
  <c r="AG506" i="1"/>
  <c r="AI506" i="1" s="1"/>
  <c r="AG514" i="1"/>
  <c r="AI514" i="1" s="1"/>
  <c r="AG522" i="1"/>
  <c r="AI522" i="1" s="1"/>
  <c r="AG530" i="1"/>
  <c r="AI530" i="1" s="1"/>
  <c r="AI535" i="1"/>
  <c r="AI538" i="1"/>
  <c r="AG543" i="1"/>
  <c r="AI543" i="1" s="1"/>
  <c r="AG539" i="1"/>
  <c r="AI539" i="1" s="1"/>
  <c r="AL459" i="1" l="1"/>
  <c r="AL451" i="1"/>
  <c r="AK463" i="1"/>
  <c r="AL463" i="1" s="1"/>
  <c r="AK467" i="1"/>
  <c r="AL467" i="1" s="1"/>
  <c r="AL447" i="1"/>
  <c r="AK557" i="1"/>
  <c r="AL557" i="1" s="1"/>
  <c r="AK551" i="1"/>
  <c r="AL551" i="1" s="1"/>
  <c r="AK581" i="1"/>
  <c r="AL581" i="1" s="1"/>
  <c r="AK857" i="1"/>
  <c r="AL857" i="1" s="1"/>
  <c r="AK532" i="1"/>
  <c r="AL532" i="1" s="1"/>
  <c r="AK504" i="1"/>
  <c r="AL504" i="1" s="1"/>
  <c r="AK448" i="1"/>
  <c r="AL448" i="1" s="1"/>
  <c r="AK439" i="1"/>
  <c r="AL439" i="1" s="1"/>
  <c r="AK572" i="1"/>
  <c r="AL572" i="1" s="1"/>
  <c r="AK520" i="1"/>
  <c r="AL520" i="1" s="1"/>
  <c r="AK440" i="1"/>
  <c r="AL440" i="1" s="1"/>
  <c r="AK506" i="1"/>
  <c r="AL506" i="1" s="1"/>
  <c r="AK549" i="1"/>
  <c r="AL549" i="1" s="1"/>
  <c r="AK587" i="1"/>
  <c r="AL587" i="1" s="1"/>
  <c r="AK563" i="1"/>
  <c r="AL563" i="1" s="1"/>
  <c r="AK547" i="1"/>
  <c r="AL547" i="1" s="1"/>
  <c r="AK553" i="1"/>
  <c r="AL553" i="1" s="1"/>
  <c r="AK546" i="1"/>
  <c r="AL546" i="1" s="1"/>
  <c r="AK577" i="1"/>
  <c r="AL577" i="1" s="1"/>
  <c r="AK509" i="1"/>
  <c r="AL509" i="1" s="1"/>
  <c r="AK544" i="1"/>
  <c r="AL544" i="1" s="1"/>
  <c r="AK524" i="1"/>
  <c r="AL524" i="1" s="1"/>
  <c r="AK496" i="1"/>
  <c r="AL496" i="1" s="1"/>
  <c r="AK468" i="1"/>
  <c r="AL468" i="1" s="1"/>
  <c r="AK444" i="1"/>
  <c r="AL444" i="1" s="1"/>
  <c r="AK584" i="1"/>
  <c r="AL584" i="1" s="1"/>
  <c r="AK460" i="1"/>
  <c r="AL460" i="1" s="1"/>
  <c r="AK567" i="1"/>
  <c r="AL567" i="1" s="1"/>
  <c r="AK476" i="1"/>
  <c r="AL476" i="1" s="1"/>
  <c r="AK539" i="1"/>
  <c r="AL539" i="1" s="1"/>
  <c r="AK530" i="1"/>
  <c r="AL530" i="1" s="1"/>
  <c r="AK498" i="1"/>
  <c r="AL498" i="1" s="1"/>
  <c r="AK583" i="1"/>
  <c r="AL583" i="1" s="1"/>
  <c r="AK554" i="1"/>
  <c r="AL554" i="1" s="1"/>
  <c r="AK579" i="1"/>
  <c r="AL579" i="1" s="1"/>
  <c r="AK559" i="1"/>
  <c r="AL559" i="1" s="1"/>
  <c r="AK541" i="1"/>
  <c r="AL541" i="1" s="1"/>
  <c r="AK566" i="1"/>
  <c r="AL566" i="1" s="1"/>
  <c r="AK573" i="1"/>
  <c r="AL573" i="1" s="1"/>
  <c r="AK525" i="1"/>
  <c r="AL525" i="1" s="1"/>
  <c r="AK552" i="1"/>
  <c r="AL552" i="1" s="1"/>
  <c r="AK516" i="1"/>
  <c r="AL516" i="1" s="1"/>
  <c r="AK488" i="1"/>
  <c r="AL488" i="1" s="1"/>
  <c r="AK464" i="1"/>
  <c r="AL464" i="1" s="1"/>
  <c r="AK436" i="1"/>
  <c r="AL436" i="1" s="1"/>
  <c r="AK505" i="1"/>
  <c r="AL505" i="1" s="1"/>
  <c r="AK480" i="1"/>
  <c r="AL480" i="1" s="1"/>
  <c r="AK514" i="1"/>
  <c r="AL514" i="1" s="1"/>
  <c r="AK561" i="1"/>
  <c r="AL561" i="1" s="1"/>
  <c r="AK537" i="1"/>
  <c r="AL537" i="1" s="1"/>
  <c r="AK543" i="1"/>
  <c r="AL543" i="1" s="1"/>
  <c r="AK565" i="1"/>
  <c r="AL565" i="1" s="1"/>
  <c r="AK562" i="1"/>
  <c r="AL562" i="1" s="1"/>
  <c r="AK571" i="1"/>
  <c r="AL571" i="1" s="1"/>
  <c r="AK555" i="1"/>
  <c r="AL555" i="1" s="1"/>
  <c r="AK569" i="1"/>
  <c r="AL569" i="1" s="1"/>
  <c r="AK858" i="1"/>
  <c r="AL858" i="1" s="1"/>
  <c r="AK545" i="1"/>
  <c r="AL545" i="1" s="1"/>
  <c r="AK568" i="1"/>
  <c r="AL568" i="1" s="1"/>
  <c r="AK512" i="1"/>
  <c r="AL512" i="1" s="1"/>
  <c r="AK484" i="1"/>
  <c r="AL484" i="1" s="1"/>
  <c r="AK456" i="1"/>
  <c r="AL456" i="1" s="1"/>
  <c r="AK585" i="1"/>
  <c r="AL585" i="1" s="1"/>
  <c r="AK521" i="1"/>
  <c r="AL521" i="1" s="1"/>
  <c r="AK556" i="1"/>
  <c r="AL556" i="1" s="1"/>
  <c r="AK500" i="1"/>
  <c r="AL500" i="1" s="1"/>
  <c r="AK558" i="1"/>
  <c r="AL558" i="1" s="1"/>
  <c r="AK582" i="1"/>
  <c r="AL582" i="1" s="1"/>
  <c r="AK437" i="1"/>
  <c r="AL437" i="1" s="1"/>
  <c r="AK517" i="1"/>
  <c r="AL517" i="1" s="1"/>
  <c r="AK548" i="1"/>
  <c r="AL548" i="1" s="1"/>
  <c r="AK452" i="1"/>
  <c r="AL452" i="1" s="1"/>
  <c r="AK519" i="1"/>
  <c r="AL519" i="1" s="1"/>
  <c r="AK522" i="1"/>
  <c r="AL522" i="1" s="1"/>
  <c r="AK570" i="1"/>
  <c r="AL570" i="1" s="1"/>
  <c r="AK550" i="1"/>
  <c r="AL550" i="1" s="1"/>
  <c r="AK542" i="1"/>
  <c r="AL542" i="1" s="1"/>
  <c r="AK477" i="1"/>
  <c r="AL477" i="1" s="1"/>
  <c r="AK455" i="1"/>
  <c r="AL455" i="1" s="1"/>
  <c r="AK489" i="1"/>
  <c r="AL489" i="1" s="1"/>
  <c r="AK457" i="1"/>
  <c r="AL457" i="1" s="1"/>
  <c r="AK580" i="1"/>
  <c r="AL580" i="1" s="1"/>
  <c r="AK564" i="1"/>
  <c r="AL564" i="1" s="1"/>
  <c r="AK540" i="1"/>
  <c r="AL540" i="1" s="1"/>
  <c r="AK535" i="1"/>
  <c r="AL535" i="1" s="1"/>
  <c r="AK859" i="1"/>
  <c r="AL859" i="1" s="1"/>
  <c r="AK526" i="1"/>
  <c r="AL526" i="1" s="1"/>
  <c r="AK501" i="1"/>
  <c r="AL501" i="1" s="1"/>
  <c r="AK560" i="1"/>
  <c r="AL560" i="1" s="1"/>
  <c r="AK513" i="1"/>
  <c r="AL513" i="1" s="1"/>
  <c r="AK508" i="1"/>
  <c r="AL508" i="1" s="1"/>
  <c r="AK472" i="1"/>
  <c r="AL472" i="1" s="1"/>
  <c r="AK511" i="1"/>
  <c r="AL511" i="1" s="1"/>
  <c r="AK586" i="1"/>
  <c r="AL586" i="1" s="1"/>
  <c r="AK578" i="1"/>
  <c r="AL578" i="1" s="1"/>
  <c r="AK534" i="1"/>
  <c r="AL534" i="1" s="1"/>
  <c r="AK518" i="1"/>
  <c r="AL518" i="1" s="1"/>
  <c r="AK502" i="1"/>
  <c r="AL502" i="1" s="1"/>
  <c r="AK445" i="1"/>
  <c r="AL445" i="1" s="1"/>
  <c r="AK443" i="1"/>
  <c r="AL443" i="1" s="1"/>
  <c r="AK527" i="1"/>
  <c r="AL527" i="1" s="1"/>
  <c r="AK574" i="1"/>
  <c r="AL574" i="1" s="1"/>
  <c r="AK510" i="1"/>
  <c r="AL510" i="1" s="1"/>
  <c r="AK575" i="1"/>
  <c r="AL575" i="1" s="1"/>
  <c r="AK533" i="1"/>
  <c r="AL533" i="1" s="1"/>
  <c r="AK576" i="1"/>
  <c r="AL576" i="1" s="1"/>
  <c r="AK536" i="1"/>
  <c r="AL536" i="1" s="1"/>
  <c r="AK529" i="1"/>
  <c r="AL529" i="1" s="1"/>
  <c r="AK528" i="1"/>
  <c r="AL528" i="1" s="1"/>
  <c r="AK492" i="1"/>
  <c r="AL492" i="1" s="1"/>
  <c r="AK538" i="1"/>
  <c r="AL538" i="1" s="1"/>
  <c r="AK503" i="1"/>
  <c r="AL503" i="1" s="1"/>
  <c r="AK493" i="1"/>
  <c r="AL493" i="1" s="1"/>
  <c r="AK461" i="1"/>
  <c r="AL461" i="1" s="1"/>
  <c r="AK441" i="1"/>
  <c r="AL441" i="1" s="1"/>
  <c r="AK473" i="1"/>
  <c r="AL473" i="1" s="1"/>
  <c r="AK435" i="1"/>
  <c r="AL435" i="1" s="1"/>
  <c r="AE80" i="1" l="1"/>
  <c r="AH80" i="1"/>
  <c r="AE79" i="1"/>
  <c r="AG79" i="1" s="1"/>
  <c r="AI79" i="1" s="1"/>
  <c r="AH79" i="1"/>
  <c r="AE78" i="1"/>
  <c r="AG78" i="1" s="1"/>
  <c r="AI78" i="1" s="1"/>
  <c r="AH78" i="1"/>
  <c r="AE77" i="1"/>
  <c r="AH77" i="1"/>
  <c r="AE76" i="1"/>
  <c r="AG76" i="1" s="1"/>
  <c r="AI76" i="1" s="1"/>
  <c r="AH76" i="1"/>
  <c r="AE75" i="1"/>
  <c r="AH75" i="1"/>
  <c r="AE74" i="1"/>
  <c r="AH74" i="1"/>
  <c r="AG75" i="1" l="1"/>
  <c r="AI75" i="1" s="1"/>
  <c r="AK75" i="1" s="1"/>
  <c r="AL75" i="1" s="1"/>
  <c r="AG74" i="1"/>
  <c r="AI74" i="1" s="1"/>
  <c r="AG80" i="1"/>
  <c r="AI80" i="1" s="1"/>
  <c r="AK79" i="1"/>
  <c r="AL79" i="1" s="1"/>
  <c r="AK78" i="1"/>
  <c r="AL78" i="1" s="1"/>
  <c r="AG77" i="1"/>
  <c r="AI77" i="1" s="1"/>
  <c r="AK76" i="1"/>
  <c r="AL76" i="1" s="1"/>
  <c r="AK74" i="1" l="1"/>
  <c r="AL74" i="1" s="1"/>
  <c r="AK80" i="1"/>
  <c r="AL80" i="1" s="1"/>
  <c r="AK77" i="1"/>
  <c r="AL77" i="1" s="1"/>
  <c r="F30" i="4" l="1"/>
  <c r="F29" i="4"/>
  <c r="F28" i="4"/>
  <c r="F27" i="4"/>
  <c r="F26" i="4"/>
  <c r="F25" i="4"/>
  <c r="F24" i="4"/>
  <c r="E31" i="4"/>
  <c r="G30" i="4"/>
  <c r="G29" i="4"/>
  <c r="L29" i="4" s="1"/>
  <c r="M29" i="4" s="1"/>
  <c r="G28" i="4"/>
  <c r="H30" i="4"/>
  <c r="H29" i="4"/>
  <c r="H28" i="4"/>
  <c r="L28" i="4"/>
  <c r="M28" i="4" s="1"/>
  <c r="N3" i="1"/>
  <c r="N861" i="1" s="1"/>
  <c r="N864" i="1" s="1"/>
  <c r="L30" i="4" l="1"/>
  <c r="M30" i="4" s="1"/>
  <c r="E14" i="4"/>
  <c r="AH113" i="1" l="1"/>
  <c r="AH102" i="1"/>
  <c r="AH101" i="1"/>
  <c r="AH100" i="1"/>
  <c r="AH99" i="1"/>
  <c r="AH86" i="1"/>
  <c r="AH85" i="1"/>
  <c r="AH84" i="1"/>
  <c r="AH62" i="1"/>
  <c r="AH61" i="1"/>
  <c r="AH114" i="1"/>
  <c r="AE62" i="1"/>
  <c r="AG62" i="1" s="1"/>
  <c r="AI62" i="1" s="1"/>
  <c r="AE84" i="1"/>
  <c r="AG84" i="1" s="1"/>
  <c r="AI84" i="1" s="1"/>
  <c r="AE86" i="1"/>
  <c r="AG86" i="1" s="1"/>
  <c r="AI86" i="1" s="1"/>
  <c r="AE100" i="1"/>
  <c r="AG100" i="1" s="1"/>
  <c r="AI100" i="1" s="1"/>
  <c r="AE39" i="1"/>
  <c r="AG39" i="1" s="1"/>
  <c r="AH45" i="1"/>
  <c r="AH46" i="1"/>
  <c r="AH39" i="1"/>
  <c r="AH40" i="1"/>
  <c r="AH41" i="1"/>
  <c r="AE101" i="1" l="1"/>
  <c r="AG101" i="1" s="1"/>
  <c r="AI101" i="1" s="1"/>
  <c r="AE102" i="1"/>
  <c r="AG102" i="1" s="1"/>
  <c r="AI102" i="1" s="1"/>
  <c r="AK102" i="1" s="1"/>
  <c r="AL102" i="1" s="1"/>
  <c r="AE61" i="1"/>
  <c r="AG61" i="1" s="1"/>
  <c r="AI61" i="1" s="1"/>
  <c r="AE99" i="1"/>
  <c r="AE85" i="1"/>
  <c r="AG85" i="1" s="1"/>
  <c r="AI85" i="1" s="1"/>
  <c r="AE113" i="1"/>
  <c r="AG113" i="1" s="1"/>
  <c r="AI113" i="1" s="1"/>
  <c r="AK84" i="1"/>
  <c r="AL84" i="1" s="1"/>
  <c r="AK86" i="1"/>
  <c r="AL86" i="1" s="1"/>
  <c r="AK100" i="1"/>
  <c r="AL100" i="1" s="1"/>
  <c r="AK62" i="1"/>
  <c r="AL62" i="1" s="1"/>
  <c r="AE114" i="1"/>
  <c r="AG114" i="1" s="1"/>
  <c r="AE41" i="1"/>
  <c r="AG41" i="1" s="1"/>
  <c r="AE40" i="1"/>
  <c r="AG40" i="1" s="1"/>
  <c r="AI40" i="1" s="1"/>
  <c r="AK40" i="1" s="1"/>
  <c r="AL40" i="1" s="1"/>
  <c r="AE46" i="1"/>
  <c r="AG46" i="1" s="1"/>
  <c r="AI46" i="1" s="1"/>
  <c r="AK46" i="1" s="1"/>
  <c r="AL46" i="1" s="1"/>
  <c r="AE45" i="1"/>
  <c r="AG45" i="1" s="1"/>
  <c r="AI45" i="1" s="1"/>
  <c r="AK45" i="1" s="1"/>
  <c r="AL45" i="1" s="1"/>
  <c r="AI39" i="1"/>
  <c r="AK39" i="1" s="1"/>
  <c r="AL39" i="1" s="1"/>
  <c r="AI114" i="1" l="1"/>
  <c r="AK114" i="1" s="1"/>
  <c r="AL114" i="1" s="1"/>
  <c r="AG99" i="1"/>
  <c r="AI99" i="1" s="1"/>
  <c r="AK99" i="1" s="1"/>
  <c r="AL99" i="1" s="1"/>
  <c r="AI41" i="1"/>
  <c r="AK41" i="1" s="1"/>
  <c r="AL41" i="1" s="1"/>
  <c r="AK113" i="1"/>
  <c r="AL113" i="1" s="1"/>
  <c r="AK101" i="1"/>
  <c r="AL101" i="1" s="1"/>
  <c r="AK61" i="1"/>
  <c r="AL61" i="1" s="1"/>
  <c r="AK85" i="1"/>
  <c r="AL85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3" i="1"/>
  <c r="AH64" i="1"/>
  <c r="AH65" i="1"/>
  <c r="AH66" i="1"/>
  <c r="AH67" i="1"/>
  <c r="AH68" i="1"/>
  <c r="AH69" i="1"/>
  <c r="AH70" i="1"/>
  <c r="AH71" i="1"/>
  <c r="AH72" i="1"/>
  <c r="AH73" i="1"/>
  <c r="AH81" i="1"/>
  <c r="AH82" i="1"/>
  <c r="AH83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3" i="1"/>
  <c r="AH104" i="1"/>
  <c r="AH105" i="1"/>
  <c r="AH106" i="1"/>
  <c r="AH107" i="1"/>
  <c r="AH108" i="1"/>
  <c r="AH109" i="1"/>
  <c r="AH110" i="1"/>
  <c r="AH111" i="1"/>
  <c r="AH112" i="1"/>
  <c r="AH115" i="1"/>
  <c r="AH116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3" i="1"/>
  <c r="AH433" i="1" l="1"/>
  <c r="AF864" i="1"/>
  <c r="AD864" i="1"/>
  <c r="AC864" i="1"/>
  <c r="E10" i="4"/>
  <c r="K31" i="4"/>
  <c r="J31" i="4"/>
  <c r="I31" i="4"/>
  <c r="H27" i="4"/>
  <c r="G27" i="4"/>
  <c r="H26" i="4"/>
  <c r="G26" i="4"/>
  <c r="H25" i="4"/>
  <c r="G25" i="4"/>
  <c r="H24" i="4"/>
  <c r="G24" i="4"/>
  <c r="F18" i="4"/>
  <c r="E18" i="4"/>
  <c r="F14" i="4"/>
  <c r="H13" i="4"/>
  <c r="H12" i="4"/>
  <c r="F10" i="4"/>
  <c r="L25" i="4" l="1"/>
  <c r="L27" i="4"/>
  <c r="L24" i="4"/>
  <c r="L26" i="4"/>
  <c r="M26" i="4" s="1"/>
  <c r="G11" i="4"/>
  <c r="F19" i="4"/>
  <c r="M27" i="4"/>
  <c r="H31" i="4"/>
  <c r="F31" i="4"/>
  <c r="E19" i="4"/>
  <c r="M24" i="4"/>
  <c r="M25" i="4"/>
  <c r="G31" i="4"/>
  <c r="H11" i="4" l="1"/>
  <c r="H14" i="4" s="1"/>
  <c r="G14" i="4"/>
  <c r="L31" i="4"/>
  <c r="M31" i="4" s="1"/>
  <c r="U864" i="1" l="1"/>
  <c r="T864" i="1"/>
  <c r="V864" i="1"/>
  <c r="X864" i="1" l="1"/>
  <c r="Y864" i="1"/>
  <c r="Z864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42" i="1"/>
  <c r="AE43" i="1"/>
  <c r="AE44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3" i="1"/>
  <c r="AE64" i="1"/>
  <c r="AE65" i="1"/>
  <c r="AE66" i="1"/>
  <c r="AE67" i="1"/>
  <c r="AE68" i="1"/>
  <c r="AE69" i="1"/>
  <c r="AE70" i="1"/>
  <c r="AE71" i="1"/>
  <c r="AE72" i="1"/>
  <c r="AE73" i="1"/>
  <c r="AE81" i="1"/>
  <c r="AE82" i="1"/>
  <c r="AE83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103" i="1"/>
  <c r="AE104" i="1"/>
  <c r="AE105" i="1"/>
  <c r="AE106" i="1"/>
  <c r="AE107" i="1"/>
  <c r="AE108" i="1"/>
  <c r="AE109" i="1"/>
  <c r="AE110" i="1"/>
  <c r="AE111" i="1"/>
  <c r="AE112" i="1"/>
  <c r="AE115" i="1"/>
  <c r="AE116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9" i="1"/>
  <c r="AE8" i="1"/>
  <c r="AE4" i="1"/>
  <c r="AE5" i="1"/>
  <c r="AE6" i="1"/>
  <c r="AE7" i="1"/>
  <c r="G15" i="4" l="1"/>
  <c r="G17" i="4"/>
  <c r="H17" i="4" s="1"/>
  <c r="G7" i="4"/>
  <c r="G16" i="4"/>
  <c r="H16" i="4" s="1"/>
  <c r="G9" i="4"/>
  <c r="H9" i="4" s="1"/>
  <c r="G8" i="4"/>
  <c r="H8" i="4" s="1"/>
  <c r="AG416" i="1"/>
  <c r="AI416" i="1" s="1"/>
  <c r="AK416" i="1" s="1"/>
  <c r="AG384" i="1"/>
  <c r="AI384" i="1" s="1"/>
  <c r="AK384" i="1" s="1"/>
  <c r="AG348" i="1"/>
  <c r="AI348" i="1" s="1"/>
  <c r="AK348" i="1" s="1"/>
  <c r="AG280" i="1"/>
  <c r="AI280" i="1" s="1"/>
  <c r="AK280" i="1" s="1"/>
  <c r="AG240" i="1"/>
  <c r="AI240" i="1" s="1"/>
  <c r="AK240" i="1" s="1"/>
  <c r="AG211" i="1"/>
  <c r="AI211" i="1" s="1"/>
  <c r="AK211" i="1" s="1"/>
  <c r="AG179" i="1"/>
  <c r="AI179" i="1" s="1"/>
  <c r="AK179" i="1" s="1"/>
  <c r="AG143" i="1"/>
  <c r="AI143" i="1" s="1"/>
  <c r="AK143" i="1" s="1"/>
  <c r="AG109" i="1"/>
  <c r="AI109" i="1" s="1"/>
  <c r="AK109" i="1" s="1"/>
  <c r="AG63" i="1"/>
  <c r="AI63" i="1" s="1"/>
  <c r="AK63" i="1" s="1"/>
  <c r="AG17" i="1"/>
  <c r="AI17" i="1" s="1"/>
  <c r="AK17" i="1" s="1"/>
  <c r="AG383" i="1"/>
  <c r="AI383" i="1" s="1"/>
  <c r="AG319" i="1"/>
  <c r="AI319" i="1" s="1"/>
  <c r="AK319" i="1" s="1"/>
  <c r="AG263" i="1"/>
  <c r="AI263" i="1" s="1"/>
  <c r="AK263" i="1" s="1"/>
  <c r="AG218" i="1"/>
  <c r="AI218" i="1" s="1"/>
  <c r="AK218" i="1" s="1"/>
  <c r="AG170" i="1"/>
  <c r="AI170" i="1" s="1"/>
  <c r="AK170" i="1" s="1"/>
  <c r="AG130" i="1"/>
  <c r="AI130" i="1" s="1"/>
  <c r="AK130" i="1" s="1"/>
  <c r="AG104" i="1"/>
  <c r="AI104" i="1" s="1"/>
  <c r="AK104" i="1" s="1"/>
  <c r="AG92" i="1"/>
  <c r="AI92" i="1" s="1"/>
  <c r="AK92" i="1" s="1"/>
  <c r="AG81" i="1"/>
  <c r="AI81" i="1" s="1"/>
  <c r="AK81" i="1" s="1"/>
  <c r="AG56" i="1"/>
  <c r="AI56" i="1" s="1"/>
  <c r="AK56" i="1" s="1"/>
  <c r="AG48" i="1"/>
  <c r="AI48" i="1" s="1"/>
  <c r="AK48" i="1" s="1"/>
  <c r="AG31" i="1"/>
  <c r="AI31" i="1" s="1"/>
  <c r="AK31" i="1" s="1"/>
  <c r="AG24" i="1"/>
  <c r="AI24" i="1" s="1"/>
  <c r="AK24" i="1" s="1"/>
  <c r="AG16" i="1"/>
  <c r="AI16" i="1" s="1"/>
  <c r="AK16" i="1" s="1"/>
  <c r="AG432" i="1"/>
  <c r="AI432" i="1" s="1"/>
  <c r="AK432" i="1" s="1"/>
  <c r="AG412" i="1"/>
  <c r="AI412" i="1" s="1"/>
  <c r="AK412" i="1" s="1"/>
  <c r="AG388" i="1"/>
  <c r="AI388" i="1" s="1"/>
  <c r="AK388" i="1" s="1"/>
  <c r="AG368" i="1"/>
  <c r="AI368" i="1" s="1"/>
  <c r="AK368" i="1" s="1"/>
  <c r="AG344" i="1"/>
  <c r="AG324" i="1"/>
  <c r="AI324" i="1" s="1"/>
  <c r="AG304" i="1"/>
  <c r="AI304" i="1" s="1"/>
  <c r="AK304" i="1" s="1"/>
  <c r="AG284" i="1"/>
  <c r="AI284" i="1" s="1"/>
  <c r="AG264" i="1"/>
  <c r="AI264" i="1" s="1"/>
  <c r="AK264" i="1" s="1"/>
  <c r="AG244" i="1"/>
  <c r="AI244" i="1" s="1"/>
  <c r="AK244" i="1" s="1"/>
  <c r="AG223" i="1"/>
  <c r="AI223" i="1" s="1"/>
  <c r="AK223" i="1" s="1"/>
  <c r="AG203" i="1"/>
  <c r="AI203" i="1" s="1"/>
  <c r="AK203" i="1" s="1"/>
  <c r="AG183" i="1"/>
  <c r="AI183" i="1" s="1"/>
  <c r="AK183" i="1" s="1"/>
  <c r="AG159" i="1"/>
  <c r="AI159" i="1" s="1"/>
  <c r="AK159" i="1" s="1"/>
  <c r="AG139" i="1"/>
  <c r="AI139" i="1" s="1"/>
  <c r="AK139" i="1" s="1"/>
  <c r="AG119" i="1"/>
  <c r="AI119" i="1" s="1"/>
  <c r="AK119" i="1" s="1"/>
  <c r="AG89" i="1"/>
  <c r="AI89" i="1" s="1"/>
  <c r="AK89" i="1" s="1"/>
  <c r="AG57" i="1"/>
  <c r="AI57" i="1" s="1"/>
  <c r="AK57" i="1" s="1"/>
  <c r="AG21" i="1"/>
  <c r="AI21" i="1" s="1"/>
  <c r="AK21" i="1" s="1"/>
  <c r="AG423" i="1"/>
  <c r="AI423" i="1" s="1"/>
  <c r="AG407" i="1"/>
  <c r="AI407" i="1" s="1"/>
  <c r="AG391" i="1"/>
  <c r="AI391" i="1" s="1"/>
  <c r="AG367" i="1"/>
  <c r="AI367" i="1" s="1"/>
  <c r="AG351" i="1"/>
  <c r="AI351" i="1" s="1"/>
  <c r="AG335" i="1"/>
  <c r="AI335" i="1" s="1"/>
  <c r="AG311" i="1"/>
  <c r="AI311" i="1" s="1"/>
  <c r="AG299" i="1"/>
  <c r="AI299" i="1" s="1"/>
  <c r="AK299" i="1" s="1"/>
  <c r="AG275" i="1"/>
  <c r="AI275" i="1" s="1"/>
  <c r="AG255" i="1"/>
  <c r="AI255" i="1" s="1"/>
  <c r="AK255" i="1" s="1"/>
  <c r="AG235" i="1"/>
  <c r="AI235" i="1" s="1"/>
  <c r="AK235" i="1" s="1"/>
  <c r="AG222" i="1"/>
  <c r="AI222" i="1" s="1"/>
  <c r="AK222" i="1" s="1"/>
  <c r="AG202" i="1"/>
  <c r="AI202" i="1" s="1"/>
  <c r="AK202" i="1" s="1"/>
  <c r="AG182" i="1"/>
  <c r="AI182" i="1" s="1"/>
  <c r="AK182" i="1" s="1"/>
  <c r="AG166" i="1"/>
  <c r="AI166" i="1" s="1"/>
  <c r="AK166" i="1" s="1"/>
  <c r="AG142" i="1"/>
  <c r="AI142" i="1" s="1"/>
  <c r="AK142" i="1" s="1"/>
  <c r="AG126" i="1"/>
  <c r="AI126" i="1" s="1"/>
  <c r="AK126" i="1" s="1"/>
  <c r="AG70" i="1"/>
  <c r="AI70" i="1" s="1"/>
  <c r="AK70" i="1" s="1"/>
  <c r="AG8" i="1"/>
  <c r="AI8" i="1" s="1"/>
  <c r="AK8" i="1" s="1"/>
  <c r="AG426" i="1"/>
  <c r="AI426" i="1" s="1"/>
  <c r="AK426" i="1" s="1"/>
  <c r="AG418" i="1"/>
  <c r="AI418" i="1" s="1"/>
  <c r="AG410" i="1"/>
  <c r="AI410" i="1" s="1"/>
  <c r="AK410" i="1" s="1"/>
  <c r="AG402" i="1"/>
  <c r="AI402" i="1" s="1"/>
  <c r="AG394" i="1"/>
  <c r="AI394" i="1" s="1"/>
  <c r="AK394" i="1" s="1"/>
  <c r="AG386" i="1"/>
  <c r="AI386" i="1" s="1"/>
  <c r="AG378" i="1"/>
  <c r="AG370" i="1"/>
  <c r="AI370" i="1" s="1"/>
  <c r="AG362" i="1"/>
  <c r="AI362" i="1" s="1"/>
  <c r="AG354" i="1"/>
  <c r="AI354" i="1" s="1"/>
  <c r="AG346" i="1"/>
  <c r="AI346" i="1" s="1"/>
  <c r="AG338" i="1"/>
  <c r="AI338" i="1" s="1"/>
  <c r="AG330" i="1"/>
  <c r="AI330" i="1" s="1"/>
  <c r="AG322" i="1"/>
  <c r="AI322" i="1" s="1"/>
  <c r="AG314" i="1"/>
  <c r="AI314" i="1" s="1"/>
  <c r="AG306" i="1"/>
  <c r="AI306" i="1" s="1"/>
  <c r="AG298" i="1"/>
  <c r="AI298" i="1" s="1"/>
  <c r="AG290" i="1"/>
  <c r="AI290" i="1" s="1"/>
  <c r="AG282" i="1"/>
  <c r="AI282" i="1" s="1"/>
  <c r="AG274" i="1"/>
  <c r="AI274" i="1" s="1"/>
  <c r="AG266" i="1"/>
  <c r="AI266" i="1" s="1"/>
  <c r="AG262" i="1"/>
  <c r="AI262" i="1" s="1"/>
  <c r="AG258" i="1"/>
  <c r="AI258" i="1" s="1"/>
  <c r="AG250" i="1"/>
  <c r="AI250" i="1" s="1"/>
  <c r="AG242" i="1"/>
  <c r="AI242" i="1" s="1"/>
  <c r="AG232" i="1"/>
  <c r="AI232" i="1" s="1"/>
  <c r="AG229" i="1"/>
  <c r="AG221" i="1"/>
  <c r="AI221" i="1" s="1"/>
  <c r="AG213" i="1"/>
  <c r="AI213" i="1" s="1"/>
  <c r="AG205" i="1"/>
  <c r="AI205" i="1" s="1"/>
  <c r="AG201" i="1"/>
  <c r="AI201" i="1" s="1"/>
  <c r="AG197" i="1"/>
  <c r="AI197" i="1" s="1"/>
  <c r="AG189" i="1"/>
  <c r="AI189" i="1" s="1"/>
  <c r="AG181" i="1"/>
  <c r="AG173" i="1"/>
  <c r="AI173" i="1" s="1"/>
  <c r="AG169" i="1"/>
  <c r="AI169" i="1" s="1"/>
  <c r="AG165" i="1"/>
  <c r="AI165" i="1" s="1"/>
  <c r="AG157" i="1"/>
  <c r="AI157" i="1" s="1"/>
  <c r="AG149" i="1"/>
  <c r="AI149" i="1" s="1"/>
  <c r="AG145" i="1"/>
  <c r="AI145" i="1" s="1"/>
  <c r="AG141" i="1"/>
  <c r="AI141" i="1" s="1"/>
  <c r="AG137" i="1"/>
  <c r="AI137" i="1" s="1"/>
  <c r="AG133" i="1"/>
  <c r="AI133" i="1" s="1"/>
  <c r="AG125" i="1"/>
  <c r="AI125" i="1" s="1"/>
  <c r="AG116" i="1"/>
  <c r="AI116" i="1" s="1"/>
  <c r="AG107" i="1"/>
  <c r="AG103" i="1"/>
  <c r="AI103" i="1" s="1"/>
  <c r="AG95" i="1"/>
  <c r="AI95" i="1" s="1"/>
  <c r="AG91" i="1"/>
  <c r="AI91" i="1" s="1"/>
  <c r="AG87" i="1"/>
  <c r="AI87" i="1" s="1"/>
  <c r="AG69" i="1"/>
  <c r="AI69" i="1" s="1"/>
  <c r="AG59" i="1"/>
  <c r="AI59" i="1" s="1"/>
  <c r="AG55" i="1"/>
  <c r="AI55" i="1" s="1"/>
  <c r="AG51" i="1"/>
  <c r="AI51" i="1" s="1"/>
  <c r="AG43" i="1"/>
  <c r="AI43" i="1" s="1"/>
  <c r="AG38" i="1"/>
  <c r="AI38" i="1" s="1"/>
  <c r="AG34" i="1"/>
  <c r="AI34" i="1" s="1"/>
  <c r="AG26" i="1"/>
  <c r="AI26" i="1" s="1"/>
  <c r="AG23" i="1"/>
  <c r="AI23" i="1" s="1"/>
  <c r="AG19" i="1"/>
  <c r="AI19" i="1" s="1"/>
  <c r="AG11" i="1"/>
  <c r="AG428" i="1"/>
  <c r="AI428" i="1" s="1"/>
  <c r="AK428" i="1" s="1"/>
  <c r="AG420" i="1"/>
  <c r="AI420" i="1" s="1"/>
  <c r="AK420" i="1" s="1"/>
  <c r="AG408" i="1"/>
  <c r="AI408" i="1" s="1"/>
  <c r="AK408" i="1" s="1"/>
  <c r="AG396" i="1"/>
  <c r="AI396" i="1" s="1"/>
  <c r="AK396" i="1" s="1"/>
  <c r="AG392" i="1"/>
  <c r="AI392" i="1" s="1"/>
  <c r="AK392" i="1" s="1"/>
  <c r="AG380" i="1"/>
  <c r="AI380" i="1" s="1"/>
  <c r="AK380" i="1" s="1"/>
  <c r="AG360" i="1"/>
  <c r="AI360" i="1" s="1"/>
  <c r="AK360" i="1" s="1"/>
  <c r="AG352" i="1"/>
  <c r="AI352" i="1" s="1"/>
  <c r="AG340" i="1"/>
  <c r="AI340" i="1" s="1"/>
  <c r="AK340" i="1" s="1"/>
  <c r="AG328" i="1"/>
  <c r="AI328" i="1" s="1"/>
  <c r="AK328" i="1" s="1"/>
  <c r="AG320" i="1"/>
  <c r="AI320" i="1" s="1"/>
  <c r="AG296" i="1"/>
  <c r="AI296" i="1" s="1"/>
  <c r="AG288" i="1"/>
  <c r="AI288" i="1" s="1"/>
  <c r="AK288" i="1" s="1"/>
  <c r="AG276" i="1"/>
  <c r="AI276" i="1" s="1"/>
  <c r="AK276" i="1" s="1"/>
  <c r="AG256" i="1"/>
  <c r="AI256" i="1" s="1"/>
  <c r="AK256" i="1" s="1"/>
  <c r="AG248" i="1"/>
  <c r="AI248" i="1" s="1"/>
  <c r="AK248" i="1" s="1"/>
  <c r="AG236" i="1"/>
  <c r="AI236" i="1" s="1"/>
  <c r="AK236" i="1" s="1"/>
  <c r="AG230" i="1"/>
  <c r="AI230" i="1" s="1"/>
  <c r="AK230" i="1" s="1"/>
  <c r="AG219" i="1"/>
  <c r="AG207" i="1"/>
  <c r="AI207" i="1" s="1"/>
  <c r="AK207" i="1" s="1"/>
  <c r="AG199" i="1"/>
  <c r="AI199" i="1" s="1"/>
  <c r="AK199" i="1" s="1"/>
  <c r="AG187" i="1"/>
  <c r="AI187" i="1" s="1"/>
  <c r="AK187" i="1" s="1"/>
  <c r="AG175" i="1"/>
  <c r="AI175" i="1" s="1"/>
  <c r="AK175" i="1" s="1"/>
  <c r="AG167" i="1"/>
  <c r="AI167" i="1" s="1"/>
  <c r="AK167" i="1" s="1"/>
  <c r="AG155" i="1"/>
  <c r="AI155" i="1" s="1"/>
  <c r="AK155" i="1" s="1"/>
  <c r="AG147" i="1"/>
  <c r="AI147" i="1" s="1"/>
  <c r="AK147" i="1" s="1"/>
  <c r="AG135" i="1"/>
  <c r="AI135" i="1" s="1"/>
  <c r="AK135" i="1" s="1"/>
  <c r="AG123" i="1"/>
  <c r="AI123" i="1" s="1"/>
  <c r="AK123" i="1" s="1"/>
  <c r="AG97" i="1"/>
  <c r="AI97" i="1" s="1"/>
  <c r="AK97" i="1" s="1"/>
  <c r="AG82" i="1"/>
  <c r="AG67" i="1"/>
  <c r="AI67" i="1" s="1"/>
  <c r="AK67" i="1" s="1"/>
  <c r="AG53" i="1"/>
  <c r="AI53" i="1" s="1"/>
  <c r="AK53" i="1" s="1"/>
  <c r="AG47" i="1"/>
  <c r="AI47" i="1" s="1"/>
  <c r="AK47" i="1" s="1"/>
  <c r="AG36" i="1"/>
  <c r="AI36" i="1" s="1"/>
  <c r="AK36" i="1" s="1"/>
  <c r="AG13" i="1"/>
  <c r="AI13" i="1" s="1"/>
  <c r="AK13" i="1" s="1"/>
  <c r="AG4" i="1"/>
  <c r="AI4" i="1" s="1"/>
  <c r="AK4" i="1" s="1"/>
  <c r="AG427" i="1"/>
  <c r="AI427" i="1" s="1"/>
  <c r="AG411" i="1"/>
  <c r="AI411" i="1" s="1"/>
  <c r="AG403" i="1"/>
  <c r="AI403" i="1" s="1"/>
  <c r="AG395" i="1"/>
  <c r="AI395" i="1" s="1"/>
  <c r="AG387" i="1"/>
  <c r="AI387" i="1" s="1"/>
  <c r="AG371" i="1"/>
  <c r="AI371" i="1" s="1"/>
  <c r="AG363" i="1"/>
  <c r="AI363" i="1" s="1"/>
  <c r="AG355" i="1"/>
  <c r="AI355" i="1" s="1"/>
  <c r="AK355" i="1" s="1"/>
  <c r="AG343" i="1"/>
  <c r="AI343" i="1" s="1"/>
  <c r="AG331" i="1"/>
  <c r="AI331" i="1" s="1"/>
  <c r="AK331" i="1" s="1"/>
  <c r="AG323" i="1"/>
  <c r="AI323" i="1" s="1"/>
  <c r="AG315" i="1"/>
  <c r="AI315" i="1" s="1"/>
  <c r="AG307" i="1"/>
  <c r="AI307" i="1" s="1"/>
  <c r="AG295" i="1"/>
  <c r="AI295" i="1" s="1"/>
  <c r="AG279" i="1"/>
  <c r="AI279" i="1" s="1"/>
  <c r="AK279" i="1" s="1"/>
  <c r="AG271" i="1"/>
  <c r="AG259" i="1"/>
  <c r="AI259" i="1" s="1"/>
  <c r="AG251" i="1"/>
  <c r="AI251" i="1" s="1"/>
  <c r="AK251" i="1" s="1"/>
  <c r="AG239" i="1"/>
  <c r="AI239" i="1" s="1"/>
  <c r="AK239" i="1" s="1"/>
  <c r="AG233" i="1"/>
  <c r="AI233" i="1" s="1"/>
  <c r="AK233" i="1" s="1"/>
  <c r="AG226" i="1"/>
  <c r="AI226" i="1" s="1"/>
  <c r="AK226" i="1" s="1"/>
  <c r="AG214" i="1"/>
  <c r="AI214" i="1" s="1"/>
  <c r="AK214" i="1" s="1"/>
  <c r="AG206" i="1"/>
  <c r="AI206" i="1" s="1"/>
  <c r="AK206" i="1" s="1"/>
  <c r="AG194" i="1"/>
  <c r="AI194" i="1" s="1"/>
  <c r="AK194" i="1" s="1"/>
  <c r="AG186" i="1"/>
  <c r="AI186" i="1" s="1"/>
  <c r="AK186" i="1" s="1"/>
  <c r="AG174" i="1"/>
  <c r="AI174" i="1" s="1"/>
  <c r="AK174" i="1" s="1"/>
  <c r="AG162" i="1"/>
  <c r="AI162" i="1" s="1"/>
  <c r="AK162" i="1" s="1"/>
  <c r="AG158" i="1"/>
  <c r="AI158" i="1" s="1"/>
  <c r="AK158" i="1" s="1"/>
  <c r="AG146" i="1"/>
  <c r="AG134" i="1"/>
  <c r="AI134" i="1" s="1"/>
  <c r="AK134" i="1" s="1"/>
  <c r="AG122" i="1"/>
  <c r="AI122" i="1" s="1"/>
  <c r="AK122" i="1" s="1"/>
  <c r="AG108" i="1"/>
  <c r="AI108" i="1" s="1"/>
  <c r="AK108" i="1" s="1"/>
  <c r="AG66" i="1"/>
  <c r="AI66" i="1" s="1"/>
  <c r="AK66" i="1" s="1"/>
  <c r="AG6" i="1"/>
  <c r="AI6" i="1" s="1"/>
  <c r="AG9" i="1"/>
  <c r="AI9" i="1" s="1"/>
  <c r="AK9" i="1" s="1"/>
  <c r="AG429" i="1"/>
  <c r="AI429" i="1" s="1"/>
  <c r="AK429" i="1" s="1"/>
  <c r="AG425" i="1"/>
  <c r="AI425" i="1" s="1"/>
  <c r="AK425" i="1" s="1"/>
  <c r="AG421" i="1"/>
  <c r="AI421" i="1" s="1"/>
  <c r="AK421" i="1" s="1"/>
  <c r="AG417" i="1"/>
  <c r="AI417" i="1" s="1"/>
  <c r="AK417" i="1" s="1"/>
  <c r="AG413" i="1"/>
  <c r="AI413" i="1" s="1"/>
  <c r="AK413" i="1" s="1"/>
  <c r="AG409" i="1"/>
  <c r="AI409" i="1" s="1"/>
  <c r="AK409" i="1" s="1"/>
  <c r="AG405" i="1"/>
  <c r="AI405" i="1" s="1"/>
  <c r="AK405" i="1" s="1"/>
  <c r="AG401" i="1"/>
  <c r="AG397" i="1"/>
  <c r="AI397" i="1" s="1"/>
  <c r="AK397" i="1" s="1"/>
  <c r="AG393" i="1"/>
  <c r="AI393" i="1" s="1"/>
  <c r="AK393" i="1" s="1"/>
  <c r="AG389" i="1"/>
  <c r="AI389" i="1" s="1"/>
  <c r="AK389" i="1" s="1"/>
  <c r="AG385" i="1"/>
  <c r="AI385" i="1" s="1"/>
  <c r="AK385" i="1" s="1"/>
  <c r="AG381" i="1"/>
  <c r="AI381" i="1" s="1"/>
  <c r="AK381" i="1" s="1"/>
  <c r="AG377" i="1"/>
  <c r="AI377" i="1" s="1"/>
  <c r="AK377" i="1" s="1"/>
  <c r="AG373" i="1"/>
  <c r="AI373" i="1" s="1"/>
  <c r="AK373" i="1" s="1"/>
  <c r="AG369" i="1"/>
  <c r="AG365" i="1"/>
  <c r="AI365" i="1" s="1"/>
  <c r="AK365" i="1" s="1"/>
  <c r="AG361" i="1"/>
  <c r="AI361" i="1" s="1"/>
  <c r="AK361" i="1" s="1"/>
  <c r="AG357" i="1"/>
  <c r="AI357" i="1" s="1"/>
  <c r="AG353" i="1"/>
  <c r="AI353" i="1" s="1"/>
  <c r="AK353" i="1" s="1"/>
  <c r="AG349" i="1"/>
  <c r="AI349" i="1" s="1"/>
  <c r="AG345" i="1"/>
  <c r="AI345" i="1" s="1"/>
  <c r="AK345" i="1" s="1"/>
  <c r="AG341" i="1"/>
  <c r="AI341" i="1" s="1"/>
  <c r="AK341" i="1" s="1"/>
  <c r="AG337" i="1"/>
  <c r="AI337" i="1" s="1"/>
  <c r="AK337" i="1" s="1"/>
  <c r="AG329" i="1"/>
  <c r="AI329" i="1" s="1"/>
  <c r="AK329" i="1" s="1"/>
  <c r="AG325" i="1"/>
  <c r="AI325" i="1" s="1"/>
  <c r="AK325" i="1" s="1"/>
  <c r="AG321" i="1"/>
  <c r="AI321" i="1" s="1"/>
  <c r="AK321" i="1" s="1"/>
  <c r="AG317" i="1"/>
  <c r="AI317" i="1" s="1"/>
  <c r="AK317" i="1" s="1"/>
  <c r="AG313" i="1"/>
  <c r="AI313" i="1" s="1"/>
  <c r="AK313" i="1" s="1"/>
  <c r="AG309" i="1"/>
  <c r="AI309" i="1" s="1"/>
  <c r="AG305" i="1"/>
  <c r="AI305" i="1" s="1"/>
  <c r="AG301" i="1"/>
  <c r="AI301" i="1" s="1"/>
  <c r="AG297" i="1"/>
  <c r="AI297" i="1" s="1"/>
  <c r="AG293" i="1"/>
  <c r="AI293" i="1" s="1"/>
  <c r="AG289" i="1"/>
  <c r="AI289" i="1" s="1"/>
  <c r="AG285" i="1"/>
  <c r="AI285" i="1" s="1"/>
  <c r="AK285" i="1" s="1"/>
  <c r="AG281" i="1"/>
  <c r="AI281" i="1" s="1"/>
  <c r="AK281" i="1" s="1"/>
  <c r="AG277" i="1"/>
  <c r="AI277" i="1" s="1"/>
  <c r="AK277" i="1" s="1"/>
  <c r="AG269" i="1"/>
  <c r="AI269" i="1" s="1"/>
  <c r="AK269" i="1" s="1"/>
  <c r="AG265" i="1"/>
  <c r="AI265" i="1" s="1"/>
  <c r="AG261" i="1"/>
  <c r="AI261" i="1" s="1"/>
  <c r="AG257" i="1"/>
  <c r="AI257" i="1" s="1"/>
  <c r="AG253" i="1"/>
  <c r="AI253" i="1" s="1"/>
  <c r="AG249" i="1"/>
  <c r="AI249" i="1" s="1"/>
  <c r="AG245" i="1"/>
  <c r="AI245" i="1" s="1"/>
  <c r="AG241" i="1"/>
  <c r="AG237" i="1"/>
  <c r="AI237" i="1" s="1"/>
  <c r="AG231" i="1"/>
  <c r="AI231" i="1" s="1"/>
  <c r="AG228" i="1"/>
  <c r="AI228" i="1" s="1"/>
  <c r="AK228" i="1" s="1"/>
  <c r="AG224" i="1"/>
  <c r="AI224" i="1" s="1"/>
  <c r="AK224" i="1" s="1"/>
  <c r="AG220" i="1"/>
  <c r="AI220" i="1" s="1"/>
  <c r="AG216" i="1"/>
  <c r="AI216" i="1" s="1"/>
  <c r="AG212" i="1"/>
  <c r="AI212" i="1" s="1"/>
  <c r="AG208" i="1"/>
  <c r="AG204" i="1"/>
  <c r="AI204" i="1" s="1"/>
  <c r="AK204" i="1" s="1"/>
  <c r="AG200" i="1"/>
  <c r="AI200" i="1" s="1"/>
  <c r="AK200" i="1" s="1"/>
  <c r="AG196" i="1"/>
  <c r="AI196" i="1" s="1"/>
  <c r="AG192" i="1"/>
  <c r="AI192" i="1" s="1"/>
  <c r="AK192" i="1" s="1"/>
  <c r="AG188" i="1"/>
  <c r="AI188" i="1" s="1"/>
  <c r="AK188" i="1" s="1"/>
  <c r="AG184" i="1"/>
  <c r="AI184" i="1" s="1"/>
  <c r="AG180" i="1"/>
  <c r="AI180" i="1" s="1"/>
  <c r="AG176" i="1"/>
  <c r="AI176" i="1" s="1"/>
  <c r="AG172" i="1"/>
  <c r="AI172" i="1" s="1"/>
  <c r="AG168" i="1"/>
  <c r="AI168" i="1" s="1"/>
  <c r="AG164" i="1"/>
  <c r="AI164" i="1" s="1"/>
  <c r="AG160" i="1"/>
  <c r="AI160" i="1" s="1"/>
  <c r="AG156" i="1"/>
  <c r="AI156" i="1" s="1"/>
  <c r="AG152" i="1"/>
  <c r="AI152" i="1" s="1"/>
  <c r="AG148" i="1"/>
  <c r="AG144" i="1"/>
  <c r="AI144" i="1" s="1"/>
  <c r="AK144" i="1" s="1"/>
  <c r="AG140" i="1"/>
  <c r="AI140" i="1" s="1"/>
  <c r="AG136" i="1"/>
  <c r="AI136" i="1" s="1"/>
  <c r="AG132" i="1"/>
  <c r="AI132" i="1" s="1"/>
  <c r="AG128" i="1"/>
  <c r="AI128" i="1" s="1"/>
  <c r="AG124" i="1"/>
  <c r="AI124" i="1" s="1"/>
  <c r="AG120" i="1"/>
  <c r="AI120" i="1" s="1"/>
  <c r="AG115" i="1"/>
  <c r="AG110" i="1"/>
  <c r="AI110" i="1" s="1"/>
  <c r="AG106" i="1"/>
  <c r="AI106" i="1" s="1"/>
  <c r="AG98" i="1"/>
  <c r="AI98" i="1" s="1"/>
  <c r="AG94" i="1"/>
  <c r="AI94" i="1" s="1"/>
  <c r="AG90" i="1"/>
  <c r="AI90" i="1" s="1"/>
  <c r="AG83" i="1"/>
  <c r="AI83" i="1" s="1"/>
  <c r="AG72" i="1"/>
  <c r="AI72" i="1" s="1"/>
  <c r="AG68" i="1"/>
  <c r="AI68" i="1" s="1"/>
  <c r="AG64" i="1"/>
  <c r="AG58" i="1"/>
  <c r="AI58" i="1" s="1"/>
  <c r="AG54" i="1"/>
  <c r="AI54" i="1" s="1"/>
  <c r="AG50" i="1"/>
  <c r="AI50" i="1" s="1"/>
  <c r="AG42" i="1"/>
  <c r="AI42" i="1" s="1"/>
  <c r="AK42" i="1" s="1"/>
  <c r="AG37" i="1"/>
  <c r="AI37" i="1" s="1"/>
  <c r="AK37" i="1" s="1"/>
  <c r="AG33" i="1"/>
  <c r="AG29" i="1"/>
  <c r="AI29" i="1" s="1"/>
  <c r="AK29" i="1" s="1"/>
  <c r="AG22" i="1"/>
  <c r="AI22" i="1" s="1"/>
  <c r="AK22" i="1" s="1"/>
  <c r="AG18" i="1"/>
  <c r="AI18" i="1" s="1"/>
  <c r="AK18" i="1" s="1"/>
  <c r="AG14" i="1"/>
  <c r="AI14" i="1" s="1"/>
  <c r="AK14" i="1" s="1"/>
  <c r="AG10" i="1"/>
  <c r="AI10" i="1" s="1"/>
  <c r="AG424" i="1"/>
  <c r="AI424" i="1" s="1"/>
  <c r="AK424" i="1" s="1"/>
  <c r="AG400" i="1"/>
  <c r="AI400" i="1" s="1"/>
  <c r="AK400" i="1" s="1"/>
  <c r="AG376" i="1"/>
  <c r="AI376" i="1" s="1"/>
  <c r="AK376" i="1" s="1"/>
  <c r="AG336" i="1"/>
  <c r="AI336" i="1" s="1"/>
  <c r="AK336" i="1" s="1"/>
  <c r="AG312" i="1"/>
  <c r="AI312" i="1" s="1"/>
  <c r="AG272" i="1"/>
  <c r="AI272" i="1" s="1"/>
  <c r="AG234" i="1"/>
  <c r="AI234" i="1" s="1"/>
  <c r="AK234" i="1" s="1"/>
  <c r="AG227" i="1"/>
  <c r="AI227" i="1" s="1"/>
  <c r="AK227" i="1" s="1"/>
  <c r="AG195" i="1"/>
  <c r="AI195" i="1" s="1"/>
  <c r="AK195" i="1" s="1"/>
  <c r="AG171" i="1"/>
  <c r="AI171" i="1" s="1"/>
  <c r="AK171" i="1" s="1"/>
  <c r="AG163" i="1"/>
  <c r="AI163" i="1" s="1"/>
  <c r="AK163" i="1" s="1"/>
  <c r="AG131" i="1"/>
  <c r="AI131" i="1" s="1"/>
  <c r="AK131" i="1" s="1"/>
  <c r="AG105" i="1"/>
  <c r="AI105" i="1" s="1"/>
  <c r="AK105" i="1" s="1"/>
  <c r="AG93" i="1"/>
  <c r="AI93" i="1" s="1"/>
  <c r="AK93" i="1" s="1"/>
  <c r="AG49" i="1"/>
  <c r="AI49" i="1" s="1"/>
  <c r="AK49" i="1" s="1"/>
  <c r="AG32" i="1"/>
  <c r="AI32" i="1" s="1"/>
  <c r="AK32" i="1" s="1"/>
  <c r="AG25" i="1"/>
  <c r="AI25" i="1" s="1"/>
  <c r="AK25" i="1" s="1"/>
  <c r="AG431" i="1"/>
  <c r="AI431" i="1" s="1"/>
  <c r="AG415" i="1"/>
  <c r="AI415" i="1" s="1"/>
  <c r="AG399" i="1"/>
  <c r="AI399" i="1" s="1"/>
  <c r="AG375" i="1"/>
  <c r="AI375" i="1" s="1"/>
  <c r="AG359" i="1"/>
  <c r="AI359" i="1" s="1"/>
  <c r="AG327" i="1"/>
  <c r="AI327" i="1" s="1"/>
  <c r="AK327" i="1" s="1"/>
  <c r="AG303" i="1"/>
  <c r="AI303" i="1" s="1"/>
  <c r="AK303" i="1" s="1"/>
  <c r="AG287" i="1"/>
  <c r="AI287" i="1" s="1"/>
  <c r="AK287" i="1" s="1"/>
  <c r="AG247" i="1"/>
  <c r="AI247" i="1" s="1"/>
  <c r="AK247" i="1" s="1"/>
  <c r="AG210" i="1"/>
  <c r="AI210" i="1" s="1"/>
  <c r="AK210" i="1" s="1"/>
  <c r="AG178" i="1"/>
  <c r="AI178" i="1" s="1"/>
  <c r="AK178" i="1" s="1"/>
  <c r="AG154" i="1"/>
  <c r="AI154" i="1" s="1"/>
  <c r="AK154" i="1" s="1"/>
  <c r="AG138" i="1"/>
  <c r="AI138" i="1" s="1"/>
  <c r="AK138" i="1" s="1"/>
  <c r="AG112" i="1"/>
  <c r="AI112" i="1" s="1"/>
  <c r="AK112" i="1" s="1"/>
  <c r="AG7" i="1"/>
  <c r="AI7" i="1" s="1"/>
  <c r="AG430" i="1"/>
  <c r="AI430" i="1" s="1"/>
  <c r="AK430" i="1" s="1"/>
  <c r="AG422" i="1"/>
  <c r="AI422" i="1" s="1"/>
  <c r="AK422" i="1" s="1"/>
  <c r="AG414" i="1"/>
  <c r="AI414" i="1" s="1"/>
  <c r="AG406" i="1"/>
  <c r="AI406" i="1" s="1"/>
  <c r="AK406" i="1" s="1"/>
  <c r="AG398" i="1"/>
  <c r="AI398" i="1" s="1"/>
  <c r="AG390" i="1"/>
  <c r="AI390" i="1" s="1"/>
  <c r="AG382" i="1"/>
  <c r="AI382" i="1" s="1"/>
  <c r="AG374" i="1"/>
  <c r="AI374" i="1" s="1"/>
  <c r="AG366" i="1"/>
  <c r="AI366" i="1" s="1"/>
  <c r="AG358" i="1"/>
  <c r="AI358" i="1" s="1"/>
  <c r="AG350" i="1"/>
  <c r="AI350" i="1" s="1"/>
  <c r="AG342" i="1"/>
  <c r="AI342" i="1" s="1"/>
  <c r="AG334" i="1"/>
  <c r="AI334" i="1" s="1"/>
  <c r="AG326" i="1"/>
  <c r="AI326" i="1" s="1"/>
  <c r="AG318" i="1"/>
  <c r="AI318" i="1" s="1"/>
  <c r="AG310" i="1"/>
  <c r="AI310" i="1" s="1"/>
  <c r="AG302" i="1"/>
  <c r="AI302" i="1" s="1"/>
  <c r="AG294" i="1"/>
  <c r="AI294" i="1" s="1"/>
  <c r="AG286" i="1"/>
  <c r="AI286" i="1" s="1"/>
  <c r="AG278" i="1"/>
  <c r="AI278" i="1" s="1"/>
  <c r="AG270" i="1"/>
  <c r="AI270" i="1" s="1"/>
  <c r="AG254" i="1"/>
  <c r="AI254" i="1" s="1"/>
  <c r="AG246" i="1"/>
  <c r="AI246" i="1" s="1"/>
  <c r="AG238" i="1"/>
  <c r="AI238" i="1" s="1"/>
  <c r="AG225" i="1"/>
  <c r="AI225" i="1" s="1"/>
  <c r="AG217" i="1"/>
  <c r="AI217" i="1" s="1"/>
  <c r="AG209" i="1"/>
  <c r="AI209" i="1" s="1"/>
  <c r="AG193" i="1"/>
  <c r="AI193" i="1" s="1"/>
  <c r="AG185" i="1"/>
  <c r="AI185" i="1" s="1"/>
  <c r="AG177" i="1"/>
  <c r="AI177" i="1" s="1"/>
  <c r="AG161" i="1"/>
  <c r="AI161" i="1" s="1"/>
  <c r="AG153" i="1"/>
  <c r="AI153" i="1" s="1"/>
  <c r="AG129" i="1"/>
  <c r="AI129" i="1" s="1"/>
  <c r="AG121" i="1"/>
  <c r="AI121" i="1" s="1"/>
  <c r="AG111" i="1"/>
  <c r="AI111" i="1" s="1"/>
  <c r="AG73" i="1"/>
  <c r="AI73" i="1" s="1"/>
  <c r="AG65" i="1"/>
  <c r="AI65" i="1" s="1"/>
  <c r="AG30" i="1"/>
  <c r="AI30" i="1" s="1"/>
  <c r="AG15" i="1"/>
  <c r="AI15" i="1" s="1"/>
  <c r="AG333" i="1"/>
  <c r="AG5" i="1"/>
  <c r="AI5" i="1" s="1"/>
  <c r="AK5" i="1" s="1"/>
  <c r="AG404" i="1"/>
  <c r="AI404" i="1" s="1"/>
  <c r="AK404" i="1" s="1"/>
  <c r="AG372" i="1"/>
  <c r="AI372" i="1" s="1"/>
  <c r="AK372" i="1" s="1"/>
  <c r="AG364" i="1"/>
  <c r="AI364" i="1" s="1"/>
  <c r="AK364" i="1" s="1"/>
  <c r="AG356" i="1"/>
  <c r="AI356" i="1" s="1"/>
  <c r="AK356" i="1" s="1"/>
  <c r="AG332" i="1"/>
  <c r="AI332" i="1" s="1"/>
  <c r="AG316" i="1"/>
  <c r="AI316" i="1" s="1"/>
  <c r="AK316" i="1" s="1"/>
  <c r="AG308" i="1"/>
  <c r="AI308" i="1" s="1"/>
  <c r="AK308" i="1" s="1"/>
  <c r="AG300" i="1"/>
  <c r="AI300" i="1" s="1"/>
  <c r="AK300" i="1" s="1"/>
  <c r="AG292" i="1"/>
  <c r="AI292" i="1" s="1"/>
  <c r="AK292" i="1" s="1"/>
  <c r="AG268" i="1"/>
  <c r="AI268" i="1" s="1"/>
  <c r="AK268" i="1" s="1"/>
  <c r="AG260" i="1"/>
  <c r="AI260" i="1" s="1"/>
  <c r="AK260" i="1" s="1"/>
  <c r="AG252" i="1"/>
  <c r="AI252" i="1" s="1"/>
  <c r="AK252" i="1" s="1"/>
  <c r="AG215" i="1"/>
  <c r="AI215" i="1" s="1"/>
  <c r="AK215" i="1" s="1"/>
  <c r="AG191" i="1"/>
  <c r="AI191" i="1" s="1"/>
  <c r="AK191" i="1" s="1"/>
  <c r="AG151" i="1"/>
  <c r="AI151" i="1" s="1"/>
  <c r="AK151" i="1" s="1"/>
  <c r="AG127" i="1"/>
  <c r="AI127" i="1" s="1"/>
  <c r="AK127" i="1" s="1"/>
  <c r="AG71" i="1"/>
  <c r="AI71" i="1" s="1"/>
  <c r="AK71" i="1" s="1"/>
  <c r="AG28" i="1"/>
  <c r="AI28" i="1" s="1"/>
  <c r="AK28" i="1" s="1"/>
  <c r="AG419" i="1"/>
  <c r="AI419" i="1" s="1"/>
  <c r="AG379" i="1"/>
  <c r="AI379" i="1" s="1"/>
  <c r="AG347" i="1"/>
  <c r="AI347" i="1" s="1"/>
  <c r="AG339" i="1"/>
  <c r="AI339" i="1" s="1"/>
  <c r="AK339" i="1" s="1"/>
  <c r="AG291" i="1"/>
  <c r="AI291" i="1" s="1"/>
  <c r="AG283" i="1"/>
  <c r="AG267" i="1"/>
  <c r="AI267" i="1" s="1"/>
  <c r="AK267" i="1" s="1"/>
  <c r="AG243" i="1"/>
  <c r="AI243" i="1" s="1"/>
  <c r="AK243" i="1" s="1"/>
  <c r="AG198" i="1"/>
  <c r="AI198" i="1" s="1"/>
  <c r="AK198" i="1" s="1"/>
  <c r="AG190" i="1"/>
  <c r="AI190" i="1" s="1"/>
  <c r="AK190" i="1" s="1"/>
  <c r="AG150" i="1"/>
  <c r="AI150" i="1" s="1"/>
  <c r="AK150" i="1" s="1"/>
  <c r="AG118" i="1"/>
  <c r="AI118" i="1" s="1"/>
  <c r="AK118" i="1" s="1"/>
  <c r="AG96" i="1"/>
  <c r="AI96" i="1" s="1"/>
  <c r="AK96" i="1" s="1"/>
  <c r="AG88" i="1"/>
  <c r="AI88" i="1" s="1"/>
  <c r="AK88" i="1" s="1"/>
  <c r="AG60" i="1"/>
  <c r="AI60" i="1" s="1"/>
  <c r="AK60" i="1" s="1"/>
  <c r="AG52" i="1"/>
  <c r="AI52" i="1" s="1"/>
  <c r="AK52" i="1" s="1"/>
  <c r="AG44" i="1"/>
  <c r="AI44" i="1" s="1"/>
  <c r="AK44" i="1" s="1"/>
  <c r="AG35" i="1"/>
  <c r="AI35" i="1" s="1"/>
  <c r="AK35" i="1" s="1"/>
  <c r="AG27" i="1"/>
  <c r="AI27" i="1" s="1"/>
  <c r="AK27" i="1" s="1"/>
  <c r="AG20" i="1"/>
  <c r="AI20" i="1" s="1"/>
  <c r="AK20" i="1" s="1"/>
  <c r="AG12" i="1"/>
  <c r="AI12" i="1" s="1"/>
  <c r="AK12" i="1" s="1"/>
  <c r="AK347" i="1" l="1"/>
  <c r="AL347" i="1" s="1"/>
  <c r="AK59" i="1"/>
  <c r="AL59" i="1" s="1"/>
  <c r="AK311" i="1"/>
  <c r="AL311" i="1" s="1"/>
  <c r="AK391" i="1"/>
  <c r="AL391" i="1" s="1"/>
  <c r="AK121" i="1"/>
  <c r="AL121" i="1" s="1"/>
  <c r="AK217" i="1"/>
  <c r="AL217" i="1" s="1"/>
  <c r="AK294" i="1"/>
  <c r="AL294" i="1" s="1"/>
  <c r="AK390" i="1"/>
  <c r="AL390" i="1" s="1"/>
  <c r="AK431" i="1"/>
  <c r="AL431" i="1" s="1"/>
  <c r="AK272" i="1"/>
  <c r="AL272" i="1" s="1"/>
  <c r="AK293" i="1"/>
  <c r="AL293" i="1" s="1"/>
  <c r="AK301" i="1"/>
  <c r="AL301" i="1" s="1"/>
  <c r="AK309" i="1"/>
  <c r="AL309" i="1" s="1"/>
  <c r="AK295" i="1"/>
  <c r="AL295" i="1" s="1"/>
  <c r="AK315" i="1"/>
  <c r="AL315" i="1" s="1"/>
  <c r="AK371" i="1"/>
  <c r="AL371" i="1" s="1"/>
  <c r="AK320" i="1"/>
  <c r="AL320" i="1" s="1"/>
  <c r="AK23" i="1"/>
  <c r="AL23" i="1" s="1"/>
  <c r="AK51" i="1"/>
  <c r="AL51" i="1" s="1"/>
  <c r="AK91" i="1"/>
  <c r="AL91" i="1" s="1"/>
  <c r="AK103" i="1"/>
  <c r="AL103" i="1" s="1"/>
  <c r="AK125" i="1"/>
  <c r="AL125" i="1" s="1"/>
  <c r="AK201" i="1"/>
  <c r="AL201" i="1" s="1"/>
  <c r="AK221" i="1"/>
  <c r="AL221" i="1" s="1"/>
  <c r="AK258" i="1"/>
  <c r="AL258" i="1" s="1"/>
  <c r="AK266" i="1"/>
  <c r="AL266" i="1" s="1"/>
  <c r="AK298" i="1"/>
  <c r="AL298" i="1" s="1"/>
  <c r="AK330" i="1"/>
  <c r="AL330" i="1" s="1"/>
  <c r="AK362" i="1"/>
  <c r="AL362" i="1" s="1"/>
  <c r="AK367" i="1"/>
  <c r="AL367" i="1" s="1"/>
  <c r="AK284" i="1"/>
  <c r="AL284" i="1" s="1"/>
  <c r="AK291" i="1"/>
  <c r="AL291" i="1" s="1"/>
  <c r="AK419" i="1"/>
  <c r="AL419" i="1" s="1"/>
  <c r="AK65" i="1"/>
  <c r="AL65" i="1" s="1"/>
  <c r="AK129" i="1"/>
  <c r="AL129" i="1" s="1"/>
  <c r="AK185" i="1"/>
  <c r="AL185" i="1" s="1"/>
  <c r="AK225" i="1"/>
  <c r="AL225" i="1" s="1"/>
  <c r="AK270" i="1"/>
  <c r="AL270" i="1" s="1"/>
  <c r="AK302" i="1"/>
  <c r="AL302" i="1" s="1"/>
  <c r="AK334" i="1"/>
  <c r="AL334" i="1" s="1"/>
  <c r="AK366" i="1"/>
  <c r="AL366" i="1" s="1"/>
  <c r="AK398" i="1"/>
  <c r="AL398" i="1" s="1"/>
  <c r="AK375" i="1"/>
  <c r="AL375" i="1" s="1"/>
  <c r="AK312" i="1"/>
  <c r="AL312" i="1" s="1"/>
  <c r="AK54" i="1"/>
  <c r="AL54" i="1" s="1"/>
  <c r="AK72" i="1"/>
  <c r="AL72" i="1" s="1"/>
  <c r="AK90" i="1"/>
  <c r="AL90" i="1" s="1"/>
  <c r="AK98" i="1"/>
  <c r="AL98" i="1" s="1"/>
  <c r="AK110" i="1"/>
  <c r="AL110" i="1" s="1"/>
  <c r="AK120" i="1"/>
  <c r="AL120" i="1" s="1"/>
  <c r="AK128" i="1"/>
  <c r="AL128" i="1" s="1"/>
  <c r="AK136" i="1"/>
  <c r="AL136" i="1" s="1"/>
  <c r="AK152" i="1"/>
  <c r="AL152" i="1" s="1"/>
  <c r="AK160" i="1"/>
  <c r="AL160" i="1" s="1"/>
  <c r="AK168" i="1"/>
  <c r="AL168" i="1" s="1"/>
  <c r="AK176" i="1"/>
  <c r="AL176" i="1" s="1"/>
  <c r="AK184" i="1"/>
  <c r="AL184" i="1" s="1"/>
  <c r="AK216" i="1"/>
  <c r="AL216" i="1" s="1"/>
  <c r="AK231" i="1"/>
  <c r="AL231" i="1" s="1"/>
  <c r="AK237" i="1"/>
  <c r="AL237" i="1" s="1"/>
  <c r="AK245" i="1"/>
  <c r="AL245" i="1" s="1"/>
  <c r="AK253" i="1"/>
  <c r="AL253" i="1" s="1"/>
  <c r="AK261" i="1"/>
  <c r="AL261" i="1" s="1"/>
  <c r="AK259" i="1"/>
  <c r="AL259" i="1" s="1"/>
  <c r="AK395" i="1"/>
  <c r="AL395" i="1" s="1"/>
  <c r="AK411" i="1"/>
  <c r="AL411" i="1" s="1"/>
  <c r="AK296" i="1"/>
  <c r="AL296" i="1" s="1"/>
  <c r="AK34" i="1"/>
  <c r="AL34" i="1" s="1"/>
  <c r="AK43" i="1"/>
  <c r="AL43" i="1" s="1"/>
  <c r="AK116" i="1"/>
  <c r="AL116" i="1" s="1"/>
  <c r="AK137" i="1"/>
  <c r="AL137" i="1" s="1"/>
  <c r="AK145" i="1"/>
  <c r="AL145" i="1" s="1"/>
  <c r="AK165" i="1"/>
  <c r="AL165" i="1" s="1"/>
  <c r="AK173" i="1"/>
  <c r="AL173" i="1" s="1"/>
  <c r="AK213" i="1"/>
  <c r="AL213" i="1" s="1"/>
  <c r="AK232" i="1"/>
  <c r="AL232" i="1" s="1"/>
  <c r="AK250" i="1"/>
  <c r="AL250" i="1" s="1"/>
  <c r="AK290" i="1"/>
  <c r="AL290" i="1" s="1"/>
  <c r="AK322" i="1"/>
  <c r="AL322" i="1" s="1"/>
  <c r="AK354" i="1"/>
  <c r="AL354" i="1" s="1"/>
  <c r="AK386" i="1"/>
  <c r="AL386" i="1" s="1"/>
  <c r="AK418" i="1"/>
  <c r="AL418" i="1" s="1"/>
  <c r="AK275" i="1"/>
  <c r="AL275" i="1" s="1"/>
  <c r="AK351" i="1"/>
  <c r="AL351" i="1" s="1"/>
  <c r="AK423" i="1"/>
  <c r="AL423" i="1" s="1"/>
  <c r="AK332" i="1"/>
  <c r="AL332" i="1" s="1"/>
  <c r="AK30" i="1"/>
  <c r="AL30" i="1" s="1"/>
  <c r="AK111" i="1"/>
  <c r="AL111" i="1" s="1"/>
  <c r="AK161" i="1"/>
  <c r="AL161" i="1" s="1"/>
  <c r="AK209" i="1"/>
  <c r="AL209" i="1" s="1"/>
  <c r="AK246" i="1"/>
  <c r="AL246" i="1" s="1"/>
  <c r="AK286" i="1"/>
  <c r="AL286" i="1" s="1"/>
  <c r="AK318" i="1"/>
  <c r="AL318" i="1" s="1"/>
  <c r="AK350" i="1"/>
  <c r="AL350" i="1" s="1"/>
  <c r="AK382" i="1"/>
  <c r="AL382" i="1" s="1"/>
  <c r="AK414" i="1"/>
  <c r="AL414" i="1" s="1"/>
  <c r="AK415" i="1"/>
  <c r="AL415" i="1" s="1"/>
  <c r="AK10" i="1"/>
  <c r="AL10" i="1" s="1"/>
  <c r="AK50" i="1"/>
  <c r="AL50" i="1" s="1"/>
  <c r="AK58" i="1"/>
  <c r="AL58" i="1" s="1"/>
  <c r="AK68" i="1"/>
  <c r="AL68" i="1" s="1"/>
  <c r="AK83" i="1"/>
  <c r="AL83" i="1" s="1"/>
  <c r="AK94" i="1"/>
  <c r="AL94" i="1" s="1"/>
  <c r="AK106" i="1"/>
  <c r="AL106" i="1" s="1"/>
  <c r="AK124" i="1"/>
  <c r="AL124" i="1" s="1"/>
  <c r="AK132" i="1"/>
  <c r="AL132" i="1" s="1"/>
  <c r="AK140" i="1"/>
  <c r="AL140" i="1" s="1"/>
  <c r="AK156" i="1"/>
  <c r="AL156" i="1" s="1"/>
  <c r="AK164" i="1"/>
  <c r="AL164" i="1" s="1"/>
  <c r="AK172" i="1"/>
  <c r="AL172" i="1" s="1"/>
  <c r="AK180" i="1"/>
  <c r="AL180" i="1" s="1"/>
  <c r="AK196" i="1"/>
  <c r="AL196" i="1" s="1"/>
  <c r="AK212" i="1"/>
  <c r="AL212" i="1" s="1"/>
  <c r="AK220" i="1"/>
  <c r="AL220" i="1" s="1"/>
  <c r="AK249" i="1"/>
  <c r="AL249" i="1" s="1"/>
  <c r="AK257" i="1"/>
  <c r="AL257" i="1" s="1"/>
  <c r="AK265" i="1"/>
  <c r="AL265" i="1" s="1"/>
  <c r="AK349" i="1"/>
  <c r="AL349" i="1" s="1"/>
  <c r="AK357" i="1"/>
  <c r="AL357" i="1" s="1"/>
  <c r="AK6" i="1"/>
  <c r="AL6" i="1" s="1"/>
  <c r="AK387" i="1"/>
  <c r="AL387" i="1" s="1"/>
  <c r="AK403" i="1"/>
  <c r="AL403" i="1" s="1"/>
  <c r="AK427" i="1"/>
  <c r="AL427" i="1" s="1"/>
  <c r="AK38" i="1"/>
  <c r="AL38" i="1" s="1"/>
  <c r="AK69" i="1"/>
  <c r="AL69" i="1" s="1"/>
  <c r="AK133" i="1"/>
  <c r="AL133" i="1" s="1"/>
  <c r="AK141" i="1"/>
  <c r="AL141" i="1" s="1"/>
  <c r="AK149" i="1"/>
  <c r="AL149" i="1" s="1"/>
  <c r="AK169" i="1"/>
  <c r="AL169" i="1" s="1"/>
  <c r="AK189" i="1"/>
  <c r="AL189" i="1" s="1"/>
  <c r="AK274" i="1"/>
  <c r="AL274" i="1" s="1"/>
  <c r="AK306" i="1"/>
  <c r="AL306" i="1" s="1"/>
  <c r="AK338" i="1"/>
  <c r="AL338" i="1" s="1"/>
  <c r="AK370" i="1"/>
  <c r="AL370" i="1" s="1"/>
  <c r="AK402" i="1"/>
  <c r="AL402" i="1" s="1"/>
  <c r="AK379" i="1"/>
  <c r="AL379" i="1" s="1"/>
  <c r="AK177" i="1"/>
  <c r="AL177" i="1" s="1"/>
  <c r="AK254" i="1"/>
  <c r="AL254" i="1" s="1"/>
  <c r="AK326" i="1"/>
  <c r="AL326" i="1" s="1"/>
  <c r="AK358" i="1"/>
  <c r="AL358" i="1" s="1"/>
  <c r="AK359" i="1"/>
  <c r="AL359" i="1" s="1"/>
  <c r="AK15" i="1"/>
  <c r="AL15" i="1" s="1"/>
  <c r="AK73" i="1"/>
  <c r="AL73" i="1" s="1"/>
  <c r="AK153" i="1"/>
  <c r="AL153" i="1" s="1"/>
  <c r="AK193" i="1"/>
  <c r="AL193" i="1" s="1"/>
  <c r="AK238" i="1"/>
  <c r="AL238" i="1" s="1"/>
  <c r="AK278" i="1"/>
  <c r="AL278" i="1" s="1"/>
  <c r="AK310" i="1"/>
  <c r="AL310" i="1" s="1"/>
  <c r="AK342" i="1"/>
  <c r="AL342" i="1" s="1"/>
  <c r="AK374" i="1"/>
  <c r="AL374" i="1" s="1"/>
  <c r="AK7" i="1"/>
  <c r="AL7" i="1" s="1"/>
  <c r="AK399" i="1"/>
  <c r="AL399" i="1" s="1"/>
  <c r="AK289" i="1"/>
  <c r="AL289" i="1" s="1"/>
  <c r="AK297" i="1"/>
  <c r="AL297" i="1" s="1"/>
  <c r="AK305" i="1"/>
  <c r="AL305" i="1" s="1"/>
  <c r="AK307" i="1"/>
  <c r="AL307" i="1" s="1"/>
  <c r="AK323" i="1"/>
  <c r="AL323" i="1" s="1"/>
  <c r="AK343" i="1"/>
  <c r="AL343" i="1" s="1"/>
  <c r="AK363" i="1"/>
  <c r="AL363" i="1" s="1"/>
  <c r="AK352" i="1"/>
  <c r="AL352" i="1" s="1"/>
  <c r="AK19" i="1"/>
  <c r="AL19" i="1" s="1"/>
  <c r="AK26" i="1"/>
  <c r="AL26" i="1" s="1"/>
  <c r="AK55" i="1"/>
  <c r="AL55" i="1" s="1"/>
  <c r="AK87" i="1"/>
  <c r="AL87" i="1" s="1"/>
  <c r="AK95" i="1"/>
  <c r="AL95" i="1" s="1"/>
  <c r="AK157" i="1"/>
  <c r="AL157" i="1" s="1"/>
  <c r="AK197" i="1"/>
  <c r="AL197" i="1" s="1"/>
  <c r="AK205" i="1"/>
  <c r="AL205" i="1" s="1"/>
  <c r="AK242" i="1"/>
  <c r="AL242" i="1" s="1"/>
  <c r="AK262" i="1"/>
  <c r="AL262" i="1" s="1"/>
  <c r="AK282" i="1"/>
  <c r="AL282" i="1" s="1"/>
  <c r="AK314" i="1"/>
  <c r="AL314" i="1" s="1"/>
  <c r="AK346" i="1"/>
  <c r="AL346" i="1" s="1"/>
  <c r="AK335" i="1"/>
  <c r="AL335" i="1" s="1"/>
  <c r="AK407" i="1"/>
  <c r="AL407" i="1" s="1"/>
  <c r="AK324" i="1"/>
  <c r="AL324" i="1" s="1"/>
  <c r="AK383" i="1"/>
  <c r="AL383" i="1" s="1"/>
  <c r="H15" i="4"/>
  <c r="H18" i="4" s="1"/>
  <c r="G18" i="4"/>
  <c r="G10" i="4"/>
  <c r="H7" i="4"/>
  <c r="H10" i="4" s="1"/>
  <c r="AI283" i="1"/>
  <c r="AI401" i="1"/>
  <c r="AK401" i="1" s="1"/>
  <c r="AI146" i="1"/>
  <c r="AI82" i="1"/>
  <c r="AI219" i="1"/>
  <c r="AI11" i="1"/>
  <c r="AI107" i="1"/>
  <c r="AI181" i="1"/>
  <c r="AI229" i="1"/>
  <c r="AI378" i="1"/>
  <c r="AI344" i="1"/>
  <c r="AI148" i="1"/>
  <c r="AI33" i="1"/>
  <c r="AG273" i="1"/>
  <c r="AI273" i="1" s="1"/>
  <c r="AI64" i="1"/>
  <c r="AI208" i="1"/>
  <c r="AI333" i="1"/>
  <c r="AI271" i="1"/>
  <c r="AI115" i="1"/>
  <c r="AI241" i="1"/>
  <c r="AI369" i="1"/>
  <c r="AL206" i="1"/>
  <c r="AL60" i="1"/>
  <c r="AL143" i="1"/>
  <c r="AL63" i="1"/>
  <c r="AL27" i="1"/>
  <c r="AL331" i="1"/>
  <c r="AL276" i="1"/>
  <c r="AL104" i="1"/>
  <c r="AL57" i="1"/>
  <c r="AL179" i="1"/>
  <c r="AL204" i="1"/>
  <c r="AL353" i="1"/>
  <c r="AL12" i="1"/>
  <c r="AL52" i="1"/>
  <c r="AL158" i="1"/>
  <c r="AL198" i="1"/>
  <c r="AL135" i="1"/>
  <c r="AL183" i="1"/>
  <c r="AL230" i="1"/>
  <c r="AL5" i="1"/>
  <c r="AL200" i="1"/>
  <c r="AL162" i="1"/>
  <c r="AL263" i="1"/>
  <c r="AL67" i="1"/>
  <c r="AL131" i="1"/>
  <c r="AL234" i="1"/>
  <c r="AL336" i="1"/>
  <c r="AL384" i="1"/>
  <c r="AL361" i="1"/>
  <c r="AL409" i="1"/>
  <c r="AL154" i="1"/>
  <c r="AL255" i="1"/>
  <c r="AL227" i="1"/>
  <c r="AL328" i="1"/>
  <c r="AL432" i="1"/>
  <c r="AL118" i="1"/>
  <c r="AL243" i="1"/>
  <c r="AL36" i="1"/>
  <c r="AL236" i="1"/>
  <c r="AL340" i="1"/>
  <c r="AL388" i="1"/>
  <c r="AL405" i="1"/>
  <c r="AL48" i="1"/>
  <c r="AL170" i="1"/>
  <c r="AL218" i="1"/>
  <c r="AL319" i="1"/>
  <c r="AL17" i="1"/>
  <c r="AL139" i="1"/>
  <c r="AL240" i="1"/>
  <c r="AL288" i="1"/>
  <c r="AL392" i="1"/>
  <c r="AL42" i="1"/>
  <c r="AL313" i="1"/>
  <c r="AL417" i="1"/>
  <c r="AL108" i="1"/>
  <c r="AL22" i="1"/>
  <c r="AL150" i="1"/>
  <c r="AL175" i="1"/>
  <c r="AL341" i="1"/>
  <c r="AL126" i="1"/>
  <c r="AL396" i="1"/>
  <c r="AL413" i="1"/>
  <c r="AL122" i="1"/>
  <c r="AL327" i="1"/>
  <c r="AL425" i="1"/>
  <c r="AL214" i="1"/>
  <c r="AL299" i="1"/>
  <c r="AL339" i="1"/>
  <c r="AL109" i="1"/>
  <c r="AL151" i="1"/>
  <c r="AL199" i="1"/>
  <c r="AL300" i="1"/>
  <c r="AL404" i="1"/>
  <c r="AL317" i="1"/>
  <c r="AL421" i="1"/>
  <c r="AL8" i="1"/>
  <c r="AL130" i="1"/>
  <c r="AL233" i="1"/>
  <c r="AL279" i="1"/>
  <c r="AL32" i="1"/>
  <c r="AL93" i="1"/>
  <c r="AL203" i="1"/>
  <c r="AL304" i="1"/>
  <c r="AL228" i="1"/>
  <c r="AL329" i="1"/>
  <c r="AL377" i="1"/>
  <c r="AL235" i="1"/>
  <c r="AL28" i="1"/>
  <c r="AL428" i="1"/>
  <c r="AL192" i="1"/>
  <c r="AL251" i="1"/>
  <c r="AL244" i="1"/>
  <c r="AL147" i="1"/>
  <c r="AL53" i="1"/>
  <c r="AL207" i="1"/>
  <c r="AL308" i="1"/>
  <c r="AL356" i="1"/>
  <c r="AL224" i="1"/>
  <c r="AL325" i="1"/>
  <c r="AL373" i="1"/>
  <c r="AL406" i="1"/>
  <c r="AL16" i="1"/>
  <c r="AL138" i="1"/>
  <c r="AL186" i="1"/>
  <c r="AL287" i="1"/>
  <c r="AL105" i="1"/>
  <c r="AL211" i="1"/>
  <c r="AL256" i="1"/>
  <c r="AL360" i="1"/>
  <c r="AL281" i="1"/>
  <c r="AL385" i="1"/>
  <c r="AL71" i="1"/>
  <c r="AL166" i="1"/>
  <c r="AL97" i="1"/>
  <c r="AL226" i="1"/>
  <c r="AL25" i="1"/>
  <c r="AL321" i="1"/>
  <c r="AL88" i="1"/>
  <c r="AL182" i="1"/>
  <c r="AL267" i="1"/>
  <c r="AL4" i="1"/>
  <c r="AL119" i="1"/>
  <c r="AL215" i="1"/>
  <c r="AL260" i="1"/>
  <c r="AL364" i="1"/>
  <c r="AL410" i="1"/>
  <c r="AL277" i="1"/>
  <c r="AL381" i="1"/>
  <c r="AL24" i="1"/>
  <c r="AL81" i="1"/>
  <c r="AL194" i="1"/>
  <c r="AL163" i="1"/>
  <c r="AL264" i="1"/>
  <c r="AL368" i="1"/>
  <c r="AL416" i="1"/>
  <c r="AL18" i="1"/>
  <c r="AL188" i="1"/>
  <c r="AL393" i="1"/>
  <c r="AL20" i="1"/>
  <c r="AL292" i="1"/>
  <c r="AL37" i="1"/>
  <c r="AL56" i="1"/>
  <c r="AL195" i="1"/>
  <c r="AL400" i="1"/>
  <c r="AL70" i="1"/>
  <c r="AL174" i="1"/>
  <c r="AL134" i="1"/>
  <c r="AL222" i="1"/>
  <c r="AL35" i="1"/>
  <c r="AL142" i="1"/>
  <c r="AL44" i="1"/>
  <c r="AL96" i="1"/>
  <c r="AL190" i="1"/>
  <c r="AL355" i="1"/>
  <c r="AL21" i="1"/>
  <c r="AL167" i="1"/>
  <c r="AL268" i="1"/>
  <c r="AL372" i="1"/>
  <c r="AL420" i="1"/>
  <c r="AL14" i="1"/>
  <c r="AL285" i="1"/>
  <c r="AL389" i="1"/>
  <c r="AL422" i="1"/>
  <c r="AL92" i="1"/>
  <c r="AL202" i="1"/>
  <c r="AL247" i="1"/>
  <c r="AL49" i="1"/>
  <c r="AL171" i="1"/>
  <c r="AL424" i="1"/>
  <c r="AL345" i="1"/>
  <c r="AL426" i="1"/>
  <c r="AL127" i="1"/>
  <c r="AL223" i="1"/>
  <c r="AL316" i="1"/>
  <c r="AL380" i="1"/>
  <c r="AL365" i="1"/>
  <c r="AL397" i="1"/>
  <c r="AL429" i="1"/>
  <c r="AL430" i="1"/>
  <c r="AL31" i="1"/>
  <c r="AL66" i="1"/>
  <c r="AL112" i="1"/>
  <c r="AL178" i="1"/>
  <c r="AL210" i="1"/>
  <c r="AL239" i="1"/>
  <c r="AL303" i="1"/>
  <c r="AL123" i="1"/>
  <c r="AL155" i="1"/>
  <c r="AL187" i="1"/>
  <c r="AL248" i="1"/>
  <c r="AL280" i="1"/>
  <c r="AL376" i="1"/>
  <c r="AL408" i="1"/>
  <c r="AL394" i="1"/>
  <c r="AL337" i="1"/>
  <c r="AL9" i="1"/>
  <c r="AL89" i="1"/>
  <c r="AL191" i="1"/>
  <c r="AL348" i="1"/>
  <c r="AL29" i="1"/>
  <c r="AL144" i="1"/>
  <c r="AL269" i="1"/>
  <c r="AL13" i="1"/>
  <c r="AL159" i="1"/>
  <c r="AL252" i="1"/>
  <c r="AL412" i="1"/>
  <c r="AL47" i="1"/>
  <c r="AO7" i="1"/>
  <c r="AN7" i="1"/>
  <c r="AM7" i="1"/>
  <c r="R3" i="1"/>
  <c r="S3" i="1" l="1"/>
  <c r="S861" i="1" s="1"/>
  <c r="S864" i="1" s="1"/>
  <c r="R861" i="1"/>
  <c r="R864" i="1" s="1"/>
  <c r="AL401" i="1"/>
  <c r="AK241" i="1"/>
  <c r="AL241" i="1" s="1"/>
  <c r="AK208" i="1"/>
  <c r="AL208" i="1" s="1"/>
  <c r="AK148" i="1"/>
  <c r="AL148" i="1" s="1"/>
  <c r="AK181" i="1"/>
  <c r="AL181" i="1" s="1"/>
  <c r="AK82" i="1"/>
  <c r="AL82" i="1" s="1"/>
  <c r="AK115" i="1"/>
  <c r="AL115" i="1" s="1"/>
  <c r="AK64" i="1"/>
  <c r="AL64" i="1" s="1"/>
  <c r="AK344" i="1"/>
  <c r="AL344" i="1" s="1"/>
  <c r="AK107" i="1"/>
  <c r="AL107" i="1" s="1"/>
  <c r="AK146" i="1"/>
  <c r="AL146" i="1" s="1"/>
  <c r="AK271" i="1"/>
  <c r="AL271" i="1" s="1"/>
  <c r="AK273" i="1"/>
  <c r="AL273" i="1" s="1"/>
  <c r="AK378" i="1"/>
  <c r="AL378" i="1" s="1"/>
  <c r="AK11" i="1"/>
  <c r="AL11" i="1" s="1"/>
  <c r="AK369" i="1"/>
  <c r="AL369" i="1" s="1"/>
  <c r="AK333" i="1"/>
  <c r="AL333" i="1" s="1"/>
  <c r="AK33" i="1"/>
  <c r="AL33" i="1" s="1"/>
  <c r="AK229" i="1"/>
  <c r="AL229" i="1" s="1"/>
  <c r="AK219" i="1"/>
  <c r="AL219" i="1" s="1"/>
  <c r="AK283" i="1"/>
  <c r="AL283" i="1" s="1"/>
  <c r="W864" i="1"/>
  <c r="G19" i="4"/>
  <c r="H19" i="4"/>
  <c r="AA864" i="1"/>
  <c r="AE3" i="1" l="1"/>
  <c r="AE433" i="1" s="1"/>
  <c r="AE864" i="1" s="1"/>
  <c r="S866" i="1"/>
  <c r="AG3" i="1" l="1"/>
  <c r="AI3" i="1" s="1"/>
  <c r="AK3" i="1" s="1"/>
  <c r="AK433" i="1" s="1"/>
  <c r="AI433" i="1" l="1"/>
  <c r="AG433" i="1"/>
  <c r="AL3" i="1"/>
  <c r="AL433" i="1" s="1"/>
</calcChain>
</file>

<file path=xl/sharedStrings.xml><?xml version="1.0" encoding="utf-8"?>
<sst xmlns="http://schemas.openxmlformats.org/spreadsheetml/2006/main" count="4476" uniqueCount="745">
  <si>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</si>
  <si>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</si>
  <si>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</si>
  <si>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</si>
  <si>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</si>
  <si>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</si>
  <si>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</si>
  <si>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</si>
  <si>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</si>
  <si>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</si>
  <si>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</si>
  <si>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</si>
  <si>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</si>
  <si>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</si>
  <si>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</si>
  <si>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</si>
  <si>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</si>
  <si>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</si>
  <si>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</si>
  <si>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</si>
  <si>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</si>
  <si>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</si>
  <si>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</si>
  <si>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</si>
  <si>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</si>
  <si>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</si>
  <si>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</si>
  <si>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</si>
  <si>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</si>
  <si>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</si>
  <si>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</si>
  <si>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</si>
  <si>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</si>
  <si>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</si>
  <si>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</si>
  <si>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</si>
  <si>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</si>
  <si>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</si>
  <si>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</si>
  <si>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</si>
  <si>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</si>
  <si>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</si>
  <si>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</si>
  <si>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</si>
  <si>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</si>
  <si>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</si>
  <si>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</si>
  <si>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</si>
  <si>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</si>
  <si>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</si>
  <si>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</si>
  <si>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</si>
  <si>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</si>
  <si>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</si>
  <si>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</si>
  <si>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</si>
  <si>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</si>
  <si>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</si>
  <si>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</si>
  <si>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</si>
  <si>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</si>
  <si>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</si>
  <si>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</si>
  <si>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</si>
  <si>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</si>
  <si>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</si>
  <si>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</si>
  <si>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Chicken 70gr</t>
  </si>
  <si>
    <t>Chicken 70gr FOC</t>
  </si>
  <si>
    <t>Meat 120g</t>
  </si>
  <si>
    <t>Chicken 120gr</t>
  </si>
  <si>
    <t>Meat 120g FOC</t>
  </si>
  <si>
    <t>Chicken 120gr FOC</t>
  </si>
  <si>
    <t>Meat   70gr FOC</t>
  </si>
  <si>
    <t>Meat  70gr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</si>
  <si>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</si>
  <si>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</si>
  <si>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</si>
  <si>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</si>
  <si>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</si>
  <si>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</si>
  <si>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</si>
  <si>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</si>
  <si>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</si>
  <si>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</si>
  <si>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>July</t>
  </si>
  <si>
    <t>LHR</t>
  </si>
  <si>
    <t>LMT</t>
  </si>
  <si>
    <t>Gourmet Food</t>
  </si>
  <si>
    <t>Shakoor</t>
  </si>
  <si>
    <t xml:space="preserve">Awan Town </t>
  </si>
  <si>
    <t>Canal view</t>
  </si>
  <si>
    <t>Liyaqat chowk</t>
  </si>
  <si>
    <t>Gulshan Ravi</t>
  </si>
  <si>
    <t>Multan Road</t>
  </si>
  <si>
    <t>Nadeem Shaheed</t>
  </si>
  <si>
    <t>Poonch Road</t>
  </si>
  <si>
    <t>Rehman pura</t>
  </si>
  <si>
    <t>Rewaz Garden</t>
  </si>
  <si>
    <t>Rustam Park</t>
  </si>
  <si>
    <t>Samanaabd lhr</t>
  </si>
  <si>
    <t>Wahdat Road</t>
  </si>
  <si>
    <t>Kareem Block</t>
  </si>
  <si>
    <t>Awan Store</t>
  </si>
  <si>
    <t>Ch General Store</t>
  </si>
  <si>
    <t xml:space="preserve">Shahid Bakery </t>
  </si>
  <si>
    <t xml:space="preserve">Khan Nimko </t>
  </si>
  <si>
    <t>Shell Petrol Mart</t>
  </si>
  <si>
    <t>General Store</t>
  </si>
  <si>
    <t>Mart</t>
  </si>
  <si>
    <t xml:space="preserve">Furqan </t>
  </si>
  <si>
    <t>Lawrance Road</t>
  </si>
  <si>
    <t xml:space="preserve">Salman </t>
  </si>
  <si>
    <t>Lala G Super Store</t>
  </si>
  <si>
    <t xml:space="preserve">Ajwa Bakers </t>
  </si>
  <si>
    <t>New Way Store</t>
  </si>
  <si>
    <t xml:space="preserve">Falcon Society </t>
  </si>
  <si>
    <t xml:space="preserve">Sulshan bakery </t>
  </si>
  <si>
    <t>Ali Super GS</t>
  </si>
  <si>
    <t xml:space="preserve">Fareedia Bakery </t>
  </si>
  <si>
    <t>hanif Store</t>
  </si>
  <si>
    <t xml:space="preserve">Khubaib Mart </t>
  </si>
  <si>
    <t>Chanda Mart</t>
  </si>
  <si>
    <t>DVA Store</t>
  </si>
  <si>
    <t>Palaece Sweet</t>
  </si>
  <si>
    <t>Ghosia Store</t>
  </si>
  <si>
    <t xml:space="preserve">NM Mart </t>
  </si>
  <si>
    <t xml:space="preserve">Umair </t>
  </si>
  <si>
    <t xml:space="preserve">Awan Market </t>
  </si>
  <si>
    <t xml:space="preserve">Zeshan </t>
  </si>
  <si>
    <t>Qadri Store</t>
  </si>
  <si>
    <t>Ahmad Store</t>
  </si>
  <si>
    <t xml:space="preserve">Green Mart </t>
  </si>
  <si>
    <t>786 Store</t>
  </si>
  <si>
    <t xml:space="preserve">Shreef Mart </t>
  </si>
  <si>
    <t xml:space="preserve">Nishat </t>
  </si>
  <si>
    <t>Asif Shb</t>
  </si>
  <si>
    <t>Origin Main</t>
  </si>
  <si>
    <t>Bismillah GS</t>
  </si>
  <si>
    <t>Bilal Store</t>
  </si>
  <si>
    <t>New Data Store</t>
  </si>
  <si>
    <t xml:space="preserve">Sohna Departmental </t>
  </si>
  <si>
    <t>Hafiz Store</t>
  </si>
  <si>
    <t>Madina GS</t>
  </si>
  <si>
    <t>Data Store</t>
  </si>
  <si>
    <t>Shadman Market</t>
  </si>
  <si>
    <t>Daim Store</t>
  </si>
  <si>
    <t>Bread &amp; Bakers</t>
  </si>
  <si>
    <t xml:space="preserve">Ahmad Pharmacy Mart </t>
  </si>
  <si>
    <t xml:space="preserve">Imtiaz Mart </t>
  </si>
  <si>
    <t>Shamza Store</t>
  </si>
  <si>
    <t>Al Makkah Store</t>
  </si>
  <si>
    <t>Rifal Range Road</t>
  </si>
  <si>
    <t xml:space="preserve">Mozzam Mart </t>
  </si>
  <si>
    <t>Azan Traders</t>
  </si>
  <si>
    <t xml:space="preserve">Grace Land Mart </t>
  </si>
  <si>
    <t>Bhai Bhai GS</t>
  </si>
  <si>
    <t>Tayaab Store</t>
  </si>
  <si>
    <t>Shehriyar Store</t>
  </si>
  <si>
    <t>Bhati GS</t>
  </si>
  <si>
    <t xml:space="preserve">Malik Ijaz </t>
  </si>
  <si>
    <t xml:space="preserve">Nadeem Bakers </t>
  </si>
  <si>
    <t>MA Bakers</t>
  </si>
  <si>
    <t>Youna Abad</t>
  </si>
  <si>
    <t>Ali Store</t>
  </si>
  <si>
    <t>Organic Store</t>
  </si>
  <si>
    <t xml:space="preserve">Moon Mart </t>
  </si>
  <si>
    <t xml:space="preserve">Raza Mart </t>
  </si>
  <si>
    <t xml:space="preserve">HR Mart </t>
  </si>
  <si>
    <t>Khan Store</t>
  </si>
  <si>
    <t xml:space="preserve">Sheri Mart </t>
  </si>
  <si>
    <t xml:space="preserve">Ali Park </t>
  </si>
  <si>
    <t xml:space="preserve">Iqbal Mart </t>
  </si>
  <si>
    <t xml:space="preserve">Ali Brother </t>
  </si>
  <si>
    <t>Tofail Store</t>
  </si>
  <si>
    <t>Habibulah Road</t>
  </si>
  <si>
    <t xml:space="preserve">Mubeen </t>
  </si>
  <si>
    <t>Rehman Store</t>
  </si>
  <si>
    <t>Al Kareem Society 60ft Road</t>
  </si>
  <si>
    <t xml:space="preserve">Al Falah Mart </t>
  </si>
  <si>
    <t xml:space="preserve">H Mart </t>
  </si>
  <si>
    <t xml:space="preserve">Sk Mart </t>
  </si>
  <si>
    <t>Shera Store</t>
  </si>
  <si>
    <t>Murad GS</t>
  </si>
  <si>
    <t>Kamal Store</t>
  </si>
  <si>
    <t>Umair Store</t>
  </si>
  <si>
    <t>Gullberg 2</t>
  </si>
  <si>
    <t xml:space="preserve">MS Mart </t>
  </si>
  <si>
    <t>MF Chanda Store</t>
  </si>
  <si>
    <t xml:space="preserve">Us Mart </t>
  </si>
  <si>
    <t>Shahdab Super Store</t>
  </si>
  <si>
    <t xml:space="preserve">Al Karam Smart Mart </t>
  </si>
  <si>
    <t>Shahdab Colony</t>
  </si>
  <si>
    <t>Trust Store</t>
  </si>
  <si>
    <t>786 GS</t>
  </si>
  <si>
    <t xml:space="preserve">Groccer Mart </t>
  </si>
  <si>
    <t>Bin Hadi Store</t>
  </si>
  <si>
    <t xml:space="preserve">Besta Mart </t>
  </si>
  <si>
    <t xml:space="preserve">KS Mart </t>
  </si>
  <si>
    <t>DHA</t>
  </si>
  <si>
    <t>Shalimar Store</t>
  </si>
  <si>
    <t>Sitara Bakers</t>
  </si>
  <si>
    <t>Chelet Store</t>
  </si>
  <si>
    <t>Askari Store</t>
  </si>
  <si>
    <t>United Store</t>
  </si>
  <si>
    <t>Classic Store</t>
  </si>
  <si>
    <t>Cant Medical Store</t>
  </si>
  <si>
    <t xml:space="preserve">Shaheen Bakers </t>
  </si>
  <si>
    <t>Saddar Bazaar</t>
  </si>
  <si>
    <t>HK Mart</t>
  </si>
  <si>
    <t>Husnain Store</t>
  </si>
  <si>
    <t>Punjab Store</t>
  </si>
  <si>
    <t>Malik Store</t>
  </si>
  <si>
    <t>TK Store</t>
  </si>
  <si>
    <t xml:space="preserve">Urban Mart </t>
  </si>
  <si>
    <t>Ravi Store</t>
  </si>
  <si>
    <t>Dua Book GS</t>
  </si>
  <si>
    <t>Muhammad Sultan GS</t>
  </si>
  <si>
    <t xml:space="preserve">Punjab Coprative </t>
  </si>
  <si>
    <t>24/7</t>
  </si>
  <si>
    <t>Afzal Store</t>
  </si>
  <si>
    <t xml:space="preserve">Captain Mart </t>
  </si>
  <si>
    <t>Shanam Store</t>
  </si>
  <si>
    <t xml:space="preserve">Smart Mart </t>
  </si>
  <si>
    <t>Freshly Store</t>
  </si>
  <si>
    <t xml:space="preserve">Marwa Mart </t>
  </si>
  <si>
    <t xml:space="preserve">Max Mart </t>
  </si>
  <si>
    <t xml:space="preserve">Ali Mart </t>
  </si>
  <si>
    <t>DHA Phase 5</t>
  </si>
  <si>
    <t>Mahboob Store</t>
  </si>
  <si>
    <t>Arif Store</t>
  </si>
  <si>
    <t>barkat Store</t>
  </si>
  <si>
    <t xml:space="preserve">Mahraj Din </t>
  </si>
  <si>
    <t>Usman Store</t>
  </si>
  <si>
    <t>Mushtaq Store</t>
  </si>
  <si>
    <t xml:space="preserve">Gowal Mandi </t>
  </si>
  <si>
    <t>Manawan (Risen)</t>
  </si>
  <si>
    <t>Shadbagh (Risen)</t>
  </si>
  <si>
    <t>Vip</t>
  </si>
  <si>
    <t xml:space="preserve">Umaima  paragon City </t>
  </si>
  <si>
    <t>Clinix</t>
  </si>
  <si>
    <t xml:space="preserve">Rainbow Model Town </t>
  </si>
  <si>
    <t>Raheem Store</t>
  </si>
  <si>
    <t xml:space="preserve">Manawan </t>
  </si>
  <si>
    <t>Shadbagh</t>
  </si>
  <si>
    <t xml:space="preserve">Behria Town </t>
  </si>
  <si>
    <t xml:space="preserve">Paragon City </t>
  </si>
  <si>
    <t>Mughalpura</t>
  </si>
  <si>
    <t>Model Town</t>
  </si>
  <si>
    <t>Al Noor Store</t>
  </si>
  <si>
    <t>Gulshan Park</t>
  </si>
  <si>
    <t xml:space="preserve">Ahmad Usman </t>
  </si>
  <si>
    <t>Wali Super Store</t>
  </si>
  <si>
    <t>Shahid Sons &amp; GS</t>
  </si>
  <si>
    <t xml:space="preserve">Al Harmain Mart </t>
  </si>
  <si>
    <t>Shareef GS</t>
  </si>
  <si>
    <t>Al Sheikh Store</t>
  </si>
  <si>
    <t xml:space="preserve">Cavelry Ground </t>
  </si>
  <si>
    <t>AS Cash &amp; Carry</t>
  </si>
  <si>
    <t xml:space="preserve">Hasan Mart </t>
  </si>
  <si>
    <t xml:space="preserve">Safa Mart </t>
  </si>
  <si>
    <t>Al Faisal Mart</t>
  </si>
  <si>
    <t>Bajwa Mart</t>
  </si>
  <si>
    <t xml:space="preserve">Sufiyan Mart </t>
  </si>
  <si>
    <t xml:space="preserve">Central Park </t>
  </si>
  <si>
    <t>Yaseen Sadique</t>
  </si>
  <si>
    <t xml:space="preserve">Fakhar Groccery </t>
  </si>
  <si>
    <t xml:space="preserve">Mian Bakers </t>
  </si>
  <si>
    <t>Essage</t>
  </si>
  <si>
    <t>Nadeem Store</t>
  </si>
  <si>
    <t>Irfan Bakers</t>
  </si>
  <si>
    <t>Farhan Store</t>
  </si>
  <si>
    <t xml:space="preserve">Cart Carry </t>
  </si>
  <si>
    <t>Bedian Road</t>
  </si>
  <si>
    <t>Mahmood Store</t>
  </si>
  <si>
    <t>Quality Store</t>
  </si>
  <si>
    <t>Shah Jamal Market</t>
  </si>
  <si>
    <t>NAGINA Food Store</t>
  </si>
  <si>
    <t xml:space="preserve">Al Noor Town </t>
  </si>
  <si>
    <t>Madina Bakers</t>
  </si>
  <si>
    <t xml:space="preserve">Ideal Cash &amp; Carry </t>
  </si>
  <si>
    <t xml:space="preserve">Zarrar Khan </t>
  </si>
  <si>
    <t xml:space="preserve">Murwa Super Mart </t>
  </si>
  <si>
    <t>Karam Store</t>
  </si>
  <si>
    <t xml:space="preserve">Bin Doud </t>
  </si>
  <si>
    <t>Dharampura Road</t>
  </si>
  <si>
    <t xml:space="preserve">Umer Khan </t>
  </si>
  <si>
    <t>Farman Store</t>
  </si>
  <si>
    <t xml:space="preserve">Mandi </t>
  </si>
  <si>
    <t>Haji Chirag Din</t>
  </si>
  <si>
    <t>Noman GS</t>
  </si>
  <si>
    <t>Tahir GS</t>
  </si>
  <si>
    <t>Iftkhar Store</t>
  </si>
  <si>
    <t>Tayyab GS</t>
  </si>
  <si>
    <t xml:space="preserve">Ameen Kareyana </t>
  </si>
  <si>
    <t>Mian Brothers</t>
  </si>
  <si>
    <t xml:space="preserve">Palace Bakers </t>
  </si>
  <si>
    <t>Kanchi Bazar</t>
  </si>
  <si>
    <t>HR Mart</t>
  </si>
  <si>
    <t>Euro Store</t>
  </si>
  <si>
    <t>Iman Store</t>
  </si>
  <si>
    <t xml:space="preserve">Bin Hadi </t>
  </si>
  <si>
    <t>Moon Store</t>
  </si>
  <si>
    <t>Chaudry Store</t>
  </si>
  <si>
    <t>Lawrance Bakery</t>
  </si>
  <si>
    <t>Makkah Dry Fruit</t>
  </si>
  <si>
    <t>Kacha Lawrance Road</t>
  </si>
  <si>
    <t>Kashmir Bakers</t>
  </si>
  <si>
    <t>Walton Road</t>
  </si>
  <si>
    <t>AB GS</t>
  </si>
  <si>
    <t>Al Makkah Kreyana Store</t>
  </si>
  <si>
    <t>Hafiz Bakery</t>
  </si>
  <si>
    <t>Al Makkah GS</t>
  </si>
  <si>
    <t xml:space="preserve">Al Fazal Cash &amp; Carry </t>
  </si>
  <si>
    <t xml:space="preserve">Al Ahmad Bakers </t>
  </si>
  <si>
    <t xml:space="preserve">A1 Bakers </t>
  </si>
  <si>
    <t>Faridiya Varity Store</t>
  </si>
  <si>
    <t xml:space="preserve">Every K Bakers </t>
  </si>
  <si>
    <t xml:space="preserve">SS Sweets </t>
  </si>
  <si>
    <t>Gulshan Bakers</t>
  </si>
  <si>
    <t>Nishter Store</t>
  </si>
  <si>
    <t xml:space="preserve">LAL Sons </t>
  </si>
  <si>
    <t>Mian Store</t>
  </si>
  <si>
    <t>MS Store</t>
  </si>
  <si>
    <t xml:space="preserve">Decent Mart </t>
  </si>
  <si>
    <t xml:space="preserve">Rainbow Wapda Town </t>
  </si>
  <si>
    <t>Al Makkah Cash &amp; Carry</t>
  </si>
  <si>
    <t>Hikma Super Store</t>
  </si>
  <si>
    <t xml:space="preserve">Kshmir Bakers </t>
  </si>
  <si>
    <t>Five Star</t>
  </si>
  <si>
    <t>Askari 5</t>
  </si>
  <si>
    <t>Premier Mart</t>
  </si>
  <si>
    <t>Panda Mart</t>
  </si>
  <si>
    <t>Awan Mart</t>
  </si>
  <si>
    <t>Chohan Bakery</t>
  </si>
  <si>
    <t xml:space="preserve">Al Noor Cash &amp; Carry </t>
  </si>
  <si>
    <t>Awan Super Store</t>
  </si>
  <si>
    <t xml:space="preserve">Tayyab Bakers </t>
  </si>
  <si>
    <t>Waleed Super Mart</t>
  </si>
  <si>
    <t>Khatak Store</t>
  </si>
  <si>
    <t xml:space="preserve">KK Super Mart </t>
  </si>
  <si>
    <t xml:space="preserve">Pak Arab </t>
  </si>
  <si>
    <t xml:space="preserve">Maharaja </t>
  </si>
  <si>
    <t>Bravo Mart</t>
  </si>
  <si>
    <t xml:space="preserve">Hamza Mart </t>
  </si>
  <si>
    <t>Tariq Mart</t>
  </si>
  <si>
    <t>Nishat Colony</t>
  </si>
  <si>
    <t xml:space="preserve">Clinix </t>
  </si>
  <si>
    <t>Raheem Store J-Height</t>
  </si>
  <si>
    <t xml:space="preserve">Zohra Mart </t>
  </si>
  <si>
    <t>Al Rehmat</t>
  </si>
  <si>
    <t>SK Mart</t>
  </si>
  <si>
    <t>Wahid Medical Store</t>
  </si>
  <si>
    <t>Bakhtawer Sweets</t>
  </si>
  <si>
    <t>M Sadique Store</t>
  </si>
  <si>
    <t>My Store</t>
  </si>
  <si>
    <t>Shaheen Store</t>
  </si>
  <si>
    <t>Nabipura</t>
  </si>
  <si>
    <t>Main Market</t>
  </si>
  <si>
    <t>Khatija Kareyana Store</t>
  </si>
  <si>
    <t xml:space="preserve">Grace Land </t>
  </si>
  <si>
    <t>Mahmood Quality Store</t>
  </si>
  <si>
    <t>Bhati Store</t>
  </si>
  <si>
    <t>Malik Ijaz</t>
  </si>
  <si>
    <t xml:space="preserve">Noor Madian Mart </t>
  </si>
  <si>
    <t xml:space="preserve">Altaf Cash &amp; Carry </t>
  </si>
  <si>
    <t>younabad</t>
  </si>
  <si>
    <t>SD</t>
  </si>
  <si>
    <t>Waqar SD</t>
  </si>
  <si>
    <t xml:space="preserve">DKD Faisal </t>
  </si>
  <si>
    <t>Waqar SB</t>
  </si>
  <si>
    <t>Tajpura</t>
  </si>
  <si>
    <t>Mughal Store</t>
  </si>
  <si>
    <t>Asshiyana Store</t>
  </si>
  <si>
    <t>Al Fateh Store</t>
  </si>
  <si>
    <t xml:space="preserve">Imtyaz Mart </t>
  </si>
  <si>
    <t xml:space="preserve">Shamza Bakers </t>
  </si>
  <si>
    <t>Adil Sweets</t>
  </si>
  <si>
    <t>Kashmir Store</t>
  </si>
  <si>
    <t>Basic Store</t>
  </si>
  <si>
    <t xml:space="preserve">MG Mart </t>
  </si>
  <si>
    <t xml:space="preserve">Baba g Welfair </t>
  </si>
  <si>
    <t>Food Rite</t>
  </si>
  <si>
    <t>Bhai Bhai Mediacal Store</t>
  </si>
  <si>
    <t xml:space="preserve">Express Mart </t>
  </si>
  <si>
    <t>Seven Street</t>
  </si>
  <si>
    <t xml:space="preserve">Calvery Ground </t>
  </si>
  <si>
    <t xml:space="preserve">Upper Mall </t>
  </si>
  <si>
    <t xml:space="preserve">Tajpura Butt Chowk </t>
  </si>
  <si>
    <t>Ghaziaabad</t>
  </si>
  <si>
    <t>Dharampura</t>
  </si>
  <si>
    <t xml:space="preserve">Basti Shadman </t>
  </si>
  <si>
    <t>Son Rise GS</t>
  </si>
  <si>
    <t>Ibrahim Store</t>
  </si>
  <si>
    <t xml:space="preserve">Marhaba Mart </t>
  </si>
  <si>
    <t xml:space="preserve">DVA Mart </t>
  </si>
  <si>
    <t>The Book Store</t>
  </si>
  <si>
    <t xml:space="preserve">High Jeenz Mart </t>
  </si>
  <si>
    <t>Al Ghani Store</t>
  </si>
  <si>
    <t>Groccer 2</t>
  </si>
  <si>
    <t>CV Store</t>
  </si>
  <si>
    <t>Al Rehman Store</t>
  </si>
  <si>
    <t xml:space="preserve">DHA </t>
  </si>
  <si>
    <t>Jalal Sons Askari 10</t>
  </si>
  <si>
    <t>Naimat Khana</t>
  </si>
  <si>
    <t>Askari 10</t>
  </si>
  <si>
    <t>Different</t>
  </si>
  <si>
    <t xml:space="preserve">Mughalpura </t>
  </si>
  <si>
    <t xml:space="preserve">Manavan </t>
  </si>
  <si>
    <t>Risen Manavan</t>
  </si>
  <si>
    <t xml:space="preserve">Izmir Town </t>
  </si>
  <si>
    <t xml:space="preserve">Jalal Sons </t>
  </si>
  <si>
    <t xml:space="preserve">Multan Road </t>
  </si>
  <si>
    <t xml:space="preserve">Risen Cash &amp; Carry </t>
  </si>
  <si>
    <t xml:space="preserve">Thokar </t>
  </si>
  <si>
    <t>Raiwind Road</t>
  </si>
  <si>
    <t xml:space="preserve">Canal Road </t>
  </si>
  <si>
    <t xml:space="preserve">Johar Town </t>
  </si>
  <si>
    <t xml:space="preserve">WapdaTown </t>
  </si>
  <si>
    <t>Periode : 01 to 11July,2026</t>
  </si>
  <si>
    <t>Nabeel Traders</t>
  </si>
  <si>
    <t>Bilal</t>
  </si>
  <si>
    <t>Native</t>
  </si>
  <si>
    <t>Al Noor Town</t>
  </si>
  <si>
    <t>Mozang</t>
  </si>
  <si>
    <t xml:space="preserve">Rainbow </t>
  </si>
  <si>
    <t>Shadra</t>
  </si>
  <si>
    <t>Chanda Store</t>
  </si>
  <si>
    <t xml:space="preserve">UF Mart </t>
  </si>
  <si>
    <t xml:space="preserve">Shadab Super Mart </t>
  </si>
  <si>
    <t>Al Karam Super Store</t>
  </si>
  <si>
    <t>Roshan Store</t>
  </si>
  <si>
    <t xml:space="preserve">Chaudry Cash &amp; carry </t>
  </si>
  <si>
    <t>Umair</t>
  </si>
  <si>
    <t>Shadab Colony</t>
  </si>
  <si>
    <t>Zeshan</t>
  </si>
  <si>
    <t>Fakher Store</t>
  </si>
  <si>
    <t>Toheed Store</t>
  </si>
  <si>
    <t xml:space="preserve">Luqman Bakers </t>
  </si>
  <si>
    <t xml:space="preserve">Sakuf Mart </t>
  </si>
  <si>
    <t>Hikma Store</t>
  </si>
  <si>
    <t>Family Store</t>
  </si>
  <si>
    <t>The Hotpot Souces</t>
  </si>
  <si>
    <t xml:space="preserve">Shehwar Mega Mart </t>
  </si>
  <si>
    <t xml:space="preserve">Easy Mart </t>
  </si>
  <si>
    <t>Velencia Town</t>
  </si>
  <si>
    <t xml:space="preserve">Faziya Adda Block </t>
  </si>
  <si>
    <t xml:space="preserve">Jublee Town </t>
  </si>
  <si>
    <t>Behria Orchard</t>
  </si>
  <si>
    <t>Nespak Society Wapda Town</t>
  </si>
  <si>
    <t>Sana Cash &amp; Carry</t>
  </si>
  <si>
    <t xml:space="preserve">Iqbal Town </t>
  </si>
  <si>
    <t xml:space="preserve">Raheem  </t>
  </si>
  <si>
    <t>Adnan Store</t>
  </si>
  <si>
    <t>Shehzad Store</t>
  </si>
  <si>
    <t xml:space="preserve">Data Sweet </t>
  </si>
  <si>
    <t>Data store</t>
  </si>
  <si>
    <t>RA GS</t>
  </si>
  <si>
    <t>Umer Store</t>
  </si>
  <si>
    <t>Ajmal Bakery</t>
  </si>
  <si>
    <t>Furqan</t>
  </si>
  <si>
    <t xml:space="preserve">Shadman </t>
  </si>
  <si>
    <t>Smart Pharmacy</t>
  </si>
  <si>
    <t>Cant Store</t>
  </si>
  <si>
    <t xml:space="preserve">Best One Mart </t>
  </si>
  <si>
    <t xml:space="preserve">Classic Super Mart </t>
  </si>
  <si>
    <t>Askari 9</t>
  </si>
  <si>
    <t>Shabaz SB</t>
  </si>
  <si>
    <t>Iftakhar GS</t>
  </si>
  <si>
    <t>Somoro Sweet</t>
  </si>
  <si>
    <t>Karachi Kareyana Store</t>
  </si>
  <si>
    <t xml:space="preserve">SK Mart </t>
  </si>
  <si>
    <t>Khan GS</t>
  </si>
  <si>
    <t>Haji Kreyana Store</t>
  </si>
  <si>
    <t>Hamza Store</t>
  </si>
  <si>
    <t>Jamshad Store</t>
  </si>
  <si>
    <t>Numan GS</t>
  </si>
  <si>
    <t>Muaz GS</t>
  </si>
  <si>
    <t xml:space="preserve">Hazrat Karman Wla </t>
  </si>
  <si>
    <t xml:space="preserve">Sherry Mart </t>
  </si>
  <si>
    <t>Rise Store</t>
  </si>
  <si>
    <t>Jameel Store</t>
  </si>
  <si>
    <t>Saad Store</t>
  </si>
  <si>
    <t>Amna Dopartment</t>
  </si>
  <si>
    <t>Khalid Super Store</t>
  </si>
  <si>
    <t>Al Madina Store</t>
  </si>
  <si>
    <t>Ghous Bakers</t>
  </si>
  <si>
    <t>Hikma Super Store 2</t>
  </si>
  <si>
    <t xml:space="preserve">Umaima </t>
  </si>
  <si>
    <t xml:space="preserve">Pick &amp; Pack </t>
  </si>
  <si>
    <t>City Mart</t>
  </si>
  <si>
    <t xml:space="preserve">Green City </t>
  </si>
  <si>
    <t>Jhore pull</t>
  </si>
  <si>
    <t xml:space="preserve">Gulshan Bakers </t>
  </si>
  <si>
    <t xml:space="preserve">Al Makkah Kareyana </t>
  </si>
  <si>
    <t>New Idel Bakers</t>
  </si>
  <si>
    <t xml:space="preserve">Faredia Kareyana </t>
  </si>
  <si>
    <t>Hanif Kareyana Store</t>
  </si>
  <si>
    <t xml:space="preserve">Madina Super Mart </t>
  </si>
  <si>
    <t xml:space="preserve">SS Sweet </t>
  </si>
  <si>
    <t>Nishter Bazar</t>
  </si>
  <si>
    <t>Faizan Store</t>
  </si>
  <si>
    <t xml:space="preserve">Imran Bakers </t>
  </si>
  <si>
    <t>Nister Store</t>
  </si>
  <si>
    <t>786 Sweets</t>
  </si>
  <si>
    <t>Chaudry Sons</t>
  </si>
  <si>
    <t>LAL Store</t>
  </si>
  <si>
    <t>Subedar Store</t>
  </si>
  <si>
    <t>RA Bazar</t>
  </si>
  <si>
    <t>Jalal Sons Warehouse</t>
  </si>
  <si>
    <t xml:space="preserve">Chatri Chowk </t>
  </si>
  <si>
    <t>Ferozpur Road</t>
  </si>
  <si>
    <t xml:space="preserve">Shell Petro Mart </t>
  </si>
  <si>
    <t>Abdullah Store</t>
  </si>
  <si>
    <t xml:space="preserve">Saeed Bakery </t>
  </si>
  <si>
    <t xml:space="preserve">Tajpura </t>
  </si>
  <si>
    <t>Makkah Store</t>
  </si>
  <si>
    <t>Kashif Super Store</t>
  </si>
  <si>
    <t xml:space="preserve">Ah mart </t>
  </si>
  <si>
    <t>Ghulam Store 2</t>
  </si>
  <si>
    <t xml:space="preserve">Al Falah Bakers </t>
  </si>
  <si>
    <t xml:space="preserve">Shera Mart </t>
  </si>
  <si>
    <t>Allys Store</t>
  </si>
  <si>
    <t xml:space="preserve">Bravo Mart </t>
  </si>
  <si>
    <t xml:space="preserve">Pakistan Mart </t>
  </si>
  <si>
    <t>K Smart</t>
  </si>
  <si>
    <t xml:space="preserve">MHT Mart </t>
  </si>
  <si>
    <t>Gujranwala</t>
  </si>
  <si>
    <t>Shaikhupura</t>
  </si>
  <si>
    <t>Shadara</t>
  </si>
  <si>
    <t xml:space="preserve">Raibow </t>
  </si>
  <si>
    <t>Rainbow</t>
  </si>
  <si>
    <t>Risen</t>
  </si>
  <si>
    <t xml:space="preserve">Shimla Pahari </t>
  </si>
  <si>
    <t xml:space="preserve">Gawal Mandi </t>
  </si>
  <si>
    <t xml:space="preserve">Chalet Bakers </t>
  </si>
  <si>
    <t>Sadar</t>
  </si>
  <si>
    <t>Mozam Store</t>
  </si>
  <si>
    <t>Malik Ijaz Store</t>
  </si>
  <si>
    <t>Zafar GS</t>
  </si>
  <si>
    <t>Haroon Super Store</t>
  </si>
  <si>
    <t xml:space="preserve">Noor e Madina </t>
  </si>
  <si>
    <t>Insaf GS</t>
  </si>
  <si>
    <t xml:space="preserve">M.A Bakers </t>
  </si>
  <si>
    <t>Younaabad</t>
  </si>
  <si>
    <t xml:space="preserve">Al Makkah </t>
  </si>
  <si>
    <t xml:space="preserve">Hikers </t>
  </si>
  <si>
    <t xml:space="preserve">Kashmir Bakers </t>
  </si>
  <si>
    <t>Rana Store</t>
  </si>
  <si>
    <t>Madina Store</t>
  </si>
  <si>
    <t xml:space="preserve">Sheikh Arif </t>
  </si>
  <si>
    <t xml:space="preserve">Mirch Mahal </t>
  </si>
  <si>
    <t xml:space="preserve">One O One </t>
  </si>
  <si>
    <t>Khwaja store</t>
  </si>
  <si>
    <t>Shabir Store</t>
  </si>
  <si>
    <t>Al Barkat Store</t>
  </si>
  <si>
    <t xml:space="preserve">Bread &amp; Butter </t>
  </si>
  <si>
    <t>Khawar Store</t>
  </si>
  <si>
    <t>Peer Colony</t>
  </si>
  <si>
    <t xml:space="preserve">Jalal Sons Johar Town </t>
  </si>
  <si>
    <t>Raja Sahb</t>
  </si>
  <si>
    <t xml:space="preserve">Askari Punjab Society </t>
  </si>
  <si>
    <t xml:space="preserve">Rubaika </t>
  </si>
  <si>
    <t xml:space="preserve">Sweera Punjab Society </t>
  </si>
  <si>
    <t xml:space="preserve">Euro NFC </t>
  </si>
  <si>
    <t>Punjab Society</t>
  </si>
  <si>
    <t xml:space="preserve">NFC Society </t>
  </si>
  <si>
    <t>Velencia</t>
  </si>
  <si>
    <t xml:space="preserve">Wapda Town </t>
  </si>
  <si>
    <t>Haji Store</t>
  </si>
  <si>
    <t>Chishtiyab Sabriya Store</t>
  </si>
  <si>
    <t>K Mart</t>
  </si>
  <si>
    <t>Academy Road</t>
  </si>
  <si>
    <t xml:space="preserve">Umer Khan Zada </t>
  </si>
  <si>
    <t>Aashiyana Store</t>
  </si>
  <si>
    <t>Al Shreef GS</t>
  </si>
  <si>
    <t>Street 10</t>
  </si>
  <si>
    <t>Chuhan Super Store</t>
  </si>
  <si>
    <t>Bismillah Super Store</t>
  </si>
  <si>
    <t>Zam Zam Store</t>
  </si>
  <si>
    <t>Waleed Super Store</t>
  </si>
  <si>
    <t xml:space="preserve">Pak Arab Society </t>
  </si>
  <si>
    <t>Paradise Store</t>
  </si>
  <si>
    <t>24/ Store</t>
  </si>
  <si>
    <t>TS Store</t>
  </si>
  <si>
    <t>Fresh Store</t>
  </si>
  <si>
    <t xml:space="preserve">Omega Mart </t>
  </si>
  <si>
    <t>Fresh Hill</t>
  </si>
  <si>
    <t xml:space="preserve">Al Jalil Mart </t>
  </si>
  <si>
    <t>Shanim Store</t>
  </si>
  <si>
    <t xml:space="preserve">Al Mazz Cash &amp; Carry </t>
  </si>
  <si>
    <t xml:space="preserve">Zubaida Traders Al Fateh </t>
  </si>
  <si>
    <t>Attari Darbar Ferozpur Road</t>
  </si>
  <si>
    <t>Jalal Sons</t>
  </si>
  <si>
    <t xml:space="preserve">Al Faisal Mart </t>
  </si>
  <si>
    <t xml:space="preserve">MA Mart </t>
  </si>
  <si>
    <t xml:space="preserve">Sheen Mart </t>
  </si>
  <si>
    <t xml:space="preserve">SM Rise Mart </t>
  </si>
  <si>
    <t xml:space="preserve">Khan Mart </t>
  </si>
  <si>
    <t xml:space="preserve">D Mart </t>
  </si>
  <si>
    <t>Safe Cash &amp; Carry</t>
  </si>
  <si>
    <t xml:space="preserve">B.B Cash &amp; Carry </t>
  </si>
  <si>
    <t>Behria Nasheman</t>
  </si>
  <si>
    <t xml:space="preserve">Canal Park </t>
  </si>
  <si>
    <t xml:space="preserve">Fakher Groccery </t>
  </si>
  <si>
    <t>Malik store</t>
  </si>
  <si>
    <t>Saleem Store</t>
  </si>
  <si>
    <t xml:space="preserve">Khalil Bakers </t>
  </si>
  <si>
    <t>Jaan Store</t>
  </si>
  <si>
    <t>Yaseen Store</t>
  </si>
  <si>
    <t xml:space="preserve">Bin Sohan </t>
  </si>
  <si>
    <t xml:space="preserve">Irfan Bakers </t>
  </si>
  <si>
    <t xml:space="preserve">Rahat Bakers </t>
  </si>
  <si>
    <t>Ishfaq Store</t>
  </si>
  <si>
    <t>Iqbal Mart</t>
  </si>
  <si>
    <t>Euro K-2</t>
  </si>
  <si>
    <t>Euro D-2</t>
  </si>
  <si>
    <t>Defence Road</t>
  </si>
  <si>
    <t>Rehmat Chowk</t>
  </si>
  <si>
    <t>Sawat Verity Store</t>
  </si>
  <si>
    <t>6 Brothers</t>
  </si>
  <si>
    <t xml:space="preserve">New Kashmir </t>
  </si>
  <si>
    <t>MA Super Store</t>
  </si>
  <si>
    <t>Mian Sons</t>
  </si>
  <si>
    <t>Gopal Nager</t>
  </si>
  <si>
    <t xml:space="preserve">Tajbagh </t>
  </si>
  <si>
    <t xml:space="preserve">Banghash Karachi </t>
  </si>
  <si>
    <t>Haji Chiragh</t>
  </si>
  <si>
    <t xml:space="preserve">Ghosia Kreyana </t>
  </si>
  <si>
    <t>Tahir Store</t>
  </si>
  <si>
    <t>Bismillah Cash &amp; Carry</t>
  </si>
  <si>
    <t>Qanchi Bazar</t>
  </si>
  <si>
    <t>Hadi Store</t>
  </si>
  <si>
    <t>Gulshan Colony</t>
  </si>
  <si>
    <t>Shah Taj GS</t>
  </si>
  <si>
    <t xml:space="preserve">Hafiz Bakery </t>
  </si>
  <si>
    <t>Ali Super Store</t>
  </si>
  <si>
    <t xml:space="preserve">Alhamd Bakers </t>
  </si>
  <si>
    <t>Kacha Jail Road</t>
  </si>
  <si>
    <t>Latif Store</t>
  </si>
  <si>
    <t>Sheikh Store</t>
  </si>
  <si>
    <t>Lal Store</t>
  </si>
  <si>
    <t>Nishat Store</t>
  </si>
  <si>
    <t xml:space="preserve">Deleshia Bakers </t>
  </si>
  <si>
    <t>Qadir Store</t>
  </si>
  <si>
    <t xml:space="preserve">Raka poshi </t>
  </si>
  <si>
    <t>Imran Store</t>
  </si>
  <si>
    <t xml:space="preserve">Adeel Pharmacy </t>
  </si>
  <si>
    <t xml:space="preserve">HA Mart </t>
  </si>
  <si>
    <t>Askari 11</t>
  </si>
  <si>
    <t>Barki Road</t>
  </si>
  <si>
    <t xml:space="preserve">Badami Bagh </t>
  </si>
  <si>
    <t xml:space="preserve">Kareem Park </t>
  </si>
  <si>
    <t>Fateh Gher</t>
  </si>
  <si>
    <t>Naqshbandi Indoction free</t>
  </si>
  <si>
    <t>Sabzazaar</t>
  </si>
  <si>
    <t xml:space="preserve">Rainbow C &amp; C </t>
  </si>
  <si>
    <t xml:space="preserve">Gourmet Food </t>
  </si>
  <si>
    <t xml:space="preserve">Naqshbandi </t>
  </si>
  <si>
    <t xml:space="preserve">Raheem Store </t>
  </si>
  <si>
    <t>al Madina Store</t>
  </si>
  <si>
    <t>Kinza Store</t>
  </si>
  <si>
    <t xml:space="preserve">Bake &amp; Bite </t>
  </si>
  <si>
    <t>M Sadiq Store</t>
  </si>
  <si>
    <t xml:space="preserve">Gullberg </t>
  </si>
  <si>
    <t>Bhati Super Store</t>
  </si>
  <si>
    <t xml:space="preserve">Multani Bakers </t>
  </si>
  <si>
    <t>Shadab Super Store</t>
  </si>
  <si>
    <t xml:space="preserve">Aster </t>
  </si>
  <si>
    <t xml:space="preserve">Usman Canvinain </t>
  </si>
  <si>
    <t xml:space="preserve">Thoker </t>
  </si>
  <si>
    <t xml:space="preserve">Punjab Society </t>
  </si>
  <si>
    <t>EME</t>
  </si>
  <si>
    <t>umair</t>
  </si>
  <si>
    <t xml:space="preserve">Satara Bakers </t>
  </si>
  <si>
    <t>Sadar Bazar</t>
  </si>
  <si>
    <t xml:space="preserve">Risen </t>
  </si>
  <si>
    <t xml:space="preserve">shadbagh </t>
  </si>
  <si>
    <t>behria Town</t>
  </si>
  <si>
    <t xml:space="preserve">Faisal Town </t>
  </si>
  <si>
    <t>Shere Rubani Store</t>
  </si>
  <si>
    <t>Bakhtawer Store</t>
  </si>
  <si>
    <t xml:space="preserve">Madina Bakers </t>
  </si>
  <si>
    <t>Bhai Bhai Medical Store</t>
  </si>
  <si>
    <t xml:space="preserve">Calevery Ground </t>
  </si>
  <si>
    <t xml:space="preserve">Al hamd Bakers </t>
  </si>
  <si>
    <t xml:space="preserve">Agrow </t>
  </si>
  <si>
    <t xml:space="preserve">Marhaba </t>
  </si>
  <si>
    <t>Punjab Coporative</t>
  </si>
  <si>
    <t>Fakhar Store</t>
  </si>
  <si>
    <t>MM Store</t>
  </si>
  <si>
    <t>Sahdra</t>
  </si>
  <si>
    <t>Umaima Super Store</t>
  </si>
  <si>
    <t xml:space="preserve">Chaudry Frozen </t>
  </si>
  <si>
    <t xml:space="preserve">China Groccery </t>
  </si>
  <si>
    <t>Dua Book store</t>
  </si>
  <si>
    <t>M Sultan GS</t>
  </si>
  <si>
    <t xml:space="preserve">Ajwa Atta Chaki </t>
  </si>
  <si>
    <t>Ghazi Road</t>
  </si>
  <si>
    <t xml:space="preserve">Askari Cash &amp; Carry </t>
  </si>
  <si>
    <t>MA General Store</t>
  </si>
  <si>
    <t>Five Start GS</t>
  </si>
  <si>
    <t>Slaman</t>
  </si>
  <si>
    <t>Askari</t>
  </si>
  <si>
    <t xml:space="preserve">Sharif Mart </t>
  </si>
  <si>
    <t xml:space="preserve">Zesahn </t>
  </si>
  <si>
    <t xml:space="preserve">Classic Mart </t>
  </si>
  <si>
    <t>Askari Photo Copy</t>
  </si>
  <si>
    <t>Bin Daud</t>
  </si>
  <si>
    <t xml:space="preserve">Chelet Mart </t>
  </si>
  <si>
    <t xml:space="preserve">Shehriyar </t>
  </si>
  <si>
    <t xml:space="preserve">Tayab Khan </t>
  </si>
  <si>
    <t>Zafer Store</t>
  </si>
  <si>
    <t>Grace Store</t>
  </si>
  <si>
    <t>Kahatija Store</t>
  </si>
  <si>
    <t>BIB Store</t>
  </si>
  <si>
    <t>Malik Kareyana Stoer</t>
  </si>
  <si>
    <t>Noor Madian Store</t>
  </si>
  <si>
    <t>Younah Abad</t>
  </si>
  <si>
    <t>Defence Store</t>
  </si>
  <si>
    <t xml:space="preserve">Pakistan </t>
  </si>
  <si>
    <t xml:space="preserve">Adnan </t>
  </si>
  <si>
    <t xml:space="preserve">Trust </t>
  </si>
  <si>
    <t xml:space="preserve">Bravo </t>
  </si>
  <si>
    <t>Hafiz Sweets</t>
  </si>
  <si>
    <t xml:space="preserve">Crown </t>
  </si>
  <si>
    <t xml:space="preserve">Jalal Sons Main Market </t>
  </si>
  <si>
    <t xml:space="preserve">Jalal Sons Lake City </t>
  </si>
  <si>
    <t>Risen Askari 11</t>
  </si>
  <si>
    <t>Risen Thoker Niaz Baig</t>
  </si>
  <si>
    <t xml:space="preserve">Risen Shadbagh </t>
  </si>
  <si>
    <t>Risen Al Rehman Garden</t>
  </si>
  <si>
    <t xml:space="preserve">Bilal </t>
  </si>
  <si>
    <t xml:space="preserve">Model Town </t>
  </si>
  <si>
    <t xml:space="preserve">Main Market </t>
  </si>
  <si>
    <t xml:space="preserve">Lake City </t>
  </si>
  <si>
    <t xml:space="preserve">Niaz Naig </t>
  </si>
  <si>
    <t xml:space="preserve">Shadbagh </t>
  </si>
  <si>
    <t xml:space="preserve">Rehman Garden </t>
  </si>
  <si>
    <t xml:space="preserve">Top Bakers </t>
  </si>
  <si>
    <t xml:space="preserve">Al reya Mart </t>
  </si>
  <si>
    <t xml:space="preserve">SS Bakers </t>
  </si>
  <si>
    <t>Nashter Bazar</t>
  </si>
  <si>
    <t>Rehmat Store</t>
  </si>
  <si>
    <t>Shahbaz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</si>
</sst>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family val="2"/>
    </font>
    <font>
      <b/>
      <sz val="11"/>
      <name val="Arial Unicode MS"/>
      <family val="2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3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4" fillId="0" borderId="15" xfId="1" applyNumberFormat="1" applyFont="1" applyBorder="1" applyAlignment="1">
      <alignment horizontal="right"/>
    </xf>
    <xf numFmtId="1" fontId="7" fillId="0" borderId="1" xfId="4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 wrapText="1"/>
    </xf>
    <xf numFmtId="2" fontId="15" fillId="8" borderId="13" xfId="0" applyNumberFormat="1" applyFont="1" applyFill="1" applyBorder="1" applyAlignment="1">
      <alignment horizontal="center" vertical="center"/>
    </xf>
    <xf numFmtId="2" fontId="15" fillId="8" borderId="16" xfId="0" applyNumberFormat="1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9" fontId="16" fillId="0" borderId="29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3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19" fillId="0" borderId="25" xfId="0" applyFont="1" applyBorder="1" applyAlignment="1">
      <alignment horizontal="left"/>
    </xf>
    <xf numFmtId="164" fontId="4" fillId="0" borderId="15" xfId="0" applyNumberFormat="1" applyFont="1" applyBorder="1" applyAlignment="1">
      <alignment vertical="top"/>
    </xf>
    <xf numFmtId="164" fontId="4" fillId="0" borderId="2" xfId="0" applyNumberFormat="1" applyFont="1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3" xfId="0" applyBorder="1"/>
    <xf numFmtId="164" fontId="4" fillId="0" borderId="3" xfId="0" applyNumberFormat="1" applyFont="1" applyBorder="1" applyAlignment="1">
      <alignment vertical="top"/>
    </xf>
    <xf numFmtId="1" fontId="7" fillId="0" borderId="3" xfId="4" applyNumberFormat="1" applyFont="1" applyBorder="1" applyAlignment="1">
      <alignment horizontal="right" wrapText="1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  <xf numFmtId="15" fontId="7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right"/>
    </xf>
    <xf numFmtId="0" fontId="4" fillId="0" borderId="1" xfId="0" applyFont="1" applyBorder="1"/>
    <xf numFmtId="1" fontId="4" fillId="0" borderId="1" xfId="0" applyNumberFormat="1" applyFont="1" applyBorder="1"/>
    <xf numFmtId="10" fontId="7" fillId="0" borderId="1" xfId="4" applyNumberFormat="1" applyFont="1" applyBorder="1" applyAlignment="1">
      <alignment horizontal="right"/>
    </xf>
    <xf numFmtId="9" fontId="4" fillId="0" borderId="3" xfId="2" applyFont="1" applyBorder="1" applyAlignment="1"/>
    <xf numFmtId="1" fontId="0" fillId="0" borderId="1" xfId="0" applyNumberFormat="1" applyBorder="1"/>
    <xf numFmtId="165" fontId="0" fillId="0" borderId="4" xfId="1" applyNumberFormat="1" applyFont="1" applyFill="1" applyBorder="1" applyAlignment="1"/>
    <xf numFmtId="0" fontId="0" fillId="0" borderId="15" xfId="0" applyBorder="1"/>
    <xf numFmtId="0" fontId="7" fillId="0" borderId="15" xfId="4" applyFont="1" applyBorder="1" applyAlignment="1">
      <alignment horizontal="center" vertical="center"/>
    </xf>
    <xf numFmtId="0" fontId="7" fillId="0" borderId="1" xfId="4" applyFont="1" applyBorder="1"/>
    <xf numFmtId="1" fontId="7" fillId="0" borderId="1" xfId="4" applyNumberFormat="1" applyFont="1" applyBorder="1" applyAlignment="1">
      <alignment horizontal="center" vertical="center"/>
    </xf>
    <xf numFmtId="15" fontId="7" fillId="0" borderId="1" xfId="4" applyNumberFormat="1" applyFont="1" applyBorder="1" applyAlignment="1">
      <alignment horizontal="right"/>
    </xf>
    <xf numFmtId="1" fontId="7" fillId="0" borderId="1" xfId="4" applyNumberFormat="1" applyFont="1" applyBorder="1" applyAlignment="1">
      <alignment horizontal="right"/>
    </xf>
    <xf numFmtId="0" fontId="0" fillId="0" borderId="2" xfId="0" applyBorder="1"/>
    <xf numFmtId="1" fontId="7" fillId="0" borderId="2" xfId="4" applyNumberFormat="1" applyFont="1" applyBorder="1" applyAlignment="1">
      <alignment horizontal="right"/>
    </xf>
    <xf numFmtId="1" fontId="7" fillId="0" borderId="15" xfId="4" applyNumberFormat="1" applyFont="1" applyBorder="1" applyAlignment="1">
      <alignment horizontal="right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4" applyBorder="1" applyAlignment="1">
      <alignment horizontal="center" vertical="center"/>
    </xf>
    <xf numFmtId="0" fontId="6" fillId="0" borderId="15" xfId="4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0" borderId="15" xfId="4" applyFont="1" applyBorder="1" applyAlignment="1">
      <alignment horizontal="right"/>
    </xf>
    <xf numFmtId="0" fontId="4" fillId="0" borderId="15" xfId="0" applyFont="1" applyBorder="1"/>
    <xf numFmtId="1" fontId="4" fillId="0" borderId="15" xfId="0" applyNumberFormat="1" applyFont="1" applyBorder="1"/>
    <xf numFmtId="10" fontId="7" fillId="0" borderId="15" xfId="4" applyNumberFormat="1" applyFont="1" applyBorder="1" applyAlignment="1">
      <alignment horizontal="right"/>
    </xf>
    <xf numFmtId="166" fontId="4" fillId="0" borderId="15" xfId="0" applyNumberFormat="1" applyFont="1" applyBorder="1" applyAlignment="1">
      <alignment horizontal="right"/>
    </xf>
    <xf numFmtId="1" fontId="0" fillId="0" borderId="15" xfId="0" applyNumberFormat="1" applyBorder="1"/>
    <xf numFmtId="0" fontId="7" fillId="0" borderId="1" xfId="4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sheetPr filterMode="1"/>
  <dimension ref="A1:AP868"/>
  <sheetViews>
    <sheetView tabSelected="1" workbookViewId="0">
      <pane xSplit="1" ySplit="2" topLeftCell="B850" activePane="bottomRight" state="frozen"/>
      <selection pane="topRight" activeCell="B1" sqref="B1"/>
      <selection pane="bottomLeft" activeCell="A3" sqref="A3"/>
      <selection pane="bottomRight" activeCell="G872" sqref="G872"/>
    </sheetView>
  </sheetViews>
  <sheetFormatPr defaultColWidth="8.26953125" defaultRowHeight="14.5" x14ac:dyDescent="0.35"/>
  <cols>
    <col min="1" max="1" width="9.7265625" bestFit="1" customWidth="1"/>
    <col min="2" max="2" width="11.54296875" style="8" bestFit="1" customWidth="1"/>
    <col min="3" max="3" width="19.81640625" bestFit="1" customWidth="1"/>
    <col min="4" max="4" width="19.26953125" style="50" bestFit="1" customWidth="1"/>
    <col min="5" max="5" width="9" bestFit="1" customWidth="1"/>
    <col min="6" max="6" width="14.7265625" bestFit="1" customWidth="1"/>
    <col min="7" max="7" width="23.26953125" customWidth="1"/>
    <col min="8" max="8" width="16.7265625" customWidth="1"/>
    <col min="9" max="9" width="26.26953125" customWidth="1"/>
    <col min="10" max="10" width="13.26953125" customWidth="1"/>
    <col min="11" max="11" width="9.81640625" customWidth="1"/>
    <col min="12" max="12" width="11.1796875" customWidth="1"/>
    <col min="13" max="13" width="12.1796875" customWidth="1"/>
    <col min="14" max="14" width="9.54296875" customWidth="1"/>
    <col min="15" max="15" width="10.1796875" customWidth="1"/>
    <col min="16" max="16" width="12.1796875" customWidth="1"/>
    <col min="17" max="17" width="13.26953125" customWidth="1"/>
    <col min="18" max="18" width="10.54296875" customWidth="1"/>
    <col min="19" max="19" width="9.1796875" bestFit="1" customWidth="1"/>
    <col min="20" max="20" width="14.81640625" bestFit="1" customWidth="1"/>
    <col min="21" max="21" width="15.26953125" bestFit="1" customWidth="1"/>
    <col min="22" max="22" width="16.26953125" bestFit="1" customWidth="1"/>
    <col min="23" max="23" width="13.7265625" bestFit="1" customWidth="1"/>
    <col min="24" max="24" width="14.26953125" bestFit="1" customWidth="1"/>
    <col min="25" max="25" width="16.26953125" bestFit="1" customWidth="1"/>
    <col min="26" max="26" width="17.453125" bestFit="1" customWidth="1"/>
    <col min="27" max="27" width="14.7265625" bestFit="1" customWidth="1"/>
    <col min="28" max="29" width="15.26953125" bestFit="1" customWidth="1"/>
    <col min="30" max="30" width="16.26953125" bestFit="1" customWidth="1"/>
    <col min="31" max="31" width="15.81640625" bestFit="1" customWidth="1"/>
    <col min="32" max="32" width="11.1796875" style="6" bestFit="1" customWidth="1"/>
    <col min="33" max="33" width="13.26953125" bestFit="1" customWidth="1"/>
    <col min="34" max="34" width="19.81640625" bestFit="1" customWidth="1"/>
    <col min="35" max="35" width="12.7265625" bestFit="1" customWidth="1"/>
    <col min="36" max="36" width="11" bestFit="1" customWidth="1"/>
    <col min="37" max="37" width="16.54296875" bestFit="1" customWidth="1"/>
    <col min="38" max="38" width="16.453125" bestFit="1" customWidth="1"/>
    <col min="39" max="39" width="18.453125" bestFit="1" customWidth="1"/>
    <col min="40" max="40" width="12.81640625" style="7" bestFit="1" customWidth="1"/>
    <col min="41" max="41" width="20" style="7" bestFit="1" customWidth="1"/>
    <col min="42" max="42" width="13.1796875" bestFit="1" customWidth="1"/>
  </cols>
  <sheetData>
    <row r="1" spans="1:42" s="2" customFormat="1" x14ac:dyDescent="0.35">
      <c r="A1" s="123" t="s">
        <v>0</v>
      </c>
      <c r="B1" s="123" t="s">
        <v>1</v>
      </c>
      <c r="C1" s="123" t="s">
        <v>2</v>
      </c>
      <c r="D1" s="123" t="s">
        <v>3</v>
      </c>
      <c r="E1" s="123" t="s">
        <v>4</v>
      </c>
      <c r="F1" s="123" t="s">
        <v>5</v>
      </c>
      <c r="G1" s="123" t="s">
        <v>6</v>
      </c>
      <c r="H1" s="123" t="s">
        <v>7</v>
      </c>
      <c r="I1" s="1" t="s">
        <v>26</v>
      </c>
      <c r="J1" s="42"/>
      <c r="K1" s="123" t="s">
        <v>8</v>
      </c>
      <c r="L1" s="123"/>
      <c r="M1" s="123"/>
      <c r="N1" s="123"/>
      <c r="O1" s="125" t="s">
        <v>9</v>
      </c>
      <c r="P1" s="126"/>
      <c r="Q1" s="126"/>
      <c r="R1" s="126"/>
      <c r="S1" s="121" t="s">
        <v>10</v>
      </c>
      <c r="T1" s="124" t="s">
        <v>11</v>
      </c>
      <c r="U1" s="124"/>
      <c r="V1" s="124"/>
      <c r="W1" s="124"/>
      <c r="X1" s="124" t="s">
        <v>12</v>
      </c>
      <c r="Y1" s="124"/>
      <c r="Z1" s="124"/>
      <c r="AA1" s="124"/>
      <c r="AB1" s="121" t="s">
        <v>65</v>
      </c>
      <c r="AC1" s="121" t="s">
        <v>13</v>
      </c>
      <c r="AD1" s="121" t="s">
        <v>14</v>
      </c>
      <c r="AE1" s="121" t="s">
        <v>15</v>
      </c>
      <c r="AF1" s="121" t="s">
        <v>16</v>
      </c>
      <c r="AG1" s="121" t="s">
        <v>17</v>
      </c>
      <c r="AH1" s="84">
        <v>3.5000000000000003E-2</v>
      </c>
      <c r="AI1" s="121" t="s">
        <v>18</v>
      </c>
      <c r="AJ1" s="121" t="s">
        <v>19</v>
      </c>
      <c r="AK1" s="121" t="s">
        <v>20</v>
      </c>
      <c r="AL1" s="121" t="s">
        <v>21</v>
      </c>
      <c r="AM1" s="121" t="s">
        <v>22</v>
      </c>
      <c r="AN1" s="119" t="s">
        <v>23</v>
      </c>
      <c r="AO1" s="119" t="s">
        <v>24</v>
      </c>
      <c r="AP1" s="121" t="s">
        <v>25</v>
      </c>
    </row>
    <row r="2" spans="1:42" s="2" customFormat="1" hidden="1" x14ac:dyDescent="0.35">
      <c r="A2" s="123"/>
      <c r="B2" s="123"/>
      <c r="C2" s="123"/>
      <c r="D2" s="123"/>
      <c r="E2" s="123"/>
      <c r="F2" s="123"/>
      <c r="G2" s="123"/>
      <c r="H2" s="123"/>
      <c r="I2" s="1" t="s">
        <v>26</v>
      </c>
      <c r="J2" s="42" t="s">
        <v>62</v>
      </c>
      <c r="K2" s="1" t="s">
        <v>28</v>
      </c>
      <c r="L2" s="1" t="s">
        <v>27</v>
      </c>
      <c r="M2" s="1" t="s">
        <v>67</v>
      </c>
      <c r="N2" s="1" t="s">
        <v>29</v>
      </c>
      <c r="O2" s="1" t="s">
        <v>69</v>
      </c>
      <c r="P2" s="1" t="s">
        <v>30</v>
      </c>
      <c r="Q2" s="1" t="s">
        <v>70</v>
      </c>
      <c r="R2" s="1" t="s">
        <v>31</v>
      </c>
      <c r="S2" s="122"/>
      <c r="T2" s="83" t="s">
        <v>73</v>
      </c>
      <c r="U2" s="83" t="s">
        <v>32</v>
      </c>
      <c r="V2" s="83" t="s">
        <v>68</v>
      </c>
      <c r="W2" s="83" t="s">
        <v>33</v>
      </c>
      <c r="X2" s="83" t="s">
        <v>71</v>
      </c>
      <c r="Y2" s="83" t="s">
        <v>34</v>
      </c>
      <c r="Z2" s="83" t="s">
        <v>72</v>
      </c>
      <c r="AA2" s="83" t="s">
        <v>35</v>
      </c>
      <c r="AB2" s="122"/>
      <c r="AC2" s="122"/>
      <c r="AD2" s="122"/>
      <c r="AE2" s="122"/>
      <c r="AF2" s="122"/>
      <c r="AG2" s="122"/>
      <c r="AH2" s="82" t="s">
        <v>66</v>
      </c>
      <c r="AI2" s="122"/>
      <c r="AJ2" s="122"/>
      <c r="AK2" s="122"/>
      <c r="AL2" s="122"/>
      <c r="AM2" s="122"/>
      <c r="AN2" s="120"/>
      <c r="AO2" s="120"/>
      <c r="AP2" s="122"/>
    </row>
    <row r="3" spans="1:42" x14ac:dyDescent="0.35">
      <c r="A3" s="85">
        <v>46204</v>
      </c>
      <c r="B3" s="51" t="s">
        <v>85</v>
      </c>
      <c r="C3" s="97">
        <v>123156</v>
      </c>
      <c r="D3" s="97">
        <v>5643</v>
      </c>
      <c r="E3" s="48" t="s">
        <v>86</v>
      </c>
      <c r="F3" s="86" t="s">
        <v>87</v>
      </c>
      <c r="G3" s="86" t="s">
        <v>88</v>
      </c>
      <c r="H3" s="86" t="s">
        <v>89</v>
      </c>
      <c r="I3" s="48" t="s">
        <v>90</v>
      </c>
      <c r="J3" s="103"/>
      <c r="K3" s="86">
        <v>80</v>
      </c>
      <c r="L3" s="86">
        <v>80</v>
      </c>
      <c r="M3" s="86"/>
      <c r="N3" s="104">
        <f>K3+L3+M3</f>
        <v>160</v>
      </c>
      <c r="O3" s="105">
        <v>80</v>
      </c>
      <c r="P3" s="105">
        <v>80</v>
      </c>
      <c r="Q3" s="105">
        <v>80</v>
      </c>
      <c r="R3" s="104">
        <f t="shared" ref="R3:R66" si="0">SUM(O3:Q3)</f>
        <v>240</v>
      </c>
      <c r="S3" s="86">
        <f>R3+N3+J3</f>
        <v>400</v>
      </c>
      <c r="T3" s="87"/>
      <c r="U3" s="87">
        <v>79950</v>
      </c>
      <c r="V3" s="87"/>
      <c r="W3" s="88"/>
      <c r="X3" s="87"/>
      <c r="Y3" s="87"/>
      <c r="Z3" s="87"/>
      <c r="AA3" s="88"/>
      <c r="AB3" s="88">
        <v>39.270000000000003</v>
      </c>
      <c r="AC3" s="88">
        <v>52.462499999999999</v>
      </c>
      <c r="AD3" s="88">
        <v>72.64</v>
      </c>
      <c r="AE3" s="89">
        <f>(J3*AB3)+(N3*AC3)+(AD3*S3)</f>
        <v>37450</v>
      </c>
      <c r="AF3" s="90">
        <v>0.08</v>
      </c>
      <c r="AG3" s="4">
        <f>AE3*AF3</f>
        <v>2996</v>
      </c>
      <c r="AH3" s="49">
        <f>(AB3*J3)*$AH$1</f>
        <v>0</v>
      </c>
      <c r="AI3" s="89">
        <f>AE3-AG3-AH3</f>
        <v>34454</v>
      </c>
      <c r="AJ3" s="91">
        <v>0.18</v>
      </c>
      <c r="AK3" s="5">
        <f>AI3*AJ3</f>
        <v>6201.7199999999993</v>
      </c>
      <c r="AL3" s="89">
        <f>AI3+AK3</f>
        <v>40655.72</v>
      </c>
      <c r="AM3" s="92"/>
      <c r="AN3" s="92"/>
      <c r="AO3" s="3"/>
      <c r="AP3" s="92"/>
    </row>
    <row r="4" spans="1:42" x14ac:dyDescent="0.35">
      <c r="A4" s="85">
        <v>46204</v>
      </c>
      <c r="B4" s="51" t="s">
        <v>85</v>
      </c>
      <c r="C4" s="97">
        <v>12313212</v>
      </c>
      <c r="D4" s="97">
        <v>5464</v>
      </c>
      <c r="E4" s="48" t="s">
        <v>86</v>
      </c>
      <c r="F4" s="86" t="s">
        <v>87</v>
      </c>
      <c r="G4" s="86" t="s">
        <v>88</v>
      </c>
      <c r="H4" s="86" t="s">
        <v>89</v>
      </c>
      <c r="I4" s="48" t="s">
        <v>91</v>
      </c>
      <c r="J4" s="103"/>
      <c r="K4" s="105">
        <v>80</v>
      </c>
      <c r="L4" s="105">
        <v>80</v>
      </c>
      <c r="M4" s="105"/>
      <c r="N4" s="104">
        <f t="shared" ref="N4:N67" si="1">K4+L4+M4</f>
        <v>160</v>
      </c>
      <c r="O4" s="86">
        <v>80</v>
      </c>
      <c r="P4" s="86">
        <v>80</v>
      </c>
      <c r="Q4" s="86">
        <v>80</v>
      </c>
      <c r="R4" s="104">
        <f t="shared" si="0"/>
        <v>240</v>
      </c>
      <c r="S4" s="86">
        <f t="shared" ref="S4:S67" si="2">R4+N4+J4</f>
        <v>400</v>
      </c>
      <c r="T4" s="87"/>
      <c r="U4" s="87">
        <f>U3/40</f>
        <v>1998.75</v>
      </c>
      <c r="V4" s="87"/>
      <c r="W4" s="88"/>
      <c r="X4" s="87"/>
      <c r="Y4" s="87"/>
      <c r="Z4" s="87"/>
      <c r="AA4" s="88"/>
      <c r="AB4" s="88">
        <v>39.270000000000003</v>
      </c>
      <c r="AC4" s="88">
        <v>52.462499999999999</v>
      </c>
      <c r="AD4" s="88">
        <v>72.64</v>
      </c>
      <c r="AE4" s="89">
        <f t="shared" ref="AE4:AE69" si="3">(J4*AB4)+(N4*AC4)+(AD4*S4)</f>
        <v>37450</v>
      </c>
      <c r="AF4" s="90">
        <v>6.5000000000000002E-2</v>
      </c>
      <c r="AG4" s="4">
        <f t="shared" ref="AG4:AG55" si="4">AE4*AF4</f>
        <v>2434.25</v>
      </c>
      <c r="AH4" s="49">
        <f t="shared" ref="AH4:AH69" si="5">(AB4*J4)*$AH$1</f>
        <v>0</v>
      </c>
      <c r="AI4" s="89">
        <f t="shared" ref="AI4:AI69" si="6">AE4-AG4</f>
        <v>35015.75</v>
      </c>
      <c r="AJ4" s="91">
        <v>0.18</v>
      </c>
      <c r="AK4" s="5">
        <f t="shared" ref="AK4:AK69" si="7">AI4*AJ4</f>
        <v>6302.835</v>
      </c>
      <c r="AL4" s="89">
        <f t="shared" ref="AL4:AL69" si="8">AI4+AK4</f>
        <v>41318.584999999999</v>
      </c>
      <c r="AM4" s="92"/>
      <c r="AN4" s="92"/>
      <c r="AO4" s="3"/>
      <c r="AP4" s="92"/>
    </row>
    <row r="5" spans="1:42" x14ac:dyDescent="0.35">
      <c r="A5" s="85">
        <v>46204</v>
      </c>
      <c r="B5" s="51" t="s">
        <v>85</v>
      </c>
      <c r="C5" s="97">
        <v>156165</v>
      </c>
      <c r="D5" s="97">
        <v>1523</v>
      </c>
      <c r="E5" s="48" t="s">
        <v>86</v>
      </c>
      <c r="F5" s="86" t="s">
        <v>87</v>
      </c>
      <c r="G5" s="86" t="s">
        <v>88</v>
      </c>
      <c r="H5" s="86" t="s">
        <v>89</v>
      </c>
      <c r="I5" s="48" t="s">
        <v>92</v>
      </c>
      <c r="J5" s="103"/>
      <c r="K5" s="86">
        <v>80</v>
      </c>
      <c r="L5" s="86">
        <v>80</v>
      </c>
      <c r="M5" s="86"/>
      <c r="N5" s="104">
        <f t="shared" si="1"/>
        <v>160</v>
      </c>
      <c r="O5" s="86">
        <v>80</v>
      </c>
      <c r="P5" s="86">
        <v>80</v>
      </c>
      <c r="Q5" s="86">
        <v>80</v>
      </c>
      <c r="R5" s="104">
        <f t="shared" si="0"/>
        <v>240</v>
      </c>
      <c r="S5" s="86">
        <f t="shared" si="2"/>
        <v>400</v>
      </c>
      <c r="T5" s="87"/>
      <c r="U5" s="87"/>
      <c r="V5" s="87"/>
      <c r="W5" s="88"/>
      <c r="X5" s="87"/>
      <c r="Y5" s="87"/>
      <c r="Z5" s="87"/>
      <c r="AA5" s="88"/>
      <c r="AB5" s="88">
        <v>39.270000000000003</v>
      </c>
      <c r="AC5" s="88">
        <v>52.462499999999999</v>
      </c>
      <c r="AD5" s="88">
        <v>72.64</v>
      </c>
      <c r="AE5" s="89">
        <f t="shared" si="3"/>
        <v>37450</v>
      </c>
      <c r="AF5" s="90">
        <v>6.5000000000000002E-2</v>
      </c>
      <c r="AG5" s="4">
        <f t="shared" si="4"/>
        <v>2434.25</v>
      </c>
      <c r="AH5" s="49">
        <f t="shared" si="5"/>
        <v>0</v>
      </c>
      <c r="AI5" s="89">
        <f t="shared" si="6"/>
        <v>35015.75</v>
      </c>
      <c r="AJ5" s="91">
        <v>0.18</v>
      </c>
      <c r="AK5" s="5">
        <f t="shared" si="7"/>
        <v>6302.835</v>
      </c>
      <c r="AL5" s="89">
        <f t="shared" si="8"/>
        <v>41318.584999999999</v>
      </c>
      <c r="AM5" s="92"/>
      <c r="AN5" s="92"/>
      <c r="AO5" s="3"/>
      <c r="AP5" s="92"/>
    </row>
    <row r="6" spans="1:42" x14ac:dyDescent="0.35">
      <c r="A6" s="85">
        <v>46204</v>
      </c>
      <c r="B6" s="51" t="s">
        <v>85</v>
      </c>
      <c r="C6" s="97">
        <v>1561531</v>
      </c>
      <c r="D6" s="97">
        <v>5461</v>
      </c>
      <c r="E6" s="48" t="s">
        <v>86</v>
      </c>
      <c r="F6" s="86" t="s">
        <v>87</v>
      </c>
      <c r="G6" s="86" t="s">
        <v>88</v>
      </c>
      <c r="H6" s="86" t="s">
        <v>89</v>
      </c>
      <c r="I6" s="48" t="s">
        <v>93</v>
      </c>
      <c r="J6" s="103"/>
      <c r="K6" s="105">
        <v>80</v>
      </c>
      <c r="L6" s="105">
        <v>80</v>
      </c>
      <c r="M6" s="105"/>
      <c r="N6" s="104">
        <f t="shared" si="1"/>
        <v>160</v>
      </c>
      <c r="O6" s="105">
        <v>40</v>
      </c>
      <c r="P6" s="105">
        <v>40</v>
      </c>
      <c r="Q6" s="86">
        <v>40</v>
      </c>
      <c r="R6" s="104">
        <f t="shared" si="0"/>
        <v>120</v>
      </c>
      <c r="S6" s="86">
        <f t="shared" si="2"/>
        <v>280</v>
      </c>
      <c r="T6" s="87"/>
      <c r="U6" s="87"/>
      <c r="V6" s="87"/>
      <c r="W6" s="88"/>
      <c r="X6" s="87"/>
      <c r="Y6" s="87"/>
      <c r="Z6" s="87"/>
      <c r="AA6" s="88"/>
      <c r="AB6" s="88">
        <v>39.270000000000003</v>
      </c>
      <c r="AC6" s="88">
        <v>52.462499999999999</v>
      </c>
      <c r="AD6" s="88">
        <v>72.64</v>
      </c>
      <c r="AE6" s="89">
        <f t="shared" si="3"/>
        <v>28733.200000000001</v>
      </c>
      <c r="AF6" s="90">
        <v>6.5000000000000002E-2</v>
      </c>
      <c r="AG6" s="4">
        <f t="shared" si="4"/>
        <v>1867.6580000000001</v>
      </c>
      <c r="AH6" s="49">
        <f t="shared" si="5"/>
        <v>0</v>
      </c>
      <c r="AI6" s="89">
        <f t="shared" si="6"/>
        <v>26865.542000000001</v>
      </c>
      <c r="AJ6" s="91">
        <v>0.18</v>
      </c>
      <c r="AK6" s="5">
        <f t="shared" si="7"/>
        <v>4835.79756</v>
      </c>
      <c r="AL6" s="89">
        <f t="shared" si="8"/>
        <v>31701.33956</v>
      </c>
      <c r="AM6" s="92"/>
      <c r="AN6" s="92"/>
      <c r="AO6" s="3"/>
      <c r="AP6" s="92"/>
    </row>
    <row r="7" spans="1:42" ht="15" thickBot="1" x14ac:dyDescent="0.4">
      <c r="A7" s="85">
        <v>46204</v>
      </c>
      <c r="B7" s="51" t="s">
        <v>85</v>
      </c>
      <c r="C7" s="97">
        <v>1561561</v>
      </c>
      <c r="D7" s="97">
        <v>2316</v>
      </c>
      <c r="E7" s="48" t="s">
        <v>86</v>
      </c>
      <c r="F7" s="86" t="s">
        <v>87</v>
      </c>
      <c r="G7" s="86" t="s">
        <v>88</v>
      </c>
      <c r="H7" s="86" t="s">
        <v>89</v>
      </c>
      <c r="I7" s="48" t="s">
        <v>94</v>
      </c>
      <c r="J7" s="52"/>
      <c r="K7" s="105">
        <v>40</v>
      </c>
      <c r="L7" s="105">
        <v>40</v>
      </c>
      <c r="M7" s="105"/>
      <c r="N7" s="104">
        <f t="shared" si="1"/>
        <v>80</v>
      </c>
      <c r="O7" s="86">
        <v>40</v>
      </c>
      <c r="P7" s="86">
        <v>40</v>
      </c>
      <c r="Q7" s="86">
        <v>40</v>
      </c>
      <c r="R7" s="104">
        <f t="shared" si="0"/>
        <v>120</v>
      </c>
      <c r="S7" s="86">
        <f t="shared" si="2"/>
        <v>200</v>
      </c>
      <c r="T7" s="87"/>
      <c r="U7" s="87"/>
      <c r="V7" s="87"/>
      <c r="W7" s="88"/>
      <c r="X7" s="87"/>
      <c r="Y7" s="87"/>
      <c r="Z7" s="87"/>
      <c r="AA7" s="88"/>
      <c r="AB7" s="88">
        <v>39.270000000000003</v>
      </c>
      <c r="AC7" s="88">
        <v>52.462499999999999</v>
      </c>
      <c r="AD7" s="88">
        <v>72.64</v>
      </c>
      <c r="AE7" s="89">
        <f t="shared" si="3"/>
        <v>18725</v>
      </c>
      <c r="AF7" s="90">
        <v>6.5000000000000002E-2</v>
      </c>
      <c r="AG7" s="4">
        <f>AE7*AF7</f>
        <v>1217.125</v>
      </c>
      <c r="AH7" s="49">
        <f t="shared" si="5"/>
        <v>0</v>
      </c>
      <c r="AI7" s="89">
        <f t="shared" si="6"/>
        <v>17507.875</v>
      </c>
      <c r="AJ7" s="91">
        <v>0.18</v>
      </c>
      <c r="AK7" s="5">
        <f t="shared" si="7"/>
        <v>3151.4175</v>
      </c>
      <c r="AL7" s="89">
        <f t="shared" si="8"/>
        <v>20659.2925</v>
      </c>
      <c r="AM7" s="93" t="e">
        <f>SUM(#REF!)</f>
        <v>#REF!</v>
      </c>
      <c r="AN7" s="93" t="e">
        <f>SUM(#REF!)</f>
        <v>#REF!</v>
      </c>
      <c r="AO7" s="93" t="e">
        <f>SUM(#REF!)</f>
        <v>#REF!</v>
      </c>
      <c r="AP7" s="92"/>
    </row>
    <row r="8" spans="1:42" x14ac:dyDescent="0.35">
      <c r="A8" s="85">
        <v>46204</v>
      </c>
      <c r="B8" s="51" t="s">
        <v>85</v>
      </c>
      <c r="C8" s="97">
        <v>1561561</v>
      </c>
      <c r="D8" s="97">
        <v>2084.3000000000002</v>
      </c>
      <c r="E8" s="48" t="s">
        <v>86</v>
      </c>
      <c r="F8" s="86" t="s">
        <v>87</v>
      </c>
      <c r="G8" s="86" t="s">
        <v>88</v>
      </c>
      <c r="H8" s="86" t="s">
        <v>89</v>
      </c>
      <c r="I8" s="48" t="s">
        <v>95</v>
      </c>
      <c r="J8" s="52"/>
      <c r="K8" s="86">
        <v>40</v>
      </c>
      <c r="L8" s="86">
        <v>40</v>
      </c>
      <c r="M8" s="86"/>
      <c r="N8" s="104">
        <f t="shared" si="1"/>
        <v>80</v>
      </c>
      <c r="O8" s="86">
        <v>40</v>
      </c>
      <c r="P8" s="86">
        <v>80</v>
      </c>
      <c r="Q8" s="86">
        <v>80</v>
      </c>
      <c r="R8" s="104">
        <f t="shared" si="0"/>
        <v>200</v>
      </c>
      <c r="S8" s="86">
        <f t="shared" si="2"/>
        <v>280</v>
      </c>
      <c r="T8" s="87"/>
      <c r="U8" s="87"/>
      <c r="V8" s="87"/>
      <c r="W8" s="88"/>
      <c r="X8" s="87"/>
      <c r="Y8" s="87"/>
      <c r="Z8" s="87"/>
      <c r="AA8" s="88"/>
      <c r="AB8" s="88">
        <v>39.270000000000003</v>
      </c>
      <c r="AC8" s="88">
        <v>52.462499999999999</v>
      </c>
      <c r="AD8" s="88">
        <v>72.64</v>
      </c>
      <c r="AE8" s="89">
        <f t="shared" si="3"/>
        <v>24536.2</v>
      </c>
      <c r="AF8" s="90">
        <v>6.5000000000000002E-2</v>
      </c>
      <c r="AG8" s="4">
        <f t="shared" si="4"/>
        <v>1594.8530000000001</v>
      </c>
      <c r="AH8" s="49">
        <f t="shared" si="5"/>
        <v>0</v>
      </c>
      <c r="AI8" s="89">
        <f t="shared" si="6"/>
        <v>22941.347000000002</v>
      </c>
      <c r="AJ8" s="91">
        <v>0.18</v>
      </c>
      <c r="AK8" s="5">
        <f t="shared" si="7"/>
        <v>4129.4424600000002</v>
      </c>
      <c r="AL8" s="89">
        <f t="shared" si="8"/>
        <v>27070.78946</v>
      </c>
      <c r="AN8"/>
      <c r="AP8" s="92"/>
    </row>
    <row r="9" spans="1:42" x14ac:dyDescent="0.35">
      <c r="A9" s="85">
        <v>46204</v>
      </c>
      <c r="B9" s="51" t="s">
        <v>85</v>
      </c>
      <c r="C9" s="97">
        <v>1561561</v>
      </c>
      <c r="D9" s="97">
        <v>1418.6</v>
      </c>
      <c r="E9" s="48" t="s">
        <v>86</v>
      </c>
      <c r="F9" s="86" t="s">
        <v>87</v>
      </c>
      <c r="G9" s="86" t="s">
        <v>88</v>
      </c>
      <c r="H9" s="86" t="s">
        <v>89</v>
      </c>
      <c r="I9" s="48" t="s">
        <v>96</v>
      </c>
      <c r="J9" s="52"/>
      <c r="K9" s="86">
        <v>80</v>
      </c>
      <c r="L9" s="86">
        <v>80</v>
      </c>
      <c r="M9" s="86"/>
      <c r="N9" s="104">
        <f t="shared" si="1"/>
        <v>160</v>
      </c>
      <c r="O9" s="86">
        <v>40</v>
      </c>
      <c r="P9" s="86">
        <v>40</v>
      </c>
      <c r="Q9" s="86">
        <v>40</v>
      </c>
      <c r="R9" s="104">
        <f t="shared" si="0"/>
        <v>120</v>
      </c>
      <c r="S9" s="86">
        <f t="shared" si="2"/>
        <v>280</v>
      </c>
      <c r="T9" s="87"/>
      <c r="U9" s="87"/>
      <c r="V9" s="87"/>
      <c r="W9" s="88"/>
      <c r="X9" s="87"/>
      <c r="Y9" s="87"/>
      <c r="Z9" s="87"/>
      <c r="AA9" s="88"/>
      <c r="AB9" s="88">
        <v>39.270000000000003</v>
      </c>
      <c r="AC9" s="88">
        <v>52.462499999999999</v>
      </c>
      <c r="AD9" s="88">
        <v>72.64</v>
      </c>
      <c r="AE9" s="89">
        <f t="shared" si="3"/>
        <v>28733.200000000001</v>
      </c>
      <c r="AF9" s="90">
        <v>0.1</v>
      </c>
      <c r="AG9" s="4">
        <f t="shared" si="4"/>
        <v>2873.32</v>
      </c>
      <c r="AH9" s="49">
        <f t="shared" si="5"/>
        <v>0</v>
      </c>
      <c r="AI9" s="89">
        <f t="shared" si="6"/>
        <v>25859.88</v>
      </c>
      <c r="AJ9" s="91">
        <v>0.18</v>
      </c>
      <c r="AK9" s="5">
        <f t="shared" si="7"/>
        <v>4654.7784000000001</v>
      </c>
      <c r="AL9" s="89">
        <f t="shared" si="8"/>
        <v>30514.6584</v>
      </c>
      <c r="AN9"/>
      <c r="AP9" s="92"/>
    </row>
    <row r="10" spans="1:42" x14ac:dyDescent="0.35">
      <c r="A10" s="85">
        <v>46204</v>
      </c>
      <c r="B10" s="51" t="s">
        <v>85</v>
      </c>
      <c r="C10" s="97">
        <v>1561561</v>
      </c>
      <c r="D10" s="97">
        <v>752.900000000001</v>
      </c>
      <c r="E10" s="48" t="s">
        <v>86</v>
      </c>
      <c r="F10" s="86" t="s">
        <v>87</v>
      </c>
      <c r="G10" s="86" t="s">
        <v>88</v>
      </c>
      <c r="H10" s="86" t="s">
        <v>89</v>
      </c>
      <c r="I10" s="48" t="s">
        <v>97</v>
      </c>
      <c r="J10" s="52"/>
      <c r="K10" s="86">
        <v>40</v>
      </c>
      <c r="L10" s="86">
        <v>40</v>
      </c>
      <c r="M10" s="86"/>
      <c r="N10" s="104">
        <f t="shared" si="1"/>
        <v>80</v>
      </c>
      <c r="O10" s="86">
        <v>40</v>
      </c>
      <c r="P10" s="86">
        <v>40</v>
      </c>
      <c r="Q10" s="86">
        <v>40</v>
      </c>
      <c r="R10" s="104">
        <f t="shared" si="0"/>
        <v>120</v>
      </c>
      <c r="S10" s="86">
        <f t="shared" si="2"/>
        <v>200</v>
      </c>
      <c r="T10" s="87"/>
      <c r="U10" s="87"/>
      <c r="V10" s="87"/>
      <c r="W10" s="88"/>
      <c r="X10" s="87"/>
      <c r="Y10" s="87"/>
      <c r="Z10" s="87"/>
      <c r="AA10" s="88"/>
      <c r="AB10" s="88">
        <v>39.270000000000003</v>
      </c>
      <c r="AC10" s="88">
        <v>52.462499999999999</v>
      </c>
      <c r="AD10" s="88">
        <v>72.64</v>
      </c>
      <c r="AE10" s="89">
        <f t="shared" si="3"/>
        <v>18725</v>
      </c>
      <c r="AF10" s="90">
        <v>6.5000000000000002E-2</v>
      </c>
      <c r="AG10" s="4">
        <f t="shared" si="4"/>
        <v>1217.125</v>
      </c>
      <c r="AH10" s="49">
        <f t="shared" si="5"/>
        <v>0</v>
      </c>
      <c r="AI10" s="89">
        <f t="shared" si="6"/>
        <v>17507.875</v>
      </c>
      <c r="AJ10" s="91">
        <v>0.18</v>
      </c>
      <c r="AK10" s="5">
        <f t="shared" si="7"/>
        <v>3151.4175</v>
      </c>
      <c r="AL10" s="89">
        <f t="shared" si="8"/>
        <v>20659.2925</v>
      </c>
      <c r="AP10" s="92"/>
    </row>
    <row r="11" spans="1:42" x14ac:dyDescent="0.35">
      <c r="A11" s="85">
        <v>46204</v>
      </c>
      <c r="B11" s="51" t="s">
        <v>85</v>
      </c>
      <c r="C11" s="97">
        <v>435402.67857142998</v>
      </c>
      <c r="D11" s="97">
        <v>87.199999999999804</v>
      </c>
      <c r="E11" s="48" t="s">
        <v>86</v>
      </c>
      <c r="F11" s="86" t="s">
        <v>87</v>
      </c>
      <c r="G11" s="86" t="s">
        <v>88</v>
      </c>
      <c r="H11" s="86" t="s">
        <v>89</v>
      </c>
      <c r="I11" s="48" t="s">
        <v>98</v>
      </c>
      <c r="J11" s="52"/>
      <c r="K11" s="105">
        <v>40</v>
      </c>
      <c r="L11" s="105">
        <v>40</v>
      </c>
      <c r="M11" s="105"/>
      <c r="N11" s="104">
        <f t="shared" si="1"/>
        <v>80</v>
      </c>
      <c r="O11" s="105">
        <v>40</v>
      </c>
      <c r="P11" s="86">
        <v>40</v>
      </c>
      <c r="Q11" s="105">
        <v>40</v>
      </c>
      <c r="R11" s="104">
        <f t="shared" si="0"/>
        <v>120</v>
      </c>
      <c r="S11" s="86">
        <f t="shared" si="2"/>
        <v>200</v>
      </c>
      <c r="T11" s="87"/>
      <c r="U11" s="87"/>
      <c r="V11" s="87"/>
      <c r="W11" s="88"/>
      <c r="X11" s="87"/>
      <c r="Y11" s="87"/>
      <c r="Z11" s="87"/>
      <c r="AA11" s="88"/>
      <c r="AB11" s="88">
        <v>39.270000000000003</v>
      </c>
      <c r="AC11" s="88">
        <v>52.462499999999999</v>
      </c>
      <c r="AD11" s="88">
        <v>72.64</v>
      </c>
      <c r="AE11" s="89">
        <f t="shared" si="3"/>
        <v>18725</v>
      </c>
      <c r="AF11" s="90">
        <v>6.5000000000000002E-2</v>
      </c>
      <c r="AG11" s="4">
        <f t="shared" si="4"/>
        <v>1217.125</v>
      </c>
      <c r="AH11" s="49">
        <f t="shared" si="5"/>
        <v>0</v>
      </c>
      <c r="AI11" s="89">
        <f t="shared" si="6"/>
        <v>17507.875</v>
      </c>
      <c r="AJ11" s="91">
        <v>0.18</v>
      </c>
      <c r="AK11" s="5">
        <f t="shared" si="7"/>
        <v>3151.4175</v>
      </c>
      <c r="AL11" s="89">
        <f t="shared" si="8"/>
        <v>20659.2925</v>
      </c>
      <c r="AP11" s="92"/>
    </row>
    <row r="12" spans="1:42" x14ac:dyDescent="0.35">
      <c r="A12" s="85">
        <v>46204</v>
      </c>
      <c r="B12" s="51" t="s">
        <v>85</v>
      </c>
      <c r="C12" s="97">
        <v>34516.392857139901</v>
      </c>
      <c r="D12" s="97">
        <v>578.5</v>
      </c>
      <c r="E12" s="48" t="s">
        <v>86</v>
      </c>
      <c r="F12" s="86" t="s">
        <v>87</v>
      </c>
      <c r="G12" s="86" t="s">
        <v>88</v>
      </c>
      <c r="H12" s="86" t="s">
        <v>89</v>
      </c>
      <c r="I12" s="48" t="s">
        <v>99</v>
      </c>
      <c r="J12" s="52"/>
      <c r="K12" s="86">
        <v>40</v>
      </c>
      <c r="L12" s="105">
        <v>40</v>
      </c>
      <c r="M12" s="86"/>
      <c r="N12" s="104">
        <f t="shared" si="1"/>
        <v>80</v>
      </c>
      <c r="O12" s="105">
        <v>40</v>
      </c>
      <c r="P12" s="105">
        <v>40</v>
      </c>
      <c r="Q12" s="105">
        <v>40</v>
      </c>
      <c r="R12" s="104">
        <f t="shared" si="0"/>
        <v>120</v>
      </c>
      <c r="S12" s="86">
        <f t="shared" si="2"/>
        <v>200</v>
      </c>
      <c r="T12" s="87"/>
      <c r="U12" s="87"/>
      <c r="V12" s="87"/>
      <c r="W12" s="88"/>
      <c r="X12" s="87"/>
      <c r="Y12" s="87"/>
      <c r="Z12" s="87"/>
      <c r="AA12" s="88"/>
      <c r="AB12" s="88">
        <v>39.270000000000003</v>
      </c>
      <c r="AC12" s="88">
        <v>52.462499999999999</v>
      </c>
      <c r="AD12" s="88">
        <v>72.64</v>
      </c>
      <c r="AE12" s="89">
        <f t="shared" si="3"/>
        <v>18725</v>
      </c>
      <c r="AF12" s="90">
        <v>6.5000000000000002E-2</v>
      </c>
      <c r="AG12" s="4">
        <f t="shared" si="4"/>
        <v>1217.125</v>
      </c>
      <c r="AH12" s="49">
        <f t="shared" si="5"/>
        <v>0</v>
      </c>
      <c r="AI12" s="89">
        <f t="shared" si="6"/>
        <v>17507.875</v>
      </c>
      <c r="AJ12" s="91">
        <v>0.18</v>
      </c>
      <c r="AK12" s="5">
        <f t="shared" si="7"/>
        <v>3151.4175</v>
      </c>
      <c r="AL12" s="89">
        <f t="shared" si="8"/>
        <v>20659.2925</v>
      </c>
      <c r="AP12" s="92"/>
    </row>
    <row r="13" spans="1:42" x14ac:dyDescent="0.35">
      <c r="A13" s="85">
        <v>46204</v>
      </c>
      <c r="B13" s="51" t="s">
        <v>85</v>
      </c>
      <c r="C13" s="97">
        <v>504435.46428571001</v>
      </c>
      <c r="D13" s="97">
        <v>1244.2</v>
      </c>
      <c r="E13" s="48" t="s">
        <v>86</v>
      </c>
      <c r="F13" s="86" t="s">
        <v>87</v>
      </c>
      <c r="G13" s="86" t="s">
        <v>88</v>
      </c>
      <c r="H13" s="86" t="s">
        <v>89</v>
      </c>
      <c r="I13" s="86" t="s">
        <v>100</v>
      </c>
      <c r="J13" s="52"/>
      <c r="K13" s="86">
        <v>80</v>
      </c>
      <c r="L13" s="86">
        <v>80</v>
      </c>
      <c r="M13" s="86"/>
      <c r="N13" s="104">
        <f t="shared" si="1"/>
        <v>160</v>
      </c>
      <c r="O13" s="105">
        <v>40</v>
      </c>
      <c r="P13" s="105">
        <v>40</v>
      </c>
      <c r="Q13" s="105">
        <v>40</v>
      </c>
      <c r="R13" s="104">
        <f t="shared" si="0"/>
        <v>120</v>
      </c>
      <c r="S13" s="86">
        <f t="shared" si="2"/>
        <v>280</v>
      </c>
      <c r="T13" s="87"/>
      <c r="U13" s="87"/>
      <c r="V13" s="87"/>
      <c r="W13" s="88"/>
      <c r="X13" s="87"/>
      <c r="Y13" s="87"/>
      <c r="Z13" s="87"/>
      <c r="AA13" s="88"/>
      <c r="AB13" s="88">
        <v>39.270000000000003</v>
      </c>
      <c r="AC13" s="88">
        <v>52.462499999999999</v>
      </c>
      <c r="AD13" s="88">
        <v>72.64</v>
      </c>
      <c r="AE13" s="89">
        <f t="shared" si="3"/>
        <v>28733.200000000001</v>
      </c>
      <c r="AF13" s="90">
        <v>6.5000000000000002E-2</v>
      </c>
      <c r="AG13" s="4">
        <f t="shared" si="4"/>
        <v>1867.6580000000001</v>
      </c>
      <c r="AH13" s="49">
        <f t="shared" si="5"/>
        <v>0</v>
      </c>
      <c r="AI13" s="89">
        <f t="shared" si="6"/>
        <v>26865.542000000001</v>
      </c>
      <c r="AJ13" s="91">
        <v>0.18</v>
      </c>
      <c r="AK13" s="5">
        <f t="shared" si="7"/>
        <v>4835.79756</v>
      </c>
      <c r="AL13" s="89">
        <f t="shared" si="8"/>
        <v>31701.33956</v>
      </c>
      <c r="AP13" s="92"/>
    </row>
    <row r="14" spans="1:42" x14ac:dyDescent="0.35">
      <c r="A14" s="85">
        <v>46204</v>
      </c>
      <c r="B14" s="51" t="s">
        <v>85</v>
      </c>
      <c r="C14" s="97">
        <v>974354.53571427998</v>
      </c>
      <c r="D14" s="97">
        <v>1909.9</v>
      </c>
      <c r="E14" s="48" t="s">
        <v>86</v>
      </c>
      <c r="F14" s="86" t="s">
        <v>87</v>
      </c>
      <c r="G14" s="86" t="s">
        <v>88</v>
      </c>
      <c r="H14" s="86" t="s">
        <v>89</v>
      </c>
      <c r="I14" s="86" t="s">
        <v>101</v>
      </c>
      <c r="J14" s="52"/>
      <c r="K14" s="86">
        <v>80</v>
      </c>
      <c r="L14" s="86">
        <v>80</v>
      </c>
      <c r="M14" s="86"/>
      <c r="N14" s="104">
        <f t="shared" si="1"/>
        <v>160</v>
      </c>
      <c r="O14" s="105">
        <v>40</v>
      </c>
      <c r="P14" s="105">
        <v>40</v>
      </c>
      <c r="Q14" s="105">
        <v>40</v>
      </c>
      <c r="R14" s="104">
        <f t="shared" si="0"/>
        <v>120</v>
      </c>
      <c r="S14" s="86">
        <f t="shared" si="2"/>
        <v>280</v>
      </c>
      <c r="T14" s="87"/>
      <c r="U14" s="87"/>
      <c r="V14" s="87"/>
      <c r="W14" s="88"/>
      <c r="X14" s="87"/>
      <c r="Y14" s="87"/>
      <c r="Z14" s="87"/>
      <c r="AA14" s="88"/>
      <c r="AB14" s="88">
        <v>39.270000000000003</v>
      </c>
      <c r="AC14" s="88">
        <v>52.462499999999999</v>
      </c>
      <c r="AD14" s="88">
        <v>72.64</v>
      </c>
      <c r="AE14" s="89">
        <f t="shared" si="3"/>
        <v>28733.200000000001</v>
      </c>
      <c r="AF14" s="90">
        <v>6.5000000000000002E-2</v>
      </c>
      <c r="AG14" s="4">
        <f t="shared" si="4"/>
        <v>1867.6580000000001</v>
      </c>
      <c r="AH14" s="49">
        <f t="shared" si="5"/>
        <v>0</v>
      </c>
      <c r="AI14" s="89">
        <f t="shared" si="6"/>
        <v>26865.542000000001</v>
      </c>
      <c r="AJ14" s="91">
        <v>0.18</v>
      </c>
      <c r="AK14" s="5">
        <f t="shared" si="7"/>
        <v>4835.79756</v>
      </c>
      <c r="AL14" s="89">
        <f t="shared" si="8"/>
        <v>31701.33956</v>
      </c>
      <c r="AP14" s="92"/>
    </row>
    <row r="15" spans="1:42" x14ac:dyDescent="0.35">
      <c r="A15" s="85">
        <v>46204</v>
      </c>
      <c r="B15" s="51" t="s">
        <v>85</v>
      </c>
      <c r="C15" s="97">
        <v>1444273.6071428601</v>
      </c>
      <c r="D15" s="97">
        <v>2575.6</v>
      </c>
      <c r="E15" s="48" t="s">
        <v>86</v>
      </c>
      <c r="F15" s="86" t="s">
        <v>87</v>
      </c>
      <c r="G15" s="86" t="s">
        <v>88</v>
      </c>
      <c r="H15" s="86" t="s">
        <v>89</v>
      </c>
      <c r="I15" s="48" t="s">
        <v>102</v>
      </c>
      <c r="J15" s="52"/>
      <c r="K15" s="105">
        <v>80</v>
      </c>
      <c r="L15" s="105">
        <v>80</v>
      </c>
      <c r="M15" s="105"/>
      <c r="N15" s="104">
        <f t="shared" si="1"/>
        <v>160</v>
      </c>
      <c r="O15" s="86">
        <v>40</v>
      </c>
      <c r="P15" s="86">
        <v>40</v>
      </c>
      <c r="Q15" s="86">
        <v>40</v>
      </c>
      <c r="R15" s="104">
        <f t="shared" si="0"/>
        <v>120</v>
      </c>
      <c r="S15" s="86">
        <f t="shared" si="2"/>
        <v>280</v>
      </c>
      <c r="T15" s="87"/>
      <c r="U15" s="87"/>
      <c r="V15" s="87"/>
      <c r="W15" s="88"/>
      <c r="X15" s="87"/>
      <c r="Y15" s="87"/>
      <c r="Z15" s="87"/>
      <c r="AA15" s="88"/>
      <c r="AB15" s="88">
        <v>39.270000000000003</v>
      </c>
      <c r="AC15" s="88">
        <v>52.462499999999999</v>
      </c>
      <c r="AD15" s="88">
        <v>72.64</v>
      </c>
      <c r="AE15" s="89">
        <f t="shared" si="3"/>
        <v>28733.200000000001</v>
      </c>
      <c r="AF15" s="90">
        <v>6.5000000000000002E-2</v>
      </c>
      <c r="AG15" s="4">
        <f t="shared" si="4"/>
        <v>1867.6580000000001</v>
      </c>
      <c r="AH15" s="49">
        <f t="shared" si="5"/>
        <v>0</v>
      </c>
      <c r="AI15" s="89">
        <f t="shared" si="6"/>
        <v>26865.542000000001</v>
      </c>
      <c r="AJ15" s="91">
        <v>0.18</v>
      </c>
      <c r="AK15" s="5">
        <f t="shared" si="7"/>
        <v>4835.79756</v>
      </c>
      <c r="AL15" s="89">
        <f t="shared" si="8"/>
        <v>31701.33956</v>
      </c>
      <c r="AP15" s="92"/>
    </row>
    <row r="16" spans="1:42" hidden="1" x14ac:dyDescent="0.35">
      <c r="A16" s="85">
        <v>46204</v>
      </c>
      <c r="B16" s="51" t="s">
        <v>85</v>
      </c>
      <c r="C16" s="97">
        <v>1914192.67857143</v>
      </c>
      <c r="D16" s="97">
        <v>3241.3</v>
      </c>
      <c r="E16" s="48" t="s">
        <v>86</v>
      </c>
      <c r="F16" s="86" t="s">
        <v>108</v>
      </c>
      <c r="G16" s="86" t="s">
        <v>103</v>
      </c>
      <c r="H16" s="86" t="s">
        <v>110</v>
      </c>
      <c r="I16" s="48" t="s">
        <v>111</v>
      </c>
      <c r="J16" s="52">
        <v>12</v>
      </c>
      <c r="K16" s="86"/>
      <c r="L16" s="86"/>
      <c r="M16" s="86"/>
      <c r="N16" s="104">
        <f t="shared" si="1"/>
        <v>0</v>
      </c>
      <c r="O16" s="86"/>
      <c r="P16" s="105"/>
      <c r="Q16" s="105"/>
      <c r="R16" s="104">
        <f t="shared" si="0"/>
        <v>0</v>
      </c>
      <c r="S16" s="86">
        <f t="shared" si="2"/>
        <v>12</v>
      </c>
      <c r="T16" s="87"/>
      <c r="U16" s="87"/>
      <c r="V16" s="87"/>
      <c r="W16" s="88"/>
      <c r="X16" s="87"/>
      <c r="Y16" s="87"/>
      <c r="Z16" s="87"/>
      <c r="AA16" s="88"/>
      <c r="AB16" s="88">
        <v>39.270000000000003</v>
      </c>
      <c r="AC16" s="88">
        <v>52.462499999999999</v>
      </c>
      <c r="AD16" s="88">
        <v>72.64</v>
      </c>
      <c r="AE16" s="89">
        <f t="shared" si="3"/>
        <v>1342.92</v>
      </c>
      <c r="AF16" s="90">
        <v>6.5000000000000002E-2</v>
      </c>
      <c r="AG16" s="4">
        <f t="shared" si="4"/>
        <v>87.289800000000014</v>
      </c>
      <c r="AH16" s="49">
        <f t="shared" si="5"/>
        <v>16.493400000000001</v>
      </c>
      <c r="AI16" s="89">
        <f t="shared" si="6"/>
        <v>1255.6302000000001</v>
      </c>
      <c r="AJ16" s="91">
        <v>0.18</v>
      </c>
      <c r="AK16" s="5">
        <f t="shared" si="7"/>
        <v>226.01343600000001</v>
      </c>
      <c r="AL16" s="89">
        <f t="shared" si="8"/>
        <v>1481.643636</v>
      </c>
      <c r="AP16" s="92"/>
    </row>
    <row r="17" spans="1:42" hidden="1" x14ac:dyDescent="0.35">
      <c r="A17" s="85">
        <v>46204</v>
      </c>
      <c r="B17" s="51" t="s">
        <v>85</v>
      </c>
      <c r="C17" s="97">
        <v>2384111.75</v>
      </c>
      <c r="D17" s="97">
        <v>3907</v>
      </c>
      <c r="E17" s="48" t="s">
        <v>86</v>
      </c>
      <c r="F17" s="86" t="s">
        <v>108</v>
      </c>
      <c r="G17" s="86" t="s">
        <v>104</v>
      </c>
      <c r="H17" s="86" t="s">
        <v>110</v>
      </c>
      <c r="I17" s="48" t="s">
        <v>111</v>
      </c>
      <c r="J17" s="52">
        <v>12</v>
      </c>
      <c r="K17" s="105"/>
      <c r="L17" s="105"/>
      <c r="M17" s="105"/>
      <c r="N17" s="104">
        <f t="shared" si="1"/>
        <v>0</v>
      </c>
      <c r="O17" s="86"/>
      <c r="P17" s="105"/>
      <c r="Q17" s="105"/>
      <c r="R17" s="104">
        <f t="shared" si="0"/>
        <v>0</v>
      </c>
      <c r="S17" s="86">
        <f t="shared" si="2"/>
        <v>12</v>
      </c>
      <c r="T17" s="87"/>
      <c r="U17" s="87"/>
      <c r="V17" s="87"/>
      <c r="W17" s="88"/>
      <c r="X17" s="87"/>
      <c r="Y17" s="87"/>
      <c r="Z17" s="87"/>
      <c r="AA17" s="88"/>
      <c r="AB17" s="88">
        <v>39.270000000000003</v>
      </c>
      <c r="AC17" s="88">
        <v>52.462499999999999</v>
      </c>
      <c r="AD17" s="88">
        <v>72.64</v>
      </c>
      <c r="AE17" s="89">
        <f t="shared" si="3"/>
        <v>1342.92</v>
      </c>
      <c r="AF17" s="90">
        <v>6.5000000000000002E-2</v>
      </c>
      <c r="AG17" s="4">
        <f t="shared" si="4"/>
        <v>87.289800000000014</v>
      </c>
      <c r="AH17" s="49">
        <f t="shared" si="5"/>
        <v>16.493400000000001</v>
      </c>
      <c r="AI17" s="89">
        <f t="shared" si="6"/>
        <v>1255.6302000000001</v>
      </c>
      <c r="AJ17" s="91">
        <v>0.18</v>
      </c>
      <c r="AK17" s="5">
        <f t="shared" si="7"/>
        <v>226.01343600000001</v>
      </c>
      <c r="AL17" s="89">
        <f t="shared" si="8"/>
        <v>1481.643636</v>
      </c>
      <c r="AP17" s="92"/>
    </row>
    <row r="18" spans="1:42" hidden="1" x14ac:dyDescent="0.35">
      <c r="A18" s="85">
        <v>46204</v>
      </c>
      <c r="B18" s="51" t="s">
        <v>85</v>
      </c>
      <c r="C18" s="97">
        <v>2854030.82142857</v>
      </c>
      <c r="D18" s="97">
        <v>4572.7</v>
      </c>
      <c r="E18" s="48" t="s">
        <v>86</v>
      </c>
      <c r="F18" s="86" t="s">
        <v>108</v>
      </c>
      <c r="G18" s="86" t="s">
        <v>105</v>
      </c>
      <c r="H18" s="86" t="s">
        <v>110</v>
      </c>
      <c r="I18" s="48" t="s">
        <v>111</v>
      </c>
      <c r="J18" s="52"/>
      <c r="K18" s="105"/>
      <c r="L18" s="105"/>
      <c r="M18" s="105"/>
      <c r="N18" s="104">
        <f t="shared" si="1"/>
        <v>0</v>
      </c>
      <c r="O18" s="86">
        <v>15</v>
      </c>
      <c r="P18" s="105">
        <v>15</v>
      </c>
      <c r="Q18" s="86">
        <v>10</v>
      </c>
      <c r="R18" s="104">
        <f t="shared" si="0"/>
        <v>40</v>
      </c>
      <c r="S18" s="86">
        <f t="shared" si="2"/>
        <v>40</v>
      </c>
      <c r="T18" s="87"/>
      <c r="U18" s="87"/>
      <c r="V18" s="87"/>
      <c r="W18" s="88"/>
      <c r="X18" s="87"/>
      <c r="Y18" s="87"/>
      <c r="Z18" s="87"/>
      <c r="AA18" s="88"/>
      <c r="AB18" s="88">
        <v>39.270000000000003</v>
      </c>
      <c r="AC18" s="88">
        <v>52.462499999999999</v>
      </c>
      <c r="AD18" s="88">
        <v>72.64</v>
      </c>
      <c r="AE18" s="89">
        <f t="shared" si="3"/>
        <v>2905.6</v>
      </c>
      <c r="AF18" s="90">
        <v>6.5000000000000002E-2</v>
      </c>
      <c r="AG18" s="4">
        <f t="shared" si="4"/>
        <v>188.864</v>
      </c>
      <c r="AH18" s="49">
        <f t="shared" si="5"/>
        <v>0</v>
      </c>
      <c r="AI18" s="89">
        <f t="shared" si="6"/>
        <v>2716.7359999999999</v>
      </c>
      <c r="AJ18" s="91">
        <v>0.18</v>
      </c>
      <c r="AK18" s="5">
        <f t="shared" si="7"/>
        <v>489.01247999999998</v>
      </c>
      <c r="AL18" s="89">
        <f t="shared" si="8"/>
        <v>3205.7484799999997</v>
      </c>
      <c r="AP18" s="92"/>
    </row>
    <row r="19" spans="1:42" hidden="1" x14ac:dyDescent="0.35">
      <c r="A19" s="85">
        <v>46204</v>
      </c>
      <c r="B19" s="51" t="s">
        <v>85</v>
      </c>
      <c r="C19" s="97">
        <v>3323949.8928571399</v>
      </c>
      <c r="D19" s="97">
        <v>5238.3999999999996</v>
      </c>
      <c r="E19" s="48" t="s">
        <v>86</v>
      </c>
      <c r="F19" s="86" t="s">
        <v>108</v>
      </c>
      <c r="G19" s="86" t="s">
        <v>106</v>
      </c>
      <c r="H19" s="86" t="s">
        <v>110</v>
      </c>
      <c r="I19" s="48" t="s">
        <v>111</v>
      </c>
      <c r="J19" s="52"/>
      <c r="K19" s="86"/>
      <c r="L19" s="86"/>
      <c r="M19" s="86"/>
      <c r="N19" s="104">
        <f t="shared" si="1"/>
        <v>0</v>
      </c>
      <c r="O19" s="86">
        <v>8</v>
      </c>
      <c r="P19" s="86">
        <v>4</v>
      </c>
      <c r="Q19" s="86">
        <v>8</v>
      </c>
      <c r="R19" s="104">
        <f t="shared" si="0"/>
        <v>20</v>
      </c>
      <c r="S19" s="86">
        <f t="shared" si="2"/>
        <v>20</v>
      </c>
      <c r="T19" s="87"/>
      <c r="U19" s="87"/>
      <c r="V19" s="87"/>
      <c r="W19" s="88"/>
      <c r="X19" s="87"/>
      <c r="Y19" s="87"/>
      <c r="Z19" s="87"/>
      <c r="AA19" s="88"/>
      <c r="AB19" s="88">
        <v>39.270000000000003</v>
      </c>
      <c r="AC19" s="88">
        <v>52.462499999999999</v>
      </c>
      <c r="AD19" s="88">
        <v>72.64</v>
      </c>
      <c r="AE19" s="89">
        <f t="shared" si="3"/>
        <v>1452.8</v>
      </c>
      <c r="AF19" s="90">
        <v>6.5000000000000002E-2</v>
      </c>
      <c r="AG19" s="4">
        <f t="shared" si="4"/>
        <v>94.432000000000002</v>
      </c>
      <c r="AH19" s="49">
        <f t="shared" si="5"/>
        <v>0</v>
      </c>
      <c r="AI19" s="89">
        <f t="shared" si="6"/>
        <v>1358.3679999999999</v>
      </c>
      <c r="AJ19" s="91">
        <v>0.18</v>
      </c>
      <c r="AK19" s="5">
        <f t="shared" si="7"/>
        <v>244.50623999999999</v>
      </c>
      <c r="AL19" s="89">
        <f t="shared" si="8"/>
        <v>1602.8742399999999</v>
      </c>
      <c r="AP19" s="92"/>
    </row>
    <row r="20" spans="1:42" hidden="1" x14ac:dyDescent="0.35">
      <c r="A20" s="85">
        <v>46204</v>
      </c>
      <c r="B20" s="51" t="s">
        <v>85</v>
      </c>
      <c r="C20" s="97">
        <v>3793868.9642857099</v>
      </c>
      <c r="D20" s="97">
        <v>5904.1</v>
      </c>
      <c r="E20" s="48" t="s">
        <v>86</v>
      </c>
      <c r="F20" s="86" t="s">
        <v>109</v>
      </c>
      <c r="G20" s="86" t="s">
        <v>107</v>
      </c>
      <c r="H20" s="86" t="s">
        <v>110</v>
      </c>
      <c r="I20" s="48" t="s">
        <v>111</v>
      </c>
      <c r="J20" s="52"/>
      <c r="K20" s="105">
        <v>40</v>
      </c>
      <c r="L20" s="105">
        <v>40</v>
      </c>
      <c r="M20" s="105"/>
      <c r="N20" s="104">
        <f t="shared" si="1"/>
        <v>80</v>
      </c>
      <c r="O20" s="86">
        <v>40</v>
      </c>
      <c r="P20" s="86">
        <v>40</v>
      </c>
      <c r="Q20" s="86">
        <v>40</v>
      </c>
      <c r="R20" s="104">
        <f t="shared" si="0"/>
        <v>120</v>
      </c>
      <c r="S20" s="86">
        <f t="shared" si="2"/>
        <v>200</v>
      </c>
      <c r="T20" s="87"/>
      <c r="U20" s="87"/>
      <c r="V20" s="87"/>
      <c r="W20" s="88"/>
      <c r="X20" s="87"/>
      <c r="Y20" s="87"/>
      <c r="Z20" s="87"/>
      <c r="AA20" s="88"/>
      <c r="AB20" s="88">
        <v>39.270000000000003</v>
      </c>
      <c r="AC20" s="88">
        <v>52.462499999999999</v>
      </c>
      <c r="AD20" s="88">
        <v>72.64</v>
      </c>
      <c r="AE20" s="89">
        <f t="shared" si="3"/>
        <v>18725</v>
      </c>
      <c r="AF20" s="90">
        <v>6.5000000000000002E-2</v>
      </c>
      <c r="AG20" s="4">
        <f t="shared" si="4"/>
        <v>1217.125</v>
      </c>
      <c r="AH20" s="49">
        <f t="shared" si="5"/>
        <v>0</v>
      </c>
      <c r="AI20" s="89">
        <f t="shared" si="6"/>
        <v>17507.875</v>
      </c>
      <c r="AJ20" s="91">
        <v>0.18</v>
      </c>
      <c r="AK20" s="5">
        <f t="shared" si="7"/>
        <v>3151.4175</v>
      </c>
      <c r="AL20" s="89">
        <f t="shared" si="8"/>
        <v>20659.2925</v>
      </c>
      <c r="AP20" s="92"/>
    </row>
    <row r="21" spans="1:42" hidden="1" x14ac:dyDescent="0.35">
      <c r="A21" s="85">
        <v>46204</v>
      </c>
      <c r="B21" s="51" t="s">
        <v>85</v>
      </c>
      <c r="C21" s="97">
        <v>4263788.0357142799</v>
      </c>
      <c r="D21" s="97">
        <v>6569.8</v>
      </c>
      <c r="E21" s="48" t="s">
        <v>86</v>
      </c>
      <c r="F21" s="86" t="s">
        <v>108</v>
      </c>
      <c r="G21" s="86" t="s">
        <v>113</v>
      </c>
      <c r="H21" s="86" t="s">
        <v>112</v>
      </c>
      <c r="I21" s="48" t="s">
        <v>116</v>
      </c>
      <c r="J21" s="52"/>
      <c r="K21" s="86">
        <v>12</v>
      </c>
      <c r="L21" s="86">
        <v>12</v>
      </c>
      <c r="M21" s="86"/>
      <c r="N21" s="104">
        <f t="shared" si="1"/>
        <v>24</v>
      </c>
      <c r="O21" s="86"/>
      <c r="P21" s="86"/>
      <c r="Q21" s="86"/>
      <c r="R21" s="104">
        <f t="shared" si="0"/>
        <v>0</v>
      </c>
      <c r="S21" s="86">
        <f t="shared" si="2"/>
        <v>24</v>
      </c>
      <c r="T21" s="87"/>
      <c r="U21" s="87"/>
      <c r="V21" s="87"/>
      <c r="W21" s="88"/>
      <c r="X21" s="87"/>
      <c r="Y21" s="87"/>
      <c r="Z21" s="87"/>
      <c r="AA21" s="88"/>
      <c r="AB21" s="88">
        <v>39.270000000000003</v>
      </c>
      <c r="AC21" s="88">
        <v>52.462499999999999</v>
      </c>
      <c r="AD21" s="88">
        <v>72.64</v>
      </c>
      <c r="AE21" s="89">
        <f t="shared" si="3"/>
        <v>3002.46</v>
      </c>
      <c r="AF21" s="90">
        <v>6.5000000000000002E-2</v>
      </c>
      <c r="AG21" s="4">
        <f t="shared" si="4"/>
        <v>195.15990000000002</v>
      </c>
      <c r="AH21" s="49">
        <f t="shared" si="5"/>
        <v>0</v>
      </c>
      <c r="AI21" s="89">
        <f t="shared" si="6"/>
        <v>2807.3000999999999</v>
      </c>
      <c r="AJ21" s="91">
        <v>0.18</v>
      </c>
      <c r="AK21" s="5">
        <f t="shared" si="7"/>
        <v>505.31401799999998</v>
      </c>
      <c r="AL21" s="89">
        <f t="shared" si="8"/>
        <v>3312.614118</v>
      </c>
      <c r="AP21" s="92"/>
    </row>
    <row r="22" spans="1:42" hidden="1" x14ac:dyDescent="0.35">
      <c r="A22" s="85">
        <v>46204</v>
      </c>
      <c r="B22" s="51" t="s">
        <v>85</v>
      </c>
      <c r="C22" s="97">
        <v>4733707.1071428498</v>
      </c>
      <c r="D22" s="97">
        <v>7235.5</v>
      </c>
      <c r="E22" s="48" t="s">
        <v>86</v>
      </c>
      <c r="F22" s="86" t="s">
        <v>108</v>
      </c>
      <c r="G22" s="86" t="s">
        <v>114</v>
      </c>
      <c r="H22" s="86" t="s">
        <v>112</v>
      </c>
      <c r="I22" s="48" t="s">
        <v>116</v>
      </c>
      <c r="J22" s="52"/>
      <c r="K22" s="86"/>
      <c r="L22" s="86"/>
      <c r="M22" s="86"/>
      <c r="N22" s="104">
        <f t="shared" si="1"/>
        <v>0</v>
      </c>
      <c r="O22" s="86">
        <v>10</v>
      </c>
      <c r="P22" s="86">
        <v>15</v>
      </c>
      <c r="Q22" s="86">
        <v>15</v>
      </c>
      <c r="R22" s="104">
        <f t="shared" si="0"/>
        <v>40</v>
      </c>
      <c r="S22" s="86">
        <f t="shared" si="2"/>
        <v>40</v>
      </c>
      <c r="T22" s="87"/>
      <c r="U22" s="87"/>
      <c r="V22" s="87"/>
      <c r="W22" s="88"/>
      <c r="X22" s="87"/>
      <c r="Y22" s="87"/>
      <c r="Z22" s="87"/>
      <c r="AA22" s="88"/>
      <c r="AB22" s="88">
        <v>39.270000000000003</v>
      </c>
      <c r="AC22" s="88">
        <v>52.462499999999999</v>
      </c>
      <c r="AD22" s="88">
        <v>72.64</v>
      </c>
      <c r="AE22" s="89">
        <f t="shared" si="3"/>
        <v>2905.6</v>
      </c>
      <c r="AF22" s="90">
        <v>6.5000000000000002E-2</v>
      </c>
      <c r="AG22" s="4">
        <f t="shared" si="4"/>
        <v>188.864</v>
      </c>
      <c r="AH22" s="49">
        <f t="shared" si="5"/>
        <v>0</v>
      </c>
      <c r="AI22" s="89">
        <f t="shared" si="6"/>
        <v>2716.7359999999999</v>
      </c>
      <c r="AJ22" s="91">
        <v>0.18</v>
      </c>
      <c r="AK22" s="5">
        <f t="shared" si="7"/>
        <v>489.01247999999998</v>
      </c>
      <c r="AL22" s="89">
        <f t="shared" si="8"/>
        <v>3205.7484799999997</v>
      </c>
      <c r="AP22" s="92"/>
    </row>
    <row r="23" spans="1:42" hidden="1" x14ac:dyDescent="0.35">
      <c r="A23" s="85">
        <v>46204</v>
      </c>
      <c r="B23" s="51" t="s">
        <v>85</v>
      </c>
      <c r="C23" s="97">
        <v>5203626.17857143</v>
      </c>
      <c r="D23" s="97">
        <v>7901.2</v>
      </c>
      <c r="E23" s="48" t="s">
        <v>86</v>
      </c>
      <c r="F23" s="86" t="s">
        <v>108</v>
      </c>
      <c r="G23" s="86" t="s">
        <v>115</v>
      </c>
      <c r="H23" s="86" t="s">
        <v>112</v>
      </c>
      <c r="I23" s="48" t="s">
        <v>116</v>
      </c>
      <c r="J23" s="52">
        <v>200</v>
      </c>
      <c r="K23" s="86"/>
      <c r="L23" s="105"/>
      <c r="M23" s="86"/>
      <c r="N23" s="104">
        <f t="shared" si="1"/>
        <v>0</v>
      </c>
      <c r="O23" s="86"/>
      <c r="P23" s="105"/>
      <c r="Q23" s="86"/>
      <c r="R23" s="104">
        <f t="shared" si="0"/>
        <v>0</v>
      </c>
      <c r="S23" s="86">
        <f t="shared" si="2"/>
        <v>200</v>
      </c>
      <c r="T23" s="87"/>
      <c r="U23" s="87"/>
      <c r="V23" s="87"/>
      <c r="W23" s="88"/>
      <c r="X23" s="87"/>
      <c r="Y23" s="87"/>
      <c r="Z23" s="87"/>
      <c r="AA23" s="88"/>
      <c r="AB23" s="88">
        <v>39.270000000000003</v>
      </c>
      <c r="AC23" s="88">
        <v>52.462499999999999</v>
      </c>
      <c r="AD23" s="88">
        <v>72.64</v>
      </c>
      <c r="AE23" s="89">
        <f t="shared" si="3"/>
        <v>22382</v>
      </c>
      <c r="AF23" s="90">
        <v>6.5000000000000002E-2</v>
      </c>
      <c r="AG23" s="4">
        <f t="shared" si="4"/>
        <v>1454.8300000000002</v>
      </c>
      <c r="AH23" s="49">
        <f t="shared" si="5"/>
        <v>274.89000000000004</v>
      </c>
      <c r="AI23" s="89">
        <f t="shared" si="6"/>
        <v>20927.169999999998</v>
      </c>
      <c r="AJ23" s="91">
        <v>0.18</v>
      </c>
      <c r="AK23" s="5">
        <f t="shared" si="7"/>
        <v>3766.8905999999997</v>
      </c>
      <c r="AL23" s="89">
        <f t="shared" si="8"/>
        <v>24694.060599999997</v>
      </c>
      <c r="AP23" s="92"/>
    </row>
    <row r="24" spans="1:42" hidden="1" x14ac:dyDescent="0.35">
      <c r="A24" s="85">
        <v>46204</v>
      </c>
      <c r="B24" s="51" t="s">
        <v>85</v>
      </c>
      <c r="C24" s="97">
        <v>5673545.25</v>
      </c>
      <c r="D24" s="97">
        <v>8566.9</v>
      </c>
      <c r="E24" s="48" t="s">
        <v>86</v>
      </c>
      <c r="F24" s="86" t="s">
        <v>108</v>
      </c>
      <c r="G24" s="86" t="s">
        <v>117</v>
      </c>
      <c r="H24" s="86" t="s">
        <v>127</v>
      </c>
      <c r="I24" s="48" t="s">
        <v>128</v>
      </c>
      <c r="J24" s="52">
        <v>40</v>
      </c>
      <c r="K24" s="105">
        <v>20</v>
      </c>
      <c r="L24" s="105">
        <v>20</v>
      </c>
      <c r="M24" s="105"/>
      <c r="N24" s="104">
        <f t="shared" si="1"/>
        <v>40</v>
      </c>
      <c r="O24" s="86"/>
      <c r="P24" s="86"/>
      <c r="Q24" s="86"/>
      <c r="R24" s="104">
        <f t="shared" si="0"/>
        <v>0</v>
      </c>
      <c r="S24" s="86">
        <f t="shared" si="2"/>
        <v>80</v>
      </c>
      <c r="T24" s="87"/>
      <c r="U24" s="87"/>
      <c r="V24" s="87"/>
      <c r="W24" s="88"/>
      <c r="X24" s="87"/>
      <c r="Y24" s="87"/>
      <c r="Z24" s="87"/>
      <c r="AA24" s="88"/>
      <c r="AB24" s="88">
        <v>39.270000000000003</v>
      </c>
      <c r="AC24" s="88">
        <v>52.462499999999999</v>
      </c>
      <c r="AD24" s="88">
        <v>72.64</v>
      </c>
      <c r="AE24" s="89">
        <f t="shared" si="3"/>
        <v>9480.5</v>
      </c>
      <c r="AF24" s="90">
        <v>6.5000000000000002E-2</v>
      </c>
      <c r="AG24" s="4">
        <f t="shared" si="4"/>
        <v>616.23250000000007</v>
      </c>
      <c r="AH24" s="49">
        <f t="shared" si="5"/>
        <v>54.978000000000009</v>
      </c>
      <c r="AI24" s="89">
        <f t="shared" si="6"/>
        <v>8864.2674999999999</v>
      </c>
      <c r="AJ24" s="91">
        <v>0.18</v>
      </c>
      <c r="AK24" s="5">
        <f t="shared" si="7"/>
        <v>1595.5681499999998</v>
      </c>
      <c r="AL24" s="89">
        <f t="shared" si="8"/>
        <v>10459.835649999999</v>
      </c>
      <c r="AP24" s="92"/>
    </row>
    <row r="25" spans="1:42" hidden="1" x14ac:dyDescent="0.35">
      <c r="A25" s="85">
        <v>46204</v>
      </c>
      <c r="B25" s="51" t="s">
        <v>85</v>
      </c>
      <c r="C25" s="97">
        <v>6143464.3214285998</v>
      </c>
      <c r="D25" s="97">
        <v>9232.6</v>
      </c>
      <c r="E25" s="48" t="s">
        <v>86</v>
      </c>
      <c r="F25" s="86" t="s">
        <v>108</v>
      </c>
      <c r="G25" s="86" t="s">
        <v>118</v>
      </c>
      <c r="H25" s="86" t="s">
        <v>127</v>
      </c>
      <c r="I25" s="48" t="s">
        <v>128</v>
      </c>
      <c r="J25" s="52">
        <v>20</v>
      </c>
      <c r="K25" s="86"/>
      <c r="L25" s="105"/>
      <c r="M25" s="105"/>
      <c r="N25" s="104">
        <f t="shared" si="1"/>
        <v>0</v>
      </c>
      <c r="O25" s="86"/>
      <c r="P25" s="86"/>
      <c r="Q25" s="86"/>
      <c r="R25" s="104">
        <f t="shared" si="0"/>
        <v>0</v>
      </c>
      <c r="S25" s="86">
        <f t="shared" si="2"/>
        <v>20</v>
      </c>
      <c r="T25" s="87"/>
      <c r="U25" s="87"/>
      <c r="V25" s="87"/>
      <c r="W25" s="88"/>
      <c r="X25" s="87"/>
      <c r="Y25" s="87"/>
      <c r="Z25" s="87"/>
      <c r="AA25" s="88"/>
      <c r="AB25" s="88">
        <v>39.270000000000003</v>
      </c>
      <c r="AC25" s="88">
        <v>52.462499999999999</v>
      </c>
      <c r="AD25" s="88">
        <v>72.64</v>
      </c>
      <c r="AE25" s="89">
        <f t="shared" si="3"/>
        <v>2238.1999999999998</v>
      </c>
      <c r="AF25" s="90">
        <v>0.1</v>
      </c>
      <c r="AG25" s="4">
        <f t="shared" si="4"/>
        <v>223.82</v>
      </c>
      <c r="AH25" s="49">
        <f t="shared" si="5"/>
        <v>27.489000000000004</v>
      </c>
      <c r="AI25" s="89">
        <f t="shared" si="6"/>
        <v>2014.3799999999999</v>
      </c>
      <c r="AJ25" s="91">
        <v>0.18</v>
      </c>
      <c r="AK25" s="5">
        <f t="shared" si="7"/>
        <v>362.58839999999998</v>
      </c>
      <c r="AL25" s="89">
        <f t="shared" si="8"/>
        <v>2376.9683999999997</v>
      </c>
      <c r="AP25" s="92"/>
    </row>
    <row r="26" spans="1:42" hidden="1" x14ac:dyDescent="0.35">
      <c r="A26" s="85">
        <v>46204</v>
      </c>
      <c r="B26" s="51" t="s">
        <v>85</v>
      </c>
      <c r="C26" s="97">
        <v>6613383.3928570999</v>
      </c>
      <c r="D26" s="97">
        <v>9898.2999999999993</v>
      </c>
      <c r="E26" s="48" t="s">
        <v>86</v>
      </c>
      <c r="F26" s="86" t="s">
        <v>109</v>
      </c>
      <c r="G26" s="86" t="s">
        <v>119</v>
      </c>
      <c r="H26" s="86" t="s">
        <v>127</v>
      </c>
      <c r="I26" s="48" t="s">
        <v>128</v>
      </c>
      <c r="J26" s="52">
        <v>12</v>
      </c>
      <c r="K26" s="105"/>
      <c r="L26" s="105"/>
      <c r="M26" s="105"/>
      <c r="N26" s="104">
        <f t="shared" si="1"/>
        <v>0</v>
      </c>
      <c r="O26" s="86">
        <v>20</v>
      </c>
      <c r="P26" s="105"/>
      <c r="Q26" s="86"/>
      <c r="R26" s="104">
        <f t="shared" si="0"/>
        <v>20</v>
      </c>
      <c r="S26" s="86">
        <f t="shared" si="2"/>
        <v>32</v>
      </c>
      <c r="T26" s="87"/>
      <c r="U26" s="87"/>
      <c r="V26" s="87"/>
      <c r="W26" s="88"/>
      <c r="X26" s="87"/>
      <c r="Y26" s="87"/>
      <c r="Z26" s="87"/>
      <c r="AA26" s="88"/>
      <c r="AB26" s="88">
        <v>39.270000000000003</v>
      </c>
      <c r="AC26" s="88">
        <v>52.462499999999999</v>
      </c>
      <c r="AD26" s="88">
        <v>72.64</v>
      </c>
      <c r="AE26" s="89">
        <f t="shared" si="3"/>
        <v>2795.7200000000003</v>
      </c>
      <c r="AF26" s="90">
        <v>6.5000000000000002E-2</v>
      </c>
      <c r="AG26" s="4">
        <f t="shared" si="4"/>
        <v>181.72180000000003</v>
      </c>
      <c r="AH26" s="49">
        <f t="shared" si="5"/>
        <v>16.493400000000001</v>
      </c>
      <c r="AI26" s="89">
        <f t="shared" si="6"/>
        <v>2613.9982</v>
      </c>
      <c r="AJ26" s="91">
        <v>0.18</v>
      </c>
      <c r="AK26" s="5">
        <f t="shared" si="7"/>
        <v>470.519676</v>
      </c>
      <c r="AL26" s="89">
        <f t="shared" si="8"/>
        <v>3084.5178759999999</v>
      </c>
      <c r="AP26" s="92"/>
    </row>
    <row r="27" spans="1:42" hidden="1" x14ac:dyDescent="0.35">
      <c r="A27" s="85">
        <v>46204</v>
      </c>
      <c r="B27" s="51" t="s">
        <v>85</v>
      </c>
      <c r="C27" s="97">
        <v>7083302.4642856997</v>
      </c>
      <c r="D27" s="97">
        <v>10564</v>
      </c>
      <c r="E27" s="48" t="s">
        <v>86</v>
      </c>
      <c r="F27" s="86" t="s">
        <v>108</v>
      </c>
      <c r="G27" s="86" t="s">
        <v>120</v>
      </c>
      <c r="H27" s="86" t="s">
        <v>127</v>
      </c>
      <c r="I27" s="48" t="s">
        <v>128</v>
      </c>
      <c r="J27" s="52">
        <v>12</v>
      </c>
      <c r="K27" s="105"/>
      <c r="L27" s="105"/>
      <c r="M27" s="105"/>
      <c r="N27" s="104">
        <f t="shared" si="1"/>
        <v>0</v>
      </c>
      <c r="O27" s="86"/>
      <c r="P27" s="86"/>
      <c r="Q27" s="105"/>
      <c r="R27" s="104">
        <f t="shared" si="0"/>
        <v>0</v>
      </c>
      <c r="S27" s="86">
        <f t="shared" si="2"/>
        <v>12</v>
      </c>
      <c r="T27" s="87"/>
      <c r="U27" s="87"/>
      <c r="V27" s="87"/>
      <c r="W27" s="88"/>
      <c r="X27" s="87"/>
      <c r="Y27" s="87"/>
      <c r="Z27" s="87"/>
      <c r="AA27" s="88"/>
      <c r="AB27" s="88">
        <v>39.270000000000003</v>
      </c>
      <c r="AC27" s="88">
        <v>52.462499999999999</v>
      </c>
      <c r="AD27" s="88">
        <v>72.64</v>
      </c>
      <c r="AE27" s="89">
        <f t="shared" si="3"/>
        <v>1342.92</v>
      </c>
      <c r="AF27" s="90">
        <v>6.5000000000000002E-2</v>
      </c>
      <c r="AG27" s="4">
        <f t="shared" si="4"/>
        <v>87.289800000000014</v>
      </c>
      <c r="AH27" s="49">
        <f t="shared" si="5"/>
        <v>16.493400000000001</v>
      </c>
      <c r="AI27" s="89">
        <f t="shared" si="6"/>
        <v>1255.6302000000001</v>
      </c>
      <c r="AJ27" s="91">
        <v>0.18</v>
      </c>
      <c r="AK27" s="5">
        <f t="shared" si="7"/>
        <v>226.01343600000001</v>
      </c>
      <c r="AL27" s="89">
        <f t="shared" si="8"/>
        <v>1481.643636</v>
      </c>
      <c r="AP27" s="92"/>
    </row>
    <row r="28" spans="1:42" hidden="1" x14ac:dyDescent="0.35">
      <c r="A28" s="85">
        <v>46204</v>
      </c>
      <c r="B28" s="51" t="s">
        <v>85</v>
      </c>
      <c r="C28" s="97">
        <v>7553221.5357143003</v>
      </c>
      <c r="D28" s="97">
        <v>11229.7</v>
      </c>
      <c r="E28" s="48" t="s">
        <v>86</v>
      </c>
      <c r="F28" s="86" t="s">
        <v>108</v>
      </c>
      <c r="G28" s="86" t="s">
        <v>121</v>
      </c>
      <c r="H28" s="86" t="s">
        <v>127</v>
      </c>
      <c r="I28" s="48" t="s">
        <v>128</v>
      </c>
      <c r="J28" s="52"/>
      <c r="K28" s="105"/>
      <c r="L28" s="105"/>
      <c r="M28" s="105"/>
      <c r="N28" s="104">
        <f t="shared" si="1"/>
        <v>0</v>
      </c>
      <c r="O28" s="86">
        <v>26</v>
      </c>
      <c r="P28" s="86">
        <v>26</v>
      </c>
      <c r="Q28" s="86">
        <v>28</v>
      </c>
      <c r="R28" s="104">
        <f t="shared" si="0"/>
        <v>80</v>
      </c>
      <c r="S28" s="86">
        <f t="shared" si="2"/>
        <v>80</v>
      </c>
      <c r="T28" s="87"/>
      <c r="U28" s="87"/>
      <c r="V28" s="87"/>
      <c r="W28" s="88"/>
      <c r="X28" s="87"/>
      <c r="Y28" s="87"/>
      <c r="Z28" s="87"/>
      <c r="AA28" s="88"/>
      <c r="AB28" s="88">
        <v>39.270000000000003</v>
      </c>
      <c r="AC28" s="88">
        <v>52.462499999999999</v>
      </c>
      <c r="AD28" s="88">
        <v>72.64</v>
      </c>
      <c r="AE28" s="89">
        <f t="shared" si="3"/>
        <v>5811.2</v>
      </c>
      <c r="AF28" s="90">
        <v>6.5000000000000002E-2</v>
      </c>
      <c r="AG28" s="4">
        <f t="shared" si="4"/>
        <v>377.72800000000001</v>
      </c>
      <c r="AH28" s="49">
        <f t="shared" si="5"/>
        <v>0</v>
      </c>
      <c r="AI28" s="89">
        <f t="shared" si="6"/>
        <v>5433.4719999999998</v>
      </c>
      <c r="AJ28" s="91">
        <v>0.18</v>
      </c>
      <c r="AK28" s="5">
        <f t="shared" si="7"/>
        <v>978.02495999999996</v>
      </c>
      <c r="AL28" s="89">
        <f t="shared" si="8"/>
        <v>6411.4969599999995</v>
      </c>
      <c r="AP28" s="92"/>
    </row>
    <row r="29" spans="1:42" hidden="1" x14ac:dyDescent="0.35">
      <c r="A29" s="85">
        <v>46204</v>
      </c>
      <c r="B29" s="51" t="s">
        <v>85</v>
      </c>
      <c r="C29" s="97">
        <v>8023140.6071429001</v>
      </c>
      <c r="D29" s="97">
        <v>11895.4</v>
      </c>
      <c r="E29" s="48" t="s">
        <v>86</v>
      </c>
      <c r="F29" s="86" t="s">
        <v>108</v>
      </c>
      <c r="G29" s="86" t="s">
        <v>122</v>
      </c>
      <c r="H29" s="86" t="s">
        <v>127</v>
      </c>
      <c r="I29" s="48" t="s">
        <v>128</v>
      </c>
      <c r="J29" s="52"/>
      <c r="K29" s="105"/>
      <c r="L29" s="105"/>
      <c r="M29" s="105"/>
      <c r="N29" s="104">
        <f t="shared" si="1"/>
        <v>0</v>
      </c>
      <c r="O29" s="105"/>
      <c r="P29" s="105">
        <v>20</v>
      </c>
      <c r="Q29" s="86">
        <v>20</v>
      </c>
      <c r="R29" s="104">
        <f t="shared" si="0"/>
        <v>40</v>
      </c>
      <c r="S29" s="86">
        <f t="shared" si="2"/>
        <v>40</v>
      </c>
      <c r="T29" s="87"/>
      <c r="U29" s="87"/>
      <c r="V29" s="87"/>
      <c r="W29" s="88"/>
      <c r="X29" s="87"/>
      <c r="Y29" s="87"/>
      <c r="Z29" s="87"/>
      <c r="AA29" s="88"/>
      <c r="AB29" s="88">
        <v>39.270000000000003</v>
      </c>
      <c r="AC29" s="88">
        <v>52.462499999999999</v>
      </c>
      <c r="AD29" s="88">
        <v>72.64</v>
      </c>
      <c r="AE29" s="89">
        <f t="shared" si="3"/>
        <v>2905.6</v>
      </c>
      <c r="AF29" s="90">
        <v>6.5000000000000002E-2</v>
      </c>
      <c r="AG29" s="4">
        <f t="shared" si="4"/>
        <v>188.864</v>
      </c>
      <c r="AH29" s="49">
        <f t="shared" si="5"/>
        <v>0</v>
      </c>
      <c r="AI29" s="89">
        <f t="shared" si="6"/>
        <v>2716.7359999999999</v>
      </c>
      <c r="AJ29" s="91">
        <v>0.18</v>
      </c>
      <c r="AK29" s="5">
        <f t="shared" si="7"/>
        <v>489.01247999999998</v>
      </c>
      <c r="AL29" s="89">
        <f t="shared" si="8"/>
        <v>3205.7484799999997</v>
      </c>
      <c r="AP29" s="92"/>
    </row>
    <row r="30" spans="1:42" hidden="1" x14ac:dyDescent="0.35">
      <c r="A30" s="85">
        <v>46204</v>
      </c>
      <c r="B30" s="51" t="s">
        <v>85</v>
      </c>
      <c r="C30" s="97">
        <v>8493059.6785713993</v>
      </c>
      <c r="D30" s="97">
        <v>12561.1</v>
      </c>
      <c r="E30" s="48" t="s">
        <v>86</v>
      </c>
      <c r="F30" s="86" t="s">
        <v>108</v>
      </c>
      <c r="G30" s="86" t="s">
        <v>123</v>
      </c>
      <c r="H30" s="86" t="s">
        <v>127</v>
      </c>
      <c r="I30" s="48" t="s">
        <v>128</v>
      </c>
      <c r="J30" s="52">
        <v>40</v>
      </c>
      <c r="K30" s="105"/>
      <c r="L30" s="105"/>
      <c r="M30" s="105"/>
      <c r="N30" s="104">
        <f t="shared" si="1"/>
        <v>0</v>
      </c>
      <c r="O30" s="105"/>
      <c r="P30" s="86"/>
      <c r="Q30" s="86"/>
      <c r="R30" s="104">
        <f t="shared" si="0"/>
        <v>0</v>
      </c>
      <c r="S30" s="86">
        <f t="shared" si="2"/>
        <v>40</v>
      </c>
      <c r="T30" s="87"/>
      <c r="U30" s="87"/>
      <c r="V30" s="87"/>
      <c r="W30" s="88"/>
      <c r="X30" s="87"/>
      <c r="Y30" s="87"/>
      <c r="Z30" s="87"/>
      <c r="AA30" s="88"/>
      <c r="AB30" s="88">
        <v>39.270000000000003</v>
      </c>
      <c r="AC30" s="88">
        <v>52.462499999999999</v>
      </c>
      <c r="AD30" s="88">
        <v>72.64</v>
      </c>
      <c r="AE30" s="89">
        <f t="shared" si="3"/>
        <v>4476.3999999999996</v>
      </c>
      <c r="AF30" s="90">
        <v>6.5000000000000002E-2</v>
      </c>
      <c r="AG30" s="4">
        <f t="shared" si="4"/>
        <v>290.96600000000001</v>
      </c>
      <c r="AH30" s="49">
        <f t="shared" si="5"/>
        <v>54.978000000000009</v>
      </c>
      <c r="AI30" s="89">
        <f t="shared" si="6"/>
        <v>4185.4339999999993</v>
      </c>
      <c r="AJ30" s="91">
        <v>0.18</v>
      </c>
      <c r="AK30" s="5">
        <f t="shared" si="7"/>
        <v>753.37811999999985</v>
      </c>
      <c r="AL30" s="89">
        <f t="shared" si="8"/>
        <v>4938.8121199999987</v>
      </c>
      <c r="AP30" s="92"/>
    </row>
    <row r="31" spans="1:42" hidden="1" x14ac:dyDescent="0.35">
      <c r="A31" s="85">
        <v>46204</v>
      </c>
      <c r="B31" s="51" t="s">
        <v>85</v>
      </c>
      <c r="C31" s="97">
        <v>8962978.75</v>
      </c>
      <c r="D31" s="97">
        <v>13226.8</v>
      </c>
      <c r="E31" s="48" t="s">
        <v>86</v>
      </c>
      <c r="F31" s="86" t="s">
        <v>108</v>
      </c>
      <c r="G31" s="86" t="s">
        <v>124</v>
      </c>
      <c r="H31" s="86" t="s">
        <v>127</v>
      </c>
      <c r="I31" s="48" t="s">
        <v>128</v>
      </c>
      <c r="J31" s="52">
        <v>40</v>
      </c>
      <c r="K31" s="105"/>
      <c r="L31" s="105"/>
      <c r="M31" s="105"/>
      <c r="N31" s="104">
        <f t="shared" si="1"/>
        <v>0</v>
      </c>
      <c r="O31" s="86"/>
      <c r="P31" s="105"/>
      <c r="Q31" s="86"/>
      <c r="R31" s="104">
        <f t="shared" si="0"/>
        <v>0</v>
      </c>
      <c r="S31" s="86">
        <f t="shared" si="2"/>
        <v>40</v>
      </c>
      <c r="T31" s="87"/>
      <c r="U31" s="87"/>
      <c r="V31" s="87"/>
      <c r="W31" s="88"/>
      <c r="X31" s="87"/>
      <c r="Y31" s="87"/>
      <c r="Z31" s="87"/>
      <c r="AA31" s="88"/>
      <c r="AB31" s="88">
        <v>39.270000000000003</v>
      </c>
      <c r="AC31" s="88">
        <v>52.462499999999999</v>
      </c>
      <c r="AD31" s="88">
        <v>72.64</v>
      </c>
      <c r="AE31" s="89">
        <f t="shared" si="3"/>
        <v>4476.3999999999996</v>
      </c>
      <c r="AF31" s="90">
        <v>6.5000000000000002E-2</v>
      </c>
      <c r="AG31" s="4">
        <f t="shared" si="4"/>
        <v>290.96600000000001</v>
      </c>
      <c r="AH31" s="49">
        <f t="shared" si="5"/>
        <v>54.978000000000009</v>
      </c>
      <c r="AI31" s="89">
        <f t="shared" si="6"/>
        <v>4185.4339999999993</v>
      </c>
      <c r="AJ31" s="91">
        <v>0.18</v>
      </c>
      <c r="AK31" s="5">
        <f t="shared" si="7"/>
        <v>753.37811999999985</v>
      </c>
      <c r="AL31" s="89">
        <f t="shared" si="8"/>
        <v>4938.8121199999987</v>
      </c>
      <c r="AP31" s="92"/>
    </row>
    <row r="32" spans="1:42" hidden="1" x14ac:dyDescent="0.35">
      <c r="A32" s="85">
        <v>46204</v>
      </c>
      <c r="B32" s="51" t="s">
        <v>85</v>
      </c>
      <c r="C32" s="97">
        <v>9432897.8214286007</v>
      </c>
      <c r="D32" s="97">
        <v>13892.5</v>
      </c>
      <c r="E32" s="48" t="s">
        <v>86</v>
      </c>
      <c r="F32" s="86" t="s">
        <v>109</v>
      </c>
      <c r="G32" s="86" t="s">
        <v>125</v>
      </c>
      <c r="H32" s="86" t="s">
        <v>127</v>
      </c>
      <c r="I32" s="48" t="s">
        <v>128</v>
      </c>
      <c r="J32" s="52">
        <v>80</v>
      </c>
      <c r="K32" s="105"/>
      <c r="L32" s="105"/>
      <c r="M32" s="105"/>
      <c r="N32" s="104">
        <f t="shared" si="1"/>
        <v>0</v>
      </c>
      <c r="O32" s="86"/>
      <c r="P32" s="86"/>
      <c r="Q32" s="86"/>
      <c r="R32" s="104">
        <f t="shared" si="0"/>
        <v>0</v>
      </c>
      <c r="S32" s="86">
        <f t="shared" si="2"/>
        <v>80</v>
      </c>
      <c r="T32" s="87"/>
      <c r="U32" s="87"/>
      <c r="V32" s="87"/>
      <c r="W32" s="88"/>
      <c r="X32" s="87"/>
      <c r="Y32" s="87"/>
      <c r="Z32" s="87"/>
      <c r="AA32" s="88"/>
      <c r="AB32" s="88">
        <v>39.270000000000003</v>
      </c>
      <c r="AC32" s="88">
        <v>52.462499999999999</v>
      </c>
      <c r="AD32" s="88">
        <v>72.64</v>
      </c>
      <c r="AE32" s="89">
        <f t="shared" si="3"/>
        <v>8952.7999999999993</v>
      </c>
      <c r="AF32" s="90">
        <v>6.5000000000000002E-2</v>
      </c>
      <c r="AG32" s="4">
        <f t="shared" si="4"/>
        <v>581.93200000000002</v>
      </c>
      <c r="AH32" s="49">
        <f t="shared" si="5"/>
        <v>109.95600000000002</v>
      </c>
      <c r="AI32" s="89">
        <f t="shared" si="6"/>
        <v>8370.8679999999986</v>
      </c>
      <c r="AJ32" s="91">
        <v>0.18</v>
      </c>
      <c r="AK32" s="5">
        <f t="shared" si="7"/>
        <v>1506.7562399999997</v>
      </c>
      <c r="AL32" s="89">
        <f t="shared" si="8"/>
        <v>9877.6242399999974</v>
      </c>
      <c r="AP32" s="92"/>
    </row>
    <row r="33" spans="1:42" hidden="1" x14ac:dyDescent="0.35">
      <c r="A33" s="85">
        <v>46204</v>
      </c>
      <c r="B33" s="51" t="s">
        <v>85</v>
      </c>
      <c r="C33" s="97">
        <v>9902816.8928571008</v>
      </c>
      <c r="D33" s="97">
        <v>14558.2</v>
      </c>
      <c r="E33" s="48" t="s">
        <v>86</v>
      </c>
      <c r="F33" s="86" t="s">
        <v>108</v>
      </c>
      <c r="G33" s="86" t="s">
        <v>126</v>
      </c>
      <c r="H33" s="86" t="s">
        <v>127</v>
      </c>
      <c r="I33" s="48" t="s">
        <v>128</v>
      </c>
      <c r="J33" s="52">
        <v>40</v>
      </c>
      <c r="K33" s="105">
        <v>20</v>
      </c>
      <c r="L33" s="105">
        <v>20</v>
      </c>
      <c r="M33" s="105"/>
      <c r="N33" s="104">
        <f t="shared" si="1"/>
        <v>40</v>
      </c>
      <c r="O33" s="86">
        <v>20</v>
      </c>
      <c r="P33" s="86">
        <v>20</v>
      </c>
      <c r="Q33" s="105">
        <v>20</v>
      </c>
      <c r="R33" s="104">
        <f t="shared" si="0"/>
        <v>60</v>
      </c>
      <c r="S33" s="86">
        <f t="shared" si="2"/>
        <v>140</v>
      </c>
      <c r="T33" s="87"/>
      <c r="U33" s="87"/>
      <c r="V33" s="87"/>
      <c r="W33" s="88"/>
      <c r="X33" s="87"/>
      <c r="Y33" s="87"/>
      <c r="Z33" s="87"/>
      <c r="AA33" s="88"/>
      <c r="AB33" s="88">
        <v>39.270000000000003</v>
      </c>
      <c r="AC33" s="88">
        <v>52.462499999999999</v>
      </c>
      <c r="AD33" s="88">
        <v>72.64</v>
      </c>
      <c r="AE33" s="89">
        <f t="shared" si="3"/>
        <v>13838.900000000001</v>
      </c>
      <c r="AF33" s="90">
        <v>6.5000000000000002E-2</v>
      </c>
      <c r="AG33" s="4">
        <f t="shared" si="4"/>
        <v>899.52850000000012</v>
      </c>
      <c r="AH33" s="49">
        <f t="shared" si="5"/>
        <v>54.978000000000009</v>
      </c>
      <c r="AI33" s="89">
        <f t="shared" si="6"/>
        <v>12939.371500000001</v>
      </c>
      <c r="AJ33" s="91">
        <v>0.18</v>
      </c>
      <c r="AK33" s="5">
        <f t="shared" si="7"/>
        <v>2329.0868700000001</v>
      </c>
      <c r="AL33" s="89">
        <f t="shared" si="8"/>
        <v>15268.45837</v>
      </c>
      <c r="AP33" s="92"/>
    </row>
    <row r="34" spans="1:42" hidden="1" x14ac:dyDescent="0.35">
      <c r="A34" s="85">
        <v>46204</v>
      </c>
      <c r="B34" s="51" t="s">
        <v>85</v>
      </c>
      <c r="C34" s="97">
        <v>10372735.9642857</v>
      </c>
      <c r="D34" s="97">
        <v>15223.9</v>
      </c>
      <c r="E34" s="48" t="s">
        <v>86</v>
      </c>
      <c r="F34" s="86" t="s">
        <v>108</v>
      </c>
      <c r="G34" s="86" t="s">
        <v>130</v>
      </c>
      <c r="H34" s="86" t="s">
        <v>129</v>
      </c>
      <c r="I34" s="48" t="s">
        <v>135</v>
      </c>
      <c r="J34" s="52"/>
      <c r="K34" s="86"/>
      <c r="L34" s="86"/>
      <c r="M34" s="86"/>
      <c r="N34" s="104">
        <f t="shared" si="1"/>
        <v>0</v>
      </c>
      <c r="O34" s="86"/>
      <c r="P34" s="86"/>
      <c r="Q34" s="86">
        <v>6</v>
      </c>
      <c r="R34" s="104">
        <f t="shared" si="0"/>
        <v>6</v>
      </c>
      <c r="S34" s="86">
        <f t="shared" si="2"/>
        <v>6</v>
      </c>
      <c r="T34" s="87"/>
      <c r="U34" s="87"/>
      <c r="V34" s="87"/>
      <c r="W34" s="88"/>
      <c r="X34" s="87"/>
      <c r="Y34" s="87"/>
      <c r="Z34" s="87"/>
      <c r="AA34" s="88"/>
      <c r="AB34" s="88">
        <v>39.270000000000003</v>
      </c>
      <c r="AC34" s="88">
        <v>52.462499999999999</v>
      </c>
      <c r="AD34" s="88">
        <v>72.64</v>
      </c>
      <c r="AE34" s="89">
        <f t="shared" si="3"/>
        <v>435.84000000000003</v>
      </c>
      <c r="AF34" s="90">
        <v>6.5000000000000002E-2</v>
      </c>
      <c r="AG34" s="4">
        <f t="shared" si="4"/>
        <v>28.329600000000003</v>
      </c>
      <c r="AH34" s="49">
        <f t="shared" si="5"/>
        <v>0</v>
      </c>
      <c r="AI34" s="89">
        <f t="shared" si="6"/>
        <v>407.5104</v>
      </c>
      <c r="AJ34" s="91">
        <v>0.18</v>
      </c>
      <c r="AK34" s="5">
        <f t="shared" si="7"/>
        <v>73.351872</v>
      </c>
      <c r="AL34" s="89">
        <f t="shared" si="8"/>
        <v>480.86227200000002</v>
      </c>
      <c r="AP34" s="92"/>
    </row>
    <row r="35" spans="1:42" hidden="1" x14ac:dyDescent="0.35">
      <c r="A35" s="85">
        <v>46204</v>
      </c>
      <c r="B35" s="51" t="s">
        <v>85</v>
      </c>
      <c r="C35" s="97">
        <v>10842655.0357143</v>
      </c>
      <c r="D35" s="97">
        <v>15889.6</v>
      </c>
      <c r="E35" s="48" t="s">
        <v>86</v>
      </c>
      <c r="F35" s="86" t="s">
        <v>108</v>
      </c>
      <c r="G35" s="86" t="s">
        <v>131</v>
      </c>
      <c r="H35" s="86" t="s">
        <v>129</v>
      </c>
      <c r="I35" s="48" t="s">
        <v>135</v>
      </c>
      <c r="J35" s="52">
        <v>6</v>
      </c>
      <c r="K35" s="86"/>
      <c r="L35" s="105"/>
      <c r="M35" s="105"/>
      <c r="N35" s="104">
        <f t="shared" si="1"/>
        <v>0</v>
      </c>
      <c r="O35" s="86"/>
      <c r="P35" s="86"/>
      <c r="Q35" s="105"/>
      <c r="R35" s="104">
        <f t="shared" si="0"/>
        <v>0</v>
      </c>
      <c r="S35" s="86">
        <f t="shared" si="2"/>
        <v>6</v>
      </c>
      <c r="T35" s="87"/>
      <c r="U35" s="87"/>
      <c r="V35" s="87"/>
      <c r="W35" s="88"/>
      <c r="X35" s="87"/>
      <c r="Y35" s="87"/>
      <c r="Z35" s="87"/>
      <c r="AA35" s="88"/>
      <c r="AB35" s="88">
        <v>39.270000000000003</v>
      </c>
      <c r="AC35" s="88">
        <v>52.462499999999999</v>
      </c>
      <c r="AD35" s="88">
        <v>72.64</v>
      </c>
      <c r="AE35" s="89">
        <f t="shared" si="3"/>
        <v>671.46</v>
      </c>
      <c r="AF35" s="90">
        <v>6.5000000000000002E-2</v>
      </c>
      <c r="AG35" s="4">
        <f t="shared" si="4"/>
        <v>43.644900000000007</v>
      </c>
      <c r="AH35" s="49">
        <f t="shared" si="5"/>
        <v>8.2467000000000006</v>
      </c>
      <c r="AI35" s="89">
        <f t="shared" si="6"/>
        <v>627.81510000000003</v>
      </c>
      <c r="AJ35" s="91">
        <v>0.18</v>
      </c>
      <c r="AK35" s="5">
        <f t="shared" si="7"/>
        <v>113.00671800000001</v>
      </c>
      <c r="AL35" s="89">
        <f t="shared" si="8"/>
        <v>740.82181800000001</v>
      </c>
      <c r="AP35" s="92"/>
    </row>
    <row r="36" spans="1:42" hidden="1" x14ac:dyDescent="0.35">
      <c r="A36" s="85">
        <v>46204</v>
      </c>
      <c r="B36" s="51" t="s">
        <v>85</v>
      </c>
      <c r="C36" s="97">
        <v>11312574.107142899</v>
      </c>
      <c r="D36" s="97">
        <v>16555.3</v>
      </c>
      <c r="E36" s="48" t="s">
        <v>86</v>
      </c>
      <c r="F36" s="86" t="s">
        <v>108</v>
      </c>
      <c r="G36" s="86" t="s">
        <v>132</v>
      </c>
      <c r="H36" s="86" t="s">
        <v>129</v>
      </c>
      <c r="I36" s="48" t="s">
        <v>135</v>
      </c>
      <c r="J36" s="52">
        <v>80</v>
      </c>
      <c r="K36" s="86"/>
      <c r="L36" s="86"/>
      <c r="M36" s="105"/>
      <c r="N36" s="104">
        <f t="shared" si="1"/>
        <v>0</v>
      </c>
      <c r="O36" s="105">
        <v>40</v>
      </c>
      <c r="P36" s="105">
        <v>40</v>
      </c>
      <c r="Q36" s="105">
        <v>80</v>
      </c>
      <c r="R36" s="104">
        <f t="shared" si="0"/>
        <v>160</v>
      </c>
      <c r="S36" s="86">
        <f t="shared" si="2"/>
        <v>240</v>
      </c>
      <c r="T36" s="87"/>
      <c r="U36" s="87"/>
      <c r="V36" s="87"/>
      <c r="W36" s="88"/>
      <c r="X36" s="87"/>
      <c r="Y36" s="87"/>
      <c r="Z36" s="87"/>
      <c r="AA36" s="88"/>
      <c r="AB36" s="88">
        <v>39.270000000000003</v>
      </c>
      <c r="AC36" s="88">
        <v>52.462499999999999</v>
      </c>
      <c r="AD36" s="88">
        <v>72.64</v>
      </c>
      <c r="AE36" s="89">
        <f t="shared" si="3"/>
        <v>20575.199999999997</v>
      </c>
      <c r="AF36" s="90">
        <v>6.5000000000000002E-2</v>
      </c>
      <c r="AG36" s="4">
        <f t="shared" si="4"/>
        <v>1337.3879999999999</v>
      </c>
      <c r="AH36" s="49">
        <f t="shared" si="5"/>
        <v>109.95600000000002</v>
      </c>
      <c r="AI36" s="89">
        <f t="shared" si="6"/>
        <v>19237.811999999998</v>
      </c>
      <c r="AJ36" s="91">
        <v>0.18</v>
      </c>
      <c r="AK36" s="5">
        <f t="shared" si="7"/>
        <v>3462.8061599999996</v>
      </c>
      <c r="AL36" s="89">
        <f t="shared" si="8"/>
        <v>22700.618159999998</v>
      </c>
      <c r="AP36" s="92"/>
    </row>
    <row r="37" spans="1:42" hidden="1" x14ac:dyDescent="0.35">
      <c r="A37" s="85">
        <v>46204</v>
      </c>
      <c r="B37" s="51" t="s">
        <v>85</v>
      </c>
      <c r="C37" s="97">
        <v>11782493.178571399</v>
      </c>
      <c r="D37" s="97">
        <v>17221</v>
      </c>
      <c r="E37" s="48" t="s">
        <v>86</v>
      </c>
      <c r="F37" s="86" t="s">
        <v>108</v>
      </c>
      <c r="G37" s="86" t="s">
        <v>133</v>
      </c>
      <c r="H37" s="86" t="s">
        <v>129</v>
      </c>
      <c r="I37" s="48" t="s">
        <v>135</v>
      </c>
      <c r="J37" s="52"/>
      <c r="K37" s="105"/>
      <c r="L37" s="105"/>
      <c r="M37" s="105"/>
      <c r="N37" s="104">
        <f t="shared" si="1"/>
        <v>0</v>
      </c>
      <c r="O37" s="86">
        <v>15</v>
      </c>
      <c r="P37" s="86">
        <v>15</v>
      </c>
      <c r="Q37" s="86">
        <v>10</v>
      </c>
      <c r="R37" s="104">
        <f t="shared" si="0"/>
        <v>40</v>
      </c>
      <c r="S37" s="86">
        <f t="shared" si="2"/>
        <v>40</v>
      </c>
      <c r="T37" s="87"/>
      <c r="U37" s="87"/>
      <c r="V37" s="87"/>
      <c r="W37" s="88"/>
      <c r="X37" s="87"/>
      <c r="Y37" s="87"/>
      <c r="Z37" s="87"/>
      <c r="AA37" s="88"/>
      <c r="AB37" s="88">
        <v>39.270000000000003</v>
      </c>
      <c r="AC37" s="88">
        <v>52.462499999999999</v>
      </c>
      <c r="AD37" s="88">
        <v>72.64</v>
      </c>
      <c r="AE37" s="89">
        <f t="shared" si="3"/>
        <v>2905.6</v>
      </c>
      <c r="AF37" s="90">
        <v>6.5000000000000002E-2</v>
      </c>
      <c r="AG37" s="4">
        <f t="shared" si="4"/>
        <v>188.864</v>
      </c>
      <c r="AH37" s="49">
        <f t="shared" si="5"/>
        <v>0</v>
      </c>
      <c r="AI37" s="89">
        <f t="shared" si="6"/>
        <v>2716.7359999999999</v>
      </c>
      <c r="AJ37" s="91">
        <v>0.18</v>
      </c>
      <c r="AK37" s="5">
        <f t="shared" si="7"/>
        <v>489.01247999999998</v>
      </c>
      <c r="AL37" s="89">
        <f t="shared" si="8"/>
        <v>3205.7484799999997</v>
      </c>
      <c r="AP37" s="92"/>
    </row>
    <row r="38" spans="1:42" hidden="1" x14ac:dyDescent="0.35">
      <c r="A38" s="85">
        <v>46204</v>
      </c>
      <c r="B38" s="51" t="s">
        <v>85</v>
      </c>
      <c r="C38" s="97">
        <v>12252412.25</v>
      </c>
      <c r="D38" s="97">
        <v>17886.7</v>
      </c>
      <c r="E38" s="48" t="s">
        <v>86</v>
      </c>
      <c r="F38" s="86" t="s">
        <v>109</v>
      </c>
      <c r="G38" s="86" t="s">
        <v>134</v>
      </c>
      <c r="H38" s="86" t="s">
        <v>129</v>
      </c>
      <c r="I38" s="48" t="s">
        <v>135</v>
      </c>
      <c r="J38" s="52"/>
      <c r="K38" s="105"/>
      <c r="L38" s="105"/>
      <c r="M38" s="105"/>
      <c r="N38" s="104">
        <f t="shared" si="1"/>
        <v>0</v>
      </c>
      <c r="O38" s="86">
        <v>10</v>
      </c>
      <c r="P38" s="86">
        <v>10</v>
      </c>
      <c r="Q38" s="86">
        <v>10</v>
      </c>
      <c r="R38" s="104">
        <f t="shared" si="0"/>
        <v>30</v>
      </c>
      <c r="S38" s="86">
        <f t="shared" si="2"/>
        <v>30</v>
      </c>
      <c r="T38" s="87"/>
      <c r="U38" s="87"/>
      <c r="V38" s="87"/>
      <c r="W38" s="88"/>
      <c r="X38" s="87"/>
      <c r="Y38" s="87"/>
      <c r="Z38" s="87"/>
      <c r="AA38" s="88"/>
      <c r="AB38" s="88">
        <v>39.270000000000003</v>
      </c>
      <c r="AC38" s="88">
        <v>52.462499999999999</v>
      </c>
      <c r="AD38" s="88">
        <v>72.64</v>
      </c>
      <c r="AE38" s="89">
        <f t="shared" si="3"/>
        <v>2179.1999999999998</v>
      </c>
      <c r="AF38" s="90">
        <v>6.5000000000000002E-2</v>
      </c>
      <c r="AG38" s="4">
        <f t="shared" si="4"/>
        <v>141.648</v>
      </c>
      <c r="AH38" s="49">
        <f t="shared" si="5"/>
        <v>0</v>
      </c>
      <c r="AI38" s="89">
        <f t="shared" si="6"/>
        <v>2037.5519999999999</v>
      </c>
      <c r="AJ38" s="91">
        <v>0.18</v>
      </c>
      <c r="AK38" s="5">
        <f t="shared" si="7"/>
        <v>366.75935999999996</v>
      </c>
      <c r="AL38" s="89">
        <f t="shared" si="8"/>
        <v>2404.3113599999997</v>
      </c>
      <c r="AP38" s="92"/>
    </row>
    <row r="39" spans="1:42" x14ac:dyDescent="0.35">
      <c r="A39" s="85">
        <v>46205</v>
      </c>
      <c r="B39" s="51" t="s">
        <v>85</v>
      </c>
      <c r="C39" s="97">
        <v>12722331.321428601</v>
      </c>
      <c r="D39" s="97">
        <v>18552.400000000001</v>
      </c>
      <c r="E39" s="48" t="s">
        <v>86</v>
      </c>
      <c r="F39" s="95" t="s">
        <v>87</v>
      </c>
      <c r="G39" s="95" t="s">
        <v>422</v>
      </c>
      <c r="H39" s="95" t="s">
        <v>136</v>
      </c>
      <c r="I39" s="52" t="s">
        <v>137</v>
      </c>
      <c r="J39" s="52">
        <v>40</v>
      </c>
      <c r="K39" s="106">
        <v>20</v>
      </c>
      <c r="L39" s="106">
        <v>20</v>
      </c>
      <c r="M39" s="106"/>
      <c r="N39" s="104">
        <f t="shared" si="1"/>
        <v>40</v>
      </c>
      <c r="O39" s="95">
        <v>13</v>
      </c>
      <c r="P39" s="95">
        <v>13</v>
      </c>
      <c r="Q39" s="86">
        <v>14</v>
      </c>
      <c r="R39" s="104">
        <f t="shared" si="0"/>
        <v>40</v>
      </c>
      <c r="S39" s="86">
        <f t="shared" si="2"/>
        <v>120</v>
      </c>
      <c r="T39" s="87"/>
      <c r="U39" s="87"/>
      <c r="V39" s="87"/>
      <c r="W39" s="88"/>
      <c r="X39" s="87"/>
      <c r="Y39" s="87"/>
      <c r="Z39" s="87"/>
      <c r="AA39" s="88"/>
      <c r="AB39" s="88">
        <v>39.270000000000003</v>
      </c>
      <c r="AC39" s="88">
        <v>52.462499999999999</v>
      </c>
      <c r="AD39" s="88">
        <v>72.64</v>
      </c>
      <c r="AE39" s="89">
        <f t="shared" ref="AE39:AE41" si="9">(J39*AB39)+(N39*AC39)+(AD39*S39)</f>
        <v>12386.099999999999</v>
      </c>
      <c r="AF39" s="90">
        <v>6.5000000000000002E-2</v>
      </c>
      <c r="AG39" s="4">
        <f t="shared" ref="AG39:AG41" si="10">AE39*AF39</f>
        <v>805.09649999999988</v>
      </c>
      <c r="AH39" s="49">
        <f t="shared" ref="AH39:AH41" si="11">(AB39*J39)*$AH$1</f>
        <v>54.978000000000009</v>
      </c>
      <c r="AI39" s="89">
        <f t="shared" ref="AI39:AI41" si="12">AE39-AG39</f>
        <v>11581.003499999999</v>
      </c>
      <c r="AJ39" s="91">
        <v>0.18</v>
      </c>
      <c r="AK39" s="5">
        <f t="shared" ref="AK39:AK41" si="13">AI39*AJ39</f>
        <v>2084.5806299999999</v>
      </c>
      <c r="AL39" s="89">
        <f t="shared" ref="AL39:AL41" si="14">AI39+AK39</f>
        <v>13665.584129999999</v>
      </c>
      <c r="AP39" s="92"/>
    </row>
    <row r="40" spans="1:42" hidden="1" x14ac:dyDescent="0.35">
      <c r="A40" s="85">
        <v>46205</v>
      </c>
      <c r="B40" s="51" t="s">
        <v>85</v>
      </c>
      <c r="C40" s="97">
        <v>13192250.392857101</v>
      </c>
      <c r="D40" s="97">
        <v>19218.099999999999</v>
      </c>
      <c r="E40" s="48" t="s">
        <v>86</v>
      </c>
      <c r="F40" s="95" t="s">
        <v>108</v>
      </c>
      <c r="G40" s="95" t="s">
        <v>138</v>
      </c>
      <c r="H40" s="95" t="s">
        <v>110</v>
      </c>
      <c r="I40" s="52" t="s">
        <v>145</v>
      </c>
      <c r="J40" s="52">
        <v>12</v>
      </c>
      <c r="K40" s="106"/>
      <c r="L40" s="106"/>
      <c r="M40" s="106"/>
      <c r="N40" s="104">
        <f t="shared" si="1"/>
        <v>0</v>
      </c>
      <c r="O40" s="95">
        <v>12</v>
      </c>
      <c r="P40" s="95">
        <v>0</v>
      </c>
      <c r="Q40" s="86">
        <v>12</v>
      </c>
      <c r="R40" s="104">
        <f t="shared" si="0"/>
        <v>24</v>
      </c>
      <c r="S40" s="86">
        <f t="shared" si="2"/>
        <v>36</v>
      </c>
      <c r="T40" s="87"/>
      <c r="U40" s="87"/>
      <c r="V40" s="87"/>
      <c r="W40" s="88"/>
      <c r="X40" s="87"/>
      <c r="Y40" s="87"/>
      <c r="Z40" s="87"/>
      <c r="AA40" s="88"/>
      <c r="AB40" s="88">
        <v>39.270000000000003</v>
      </c>
      <c r="AC40" s="88">
        <v>52.462499999999999</v>
      </c>
      <c r="AD40" s="88">
        <v>72.64</v>
      </c>
      <c r="AE40" s="89">
        <f t="shared" si="9"/>
        <v>3086.2799999999997</v>
      </c>
      <c r="AF40" s="90">
        <v>6.5000000000000002E-2</v>
      </c>
      <c r="AG40" s="4">
        <f t="shared" si="10"/>
        <v>200.60819999999998</v>
      </c>
      <c r="AH40" s="49">
        <f t="shared" si="11"/>
        <v>16.493400000000001</v>
      </c>
      <c r="AI40" s="89">
        <f t="shared" si="12"/>
        <v>2885.6717999999996</v>
      </c>
      <c r="AJ40" s="91">
        <v>0.18</v>
      </c>
      <c r="AK40" s="5">
        <f t="shared" si="13"/>
        <v>519.4209239999999</v>
      </c>
      <c r="AL40" s="89">
        <f t="shared" si="14"/>
        <v>3405.0927239999996</v>
      </c>
      <c r="AP40" s="92"/>
    </row>
    <row r="41" spans="1:42" hidden="1" x14ac:dyDescent="0.35">
      <c r="A41" s="85">
        <v>46205</v>
      </c>
      <c r="B41" s="51" t="s">
        <v>85</v>
      </c>
      <c r="C41" s="97">
        <v>13662169.4642857</v>
      </c>
      <c r="D41" s="97">
        <v>19883.8</v>
      </c>
      <c r="E41" s="48" t="s">
        <v>86</v>
      </c>
      <c r="F41" s="95" t="s">
        <v>108</v>
      </c>
      <c r="G41" s="95" t="s">
        <v>139</v>
      </c>
      <c r="H41" s="95" t="s">
        <v>110</v>
      </c>
      <c r="I41" s="52" t="s">
        <v>145</v>
      </c>
      <c r="J41" s="52"/>
      <c r="K41" s="106"/>
      <c r="L41" s="106"/>
      <c r="M41" s="106"/>
      <c r="N41" s="104">
        <f t="shared" si="1"/>
        <v>0</v>
      </c>
      <c r="O41" s="95">
        <v>7</v>
      </c>
      <c r="P41" s="95">
        <v>6</v>
      </c>
      <c r="Q41" s="86">
        <v>7</v>
      </c>
      <c r="R41" s="104">
        <f t="shared" si="0"/>
        <v>20</v>
      </c>
      <c r="S41" s="86">
        <f t="shared" si="2"/>
        <v>20</v>
      </c>
      <c r="T41" s="87"/>
      <c r="U41" s="87"/>
      <c r="V41" s="87"/>
      <c r="W41" s="88"/>
      <c r="X41" s="87"/>
      <c r="Y41" s="87"/>
      <c r="Z41" s="87"/>
      <c r="AA41" s="88"/>
      <c r="AB41" s="88">
        <v>39.270000000000003</v>
      </c>
      <c r="AC41" s="88">
        <v>52.462499999999999</v>
      </c>
      <c r="AD41" s="88">
        <v>72.64</v>
      </c>
      <c r="AE41" s="89">
        <f t="shared" si="9"/>
        <v>1452.8</v>
      </c>
      <c r="AF41" s="90">
        <v>6.5000000000000002E-2</v>
      </c>
      <c r="AG41" s="4">
        <f t="shared" si="10"/>
        <v>94.432000000000002</v>
      </c>
      <c r="AH41" s="49">
        <f t="shared" si="11"/>
        <v>0</v>
      </c>
      <c r="AI41" s="89">
        <f t="shared" si="12"/>
        <v>1358.3679999999999</v>
      </c>
      <c r="AJ41" s="91">
        <v>0.18</v>
      </c>
      <c r="AK41" s="5">
        <f t="shared" si="13"/>
        <v>244.50623999999999</v>
      </c>
      <c r="AL41" s="89">
        <f t="shared" si="14"/>
        <v>1602.8742399999999</v>
      </c>
      <c r="AP41" s="92"/>
    </row>
    <row r="42" spans="1:42" hidden="1" x14ac:dyDescent="0.35">
      <c r="A42" s="85">
        <v>46205</v>
      </c>
      <c r="B42" s="51" t="s">
        <v>85</v>
      </c>
      <c r="C42" s="97">
        <v>14132088.5357143</v>
      </c>
      <c r="D42" s="97">
        <v>20549.5</v>
      </c>
      <c r="E42" s="48" t="s">
        <v>86</v>
      </c>
      <c r="F42" s="95" t="s">
        <v>108</v>
      </c>
      <c r="G42" s="86" t="s">
        <v>140</v>
      </c>
      <c r="H42" s="95" t="s">
        <v>110</v>
      </c>
      <c r="I42" s="52" t="s">
        <v>145</v>
      </c>
      <c r="J42" s="52">
        <v>12</v>
      </c>
      <c r="K42" s="52"/>
      <c r="L42" s="105"/>
      <c r="M42" s="86"/>
      <c r="N42" s="104">
        <f t="shared" si="1"/>
        <v>0</v>
      </c>
      <c r="O42" s="86"/>
      <c r="P42" s="105"/>
      <c r="Q42" s="105">
        <v>12</v>
      </c>
      <c r="R42" s="104">
        <f t="shared" si="0"/>
        <v>12</v>
      </c>
      <c r="S42" s="86">
        <f t="shared" si="2"/>
        <v>24</v>
      </c>
      <c r="T42" s="87">
        <v>3412</v>
      </c>
      <c r="U42" s="87"/>
      <c r="V42" s="87"/>
      <c r="W42" s="88"/>
      <c r="X42" s="87"/>
      <c r="Y42" s="87"/>
      <c r="Z42" s="87"/>
      <c r="AA42" s="88"/>
      <c r="AB42" s="88">
        <v>39.270000000000003</v>
      </c>
      <c r="AC42" s="88">
        <v>52.462499999999999</v>
      </c>
      <c r="AD42" s="88">
        <v>72.64</v>
      </c>
      <c r="AE42" s="89">
        <f t="shared" si="3"/>
        <v>2214.6000000000004</v>
      </c>
      <c r="AF42" s="90">
        <v>6.5000000000000002E-2</v>
      </c>
      <c r="AG42" s="4">
        <f t="shared" si="4"/>
        <v>143.94900000000004</v>
      </c>
      <c r="AH42" s="49">
        <f t="shared" si="5"/>
        <v>16.493400000000001</v>
      </c>
      <c r="AI42" s="89">
        <f t="shared" si="6"/>
        <v>2070.6510000000003</v>
      </c>
      <c r="AJ42" s="91">
        <v>0.18</v>
      </c>
      <c r="AK42" s="5">
        <f t="shared" si="7"/>
        <v>372.71718000000004</v>
      </c>
      <c r="AL42" s="89">
        <f t="shared" si="8"/>
        <v>2443.3681800000004</v>
      </c>
      <c r="AP42" s="92"/>
    </row>
    <row r="43" spans="1:42" hidden="1" x14ac:dyDescent="0.35">
      <c r="A43" s="85">
        <v>46205</v>
      </c>
      <c r="B43" s="51" t="s">
        <v>85</v>
      </c>
      <c r="C43" s="97">
        <v>14602007.607142899</v>
      </c>
      <c r="D43" s="97">
        <v>21215.200000000001</v>
      </c>
      <c r="E43" s="48" t="s">
        <v>86</v>
      </c>
      <c r="F43" s="95" t="s">
        <v>108</v>
      </c>
      <c r="G43" s="86" t="s">
        <v>141</v>
      </c>
      <c r="H43" s="95" t="s">
        <v>110</v>
      </c>
      <c r="I43" s="52" t="s">
        <v>145</v>
      </c>
      <c r="J43" s="52"/>
      <c r="K43" s="52"/>
      <c r="L43" s="86">
        <v>40</v>
      </c>
      <c r="M43" s="86"/>
      <c r="N43" s="104">
        <f t="shared" si="1"/>
        <v>40</v>
      </c>
      <c r="O43" s="86"/>
      <c r="P43" s="86"/>
      <c r="Q43" s="86"/>
      <c r="R43" s="104">
        <f t="shared" si="0"/>
        <v>0</v>
      </c>
      <c r="S43" s="86">
        <f t="shared" si="2"/>
        <v>40</v>
      </c>
      <c r="T43" s="87">
        <f>T42/40</f>
        <v>85.3</v>
      </c>
      <c r="U43" s="87"/>
      <c r="V43" s="87"/>
      <c r="W43" s="88"/>
      <c r="X43" s="87"/>
      <c r="Y43" s="87"/>
      <c r="Z43" s="87"/>
      <c r="AA43" s="88"/>
      <c r="AB43" s="88">
        <v>39.270000000000003</v>
      </c>
      <c r="AC43" s="88">
        <v>52.462499999999999</v>
      </c>
      <c r="AD43" s="88">
        <v>72.64</v>
      </c>
      <c r="AE43" s="89">
        <f t="shared" si="3"/>
        <v>5004.1000000000004</v>
      </c>
      <c r="AF43" s="90">
        <v>6.5000000000000002E-2</v>
      </c>
      <c r="AG43" s="4">
        <f t="shared" si="4"/>
        <v>325.26650000000001</v>
      </c>
      <c r="AH43" s="49">
        <f t="shared" si="5"/>
        <v>0</v>
      </c>
      <c r="AI43" s="89">
        <f t="shared" si="6"/>
        <v>4678.8335000000006</v>
      </c>
      <c r="AJ43" s="91">
        <v>0.18</v>
      </c>
      <c r="AK43" s="5">
        <f t="shared" si="7"/>
        <v>842.19003000000009</v>
      </c>
      <c r="AL43" s="89">
        <f t="shared" si="8"/>
        <v>5521.0235300000004</v>
      </c>
      <c r="AP43" s="92"/>
    </row>
    <row r="44" spans="1:42" hidden="1" x14ac:dyDescent="0.35">
      <c r="A44" s="85">
        <v>46205</v>
      </c>
      <c r="B44" s="51" t="s">
        <v>85</v>
      </c>
      <c r="C44" s="97">
        <v>15071926.678571399</v>
      </c>
      <c r="D44" s="97">
        <v>21880.9</v>
      </c>
      <c r="E44" s="48" t="s">
        <v>86</v>
      </c>
      <c r="F44" s="95" t="s">
        <v>108</v>
      </c>
      <c r="G44" s="86" t="s">
        <v>142</v>
      </c>
      <c r="H44" s="95" t="s">
        <v>110</v>
      </c>
      <c r="I44" s="52" t="s">
        <v>145</v>
      </c>
      <c r="J44" s="52">
        <v>6</v>
      </c>
      <c r="K44" s="52">
        <v>6</v>
      </c>
      <c r="L44" s="105">
        <v>12</v>
      </c>
      <c r="M44" s="105"/>
      <c r="N44" s="104">
        <f t="shared" si="1"/>
        <v>18</v>
      </c>
      <c r="O44" s="86">
        <v>3</v>
      </c>
      <c r="P44" s="105">
        <v>12</v>
      </c>
      <c r="Q44" s="86">
        <v>6</v>
      </c>
      <c r="R44" s="104">
        <f t="shared" si="0"/>
        <v>21</v>
      </c>
      <c r="S44" s="86">
        <f t="shared" si="2"/>
        <v>45</v>
      </c>
      <c r="T44" s="87"/>
      <c r="U44" s="87"/>
      <c r="V44" s="87"/>
      <c r="W44" s="88"/>
      <c r="X44" s="87"/>
      <c r="Y44" s="87"/>
      <c r="Z44" s="87"/>
      <c r="AA44" s="88"/>
      <c r="AB44" s="88">
        <v>39.270000000000003</v>
      </c>
      <c r="AC44" s="88">
        <v>52.462499999999999</v>
      </c>
      <c r="AD44" s="88">
        <v>72.64</v>
      </c>
      <c r="AE44" s="89">
        <f t="shared" si="3"/>
        <v>4448.7449999999999</v>
      </c>
      <c r="AF44" s="90">
        <v>6.5000000000000002E-2</v>
      </c>
      <c r="AG44" s="4">
        <f t="shared" si="4"/>
        <v>289.16842500000001</v>
      </c>
      <c r="AH44" s="49">
        <f t="shared" si="5"/>
        <v>8.2467000000000006</v>
      </c>
      <c r="AI44" s="89">
        <f t="shared" si="6"/>
        <v>4159.576575</v>
      </c>
      <c r="AJ44" s="91">
        <v>0.18</v>
      </c>
      <c r="AK44" s="5">
        <f t="shared" si="7"/>
        <v>748.72378349999997</v>
      </c>
      <c r="AL44" s="89">
        <f t="shared" si="8"/>
        <v>4908.3003584999997</v>
      </c>
      <c r="AP44" s="92"/>
    </row>
    <row r="45" spans="1:42" hidden="1" x14ac:dyDescent="0.35">
      <c r="A45" s="85">
        <v>46205</v>
      </c>
      <c r="B45" s="51" t="s">
        <v>85</v>
      </c>
      <c r="C45" s="97">
        <v>15541845.75</v>
      </c>
      <c r="D45" s="97">
        <v>22546.6</v>
      </c>
      <c r="E45" s="48" t="s">
        <v>86</v>
      </c>
      <c r="F45" s="95" t="s">
        <v>108</v>
      </c>
      <c r="G45" s="95" t="s">
        <v>107</v>
      </c>
      <c r="H45" s="95" t="s">
        <v>110</v>
      </c>
      <c r="I45" s="52" t="s">
        <v>145</v>
      </c>
      <c r="J45" s="52"/>
      <c r="K45" s="52"/>
      <c r="L45" s="106">
        <v>20</v>
      </c>
      <c r="M45" s="106"/>
      <c r="N45" s="104">
        <f t="shared" si="1"/>
        <v>20</v>
      </c>
      <c r="O45" s="95"/>
      <c r="P45" s="106">
        <v>20</v>
      </c>
      <c r="Q45" s="86">
        <v>20</v>
      </c>
      <c r="R45" s="104">
        <f t="shared" si="0"/>
        <v>40</v>
      </c>
      <c r="S45" s="86">
        <f t="shared" si="2"/>
        <v>60</v>
      </c>
      <c r="T45" s="87"/>
      <c r="U45" s="87"/>
      <c r="V45" s="87"/>
      <c r="W45" s="88"/>
      <c r="X45" s="87"/>
      <c r="Y45" s="87"/>
      <c r="Z45" s="87"/>
      <c r="AA45" s="88"/>
      <c r="AB45" s="88">
        <v>39.270000000000003</v>
      </c>
      <c r="AC45" s="88">
        <v>52.462499999999999</v>
      </c>
      <c r="AD45" s="88">
        <v>72.64</v>
      </c>
      <c r="AE45" s="89">
        <f t="shared" ref="AE45:AE46" si="15">(J45*AB45)+(N45*AC45)+(AD45*S45)</f>
        <v>5407.65</v>
      </c>
      <c r="AF45" s="90">
        <v>6.5000000000000002E-2</v>
      </c>
      <c r="AG45" s="4">
        <f t="shared" ref="AG45:AG46" si="16">AE45*AF45</f>
        <v>351.49725000000001</v>
      </c>
      <c r="AH45" s="49">
        <f t="shared" ref="AH45:AH46" si="17">(AB45*J45)*$AH$1</f>
        <v>0</v>
      </c>
      <c r="AI45" s="89">
        <f t="shared" ref="AI45:AI46" si="18">AE45-AG45</f>
        <v>5056.1527499999993</v>
      </c>
      <c r="AJ45" s="91">
        <v>0.18</v>
      </c>
      <c r="AK45" s="5">
        <f t="shared" ref="AK45:AK46" si="19">AI45*AJ45</f>
        <v>910.10749499999986</v>
      </c>
      <c r="AL45" s="89">
        <f t="shared" ref="AL45:AL46" si="20">AI45+AK45</f>
        <v>5966.2602449999995</v>
      </c>
      <c r="AP45" s="92"/>
    </row>
    <row r="46" spans="1:42" hidden="1" x14ac:dyDescent="0.35">
      <c r="A46" s="85">
        <v>46205</v>
      </c>
      <c r="B46" s="51" t="s">
        <v>85</v>
      </c>
      <c r="C46" s="97">
        <v>16011764.821428601</v>
      </c>
      <c r="D46" s="97">
        <v>23212.3</v>
      </c>
      <c r="E46" s="48" t="s">
        <v>86</v>
      </c>
      <c r="F46" s="95" t="s">
        <v>108</v>
      </c>
      <c r="G46" s="95" t="s">
        <v>143</v>
      </c>
      <c r="H46" s="95" t="s">
        <v>110</v>
      </c>
      <c r="I46" s="52" t="s">
        <v>145</v>
      </c>
      <c r="J46" s="52"/>
      <c r="K46" s="52"/>
      <c r="L46" s="106"/>
      <c r="M46" s="106"/>
      <c r="N46" s="104">
        <f t="shared" si="1"/>
        <v>0</v>
      </c>
      <c r="O46" s="95">
        <v>12</v>
      </c>
      <c r="P46" s="106">
        <v>12</v>
      </c>
      <c r="Q46" s="86">
        <v>12</v>
      </c>
      <c r="R46" s="104">
        <f t="shared" si="0"/>
        <v>36</v>
      </c>
      <c r="S46" s="86">
        <f t="shared" si="2"/>
        <v>36</v>
      </c>
      <c r="T46" s="87"/>
      <c r="U46" s="87"/>
      <c r="V46" s="87"/>
      <c r="W46" s="88"/>
      <c r="X46" s="87"/>
      <c r="Y46" s="87"/>
      <c r="Z46" s="87"/>
      <c r="AA46" s="88"/>
      <c r="AB46" s="88">
        <v>39.270000000000003</v>
      </c>
      <c r="AC46" s="88">
        <v>52.462499999999999</v>
      </c>
      <c r="AD46" s="88">
        <v>72.64</v>
      </c>
      <c r="AE46" s="89">
        <f t="shared" si="15"/>
        <v>2615.04</v>
      </c>
      <c r="AF46" s="90">
        <v>6.5000000000000002E-2</v>
      </c>
      <c r="AG46" s="4">
        <f t="shared" si="16"/>
        <v>169.9776</v>
      </c>
      <c r="AH46" s="49">
        <f t="shared" si="17"/>
        <v>0</v>
      </c>
      <c r="AI46" s="89">
        <f t="shared" si="18"/>
        <v>2445.0623999999998</v>
      </c>
      <c r="AJ46" s="91">
        <v>0.18</v>
      </c>
      <c r="AK46" s="5">
        <f t="shared" si="19"/>
        <v>440.11123199999997</v>
      </c>
      <c r="AL46" s="89">
        <f t="shared" si="20"/>
        <v>2885.173632</v>
      </c>
      <c r="AP46" s="92"/>
    </row>
    <row r="47" spans="1:42" hidden="1" x14ac:dyDescent="0.35">
      <c r="A47" s="85">
        <v>46205</v>
      </c>
      <c r="B47" s="51" t="s">
        <v>85</v>
      </c>
      <c r="C47" s="97">
        <v>16481683.892857101</v>
      </c>
      <c r="D47" s="97">
        <v>23878</v>
      </c>
      <c r="E47" s="48" t="s">
        <v>86</v>
      </c>
      <c r="F47" s="95" t="s">
        <v>108</v>
      </c>
      <c r="G47" s="86" t="s">
        <v>142</v>
      </c>
      <c r="H47" s="95" t="s">
        <v>110</v>
      </c>
      <c r="I47" s="52" t="s">
        <v>145</v>
      </c>
      <c r="J47" s="52"/>
      <c r="K47" s="86"/>
      <c r="L47" s="86"/>
      <c r="M47" s="105"/>
      <c r="N47" s="104">
        <f t="shared" si="1"/>
        <v>0</v>
      </c>
      <c r="O47" s="105"/>
      <c r="P47" s="105">
        <v>20</v>
      </c>
      <c r="Q47" s="105">
        <v>20</v>
      </c>
      <c r="R47" s="104">
        <f t="shared" si="0"/>
        <v>40</v>
      </c>
      <c r="S47" s="86">
        <f t="shared" si="2"/>
        <v>40</v>
      </c>
      <c r="T47" s="87"/>
      <c r="U47" s="87"/>
      <c r="V47" s="87"/>
      <c r="W47" s="88"/>
      <c r="X47" s="87"/>
      <c r="Y47" s="87"/>
      <c r="Z47" s="87"/>
      <c r="AA47" s="88"/>
      <c r="AB47" s="88">
        <v>39.270000000000003</v>
      </c>
      <c r="AC47" s="88">
        <v>52.462499999999999</v>
      </c>
      <c r="AD47" s="88">
        <v>72.64</v>
      </c>
      <c r="AE47" s="89">
        <f t="shared" si="3"/>
        <v>2905.6</v>
      </c>
      <c r="AF47" s="90">
        <v>6.5000000000000002E-2</v>
      </c>
      <c r="AG47" s="4">
        <f t="shared" si="4"/>
        <v>188.864</v>
      </c>
      <c r="AH47" s="49">
        <f t="shared" si="5"/>
        <v>0</v>
      </c>
      <c r="AI47" s="89">
        <f t="shared" si="6"/>
        <v>2716.7359999999999</v>
      </c>
      <c r="AJ47" s="91">
        <v>0.18</v>
      </c>
      <c r="AK47" s="5">
        <f t="shared" si="7"/>
        <v>489.01247999999998</v>
      </c>
      <c r="AL47" s="89">
        <f t="shared" si="8"/>
        <v>3205.7484799999997</v>
      </c>
      <c r="AP47" s="92"/>
    </row>
    <row r="48" spans="1:42" hidden="1" x14ac:dyDescent="0.35">
      <c r="A48" s="85">
        <v>46205</v>
      </c>
      <c r="B48" s="51" t="s">
        <v>85</v>
      </c>
      <c r="C48" s="97">
        <v>16951602.964285702</v>
      </c>
      <c r="D48" s="97">
        <v>24543.7</v>
      </c>
      <c r="E48" s="48" t="s">
        <v>86</v>
      </c>
      <c r="F48" s="95" t="s">
        <v>108</v>
      </c>
      <c r="G48" s="86" t="s">
        <v>144</v>
      </c>
      <c r="H48" s="95" t="s">
        <v>110</v>
      </c>
      <c r="I48" s="52" t="s">
        <v>145</v>
      </c>
      <c r="J48" s="52"/>
      <c r="K48" s="105"/>
      <c r="L48" s="105"/>
      <c r="M48" s="105"/>
      <c r="N48" s="104">
        <f t="shared" si="1"/>
        <v>0</v>
      </c>
      <c r="O48" s="86">
        <v>20</v>
      </c>
      <c r="P48" s="86">
        <v>20</v>
      </c>
      <c r="Q48" s="105">
        <v>20</v>
      </c>
      <c r="R48" s="104">
        <f t="shared" si="0"/>
        <v>60</v>
      </c>
      <c r="S48" s="86">
        <f t="shared" si="2"/>
        <v>60</v>
      </c>
      <c r="T48" s="87"/>
      <c r="U48" s="87"/>
      <c r="V48" s="87"/>
      <c r="W48" s="88"/>
      <c r="X48" s="87"/>
      <c r="Y48" s="87"/>
      <c r="Z48" s="87"/>
      <c r="AA48" s="88"/>
      <c r="AB48" s="88">
        <v>39.270000000000003</v>
      </c>
      <c r="AC48" s="88">
        <v>52.462499999999999</v>
      </c>
      <c r="AD48" s="88">
        <v>72.64</v>
      </c>
      <c r="AE48" s="89">
        <f t="shared" si="3"/>
        <v>4358.3999999999996</v>
      </c>
      <c r="AF48" s="90">
        <v>6.5000000000000002E-2</v>
      </c>
      <c r="AG48" s="4">
        <f t="shared" si="4"/>
        <v>283.29599999999999</v>
      </c>
      <c r="AH48" s="49">
        <f t="shared" si="5"/>
        <v>0</v>
      </c>
      <c r="AI48" s="89">
        <f t="shared" si="6"/>
        <v>4075.1039999999998</v>
      </c>
      <c r="AJ48" s="91">
        <v>0.18</v>
      </c>
      <c r="AK48" s="5">
        <f t="shared" si="7"/>
        <v>733.51871999999992</v>
      </c>
      <c r="AL48" s="89">
        <f t="shared" si="8"/>
        <v>4808.6227199999994</v>
      </c>
      <c r="AP48" s="92"/>
    </row>
    <row r="49" spans="1:42" hidden="1" x14ac:dyDescent="0.35">
      <c r="A49" s="85">
        <v>46205</v>
      </c>
      <c r="B49" s="51" t="s">
        <v>85</v>
      </c>
      <c r="C49" s="97">
        <v>17421522.035714298</v>
      </c>
      <c r="D49" s="97">
        <v>25209.4</v>
      </c>
      <c r="E49" s="48" t="s">
        <v>86</v>
      </c>
      <c r="F49" s="95" t="s">
        <v>108</v>
      </c>
      <c r="G49" s="86" t="s">
        <v>144</v>
      </c>
      <c r="H49" s="95" t="s">
        <v>110</v>
      </c>
      <c r="I49" s="52" t="s">
        <v>145</v>
      </c>
      <c r="J49" s="52">
        <v>24</v>
      </c>
      <c r="K49" s="105"/>
      <c r="L49" s="105"/>
      <c r="M49" s="105"/>
      <c r="N49" s="104">
        <f t="shared" si="1"/>
        <v>0</v>
      </c>
      <c r="O49" s="86"/>
      <c r="P49" s="86"/>
      <c r="Q49" s="105"/>
      <c r="R49" s="104">
        <f t="shared" si="0"/>
        <v>0</v>
      </c>
      <c r="S49" s="86">
        <f t="shared" si="2"/>
        <v>24</v>
      </c>
      <c r="T49" s="87"/>
      <c r="U49" s="87"/>
      <c r="V49" s="87"/>
      <c r="W49" s="88"/>
      <c r="X49" s="87"/>
      <c r="Y49" s="87"/>
      <c r="Z49" s="87"/>
      <c r="AA49" s="88"/>
      <c r="AB49" s="88">
        <v>39.270000000000003</v>
      </c>
      <c r="AC49" s="88">
        <v>52.462499999999999</v>
      </c>
      <c r="AD49" s="88">
        <v>72.64</v>
      </c>
      <c r="AE49" s="89">
        <f t="shared" si="3"/>
        <v>2685.84</v>
      </c>
      <c r="AF49" s="90">
        <v>6.5000000000000002E-2</v>
      </c>
      <c r="AG49" s="4">
        <f t="shared" si="4"/>
        <v>174.57960000000003</v>
      </c>
      <c r="AH49" s="49">
        <f t="shared" si="5"/>
        <v>32.986800000000002</v>
      </c>
      <c r="AI49" s="89">
        <f t="shared" si="6"/>
        <v>2511.2604000000001</v>
      </c>
      <c r="AJ49" s="91">
        <v>0.18</v>
      </c>
      <c r="AK49" s="5">
        <f t="shared" si="7"/>
        <v>452.02687200000003</v>
      </c>
      <c r="AL49" s="89">
        <f t="shared" si="8"/>
        <v>2963.287272</v>
      </c>
      <c r="AP49" s="92"/>
    </row>
    <row r="50" spans="1:42" hidden="1" x14ac:dyDescent="0.35">
      <c r="A50" s="85">
        <v>46205</v>
      </c>
      <c r="B50" s="51" t="s">
        <v>85</v>
      </c>
      <c r="C50" s="97">
        <v>17891441.107142899</v>
      </c>
      <c r="D50" s="97">
        <v>25875.1</v>
      </c>
      <c r="E50" s="48" t="s">
        <v>86</v>
      </c>
      <c r="F50" s="95" t="s">
        <v>108</v>
      </c>
      <c r="G50" s="86" t="s">
        <v>146</v>
      </c>
      <c r="H50" s="95" t="s">
        <v>112</v>
      </c>
      <c r="I50" s="48" t="s">
        <v>152</v>
      </c>
      <c r="J50" s="52">
        <v>12</v>
      </c>
      <c r="K50" s="86">
        <v>10</v>
      </c>
      <c r="L50" s="86">
        <v>10</v>
      </c>
      <c r="M50" s="86"/>
      <c r="N50" s="104">
        <f t="shared" si="1"/>
        <v>20</v>
      </c>
      <c r="O50" s="105"/>
      <c r="P50" s="105"/>
      <c r="Q50" s="105"/>
      <c r="R50" s="104">
        <f t="shared" si="0"/>
        <v>0</v>
      </c>
      <c r="S50" s="86">
        <f t="shared" si="2"/>
        <v>32</v>
      </c>
      <c r="T50" s="87"/>
      <c r="U50" s="87"/>
      <c r="V50" s="87"/>
      <c r="W50" s="88"/>
      <c r="X50" s="87"/>
      <c r="Y50" s="87"/>
      <c r="Z50" s="87"/>
      <c r="AA50" s="88"/>
      <c r="AB50" s="88">
        <v>39.270000000000003</v>
      </c>
      <c r="AC50" s="88">
        <v>52.462499999999999</v>
      </c>
      <c r="AD50" s="88">
        <v>72.64</v>
      </c>
      <c r="AE50" s="89">
        <f t="shared" si="3"/>
        <v>3844.9700000000003</v>
      </c>
      <c r="AF50" s="90">
        <v>6.5000000000000002E-2</v>
      </c>
      <c r="AG50" s="4">
        <f t="shared" si="4"/>
        <v>249.92305000000002</v>
      </c>
      <c r="AH50" s="49">
        <f t="shared" si="5"/>
        <v>16.493400000000001</v>
      </c>
      <c r="AI50" s="89">
        <f t="shared" si="6"/>
        <v>3595.0469500000004</v>
      </c>
      <c r="AJ50" s="91">
        <v>0.18</v>
      </c>
      <c r="AK50" s="5">
        <f t="shared" si="7"/>
        <v>647.10845100000006</v>
      </c>
      <c r="AL50" s="89">
        <f t="shared" si="8"/>
        <v>4242.155401</v>
      </c>
      <c r="AP50" s="92"/>
    </row>
    <row r="51" spans="1:42" hidden="1" x14ac:dyDescent="0.35">
      <c r="A51" s="85">
        <v>46205</v>
      </c>
      <c r="B51" s="51" t="s">
        <v>85</v>
      </c>
      <c r="C51" s="97">
        <v>18361360.178571399</v>
      </c>
      <c r="D51" s="97">
        <v>26540.799999999999</v>
      </c>
      <c r="E51" s="48" t="s">
        <v>86</v>
      </c>
      <c r="F51" s="95" t="s">
        <v>108</v>
      </c>
      <c r="G51" s="86" t="s">
        <v>147</v>
      </c>
      <c r="H51" s="95" t="s">
        <v>112</v>
      </c>
      <c r="I51" s="48" t="s">
        <v>152</v>
      </c>
      <c r="J51" s="52">
        <v>40</v>
      </c>
      <c r="K51" s="105">
        <v>10</v>
      </c>
      <c r="L51" s="105">
        <v>10</v>
      </c>
      <c r="M51" s="105"/>
      <c r="N51" s="104">
        <f t="shared" si="1"/>
        <v>20</v>
      </c>
      <c r="O51" s="86">
        <v>10</v>
      </c>
      <c r="P51" s="105">
        <v>10</v>
      </c>
      <c r="Q51" s="105">
        <v>20</v>
      </c>
      <c r="R51" s="104">
        <f t="shared" si="0"/>
        <v>40</v>
      </c>
      <c r="S51" s="86">
        <f t="shared" si="2"/>
        <v>100</v>
      </c>
      <c r="T51" s="87"/>
      <c r="U51" s="87"/>
      <c r="V51" s="87"/>
      <c r="W51" s="88"/>
      <c r="X51" s="87"/>
      <c r="Y51" s="87"/>
      <c r="Z51" s="87"/>
      <c r="AA51" s="88"/>
      <c r="AB51" s="88">
        <v>39.270000000000003</v>
      </c>
      <c r="AC51" s="88">
        <v>52.462499999999999</v>
      </c>
      <c r="AD51" s="88">
        <v>72.64</v>
      </c>
      <c r="AE51" s="89">
        <f t="shared" si="3"/>
        <v>9884.0499999999993</v>
      </c>
      <c r="AF51" s="90">
        <v>6.5000000000000002E-2</v>
      </c>
      <c r="AG51" s="4">
        <f t="shared" si="4"/>
        <v>642.46325000000002</v>
      </c>
      <c r="AH51" s="49">
        <f t="shared" si="5"/>
        <v>54.978000000000009</v>
      </c>
      <c r="AI51" s="89">
        <f t="shared" si="6"/>
        <v>9241.5867499999986</v>
      </c>
      <c r="AJ51" s="91">
        <v>0.18</v>
      </c>
      <c r="AK51" s="5">
        <f t="shared" si="7"/>
        <v>1663.4856149999996</v>
      </c>
      <c r="AL51" s="89">
        <f t="shared" si="8"/>
        <v>10905.072364999998</v>
      </c>
      <c r="AP51" s="92"/>
    </row>
    <row r="52" spans="1:42" hidden="1" x14ac:dyDescent="0.35">
      <c r="A52" s="85">
        <v>46205</v>
      </c>
      <c r="B52" s="51" t="s">
        <v>85</v>
      </c>
      <c r="C52" s="97">
        <v>18831279.25</v>
      </c>
      <c r="D52" s="97">
        <v>27206.5</v>
      </c>
      <c r="E52" s="48" t="s">
        <v>86</v>
      </c>
      <c r="F52" s="95" t="s">
        <v>108</v>
      </c>
      <c r="G52" s="86" t="s">
        <v>148</v>
      </c>
      <c r="H52" s="95" t="s">
        <v>112</v>
      </c>
      <c r="I52" s="48" t="s">
        <v>152</v>
      </c>
      <c r="J52" s="52">
        <v>40</v>
      </c>
      <c r="K52" s="105"/>
      <c r="L52" s="86"/>
      <c r="M52" s="105"/>
      <c r="N52" s="104">
        <f t="shared" si="1"/>
        <v>0</v>
      </c>
      <c r="O52" s="86">
        <v>13</v>
      </c>
      <c r="P52" s="86">
        <v>13</v>
      </c>
      <c r="Q52" s="86">
        <v>14</v>
      </c>
      <c r="R52" s="104">
        <f t="shared" si="0"/>
        <v>40</v>
      </c>
      <c r="S52" s="86">
        <f t="shared" si="2"/>
        <v>80</v>
      </c>
      <c r="T52" s="87"/>
      <c r="U52" s="87"/>
      <c r="V52" s="87"/>
      <c r="W52" s="88"/>
      <c r="X52" s="87"/>
      <c r="Y52" s="87"/>
      <c r="Z52" s="87"/>
      <c r="AA52" s="88"/>
      <c r="AB52" s="88">
        <v>39.270000000000003</v>
      </c>
      <c r="AC52" s="88">
        <v>52.462499999999999</v>
      </c>
      <c r="AD52" s="88">
        <v>72.64</v>
      </c>
      <c r="AE52" s="89">
        <f t="shared" si="3"/>
        <v>7382</v>
      </c>
      <c r="AF52" s="90">
        <v>0.14000000000000001</v>
      </c>
      <c r="AG52" s="4">
        <f t="shared" si="4"/>
        <v>1033.48</v>
      </c>
      <c r="AH52" s="49">
        <f t="shared" si="5"/>
        <v>54.978000000000009</v>
      </c>
      <c r="AI52" s="89">
        <f t="shared" si="6"/>
        <v>6348.52</v>
      </c>
      <c r="AJ52" s="91">
        <v>0.18</v>
      </c>
      <c r="AK52" s="5">
        <f t="shared" si="7"/>
        <v>1142.7336</v>
      </c>
      <c r="AL52" s="89">
        <f t="shared" si="8"/>
        <v>7491.2536</v>
      </c>
      <c r="AP52" s="92"/>
    </row>
    <row r="53" spans="1:42" hidden="1" x14ac:dyDescent="0.35">
      <c r="A53" s="85">
        <v>46205</v>
      </c>
      <c r="B53" s="51" t="s">
        <v>85</v>
      </c>
      <c r="C53" s="97">
        <v>19301198.321428601</v>
      </c>
      <c r="D53" s="97">
        <v>27872.2</v>
      </c>
      <c r="E53" s="48" t="s">
        <v>86</v>
      </c>
      <c r="F53" s="95" t="s">
        <v>108</v>
      </c>
      <c r="G53" s="86" t="s">
        <v>149</v>
      </c>
      <c r="H53" s="95" t="s">
        <v>112</v>
      </c>
      <c r="I53" s="48" t="s">
        <v>152</v>
      </c>
      <c r="J53" s="52">
        <v>6</v>
      </c>
      <c r="K53" s="105">
        <v>10</v>
      </c>
      <c r="L53" s="86"/>
      <c r="M53" s="86"/>
      <c r="N53" s="104">
        <f t="shared" si="1"/>
        <v>10</v>
      </c>
      <c r="O53" s="86">
        <v>10</v>
      </c>
      <c r="P53" s="86">
        <v>10</v>
      </c>
      <c r="Q53" s="86">
        <v>10</v>
      </c>
      <c r="R53" s="104">
        <f t="shared" si="0"/>
        <v>30</v>
      </c>
      <c r="S53" s="86">
        <f t="shared" si="2"/>
        <v>46</v>
      </c>
      <c r="T53" s="87"/>
      <c r="U53" s="87"/>
      <c r="V53" s="87"/>
      <c r="W53" s="88"/>
      <c r="X53" s="87"/>
      <c r="Y53" s="87"/>
      <c r="Z53" s="87"/>
      <c r="AA53" s="88"/>
      <c r="AB53" s="88">
        <v>39.270000000000003</v>
      </c>
      <c r="AC53" s="88">
        <v>52.462499999999999</v>
      </c>
      <c r="AD53" s="88">
        <v>72.64</v>
      </c>
      <c r="AE53" s="89">
        <f t="shared" si="3"/>
        <v>4101.6850000000004</v>
      </c>
      <c r="AF53" s="90">
        <v>6.5000000000000002E-2</v>
      </c>
      <c r="AG53" s="4">
        <f t="shared" si="4"/>
        <v>266.60952500000002</v>
      </c>
      <c r="AH53" s="49">
        <f t="shared" si="5"/>
        <v>8.2467000000000006</v>
      </c>
      <c r="AI53" s="89">
        <f t="shared" si="6"/>
        <v>3835.0754750000006</v>
      </c>
      <c r="AJ53" s="91">
        <v>0.18</v>
      </c>
      <c r="AK53" s="5">
        <f t="shared" si="7"/>
        <v>690.31358550000004</v>
      </c>
      <c r="AL53" s="89">
        <f t="shared" si="8"/>
        <v>4525.3890605000006</v>
      </c>
      <c r="AP53" s="92"/>
    </row>
    <row r="54" spans="1:42" hidden="1" x14ac:dyDescent="0.35">
      <c r="A54" s="85">
        <v>46205</v>
      </c>
      <c r="B54" s="51" t="s">
        <v>85</v>
      </c>
      <c r="C54" s="97">
        <v>19771117.392857101</v>
      </c>
      <c r="D54" s="97">
        <v>28537.9</v>
      </c>
      <c r="E54" s="48" t="s">
        <v>86</v>
      </c>
      <c r="F54" s="95" t="s">
        <v>108</v>
      </c>
      <c r="G54" s="86" t="s">
        <v>150</v>
      </c>
      <c r="H54" s="95" t="s">
        <v>112</v>
      </c>
      <c r="I54" s="48" t="s">
        <v>152</v>
      </c>
      <c r="J54" s="52">
        <v>6</v>
      </c>
      <c r="K54" s="105">
        <v>2</v>
      </c>
      <c r="L54" s="105">
        <v>2</v>
      </c>
      <c r="M54" s="105"/>
      <c r="N54" s="104">
        <f t="shared" si="1"/>
        <v>4</v>
      </c>
      <c r="O54" s="105">
        <v>2</v>
      </c>
      <c r="P54" s="105">
        <v>2</v>
      </c>
      <c r="Q54" s="86">
        <v>2</v>
      </c>
      <c r="R54" s="104">
        <f t="shared" si="0"/>
        <v>6</v>
      </c>
      <c r="S54" s="86">
        <f t="shared" si="2"/>
        <v>16</v>
      </c>
      <c r="T54" s="87"/>
      <c r="U54" s="87"/>
      <c r="V54" s="87"/>
      <c r="W54" s="88"/>
      <c r="X54" s="87"/>
      <c r="Y54" s="87"/>
      <c r="Z54" s="87"/>
      <c r="AA54" s="88"/>
      <c r="AB54" s="88">
        <v>39.270000000000003</v>
      </c>
      <c r="AC54" s="88">
        <v>52.462499999999999</v>
      </c>
      <c r="AD54" s="88">
        <v>72.64</v>
      </c>
      <c r="AE54" s="89">
        <f t="shared" si="3"/>
        <v>1607.71</v>
      </c>
      <c r="AF54" s="90">
        <v>6.5000000000000002E-2</v>
      </c>
      <c r="AG54" s="4">
        <f t="shared" si="4"/>
        <v>104.50115000000001</v>
      </c>
      <c r="AH54" s="49">
        <f t="shared" si="5"/>
        <v>8.2467000000000006</v>
      </c>
      <c r="AI54" s="89">
        <f t="shared" si="6"/>
        <v>1503.20885</v>
      </c>
      <c r="AJ54" s="91">
        <v>0.18</v>
      </c>
      <c r="AK54" s="5">
        <f t="shared" si="7"/>
        <v>270.57759299999998</v>
      </c>
      <c r="AL54" s="89">
        <f t="shared" si="8"/>
        <v>1773.786443</v>
      </c>
      <c r="AP54" s="92"/>
    </row>
    <row r="55" spans="1:42" hidden="1" x14ac:dyDescent="0.35">
      <c r="A55" s="85">
        <v>46205</v>
      </c>
      <c r="B55" s="51" t="s">
        <v>85</v>
      </c>
      <c r="C55" s="97">
        <v>20241036.464285702</v>
      </c>
      <c r="D55" s="97">
        <v>29203.599999999999</v>
      </c>
      <c r="E55" s="48" t="s">
        <v>86</v>
      </c>
      <c r="F55" s="95" t="s">
        <v>108</v>
      </c>
      <c r="G55" s="86" t="s">
        <v>151</v>
      </c>
      <c r="H55" s="95" t="s">
        <v>112</v>
      </c>
      <c r="I55" s="48" t="s">
        <v>152</v>
      </c>
      <c r="J55" s="52">
        <v>24</v>
      </c>
      <c r="K55" s="86">
        <v>12</v>
      </c>
      <c r="L55" s="86">
        <v>12</v>
      </c>
      <c r="M55" s="86"/>
      <c r="N55" s="104">
        <f t="shared" si="1"/>
        <v>24</v>
      </c>
      <c r="O55" s="86">
        <v>20</v>
      </c>
      <c r="P55" s="86">
        <v>10</v>
      </c>
      <c r="Q55" s="86">
        <v>10</v>
      </c>
      <c r="R55" s="104">
        <f t="shared" si="0"/>
        <v>40</v>
      </c>
      <c r="S55" s="86">
        <f t="shared" si="2"/>
        <v>88</v>
      </c>
      <c r="T55" s="87"/>
      <c r="U55" s="87"/>
      <c r="V55" s="87"/>
      <c r="W55" s="88"/>
      <c r="X55" s="87"/>
      <c r="Y55" s="87"/>
      <c r="Z55" s="87"/>
      <c r="AA55" s="88"/>
      <c r="AB55" s="88">
        <v>39.270000000000003</v>
      </c>
      <c r="AC55" s="88">
        <v>52.462499999999999</v>
      </c>
      <c r="AD55" s="88">
        <v>72.64</v>
      </c>
      <c r="AE55" s="89">
        <f t="shared" si="3"/>
        <v>8593.9</v>
      </c>
      <c r="AF55" s="90">
        <v>6.5000000000000002E-2</v>
      </c>
      <c r="AG55" s="4">
        <f t="shared" si="4"/>
        <v>558.60349999999994</v>
      </c>
      <c r="AH55" s="49">
        <f t="shared" si="5"/>
        <v>32.986800000000002</v>
      </c>
      <c r="AI55" s="89">
        <f t="shared" si="6"/>
        <v>8035.2964999999995</v>
      </c>
      <c r="AJ55" s="91">
        <v>0.18</v>
      </c>
      <c r="AK55" s="5">
        <f t="shared" si="7"/>
        <v>1446.3533699999998</v>
      </c>
      <c r="AL55" s="89">
        <f t="shared" si="8"/>
        <v>9481.6498699999993</v>
      </c>
      <c r="AP55" s="92"/>
    </row>
    <row r="56" spans="1:42" hidden="1" x14ac:dyDescent="0.35">
      <c r="A56" s="85">
        <v>46205</v>
      </c>
      <c r="B56" s="51" t="s">
        <v>85</v>
      </c>
      <c r="C56" s="97">
        <v>20710955.535714298</v>
      </c>
      <c r="D56" s="97">
        <v>29869.3</v>
      </c>
      <c r="E56" s="48" t="s">
        <v>86</v>
      </c>
      <c r="F56" s="95" t="s">
        <v>108</v>
      </c>
      <c r="G56" s="86" t="s">
        <v>153</v>
      </c>
      <c r="H56" s="86" t="s">
        <v>127</v>
      </c>
      <c r="I56" s="48" t="s">
        <v>163</v>
      </c>
      <c r="J56" s="52">
        <v>40</v>
      </c>
      <c r="K56" s="105">
        <v>39</v>
      </c>
      <c r="L56" s="105">
        <v>40</v>
      </c>
      <c r="M56" s="105"/>
      <c r="N56" s="104">
        <f t="shared" si="1"/>
        <v>79</v>
      </c>
      <c r="O56" s="86">
        <v>40</v>
      </c>
      <c r="P56" s="86">
        <v>40</v>
      </c>
      <c r="Q56" s="86">
        <v>40</v>
      </c>
      <c r="R56" s="104">
        <f t="shared" si="0"/>
        <v>120</v>
      </c>
      <c r="S56" s="86">
        <f t="shared" si="2"/>
        <v>239</v>
      </c>
      <c r="T56" s="87"/>
      <c r="U56" s="87"/>
      <c r="V56" s="87"/>
      <c r="W56" s="88"/>
      <c r="X56" s="87"/>
      <c r="Y56" s="87"/>
      <c r="Z56" s="87"/>
      <c r="AA56" s="88"/>
      <c r="AB56" s="88">
        <v>39.270000000000003</v>
      </c>
      <c r="AC56" s="88">
        <v>52.462499999999999</v>
      </c>
      <c r="AD56" s="88">
        <v>72.64</v>
      </c>
      <c r="AE56" s="89">
        <f t="shared" si="3"/>
        <v>23076.297500000001</v>
      </c>
      <c r="AF56" s="90">
        <v>6.5000000000000002E-2</v>
      </c>
      <c r="AG56" s="4">
        <f t="shared" ref="AG56:AG123" si="21">AE56*AF56</f>
        <v>1499.9593375000002</v>
      </c>
      <c r="AH56" s="49">
        <f t="shared" si="5"/>
        <v>54.978000000000009</v>
      </c>
      <c r="AI56" s="89">
        <f t="shared" si="6"/>
        <v>21576.3381625</v>
      </c>
      <c r="AJ56" s="91">
        <v>0.18</v>
      </c>
      <c r="AK56" s="5">
        <f t="shared" si="7"/>
        <v>3883.7408692499998</v>
      </c>
      <c r="AL56" s="89">
        <f t="shared" si="8"/>
        <v>25460.07903175</v>
      </c>
      <c r="AP56" s="92"/>
    </row>
    <row r="57" spans="1:42" hidden="1" x14ac:dyDescent="0.35">
      <c r="A57" s="85">
        <v>46205</v>
      </c>
      <c r="B57" s="51" t="s">
        <v>85</v>
      </c>
      <c r="C57" s="97">
        <v>21180874.607142899</v>
      </c>
      <c r="D57" s="97">
        <v>30535</v>
      </c>
      <c r="E57" s="48" t="s">
        <v>86</v>
      </c>
      <c r="F57" s="95" t="s">
        <v>108</v>
      </c>
      <c r="G57" s="86" t="s">
        <v>154</v>
      </c>
      <c r="H57" s="86" t="s">
        <v>127</v>
      </c>
      <c r="I57" s="48" t="s">
        <v>163</v>
      </c>
      <c r="J57" s="52">
        <v>40</v>
      </c>
      <c r="K57" s="86"/>
      <c r="L57" s="86"/>
      <c r="M57" s="86"/>
      <c r="N57" s="104">
        <f t="shared" si="1"/>
        <v>0</v>
      </c>
      <c r="O57" s="86"/>
      <c r="P57" s="86"/>
      <c r="Q57" s="86"/>
      <c r="R57" s="104">
        <f t="shared" si="0"/>
        <v>0</v>
      </c>
      <c r="S57" s="86">
        <f t="shared" si="2"/>
        <v>40</v>
      </c>
      <c r="T57" s="87"/>
      <c r="U57" s="87"/>
      <c r="V57" s="87"/>
      <c r="W57" s="88"/>
      <c r="X57" s="87"/>
      <c r="Y57" s="87"/>
      <c r="Z57" s="87"/>
      <c r="AA57" s="88"/>
      <c r="AB57" s="88">
        <v>39.270000000000003</v>
      </c>
      <c r="AC57" s="88">
        <v>52.462499999999999</v>
      </c>
      <c r="AD57" s="88">
        <v>72.64</v>
      </c>
      <c r="AE57" s="89">
        <f t="shared" si="3"/>
        <v>4476.3999999999996</v>
      </c>
      <c r="AF57" s="90">
        <v>0.1</v>
      </c>
      <c r="AG57" s="4">
        <f t="shared" si="21"/>
        <v>447.64</v>
      </c>
      <c r="AH57" s="49">
        <f t="shared" si="5"/>
        <v>54.978000000000009</v>
      </c>
      <c r="AI57" s="89">
        <f t="shared" si="6"/>
        <v>4028.7599999999998</v>
      </c>
      <c r="AJ57" s="91">
        <v>0.18</v>
      </c>
      <c r="AK57" s="5">
        <f t="shared" si="7"/>
        <v>725.17679999999996</v>
      </c>
      <c r="AL57" s="89">
        <f t="shared" si="8"/>
        <v>4753.9367999999995</v>
      </c>
      <c r="AP57" s="92"/>
    </row>
    <row r="58" spans="1:42" hidden="1" x14ac:dyDescent="0.35">
      <c r="A58" s="85">
        <v>46205</v>
      </c>
      <c r="B58" s="51" t="s">
        <v>85</v>
      </c>
      <c r="C58" s="97">
        <v>21650793.678571399</v>
      </c>
      <c r="D58" s="97">
        <v>31200.7</v>
      </c>
      <c r="E58" s="48" t="s">
        <v>86</v>
      </c>
      <c r="F58" s="95" t="s">
        <v>108</v>
      </c>
      <c r="G58" s="86" t="s">
        <v>155</v>
      </c>
      <c r="H58" s="86" t="s">
        <v>127</v>
      </c>
      <c r="I58" s="48" t="s">
        <v>163</v>
      </c>
      <c r="J58" s="52">
        <v>40</v>
      </c>
      <c r="K58" s="105"/>
      <c r="L58" s="105"/>
      <c r="M58" s="105"/>
      <c r="N58" s="104">
        <f t="shared" si="1"/>
        <v>0</v>
      </c>
      <c r="O58" s="86">
        <v>40</v>
      </c>
      <c r="P58" s="105"/>
      <c r="Q58" s="86"/>
      <c r="R58" s="104">
        <f t="shared" si="0"/>
        <v>40</v>
      </c>
      <c r="S58" s="86">
        <f t="shared" si="2"/>
        <v>80</v>
      </c>
      <c r="T58" s="87"/>
      <c r="U58" s="87"/>
      <c r="V58" s="87"/>
      <c r="W58" s="88"/>
      <c r="X58" s="87"/>
      <c r="Y58" s="87"/>
      <c r="Z58" s="87"/>
      <c r="AA58" s="88"/>
      <c r="AB58" s="88">
        <v>39.270000000000003</v>
      </c>
      <c r="AC58" s="88">
        <v>52.462499999999999</v>
      </c>
      <c r="AD58" s="88">
        <v>72.64</v>
      </c>
      <c r="AE58" s="89">
        <f t="shared" si="3"/>
        <v>7382</v>
      </c>
      <c r="AF58" s="90">
        <v>0.1</v>
      </c>
      <c r="AG58" s="4">
        <f t="shared" si="21"/>
        <v>738.2</v>
      </c>
      <c r="AH58" s="49">
        <f t="shared" si="5"/>
        <v>54.978000000000009</v>
      </c>
      <c r="AI58" s="89">
        <f t="shared" si="6"/>
        <v>6643.8</v>
      </c>
      <c r="AJ58" s="91">
        <v>0.18</v>
      </c>
      <c r="AK58" s="5">
        <f t="shared" si="7"/>
        <v>1195.884</v>
      </c>
      <c r="AL58" s="89">
        <f t="shared" si="8"/>
        <v>7839.6840000000002</v>
      </c>
      <c r="AP58" s="92"/>
    </row>
    <row r="59" spans="1:42" hidden="1" x14ac:dyDescent="0.35">
      <c r="A59" s="85">
        <v>46205</v>
      </c>
      <c r="B59" s="51" t="s">
        <v>85</v>
      </c>
      <c r="C59" s="97">
        <v>22120712.75</v>
      </c>
      <c r="D59" s="97">
        <v>31866.400000000001</v>
      </c>
      <c r="E59" s="48" t="s">
        <v>86</v>
      </c>
      <c r="F59" s="95" t="s">
        <v>108</v>
      </c>
      <c r="G59" s="86" t="s">
        <v>156</v>
      </c>
      <c r="H59" s="86" t="s">
        <v>127</v>
      </c>
      <c r="I59" s="48" t="s">
        <v>163</v>
      </c>
      <c r="J59" s="52">
        <v>40</v>
      </c>
      <c r="K59" s="105"/>
      <c r="L59" s="105"/>
      <c r="M59" s="105"/>
      <c r="N59" s="104">
        <f t="shared" si="1"/>
        <v>0</v>
      </c>
      <c r="O59" s="105"/>
      <c r="P59" s="86"/>
      <c r="Q59" s="86"/>
      <c r="R59" s="104">
        <f t="shared" si="0"/>
        <v>0</v>
      </c>
      <c r="S59" s="86">
        <f t="shared" si="2"/>
        <v>40</v>
      </c>
      <c r="T59" s="87"/>
      <c r="U59" s="87"/>
      <c r="V59" s="87"/>
      <c r="W59" s="88"/>
      <c r="X59" s="87"/>
      <c r="Y59" s="87"/>
      <c r="Z59" s="87"/>
      <c r="AA59" s="88"/>
      <c r="AB59" s="88">
        <v>39.270000000000003</v>
      </c>
      <c r="AC59" s="88">
        <v>52.462499999999999</v>
      </c>
      <c r="AD59" s="88">
        <v>72.64</v>
      </c>
      <c r="AE59" s="89">
        <f t="shared" si="3"/>
        <v>4476.3999999999996</v>
      </c>
      <c r="AF59" s="90">
        <v>6.5000000000000002E-2</v>
      </c>
      <c r="AG59" s="4">
        <f t="shared" si="21"/>
        <v>290.96600000000001</v>
      </c>
      <c r="AH59" s="49">
        <f t="shared" si="5"/>
        <v>54.978000000000009</v>
      </c>
      <c r="AI59" s="89">
        <f t="shared" si="6"/>
        <v>4185.4339999999993</v>
      </c>
      <c r="AJ59" s="91">
        <v>0.18</v>
      </c>
      <c r="AK59" s="5">
        <f t="shared" si="7"/>
        <v>753.37811999999985</v>
      </c>
      <c r="AL59" s="89">
        <f t="shared" si="8"/>
        <v>4938.8121199999987</v>
      </c>
      <c r="AP59" s="92"/>
    </row>
    <row r="60" spans="1:42" hidden="1" x14ac:dyDescent="0.35">
      <c r="A60" s="85">
        <v>46205</v>
      </c>
      <c r="B60" s="51" t="s">
        <v>85</v>
      </c>
      <c r="C60" s="97">
        <v>22590631.821428601</v>
      </c>
      <c r="D60" s="97">
        <v>32532.1</v>
      </c>
      <c r="E60" s="48" t="s">
        <v>86</v>
      </c>
      <c r="F60" s="95" t="s">
        <v>108</v>
      </c>
      <c r="G60" s="86" t="s">
        <v>157</v>
      </c>
      <c r="H60" s="86" t="s">
        <v>127</v>
      </c>
      <c r="I60" s="48" t="s">
        <v>163</v>
      </c>
      <c r="J60" s="52">
        <v>40</v>
      </c>
      <c r="K60" s="105"/>
      <c r="L60" s="105"/>
      <c r="M60" s="105"/>
      <c r="N60" s="104">
        <f t="shared" si="1"/>
        <v>0</v>
      </c>
      <c r="O60" s="86"/>
      <c r="P60" s="86"/>
      <c r="Q60" s="105"/>
      <c r="R60" s="104">
        <f t="shared" si="0"/>
        <v>0</v>
      </c>
      <c r="S60" s="86">
        <f t="shared" si="2"/>
        <v>40</v>
      </c>
      <c r="T60" s="87"/>
      <c r="U60" s="87"/>
      <c r="V60" s="87"/>
      <c r="W60" s="88"/>
      <c r="X60" s="87"/>
      <c r="Y60" s="87"/>
      <c r="Z60" s="87"/>
      <c r="AA60" s="88"/>
      <c r="AB60" s="88">
        <v>39.270000000000003</v>
      </c>
      <c r="AC60" s="88">
        <v>52.462499999999999</v>
      </c>
      <c r="AD60" s="88">
        <v>72.64</v>
      </c>
      <c r="AE60" s="89">
        <f t="shared" si="3"/>
        <v>4476.3999999999996</v>
      </c>
      <c r="AF60" s="90">
        <v>6.5000000000000002E-2</v>
      </c>
      <c r="AG60" s="4">
        <f t="shared" si="21"/>
        <v>290.96600000000001</v>
      </c>
      <c r="AH60" s="49">
        <f t="shared" si="5"/>
        <v>54.978000000000009</v>
      </c>
      <c r="AI60" s="89">
        <f t="shared" si="6"/>
        <v>4185.4339999999993</v>
      </c>
      <c r="AJ60" s="91">
        <v>0.18</v>
      </c>
      <c r="AK60" s="5">
        <f t="shared" si="7"/>
        <v>753.37811999999985</v>
      </c>
      <c r="AL60" s="89">
        <f t="shared" si="8"/>
        <v>4938.8121199999987</v>
      </c>
      <c r="AP60" s="92"/>
    </row>
    <row r="61" spans="1:42" hidden="1" x14ac:dyDescent="0.35">
      <c r="A61" s="85">
        <v>46205</v>
      </c>
      <c r="B61" s="51" t="s">
        <v>85</v>
      </c>
      <c r="C61" s="97">
        <v>23060550.892857101</v>
      </c>
      <c r="D61" s="97">
        <v>33197.800000000003</v>
      </c>
      <c r="E61" s="48" t="s">
        <v>86</v>
      </c>
      <c r="F61" s="95" t="s">
        <v>108</v>
      </c>
      <c r="G61" s="95" t="s">
        <v>158</v>
      </c>
      <c r="H61" s="86" t="s">
        <v>127</v>
      </c>
      <c r="I61" s="48" t="s">
        <v>163</v>
      </c>
      <c r="J61" s="52">
        <v>6</v>
      </c>
      <c r="K61" s="106"/>
      <c r="L61" s="106"/>
      <c r="M61" s="106"/>
      <c r="N61" s="104">
        <f t="shared" si="1"/>
        <v>0</v>
      </c>
      <c r="O61" s="95"/>
      <c r="P61" s="86"/>
      <c r="Q61" s="105"/>
      <c r="R61" s="104">
        <f t="shared" si="0"/>
        <v>0</v>
      </c>
      <c r="S61" s="86">
        <f t="shared" si="2"/>
        <v>6</v>
      </c>
      <c r="T61" s="87"/>
      <c r="U61" s="87"/>
      <c r="V61" s="87"/>
      <c r="W61" s="88"/>
      <c r="X61" s="87"/>
      <c r="Y61" s="87"/>
      <c r="Z61" s="87"/>
      <c r="AA61" s="88"/>
      <c r="AB61" s="88">
        <v>39.270000000000003</v>
      </c>
      <c r="AC61" s="88">
        <v>52.462499999999999</v>
      </c>
      <c r="AD61" s="88">
        <v>72.64</v>
      </c>
      <c r="AE61" s="89">
        <f t="shared" si="3"/>
        <v>671.46</v>
      </c>
      <c r="AF61" s="90">
        <v>6.5000000000000002E-2</v>
      </c>
      <c r="AG61" s="4">
        <f t="shared" si="21"/>
        <v>43.644900000000007</v>
      </c>
      <c r="AH61" s="49">
        <f t="shared" si="5"/>
        <v>8.2467000000000006</v>
      </c>
      <c r="AI61" s="89">
        <f t="shared" si="6"/>
        <v>627.81510000000003</v>
      </c>
      <c r="AJ61" s="91">
        <v>0.18</v>
      </c>
      <c r="AK61" s="5">
        <f t="shared" si="7"/>
        <v>113.00671800000001</v>
      </c>
      <c r="AL61" s="89">
        <f t="shared" si="8"/>
        <v>740.82181800000001</v>
      </c>
      <c r="AP61" s="92"/>
    </row>
    <row r="62" spans="1:42" hidden="1" x14ac:dyDescent="0.35">
      <c r="A62" s="85">
        <v>46205</v>
      </c>
      <c r="B62" s="51" t="s">
        <v>85</v>
      </c>
      <c r="C62" s="97">
        <v>23530469.964285702</v>
      </c>
      <c r="D62" s="97">
        <v>33863.5</v>
      </c>
      <c r="E62" s="48" t="s">
        <v>86</v>
      </c>
      <c r="F62" s="95" t="s">
        <v>108</v>
      </c>
      <c r="G62" s="95" t="s">
        <v>159</v>
      </c>
      <c r="H62" s="86" t="s">
        <v>127</v>
      </c>
      <c r="I62" s="48" t="s">
        <v>163</v>
      </c>
      <c r="J62" s="52">
        <v>10</v>
      </c>
      <c r="K62" s="106"/>
      <c r="L62" s="106"/>
      <c r="M62" s="106"/>
      <c r="N62" s="104">
        <f t="shared" si="1"/>
        <v>0</v>
      </c>
      <c r="O62" s="95"/>
      <c r="P62" s="86"/>
      <c r="Q62" s="105"/>
      <c r="R62" s="104">
        <f t="shared" si="0"/>
        <v>0</v>
      </c>
      <c r="S62" s="86">
        <f t="shared" si="2"/>
        <v>10</v>
      </c>
      <c r="T62" s="87"/>
      <c r="U62" s="87"/>
      <c r="V62" s="87"/>
      <c r="W62" s="88"/>
      <c r="X62" s="87"/>
      <c r="Y62" s="87"/>
      <c r="Z62" s="87"/>
      <c r="AA62" s="88"/>
      <c r="AB62" s="88">
        <v>39.270000000000003</v>
      </c>
      <c r="AC62" s="88">
        <v>52.462499999999999</v>
      </c>
      <c r="AD62" s="88">
        <v>72.64</v>
      </c>
      <c r="AE62" s="89">
        <f t="shared" si="3"/>
        <v>1119.0999999999999</v>
      </c>
      <c r="AF62" s="90">
        <v>6.5000000000000002E-2</v>
      </c>
      <c r="AG62" s="4">
        <f t="shared" si="21"/>
        <v>72.741500000000002</v>
      </c>
      <c r="AH62" s="49">
        <f t="shared" si="5"/>
        <v>13.744500000000002</v>
      </c>
      <c r="AI62" s="89">
        <f t="shared" si="6"/>
        <v>1046.3584999999998</v>
      </c>
      <c r="AJ62" s="91">
        <v>0.18</v>
      </c>
      <c r="AK62" s="5">
        <f t="shared" si="7"/>
        <v>188.34452999999996</v>
      </c>
      <c r="AL62" s="89">
        <f t="shared" si="8"/>
        <v>1234.7030299999997</v>
      </c>
      <c r="AP62" s="92"/>
    </row>
    <row r="63" spans="1:42" hidden="1" x14ac:dyDescent="0.35">
      <c r="A63" s="85">
        <v>46205</v>
      </c>
      <c r="B63" s="51" t="s">
        <v>85</v>
      </c>
      <c r="C63" s="97">
        <v>24000389.035714298</v>
      </c>
      <c r="D63" s="97">
        <v>34529.199999999997</v>
      </c>
      <c r="E63" s="48" t="s">
        <v>86</v>
      </c>
      <c r="F63" s="95" t="s">
        <v>108</v>
      </c>
      <c r="G63" s="86" t="s">
        <v>160</v>
      </c>
      <c r="H63" s="86" t="s">
        <v>127</v>
      </c>
      <c r="I63" s="48" t="s">
        <v>163</v>
      </c>
      <c r="J63" s="52">
        <v>10</v>
      </c>
      <c r="K63" s="105"/>
      <c r="L63" s="105"/>
      <c r="M63" s="105"/>
      <c r="N63" s="104">
        <f t="shared" si="1"/>
        <v>0</v>
      </c>
      <c r="O63" s="86"/>
      <c r="P63" s="86"/>
      <c r="Q63" s="86"/>
      <c r="R63" s="104">
        <f t="shared" si="0"/>
        <v>0</v>
      </c>
      <c r="S63" s="86">
        <f t="shared" si="2"/>
        <v>10</v>
      </c>
      <c r="T63" s="87"/>
      <c r="U63" s="87"/>
      <c r="V63" s="87"/>
      <c r="W63" s="88"/>
      <c r="X63" s="87"/>
      <c r="Y63" s="87"/>
      <c r="Z63" s="87"/>
      <c r="AA63" s="88"/>
      <c r="AB63" s="88">
        <v>39.270000000000003</v>
      </c>
      <c r="AC63" s="88">
        <v>52.462499999999999</v>
      </c>
      <c r="AD63" s="88">
        <v>72.64</v>
      </c>
      <c r="AE63" s="89">
        <f t="shared" si="3"/>
        <v>1119.0999999999999</v>
      </c>
      <c r="AF63" s="90">
        <v>6.5000000000000002E-2</v>
      </c>
      <c r="AG63" s="4">
        <f t="shared" si="21"/>
        <v>72.741500000000002</v>
      </c>
      <c r="AH63" s="49">
        <f t="shared" si="5"/>
        <v>13.744500000000002</v>
      </c>
      <c r="AI63" s="89">
        <f t="shared" si="6"/>
        <v>1046.3584999999998</v>
      </c>
      <c r="AJ63" s="91">
        <v>0.18</v>
      </c>
      <c r="AK63" s="5">
        <f t="shared" si="7"/>
        <v>188.34452999999996</v>
      </c>
      <c r="AL63" s="89">
        <f t="shared" si="8"/>
        <v>1234.7030299999997</v>
      </c>
      <c r="AP63" s="92"/>
    </row>
    <row r="64" spans="1:42" hidden="1" x14ac:dyDescent="0.35">
      <c r="A64" s="85">
        <v>46205</v>
      </c>
      <c r="B64" s="51" t="s">
        <v>85</v>
      </c>
      <c r="C64" s="97">
        <v>24470308.107142899</v>
      </c>
      <c r="D64" s="97">
        <v>35194.9</v>
      </c>
      <c r="E64" s="48" t="s">
        <v>86</v>
      </c>
      <c r="F64" s="95" t="s">
        <v>108</v>
      </c>
      <c r="G64" s="86" t="s">
        <v>161</v>
      </c>
      <c r="H64" s="86" t="s">
        <v>127</v>
      </c>
      <c r="I64" s="48" t="s">
        <v>163</v>
      </c>
      <c r="J64" s="52">
        <v>10</v>
      </c>
      <c r="K64" s="105"/>
      <c r="L64" s="105"/>
      <c r="M64" s="105"/>
      <c r="N64" s="104">
        <f t="shared" si="1"/>
        <v>0</v>
      </c>
      <c r="O64" s="86"/>
      <c r="P64" s="86"/>
      <c r="Q64" s="86"/>
      <c r="R64" s="104">
        <f t="shared" si="0"/>
        <v>0</v>
      </c>
      <c r="S64" s="86">
        <f t="shared" si="2"/>
        <v>10</v>
      </c>
      <c r="T64" s="87"/>
      <c r="U64" s="87"/>
      <c r="V64" s="87"/>
      <c r="W64" s="88"/>
      <c r="X64" s="87"/>
      <c r="Y64" s="87"/>
      <c r="Z64" s="87"/>
      <c r="AA64" s="88"/>
      <c r="AB64" s="88">
        <v>39.270000000000003</v>
      </c>
      <c r="AC64" s="88">
        <v>52.462499999999999</v>
      </c>
      <c r="AD64" s="88">
        <v>72.64</v>
      </c>
      <c r="AE64" s="89">
        <f t="shared" si="3"/>
        <v>1119.0999999999999</v>
      </c>
      <c r="AF64" s="90">
        <v>6.5000000000000002E-2</v>
      </c>
      <c r="AG64" s="4">
        <f t="shared" si="21"/>
        <v>72.741500000000002</v>
      </c>
      <c r="AH64" s="49">
        <f t="shared" si="5"/>
        <v>13.744500000000002</v>
      </c>
      <c r="AI64" s="89">
        <f t="shared" si="6"/>
        <v>1046.3584999999998</v>
      </c>
      <c r="AJ64" s="91">
        <v>0.18</v>
      </c>
      <c r="AK64" s="5">
        <f t="shared" si="7"/>
        <v>188.34452999999996</v>
      </c>
      <c r="AL64" s="89">
        <f t="shared" si="8"/>
        <v>1234.7030299999997</v>
      </c>
      <c r="AP64" s="92"/>
    </row>
    <row r="65" spans="1:42" hidden="1" x14ac:dyDescent="0.35">
      <c r="A65" s="85">
        <v>46205</v>
      </c>
      <c r="B65" s="51" t="s">
        <v>85</v>
      </c>
      <c r="C65" s="97">
        <v>24940227.178571399</v>
      </c>
      <c r="D65" s="97">
        <v>35860.6</v>
      </c>
      <c r="E65" s="48" t="s">
        <v>86</v>
      </c>
      <c r="F65" s="95" t="s">
        <v>108</v>
      </c>
      <c r="G65" s="86" t="s">
        <v>162</v>
      </c>
      <c r="H65" s="86" t="s">
        <v>127</v>
      </c>
      <c r="I65" s="48" t="s">
        <v>163</v>
      </c>
      <c r="J65" s="52">
        <v>40</v>
      </c>
      <c r="K65" s="86"/>
      <c r="L65" s="86"/>
      <c r="M65" s="86"/>
      <c r="N65" s="104">
        <f t="shared" si="1"/>
        <v>0</v>
      </c>
      <c r="O65" s="86"/>
      <c r="P65" s="86"/>
      <c r="Q65" s="86"/>
      <c r="R65" s="104">
        <f t="shared" si="0"/>
        <v>0</v>
      </c>
      <c r="S65" s="86">
        <f t="shared" si="2"/>
        <v>40</v>
      </c>
      <c r="T65" s="87"/>
      <c r="U65" s="87"/>
      <c r="V65" s="87"/>
      <c r="W65" s="88"/>
      <c r="X65" s="87"/>
      <c r="Y65" s="87"/>
      <c r="Z65" s="87"/>
      <c r="AA65" s="88"/>
      <c r="AB65" s="88">
        <v>39.270000000000003</v>
      </c>
      <c r="AC65" s="88">
        <v>52.462499999999999</v>
      </c>
      <c r="AD65" s="88">
        <v>72.64</v>
      </c>
      <c r="AE65" s="89">
        <f t="shared" si="3"/>
        <v>4476.3999999999996</v>
      </c>
      <c r="AF65" s="90">
        <v>6.5000000000000002E-2</v>
      </c>
      <c r="AG65" s="4">
        <f t="shared" si="21"/>
        <v>290.96600000000001</v>
      </c>
      <c r="AH65" s="49">
        <f t="shared" si="5"/>
        <v>54.978000000000009</v>
      </c>
      <c r="AI65" s="89">
        <f t="shared" si="6"/>
        <v>4185.4339999999993</v>
      </c>
      <c r="AJ65" s="91">
        <v>0.18</v>
      </c>
      <c r="AK65" s="5">
        <f t="shared" si="7"/>
        <v>753.37811999999985</v>
      </c>
      <c r="AL65" s="89">
        <f t="shared" si="8"/>
        <v>4938.8121199999987</v>
      </c>
      <c r="AP65" s="92"/>
    </row>
    <row r="66" spans="1:42" hidden="1" x14ac:dyDescent="0.35">
      <c r="A66" s="85">
        <v>46205</v>
      </c>
      <c r="B66" s="51" t="s">
        <v>85</v>
      </c>
      <c r="C66" s="97">
        <v>25410146.25</v>
      </c>
      <c r="D66" s="97">
        <v>36526.300000000003</v>
      </c>
      <c r="E66" s="48" t="s">
        <v>86</v>
      </c>
      <c r="F66" s="95" t="s">
        <v>108</v>
      </c>
      <c r="G66" s="86" t="s">
        <v>164</v>
      </c>
      <c r="H66" s="86" t="s">
        <v>129</v>
      </c>
      <c r="I66" s="48" t="s">
        <v>171</v>
      </c>
      <c r="J66" s="52"/>
      <c r="K66" s="105"/>
      <c r="L66" s="86"/>
      <c r="M66" s="86"/>
      <c r="N66" s="104">
        <f t="shared" si="1"/>
        <v>0</v>
      </c>
      <c r="O66" s="105"/>
      <c r="P66" s="105">
        <v>20</v>
      </c>
      <c r="Q66" s="105">
        <v>20</v>
      </c>
      <c r="R66" s="104">
        <f t="shared" si="0"/>
        <v>40</v>
      </c>
      <c r="S66" s="86">
        <f t="shared" si="2"/>
        <v>40</v>
      </c>
      <c r="T66" s="87"/>
      <c r="U66" s="87"/>
      <c r="V66" s="87"/>
      <c r="W66" s="88"/>
      <c r="X66" s="87"/>
      <c r="Y66" s="87"/>
      <c r="Z66" s="87"/>
      <c r="AA66" s="88"/>
      <c r="AB66" s="88">
        <v>39.270000000000003</v>
      </c>
      <c r="AC66" s="88">
        <v>52.462499999999999</v>
      </c>
      <c r="AD66" s="88">
        <v>72.64</v>
      </c>
      <c r="AE66" s="89">
        <f t="shared" si="3"/>
        <v>2905.6</v>
      </c>
      <c r="AF66" s="90">
        <v>6.5000000000000002E-2</v>
      </c>
      <c r="AG66" s="4">
        <f t="shared" si="21"/>
        <v>188.864</v>
      </c>
      <c r="AH66" s="49">
        <f t="shared" si="5"/>
        <v>0</v>
      </c>
      <c r="AI66" s="89">
        <f t="shared" si="6"/>
        <v>2716.7359999999999</v>
      </c>
      <c r="AJ66" s="91">
        <v>0.18</v>
      </c>
      <c r="AK66" s="5">
        <f t="shared" si="7"/>
        <v>489.01247999999998</v>
      </c>
      <c r="AL66" s="89">
        <f t="shared" si="8"/>
        <v>3205.7484799999997</v>
      </c>
      <c r="AP66" s="92"/>
    </row>
    <row r="67" spans="1:42" hidden="1" x14ac:dyDescent="0.35">
      <c r="A67" s="85">
        <v>46205</v>
      </c>
      <c r="B67" s="51" t="s">
        <v>85</v>
      </c>
      <c r="C67" s="97">
        <v>25880065.321428601</v>
      </c>
      <c r="D67" s="97">
        <v>37192</v>
      </c>
      <c r="E67" s="48" t="s">
        <v>86</v>
      </c>
      <c r="F67" s="95" t="s">
        <v>108</v>
      </c>
      <c r="G67" s="86" t="s">
        <v>165</v>
      </c>
      <c r="H67" s="86" t="s">
        <v>129</v>
      </c>
      <c r="I67" s="48" t="s">
        <v>171</v>
      </c>
      <c r="J67" s="52"/>
      <c r="K67" s="105"/>
      <c r="L67" s="105"/>
      <c r="M67" s="105"/>
      <c r="N67" s="104">
        <f t="shared" si="1"/>
        <v>0</v>
      </c>
      <c r="O67" s="86">
        <v>15</v>
      </c>
      <c r="P67" s="86">
        <v>15</v>
      </c>
      <c r="Q67" s="105">
        <v>10</v>
      </c>
      <c r="R67" s="104">
        <f t="shared" ref="R67:R131" si="22">SUM(O67:Q67)</f>
        <v>40</v>
      </c>
      <c r="S67" s="86">
        <f t="shared" si="2"/>
        <v>40</v>
      </c>
      <c r="T67" s="87"/>
      <c r="U67" s="87"/>
      <c r="V67" s="87"/>
      <c r="W67" s="88"/>
      <c r="X67" s="87"/>
      <c r="Y67" s="87"/>
      <c r="Z67" s="87"/>
      <c r="AA67" s="88"/>
      <c r="AB67" s="88">
        <v>39.270000000000003</v>
      </c>
      <c r="AC67" s="88">
        <v>52.462499999999999</v>
      </c>
      <c r="AD67" s="88">
        <v>72.64</v>
      </c>
      <c r="AE67" s="89">
        <f t="shared" si="3"/>
        <v>2905.6</v>
      </c>
      <c r="AF67" s="90">
        <v>6.5000000000000002E-2</v>
      </c>
      <c r="AG67" s="4">
        <f t="shared" si="21"/>
        <v>188.864</v>
      </c>
      <c r="AH67" s="49">
        <f t="shared" si="5"/>
        <v>0</v>
      </c>
      <c r="AI67" s="89">
        <f t="shared" si="6"/>
        <v>2716.7359999999999</v>
      </c>
      <c r="AJ67" s="91">
        <v>0.18</v>
      </c>
      <c r="AK67" s="5">
        <f t="shared" si="7"/>
        <v>489.01247999999998</v>
      </c>
      <c r="AL67" s="89">
        <f t="shared" si="8"/>
        <v>3205.7484799999997</v>
      </c>
      <c r="AP67" s="92"/>
    </row>
    <row r="68" spans="1:42" hidden="1" x14ac:dyDescent="0.35">
      <c r="A68" s="85">
        <v>46205</v>
      </c>
      <c r="B68" s="51" t="s">
        <v>85</v>
      </c>
      <c r="C68" s="97">
        <v>26349984.392857101</v>
      </c>
      <c r="D68" s="97">
        <v>37857.699999999997</v>
      </c>
      <c r="E68" s="48" t="s">
        <v>86</v>
      </c>
      <c r="F68" s="95" t="s">
        <v>108</v>
      </c>
      <c r="G68" s="86" t="s">
        <v>166</v>
      </c>
      <c r="H68" s="86" t="s">
        <v>129</v>
      </c>
      <c r="I68" s="48" t="s">
        <v>171</v>
      </c>
      <c r="J68" s="52"/>
      <c r="K68" s="86"/>
      <c r="L68" s="86"/>
      <c r="M68" s="86"/>
      <c r="N68" s="104">
        <f t="shared" ref="N68:N132" si="23">K68+L68+M68</f>
        <v>0</v>
      </c>
      <c r="O68" s="86">
        <v>15</v>
      </c>
      <c r="P68" s="86">
        <v>15</v>
      </c>
      <c r="Q68" s="86">
        <v>10</v>
      </c>
      <c r="R68" s="104">
        <f t="shared" si="22"/>
        <v>40</v>
      </c>
      <c r="S68" s="86">
        <f t="shared" ref="S68:S132" si="24">R68+N68+J68</f>
        <v>40</v>
      </c>
      <c r="T68" s="87"/>
      <c r="U68" s="87"/>
      <c r="V68" s="87"/>
      <c r="W68" s="88"/>
      <c r="X68" s="87"/>
      <c r="Y68" s="87"/>
      <c r="Z68" s="87"/>
      <c r="AA68" s="88"/>
      <c r="AB68" s="88">
        <v>39.270000000000003</v>
      </c>
      <c r="AC68" s="88">
        <v>52.462499999999999</v>
      </c>
      <c r="AD68" s="88">
        <v>72.64</v>
      </c>
      <c r="AE68" s="89">
        <f t="shared" si="3"/>
        <v>2905.6</v>
      </c>
      <c r="AF68" s="90">
        <v>6.5000000000000002E-2</v>
      </c>
      <c r="AG68" s="4">
        <f t="shared" si="21"/>
        <v>188.864</v>
      </c>
      <c r="AH68" s="49">
        <f t="shared" si="5"/>
        <v>0</v>
      </c>
      <c r="AI68" s="89">
        <f t="shared" si="6"/>
        <v>2716.7359999999999</v>
      </c>
      <c r="AJ68" s="91">
        <v>0.18</v>
      </c>
      <c r="AK68" s="5">
        <f t="shared" si="7"/>
        <v>489.01247999999998</v>
      </c>
      <c r="AL68" s="89">
        <f t="shared" si="8"/>
        <v>3205.7484799999997</v>
      </c>
      <c r="AP68" s="92"/>
    </row>
    <row r="69" spans="1:42" hidden="1" x14ac:dyDescent="0.35">
      <c r="A69" s="85">
        <v>46205</v>
      </c>
      <c r="B69" s="51" t="s">
        <v>85</v>
      </c>
      <c r="C69" s="97">
        <v>26819903.464285702</v>
      </c>
      <c r="D69" s="97">
        <v>38523.4</v>
      </c>
      <c r="E69" s="48" t="s">
        <v>86</v>
      </c>
      <c r="F69" s="95" t="s">
        <v>108</v>
      </c>
      <c r="G69" s="86" t="s">
        <v>167</v>
      </c>
      <c r="H69" s="86" t="s">
        <v>129</v>
      </c>
      <c r="I69" s="48" t="s">
        <v>171</v>
      </c>
      <c r="J69" s="52">
        <v>40</v>
      </c>
      <c r="K69" s="105">
        <v>20</v>
      </c>
      <c r="L69" s="105">
        <v>20</v>
      </c>
      <c r="M69" s="105"/>
      <c r="N69" s="104">
        <f t="shared" si="23"/>
        <v>40</v>
      </c>
      <c r="O69" s="86">
        <v>15</v>
      </c>
      <c r="P69" s="86">
        <v>15</v>
      </c>
      <c r="Q69" s="86">
        <v>10</v>
      </c>
      <c r="R69" s="104">
        <f t="shared" si="22"/>
        <v>40</v>
      </c>
      <c r="S69" s="86">
        <f t="shared" si="24"/>
        <v>120</v>
      </c>
      <c r="T69" s="87"/>
      <c r="U69" s="87"/>
      <c r="V69" s="87"/>
      <c r="W69" s="88"/>
      <c r="X69" s="87"/>
      <c r="Y69" s="87"/>
      <c r="Z69" s="87"/>
      <c r="AA69" s="88"/>
      <c r="AB69" s="88">
        <v>39.270000000000003</v>
      </c>
      <c r="AC69" s="88">
        <v>52.462499999999999</v>
      </c>
      <c r="AD69" s="88">
        <v>72.64</v>
      </c>
      <c r="AE69" s="89">
        <f t="shared" si="3"/>
        <v>12386.099999999999</v>
      </c>
      <c r="AF69" s="90">
        <v>6.5000000000000002E-2</v>
      </c>
      <c r="AG69" s="4">
        <f t="shared" si="21"/>
        <v>805.09649999999988</v>
      </c>
      <c r="AH69" s="49">
        <f t="shared" si="5"/>
        <v>54.978000000000009</v>
      </c>
      <c r="AI69" s="89">
        <f t="shared" si="6"/>
        <v>11581.003499999999</v>
      </c>
      <c r="AJ69" s="91">
        <v>0.18</v>
      </c>
      <c r="AK69" s="5">
        <f t="shared" si="7"/>
        <v>2084.5806299999999</v>
      </c>
      <c r="AL69" s="89">
        <f t="shared" si="8"/>
        <v>13665.584129999999</v>
      </c>
      <c r="AP69" s="92"/>
    </row>
    <row r="70" spans="1:42" hidden="1" x14ac:dyDescent="0.35">
      <c r="A70" s="85">
        <v>46205</v>
      </c>
      <c r="B70" s="51" t="s">
        <v>85</v>
      </c>
      <c r="C70" s="97">
        <v>27289822.535714298</v>
      </c>
      <c r="D70" s="97">
        <v>39189.1</v>
      </c>
      <c r="E70" s="48" t="s">
        <v>86</v>
      </c>
      <c r="F70" s="95" t="s">
        <v>108</v>
      </c>
      <c r="G70" s="86" t="s">
        <v>168</v>
      </c>
      <c r="H70" s="86" t="s">
        <v>129</v>
      </c>
      <c r="I70" s="48" t="s">
        <v>171</v>
      </c>
      <c r="J70" s="52"/>
      <c r="K70" s="105">
        <v>20</v>
      </c>
      <c r="L70" s="105">
        <v>20</v>
      </c>
      <c r="M70" s="86"/>
      <c r="N70" s="104">
        <f t="shared" si="23"/>
        <v>40</v>
      </c>
      <c r="O70" s="86">
        <v>15</v>
      </c>
      <c r="P70" s="86">
        <v>15</v>
      </c>
      <c r="Q70" s="86">
        <v>10</v>
      </c>
      <c r="R70" s="104">
        <f t="shared" si="22"/>
        <v>40</v>
      </c>
      <c r="S70" s="86">
        <f t="shared" si="24"/>
        <v>80</v>
      </c>
      <c r="T70" s="87"/>
      <c r="U70" s="87"/>
      <c r="V70" s="87"/>
      <c r="W70" s="88"/>
      <c r="X70" s="87"/>
      <c r="Y70" s="87"/>
      <c r="Z70" s="87"/>
      <c r="AA70" s="88"/>
      <c r="AB70" s="88">
        <v>39.270000000000003</v>
      </c>
      <c r="AC70" s="88">
        <v>52.462499999999999</v>
      </c>
      <c r="AD70" s="88">
        <v>72.64</v>
      </c>
      <c r="AE70" s="89">
        <f t="shared" ref="AE70:AE149" si="25">(J70*AB70)+(N70*AC70)+(AD70*S70)</f>
        <v>7909.7</v>
      </c>
      <c r="AF70" s="90">
        <v>6.5000000000000002E-2</v>
      </c>
      <c r="AG70" s="4">
        <f t="shared" si="21"/>
        <v>514.13049999999998</v>
      </c>
      <c r="AH70" s="49">
        <f t="shared" ref="AH70:AH149" si="26">(AB70*J70)*$AH$1</f>
        <v>0</v>
      </c>
      <c r="AI70" s="89">
        <f t="shared" ref="AI70:AI149" si="27">AE70-AG70</f>
        <v>7395.5694999999996</v>
      </c>
      <c r="AJ70" s="91">
        <v>0.18</v>
      </c>
      <c r="AK70" s="5">
        <f t="shared" ref="AK70:AK149" si="28">AI70*AJ70</f>
        <v>1331.2025099999998</v>
      </c>
      <c r="AL70" s="89">
        <f t="shared" ref="AL70:AL149" si="29">AI70+AK70</f>
        <v>8726.7720099999988</v>
      </c>
      <c r="AP70" s="92"/>
    </row>
    <row r="71" spans="1:42" hidden="1" x14ac:dyDescent="0.35">
      <c r="A71" s="85">
        <v>46205</v>
      </c>
      <c r="B71" s="51" t="s">
        <v>85</v>
      </c>
      <c r="C71" s="97">
        <v>27759741.607142799</v>
      </c>
      <c r="D71" s="97">
        <v>39854.800000000003</v>
      </c>
      <c r="E71" s="48" t="s">
        <v>86</v>
      </c>
      <c r="F71" s="95" t="s">
        <v>108</v>
      </c>
      <c r="G71" s="86" t="s">
        <v>169</v>
      </c>
      <c r="H71" s="86" t="s">
        <v>129</v>
      </c>
      <c r="I71" s="48" t="s">
        <v>171</v>
      </c>
      <c r="J71" s="52">
        <v>10</v>
      </c>
      <c r="K71" s="86"/>
      <c r="L71" s="105"/>
      <c r="M71" s="105"/>
      <c r="N71" s="104">
        <f t="shared" si="23"/>
        <v>0</v>
      </c>
      <c r="O71" s="105"/>
      <c r="P71" s="105"/>
      <c r="Q71" s="105"/>
      <c r="R71" s="104">
        <f t="shared" si="22"/>
        <v>0</v>
      </c>
      <c r="S71" s="86">
        <f t="shared" si="24"/>
        <v>10</v>
      </c>
      <c r="T71" s="87"/>
      <c r="U71" s="87"/>
      <c r="V71" s="87"/>
      <c r="W71" s="88"/>
      <c r="X71" s="87"/>
      <c r="Y71" s="87"/>
      <c r="Z71" s="87"/>
      <c r="AA71" s="88"/>
      <c r="AB71" s="88">
        <v>39.270000000000003</v>
      </c>
      <c r="AC71" s="88">
        <v>52.462499999999999</v>
      </c>
      <c r="AD71" s="88">
        <v>72.64</v>
      </c>
      <c r="AE71" s="89">
        <f t="shared" si="25"/>
        <v>1119.0999999999999</v>
      </c>
      <c r="AF71" s="90">
        <v>6.5000000000000002E-2</v>
      </c>
      <c r="AG71" s="4">
        <f t="shared" si="21"/>
        <v>72.741500000000002</v>
      </c>
      <c r="AH71" s="49">
        <f t="shared" si="26"/>
        <v>13.744500000000002</v>
      </c>
      <c r="AI71" s="89">
        <f t="shared" si="27"/>
        <v>1046.3584999999998</v>
      </c>
      <c r="AJ71" s="91">
        <v>0.18</v>
      </c>
      <c r="AK71" s="5">
        <f t="shared" si="28"/>
        <v>188.34452999999996</v>
      </c>
      <c r="AL71" s="89">
        <f t="shared" si="29"/>
        <v>1234.7030299999997</v>
      </c>
      <c r="AP71" s="92"/>
    </row>
    <row r="72" spans="1:42" hidden="1" x14ac:dyDescent="0.35">
      <c r="A72" s="85">
        <v>46205</v>
      </c>
      <c r="B72" s="51" t="s">
        <v>85</v>
      </c>
      <c r="C72" s="97">
        <v>28229660.678571399</v>
      </c>
      <c r="D72" s="97">
        <v>40520.5</v>
      </c>
      <c r="E72" s="48" t="s">
        <v>86</v>
      </c>
      <c r="F72" s="95" t="s">
        <v>108</v>
      </c>
      <c r="G72" s="86" t="s">
        <v>103</v>
      </c>
      <c r="H72" s="86" t="s">
        <v>129</v>
      </c>
      <c r="I72" s="48" t="s">
        <v>171</v>
      </c>
      <c r="J72" s="52">
        <v>10</v>
      </c>
      <c r="K72" s="105"/>
      <c r="L72" s="105"/>
      <c r="M72" s="105"/>
      <c r="N72" s="104">
        <f t="shared" si="23"/>
        <v>0</v>
      </c>
      <c r="O72" s="86"/>
      <c r="P72" s="86"/>
      <c r="Q72" s="105"/>
      <c r="R72" s="104">
        <f t="shared" si="22"/>
        <v>0</v>
      </c>
      <c r="S72" s="86">
        <f t="shared" si="24"/>
        <v>10</v>
      </c>
      <c r="T72" s="87"/>
      <c r="U72" s="87"/>
      <c r="V72" s="87"/>
      <c r="W72" s="88"/>
      <c r="X72" s="87"/>
      <c r="Y72" s="87"/>
      <c r="Z72" s="87"/>
      <c r="AA72" s="88"/>
      <c r="AB72" s="88">
        <v>39.270000000000003</v>
      </c>
      <c r="AC72" s="88">
        <v>52.462499999999999</v>
      </c>
      <c r="AD72" s="88">
        <v>72.64</v>
      </c>
      <c r="AE72" s="89">
        <f t="shared" si="25"/>
        <v>1119.0999999999999</v>
      </c>
      <c r="AF72" s="90">
        <v>6.5000000000000002E-2</v>
      </c>
      <c r="AG72" s="4">
        <f t="shared" si="21"/>
        <v>72.741500000000002</v>
      </c>
      <c r="AH72" s="49">
        <f t="shared" si="26"/>
        <v>13.744500000000002</v>
      </c>
      <c r="AI72" s="89">
        <f t="shared" si="27"/>
        <v>1046.3584999999998</v>
      </c>
      <c r="AJ72" s="91">
        <v>0.18</v>
      </c>
      <c r="AK72" s="5">
        <f t="shared" si="28"/>
        <v>188.34452999999996</v>
      </c>
      <c r="AL72" s="89">
        <f t="shared" si="29"/>
        <v>1234.7030299999997</v>
      </c>
      <c r="AP72" s="92"/>
    </row>
    <row r="73" spans="1:42" hidden="1" x14ac:dyDescent="0.35">
      <c r="A73" s="85">
        <v>46205</v>
      </c>
      <c r="B73" s="51" t="s">
        <v>85</v>
      </c>
      <c r="C73" s="97">
        <v>28699579.75</v>
      </c>
      <c r="D73" s="97">
        <v>41186.199999999997</v>
      </c>
      <c r="E73" s="48" t="s">
        <v>86</v>
      </c>
      <c r="F73" s="95" t="s">
        <v>108</v>
      </c>
      <c r="G73" s="86" t="s">
        <v>170</v>
      </c>
      <c r="H73" s="86" t="s">
        <v>129</v>
      </c>
      <c r="I73" s="48" t="s">
        <v>171</v>
      </c>
      <c r="J73" s="52">
        <v>10</v>
      </c>
      <c r="K73" s="86"/>
      <c r="L73" s="86"/>
      <c r="M73" s="86"/>
      <c r="N73" s="104">
        <f t="shared" si="23"/>
        <v>0</v>
      </c>
      <c r="O73" s="86"/>
      <c r="P73" s="86"/>
      <c r="Q73" s="86"/>
      <c r="R73" s="104">
        <f t="shared" si="22"/>
        <v>0</v>
      </c>
      <c r="S73" s="86">
        <f t="shared" si="24"/>
        <v>10</v>
      </c>
      <c r="T73" s="87"/>
      <c r="U73" s="87"/>
      <c r="V73" s="87"/>
      <c r="W73" s="88"/>
      <c r="X73" s="87"/>
      <c r="Y73" s="87"/>
      <c r="Z73" s="87"/>
      <c r="AA73" s="88"/>
      <c r="AB73" s="88">
        <v>39.270000000000003</v>
      </c>
      <c r="AC73" s="88">
        <v>52.462499999999999</v>
      </c>
      <c r="AD73" s="88">
        <v>72.64</v>
      </c>
      <c r="AE73" s="89">
        <f t="shared" si="25"/>
        <v>1119.0999999999999</v>
      </c>
      <c r="AF73" s="90">
        <v>6.5000000000000002E-2</v>
      </c>
      <c r="AG73" s="4">
        <f t="shared" si="21"/>
        <v>72.741500000000002</v>
      </c>
      <c r="AH73" s="49">
        <f t="shared" si="26"/>
        <v>13.744500000000002</v>
      </c>
      <c r="AI73" s="89">
        <f t="shared" si="27"/>
        <v>1046.3584999999998</v>
      </c>
      <c r="AJ73" s="91">
        <v>0.18</v>
      </c>
      <c r="AK73" s="5">
        <f t="shared" si="28"/>
        <v>188.34452999999996</v>
      </c>
      <c r="AL73" s="89">
        <f t="shared" si="29"/>
        <v>1234.7030299999997</v>
      </c>
      <c r="AP73" s="92"/>
    </row>
    <row r="74" spans="1:42" x14ac:dyDescent="0.35">
      <c r="A74" s="85">
        <v>46205</v>
      </c>
      <c r="B74" s="51" t="s">
        <v>85</v>
      </c>
      <c r="C74" s="97">
        <v>29169498.821428601</v>
      </c>
      <c r="D74" s="97">
        <v>41851.9</v>
      </c>
      <c r="E74" s="48" t="s">
        <v>86</v>
      </c>
      <c r="F74" s="95" t="s">
        <v>87</v>
      </c>
      <c r="G74" s="95" t="s">
        <v>236</v>
      </c>
      <c r="H74" s="95" t="s">
        <v>89</v>
      </c>
      <c r="I74" s="52" t="s">
        <v>243</v>
      </c>
      <c r="J74" s="52"/>
      <c r="K74" s="95">
        <v>120</v>
      </c>
      <c r="L74" s="95">
        <v>80</v>
      </c>
      <c r="M74" s="95"/>
      <c r="N74" s="104">
        <f t="shared" si="23"/>
        <v>200</v>
      </c>
      <c r="O74" s="95">
        <v>40</v>
      </c>
      <c r="P74" s="95">
        <v>40</v>
      </c>
      <c r="Q74" s="95">
        <v>120</v>
      </c>
      <c r="R74" s="104">
        <f t="shared" si="22"/>
        <v>200</v>
      </c>
      <c r="S74" s="86">
        <f t="shared" si="24"/>
        <v>400</v>
      </c>
      <c r="T74" s="87"/>
      <c r="U74" s="87"/>
      <c r="V74" s="87"/>
      <c r="W74" s="88"/>
      <c r="X74" s="87"/>
      <c r="Y74" s="87"/>
      <c r="Z74" s="87"/>
      <c r="AA74" s="88"/>
      <c r="AB74" s="88">
        <v>39.270000000000003</v>
      </c>
      <c r="AC74" s="88">
        <v>52.462499999999999</v>
      </c>
      <c r="AD74" s="88">
        <v>72.64</v>
      </c>
      <c r="AE74" s="89">
        <f t="shared" ref="AE74" si="30">(J74*AB74)+(N74*AC74)+(AD74*S74)</f>
        <v>39548.5</v>
      </c>
      <c r="AF74" s="90">
        <v>6.5000000000000002E-2</v>
      </c>
      <c r="AG74" s="4">
        <f t="shared" ref="AG74" si="31">AE74*AF74</f>
        <v>2570.6525000000001</v>
      </c>
      <c r="AH74" s="49">
        <f t="shared" ref="AH74" si="32">(AB74*J74)*$AH$1</f>
        <v>0</v>
      </c>
      <c r="AI74" s="89">
        <f t="shared" ref="AI74" si="33">AE74-AG74</f>
        <v>36977.847500000003</v>
      </c>
      <c r="AJ74" s="91">
        <v>0.18</v>
      </c>
      <c r="AK74" s="5">
        <f t="shared" ref="AK74" si="34">AI74*AJ74</f>
        <v>6656.0125500000004</v>
      </c>
      <c r="AL74" s="89">
        <f t="shared" ref="AL74" si="35">AI74+AK74</f>
        <v>43633.860050000003</v>
      </c>
      <c r="AP74" s="92"/>
    </row>
    <row r="75" spans="1:42" x14ac:dyDescent="0.35">
      <c r="A75" s="85">
        <v>46205</v>
      </c>
      <c r="B75" s="51" t="s">
        <v>85</v>
      </c>
      <c r="C75" s="97">
        <v>29639417.892857101</v>
      </c>
      <c r="D75" s="97">
        <v>42517.599999999999</v>
      </c>
      <c r="E75" s="48" t="s">
        <v>86</v>
      </c>
      <c r="F75" s="95" t="s">
        <v>87</v>
      </c>
      <c r="G75" s="95" t="s">
        <v>237</v>
      </c>
      <c r="H75" s="95" t="s">
        <v>89</v>
      </c>
      <c r="I75" s="52" t="s">
        <v>244</v>
      </c>
      <c r="J75" s="52"/>
      <c r="K75" s="95"/>
      <c r="L75" s="95"/>
      <c r="M75" s="95"/>
      <c r="N75" s="104">
        <f t="shared" si="23"/>
        <v>0</v>
      </c>
      <c r="O75" s="95">
        <v>120</v>
      </c>
      <c r="P75" s="95">
        <v>120</v>
      </c>
      <c r="Q75" s="95">
        <v>120</v>
      </c>
      <c r="R75" s="104">
        <f t="shared" si="22"/>
        <v>360</v>
      </c>
      <c r="S75" s="86">
        <f t="shared" si="24"/>
        <v>360</v>
      </c>
      <c r="T75" s="87"/>
      <c r="U75" s="87"/>
      <c r="V75" s="87"/>
      <c r="W75" s="88"/>
      <c r="X75" s="87"/>
      <c r="Y75" s="87"/>
      <c r="Z75" s="87"/>
      <c r="AA75" s="88"/>
      <c r="AB75" s="88">
        <v>39.270000000000003</v>
      </c>
      <c r="AC75" s="88">
        <v>52.462499999999999</v>
      </c>
      <c r="AD75" s="88">
        <v>72.64</v>
      </c>
      <c r="AE75" s="89">
        <f t="shared" ref="AE75" si="36">(J75*AB75)+(N75*AC75)+(AD75*S75)</f>
        <v>26150.400000000001</v>
      </c>
      <c r="AF75" s="90">
        <v>6.5000000000000002E-2</v>
      </c>
      <c r="AG75" s="4">
        <f t="shared" ref="AG75" si="37">AE75*AF75</f>
        <v>1699.7760000000001</v>
      </c>
      <c r="AH75" s="49">
        <f t="shared" ref="AH75" si="38">(AB75*J75)*$AH$1</f>
        <v>0</v>
      </c>
      <c r="AI75" s="89">
        <f t="shared" ref="AI75" si="39">AE75-AG75</f>
        <v>24450.624</v>
      </c>
      <c r="AJ75" s="91">
        <v>0.18</v>
      </c>
      <c r="AK75" s="5">
        <f t="shared" ref="AK75" si="40">AI75*AJ75</f>
        <v>4401.1123200000002</v>
      </c>
      <c r="AL75" s="89">
        <f t="shared" ref="AL75" si="41">AI75+AK75</f>
        <v>28851.73632</v>
      </c>
      <c r="AP75" s="92"/>
    </row>
    <row r="76" spans="1:42" x14ac:dyDescent="0.35">
      <c r="A76" s="85">
        <v>46205</v>
      </c>
      <c r="B76" s="51" t="s">
        <v>85</v>
      </c>
      <c r="C76" s="97">
        <v>30109336.964285702</v>
      </c>
      <c r="D76" s="97">
        <v>43183.3</v>
      </c>
      <c r="E76" s="48" t="s">
        <v>86</v>
      </c>
      <c r="F76" s="95" t="s">
        <v>87</v>
      </c>
      <c r="G76" s="95" t="s">
        <v>238</v>
      </c>
      <c r="H76" s="95" t="s">
        <v>89</v>
      </c>
      <c r="I76" s="52" t="s">
        <v>245</v>
      </c>
      <c r="J76" s="52"/>
      <c r="K76" s="95"/>
      <c r="L76" s="95"/>
      <c r="M76" s="95"/>
      <c r="N76" s="104">
        <f t="shared" si="23"/>
        <v>0</v>
      </c>
      <c r="O76" s="95">
        <v>240</v>
      </c>
      <c r="P76" s="95">
        <v>240</v>
      </c>
      <c r="Q76" s="95">
        <v>240</v>
      </c>
      <c r="R76" s="104">
        <f t="shared" si="22"/>
        <v>720</v>
      </c>
      <c r="S76" s="86">
        <f t="shared" si="24"/>
        <v>720</v>
      </c>
      <c r="T76" s="87"/>
      <c r="U76" s="87"/>
      <c r="V76" s="87"/>
      <c r="W76" s="88"/>
      <c r="X76" s="87"/>
      <c r="Y76" s="87"/>
      <c r="Z76" s="87"/>
      <c r="AA76" s="88"/>
      <c r="AB76" s="88">
        <v>39.270000000000003</v>
      </c>
      <c r="AC76" s="88">
        <v>52.462499999999999</v>
      </c>
      <c r="AD76" s="88">
        <v>72.64</v>
      </c>
      <c r="AE76" s="89">
        <f t="shared" ref="AE76" si="42">(J76*AB76)+(N76*AC76)+(AD76*S76)</f>
        <v>52300.800000000003</v>
      </c>
      <c r="AF76" s="90">
        <v>6.5000000000000002E-2</v>
      </c>
      <c r="AG76" s="4">
        <f t="shared" ref="AG76" si="43">AE76*AF76</f>
        <v>3399.5520000000001</v>
      </c>
      <c r="AH76" s="49">
        <f t="shared" ref="AH76" si="44">(AB76*J76)*$AH$1</f>
        <v>0</v>
      </c>
      <c r="AI76" s="89">
        <f t="shared" ref="AI76" si="45">AE76-AG76</f>
        <v>48901.248</v>
      </c>
      <c r="AJ76" s="91">
        <v>0.18</v>
      </c>
      <c r="AK76" s="5">
        <f t="shared" ref="AK76" si="46">AI76*AJ76</f>
        <v>8802.2246400000004</v>
      </c>
      <c r="AL76" s="89">
        <f t="shared" ref="AL76" si="47">AI76+AK76</f>
        <v>57703.47264</v>
      </c>
      <c r="AP76" s="92"/>
    </row>
    <row r="77" spans="1:42" x14ac:dyDescent="0.35">
      <c r="A77" s="85">
        <v>46205</v>
      </c>
      <c r="B77" s="51" t="s">
        <v>85</v>
      </c>
      <c r="C77" s="97">
        <v>30579256.035714298</v>
      </c>
      <c r="D77" s="97">
        <v>43849</v>
      </c>
      <c r="E77" s="48" t="s">
        <v>86</v>
      </c>
      <c r="F77" s="95" t="s">
        <v>87</v>
      </c>
      <c r="G77" s="95" t="s">
        <v>239</v>
      </c>
      <c r="H77" s="95" t="s">
        <v>89</v>
      </c>
      <c r="I77" s="52" t="s">
        <v>246</v>
      </c>
      <c r="J77" s="52"/>
      <c r="K77" s="95">
        <v>40</v>
      </c>
      <c r="L77" s="95">
        <v>40</v>
      </c>
      <c r="M77" s="95"/>
      <c r="N77" s="104">
        <f t="shared" si="23"/>
        <v>80</v>
      </c>
      <c r="O77" s="95">
        <v>40</v>
      </c>
      <c r="P77" s="95">
        <v>40</v>
      </c>
      <c r="Q77" s="95">
        <v>40</v>
      </c>
      <c r="R77" s="104">
        <f t="shared" si="22"/>
        <v>120</v>
      </c>
      <c r="S77" s="86">
        <f t="shared" si="24"/>
        <v>200</v>
      </c>
      <c r="T77" s="87"/>
      <c r="U77" s="87"/>
      <c r="V77" s="87"/>
      <c r="W77" s="88"/>
      <c r="X77" s="87"/>
      <c r="Y77" s="87"/>
      <c r="Z77" s="87"/>
      <c r="AA77" s="88"/>
      <c r="AB77" s="88">
        <v>39.270000000000003</v>
      </c>
      <c r="AC77" s="88">
        <v>52.462499999999999</v>
      </c>
      <c r="AD77" s="88">
        <v>72.64</v>
      </c>
      <c r="AE77" s="89">
        <f t="shared" ref="AE77" si="48">(J77*AB77)+(N77*AC77)+(AD77*S77)</f>
        <v>18725</v>
      </c>
      <c r="AF77" s="90">
        <v>6.5000000000000002E-2</v>
      </c>
      <c r="AG77" s="4">
        <f t="shared" ref="AG77" si="49">AE77*AF77</f>
        <v>1217.125</v>
      </c>
      <c r="AH77" s="49">
        <f t="shared" ref="AH77" si="50">(AB77*J77)*$AH$1</f>
        <v>0</v>
      </c>
      <c r="AI77" s="89">
        <f t="shared" ref="AI77" si="51">AE77-AG77</f>
        <v>17507.875</v>
      </c>
      <c r="AJ77" s="91">
        <v>0.18</v>
      </c>
      <c r="AK77" s="5">
        <f t="shared" ref="AK77" si="52">AI77*AJ77</f>
        <v>3151.4175</v>
      </c>
      <c r="AL77" s="89">
        <f t="shared" ref="AL77" si="53">AI77+AK77</f>
        <v>20659.2925</v>
      </c>
      <c r="AP77" s="92"/>
    </row>
    <row r="78" spans="1:42" x14ac:dyDescent="0.35">
      <c r="A78" s="85">
        <v>46206</v>
      </c>
      <c r="B78" s="51" t="s">
        <v>85</v>
      </c>
      <c r="C78" s="97">
        <v>31049175.107142899</v>
      </c>
      <c r="D78" s="97">
        <v>44514.7</v>
      </c>
      <c r="E78" s="48" t="s">
        <v>86</v>
      </c>
      <c r="F78" s="95" t="s">
        <v>87</v>
      </c>
      <c r="G78" s="95" t="s">
        <v>240</v>
      </c>
      <c r="H78" s="95" t="s">
        <v>89</v>
      </c>
      <c r="I78" s="52" t="s">
        <v>247</v>
      </c>
      <c r="J78" s="52"/>
      <c r="K78" s="95">
        <v>78</v>
      </c>
      <c r="L78" s="95">
        <v>77</v>
      </c>
      <c r="M78" s="95"/>
      <c r="N78" s="104">
        <f t="shared" si="23"/>
        <v>155</v>
      </c>
      <c r="O78" s="95">
        <v>159</v>
      </c>
      <c r="P78" s="95">
        <v>38</v>
      </c>
      <c r="Q78" s="95">
        <v>158</v>
      </c>
      <c r="R78" s="104">
        <f t="shared" si="22"/>
        <v>355</v>
      </c>
      <c r="S78" s="86">
        <f t="shared" si="24"/>
        <v>510</v>
      </c>
      <c r="T78" s="87"/>
      <c r="U78" s="87"/>
      <c r="V78" s="87"/>
      <c r="W78" s="88"/>
      <c r="X78" s="87"/>
      <c r="Y78" s="87"/>
      <c r="Z78" s="87"/>
      <c r="AA78" s="88"/>
      <c r="AB78" s="88">
        <v>39.270000000000003</v>
      </c>
      <c r="AC78" s="88">
        <v>52.462499999999999</v>
      </c>
      <c r="AD78" s="88">
        <v>72.64</v>
      </c>
      <c r="AE78" s="89">
        <f t="shared" ref="AE78" si="54">(J78*AB78)+(N78*AC78)+(AD78*S78)</f>
        <v>45178.087500000001</v>
      </c>
      <c r="AF78" s="90">
        <v>6.5000000000000002E-2</v>
      </c>
      <c r="AG78" s="4">
        <f t="shared" ref="AG78" si="55">AE78*AF78</f>
        <v>2936.5756875000002</v>
      </c>
      <c r="AH78" s="49">
        <f t="shared" ref="AH78" si="56">(AB78*J78)*$AH$1</f>
        <v>0</v>
      </c>
      <c r="AI78" s="89">
        <f t="shared" ref="AI78" si="57">AE78-AG78</f>
        <v>42241.511812500001</v>
      </c>
      <c r="AJ78" s="91">
        <v>0.18</v>
      </c>
      <c r="AK78" s="5">
        <f t="shared" ref="AK78" si="58">AI78*AJ78</f>
        <v>7603.4721262499997</v>
      </c>
      <c r="AL78" s="89">
        <f t="shared" ref="AL78" si="59">AI78+AK78</f>
        <v>49844.983938750003</v>
      </c>
      <c r="AP78" s="92"/>
    </row>
    <row r="79" spans="1:42" x14ac:dyDescent="0.35">
      <c r="A79" s="85">
        <v>46206</v>
      </c>
      <c r="B79" s="51" t="s">
        <v>85</v>
      </c>
      <c r="C79" s="97">
        <v>31519094.178571399</v>
      </c>
      <c r="D79" s="97">
        <v>45180.4</v>
      </c>
      <c r="E79" s="48" t="s">
        <v>86</v>
      </c>
      <c r="F79" s="95" t="s">
        <v>87</v>
      </c>
      <c r="G79" s="95" t="s">
        <v>241</v>
      </c>
      <c r="H79" s="95" t="s">
        <v>89</v>
      </c>
      <c r="I79" s="52" t="s">
        <v>248</v>
      </c>
      <c r="J79" s="52"/>
      <c r="K79" s="95"/>
      <c r="L79" s="95">
        <v>40</v>
      </c>
      <c r="M79" s="95"/>
      <c r="N79" s="104">
        <f t="shared" si="23"/>
        <v>40</v>
      </c>
      <c r="O79" s="95">
        <v>40</v>
      </c>
      <c r="P79" s="95">
        <v>40</v>
      </c>
      <c r="Q79" s="95">
        <v>40</v>
      </c>
      <c r="R79" s="104">
        <f t="shared" si="22"/>
        <v>120</v>
      </c>
      <c r="S79" s="86">
        <f t="shared" si="24"/>
        <v>160</v>
      </c>
      <c r="T79" s="87"/>
      <c r="U79" s="87"/>
      <c r="V79" s="87"/>
      <c r="W79" s="88"/>
      <c r="X79" s="87"/>
      <c r="Y79" s="87"/>
      <c r="Z79" s="87"/>
      <c r="AA79" s="88"/>
      <c r="AB79" s="88">
        <v>39.270000000000003</v>
      </c>
      <c r="AC79" s="88">
        <v>52.462499999999999</v>
      </c>
      <c r="AD79" s="88">
        <v>72.64</v>
      </c>
      <c r="AE79" s="89">
        <f t="shared" ref="AE79" si="60">(J79*AB79)+(N79*AC79)+(AD79*S79)</f>
        <v>13720.9</v>
      </c>
      <c r="AF79" s="90">
        <v>6.5000000000000002E-2</v>
      </c>
      <c r="AG79" s="4">
        <f t="shared" ref="AG79" si="61">AE79*AF79</f>
        <v>891.85850000000005</v>
      </c>
      <c r="AH79" s="49">
        <f t="shared" ref="AH79" si="62">(AB79*J79)*$AH$1</f>
        <v>0</v>
      </c>
      <c r="AI79" s="89">
        <f t="shared" ref="AI79" si="63">AE79-AG79</f>
        <v>12829.041499999999</v>
      </c>
      <c r="AJ79" s="91">
        <v>0.18</v>
      </c>
      <c r="AK79" s="5">
        <f t="shared" ref="AK79" si="64">AI79*AJ79</f>
        <v>2309.2274699999998</v>
      </c>
      <c r="AL79" s="89">
        <f t="shared" ref="AL79" si="65">AI79+AK79</f>
        <v>15138.268969999999</v>
      </c>
      <c r="AP79" s="92"/>
    </row>
    <row r="80" spans="1:42" x14ac:dyDescent="0.35">
      <c r="A80" s="85">
        <v>46206</v>
      </c>
      <c r="B80" s="51" t="s">
        <v>85</v>
      </c>
      <c r="C80" s="97">
        <v>31989013.25</v>
      </c>
      <c r="D80" s="97">
        <v>45846.1</v>
      </c>
      <c r="E80" s="48" t="s">
        <v>86</v>
      </c>
      <c r="F80" s="95" t="s">
        <v>87</v>
      </c>
      <c r="G80" s="95" t="s">
        <v>242</v>
      </c>
      <c r="H80" s="95" t="s">
        <v>89</v>
      </c>
      <c r="I80" s="52" t="s">
        <v>247</v>
      </c>
      <c r="J80" s="52"/>
      <c r="K80" s="95">
        <v>120</v>
      </c>
      <c r="L80" s="95">
        <v>120</v>
      </c>
      <c r="M80" s="95"/>
      <c r="N80" s="104">
        <f t="shared" si="23"/>
        <v>240</v>
      </c>
      <c r="O80" s="95">
        <v>160</v>
      </c>
      <c r="P80" s="95">
        <v>0</v>
      </c>
      <c r="Q80" s="95">
        <v>160</v>
      </c>
      <c r="R80" s="104">
        <f t="shared" si="22"/>
        <v>320</v>
      </c>
      <c r="S80" s="86">
        <f t="shared" si="24"/>
        <v>560</v>
      </c>
      <c r="T80" s="87"/>
      <c r="U80" s="87"/>
      <c r="V80" s="87"/>
      <c r="W80" s="88"/>
      <c r="X80" s="87"/>
      <c r="Y80" s="87"/>
      <c r="Z80" s="87"/>
      <c r="AA80" s="88"/>
      <c r="AB80" s="88">
        <v>39.270000000000003</v>
      </c>
      <c r="AC80" s="88">
        <v>52.462499999999999</v>
      </c>
      <c r="AD80" s="88">
        <v>72.64</v>
      </c>
      <c r="AE80" s="89">
        <f t="shared" ref="AE80" si="66">(J80*AB80)+(N80*AC80)+(AD80*S80)</f>
        <v>53269.4</v>
      </c>
      <c r="AF80" s="90">
        <v>6.5000000000000002E-2</v>
      </c>
      <c r="AG80" s="4">
        <f t="shared" ref="AG80" si="67">AE80*AF80</f>
        <v>3462.5110000000004</v>
      </c>
      <c r="AH80" s="49">
        <f t="shared" ref="AH80" si="68">(AB80*J80)*$AH$1</f>
        <v>0</v>
      </c>
      <c r="AI80" s="89">
        <f t="shared" ref="AI80" si="69">AE80-AG80</f>
        <v>49806.889000000003</v>
      </c>
      <c r="AJ80" s="91">
        <v>0.18</v>
      </c>
      <c r="AK80" s="5">
        <f t="shared" ref="AK80" si="70">AI80*AJ80</f>
        <v>8965.2400199999993</v>
      </c>
      <c r="AL80" s="89">
        <f t="shared" ref="AL80" si="71">AI80+AK80</f>
        <v>58772.12902</v>
      </c>
      <c r="AP80" s="92"/>
    </row>
    <row r="81" spans="1:42" hidden="1" x14ac:dyDescent="0.35">
      <c r="A81" s="85">
        <v>46206</v>
      </c>
      <c r="B81" s="51" t="s">
        <v>85</v>
      </c>
      <c r="C81" s="97">
        <v>32458932.321428601</v>
      </c>
      <c r="D81" s="97">
        <v>46511.8</v>
      </c>
      <c r="E81" s="48" t="s">
        <v>86</v>
      </c>
      <c r="F81" s="95" t="s">
        <v>108</v>
      </c>
      <c r="G81" s="86" t="s">
        <v>107</v>
      </c>
      <c r="H81" s="86" t="s">
        <v>110</v>
      </c>
      <c r="I81" s="48" t="s">
        <v>175</v>
      </c>
      <c r="J81" s="52"/>
      <c r="K81" s="105"/>
      <c r="L81" s="105"/>
      <c r="M81" s="105"/>
      <c r="N81" s="104">
        <f t="shared" si="23"/>
        <v>0</v>
      </c>
      <c r="O81" s="86">
        <v>20</v>
      </c>
      <c r="P81" s="86">
        <v>20</v>
      </c>
      <c r="Q81" s="86">
        <v>40</v>
      </c>
      <c r="R81" s="104">
        <f t="shared" si="22"/>
        <v>80</v>
      </c>
      <c r="S81" s="86">
        <f t="shared" si="24"/>
        <v>80</v>
      </c>
      <c r="T81" s="87"/>
      <c r="U81" s="87"/>
      <c r="V81" s="87"/>
      <c r="W81" s="88"/>
      <c r="X81" s="87"/>
      <c r="Y81" s="87"/>
      <c r="Z81" s="87"/>
      <c r="AA81" s="88"/>
      <c r="AB81" s="88">
        <v>39.270000000000003</v>
      </c>
      <c r="AC81" s="88">
        <v>52.462499999999999</v>
      </c>
      <c r="AD81" s="88">
        <v>72.64</v>
      </c>
      <c r="AE81" s="89">
        <f t="shared" si="25"/>
        <v>5811.2</v>
      </c>
      <c r="AF81" s="90">
        <v>6.5000000000000002E-2</v>
      </c>
      <c r="AG81" s="4">
        <f t="shared" si="21"/>
        <v>377.72800000000001</v>
      </c>
      <c r="AH81" s="49">
        <f t="shared" si="26"/>
        <v>0</v>
      </c>
      <c r="AI81" s="89">
        <f t="shared" si="27"/>
        <v>5433.4719999999998</v>
      </c>
      <c r="AJ81" s="91">
        <v>0.18</v>
      </c>
      <c r="AK81" s="5">
        <f t="shared" si="28"/>
        <v>978.02495999999996</v>
      </c>
      <c r="AL81" s="89">
        <f t="shared" si="29"/>
        <v>6411.4969599999995</v>
      </c>
      <c r="AP81" s="92"/>
    </row>
    <row r="82" spans="1:42" hidden="1" x14ac:dyDescent="0.35">
      <c r="A82" s="85">
        <v>46206</v>
      </c>
      <c r="B82" s="51" t="s">
        <v>85</v>
      </c>
      <c r="C82" s="97">
        <v>32928851.392857101</v>
      </c>
      <c r="D82" s="97">
        <v>47177.5</v>
      </c>
      <c r="E82" s="48" t="s">
        <v>86</v>
      </c>
      <c r="F82" s="95" t="s">
        <v>108</v>
      </c>
      <c r="G82" s="86" t="s">
        <v>172</v>
      </c>
      <c r="H82" s="86" t="s">
        <v>110</v>
      </c>
      <c r="I82" s="48" t="s">
        <v>175</v>
      </c>
      <c r="J82" s="52">
        <v>40</v>
      </c>
      <c r="K82" s="86"/>
      <c r="L82" s="86"/>
      <c r="M82" s="86"/>
      <c r="N82" s="104">
        <f t="shared" si="23"/>
        <v>0</v>
      </c>
      <c r="O82" s="86"/>
      <c r="P82" s="86"/>
      <c r="Q82" s="86"/>
      <c r="R82" s="104">
        <f t="shared" si="22"/>
        <v>0</v>
      </c>
      <c r="S82" s="86">
        <f t="shared" si="24"/>
        <v>40</v>
      </c>
      <c r="T82" s="87"/>
      <c r="U82" s="87"/>
      <c r="V82" s="87"/>
      <c r="W82" s="88"/>
      <c r="X82" s="87"/>
      <c r="Y82" s="87"/>
      <c r="Z82" s="87"/>
      <c r="AA82" s="88"/>
      <c r="AB82" s="88">
        <v>39.270000000000003</v>
      </c>
      <c r="AC82" s="88">
        <v>52.462499999999999</v>
      </c>
      <c r="AD82" s="88">
        <v>72.64</v>
      </c>
      <c r="AE82" s="89">
        <f t="shared" si="25"/>
        <v>4476.3999999999996</v>
      </c>
      <c r="AF82" s="90">
        <v>6.5000000000000002E-2</v>
      </c>
      <c r="AG82" s="4">
        <f t="shared" si="21"/>
        <v>290.96600000000001</v>
      </c>
      <c r="AH82" s="49">
        <f t="shared" si="26"/>
        <v>54.978000000000009</v>
      </c>
      <c r="AI82" s="89">
        <f t="shared" si="27"/>
        <v>4185.4339999999993</v>
      </c>
      <c r="AJ82" s="91">
        <v>0.18</v>
      </c>
      <c r="AK82" s="5">
        <f t="shared" si="28"/>
        <v>753.37811999999985</v>
      </c>
      <c r="AL82" s="89">
        <f t="shared" si="29"/>
        <v>4938.8121199999987</v>
      </c>
      <c r="AP82" s="92"/>
    </row>
    <row r="83" spans="1:42" hidden="1" x14ac:dyDescent="0.35">
      <c r="A83" s="85">
        <v>46206</v>
      </c>
      <c r="B83" s="51" t="s">
        <v>85</v>
      </c>
      <c r="C83" s="97">
        <v>33398770.464285702</v>
      </c>
      <c r="D83" s="97">
        <v>47843.199999999997</v>
      </c>
      <c r="E83" s="48" t="s">
        <v>86</v>
      </c>
      <c r="F83" s="95" t="s">
        <v>108</v>
      </c>
      <c r="G83" s="86" t="s">
        <v>173</v>
      </c>
      <c r="H83" s="86" t="s">
        <v>110</v>
      </c>
      <c r="I83" s="48" t="s">
        <v>175</v>
      </c>
      <c r="J83" s="52">
        <v>20</v>
      </c>
      <c r="K83" s="86">
        <v>16</v>
      </c>
      <c r="L83" s="86">
        <v>12</v>
      </c>
      <c r="M83" s="86"/>
      <c r="N83" s="104">
        <f t="shared" si="23"/>
        <v>28</v>
      </c>
      <c r="O83" s="105"/>
      <c r="P83" s="105"/>
      <c r="Q83" s="105"/>
      <c r="R83" s="104">
        <f t="shared" si="22"/>
        <v>0</v>
      </c>
      <c r="S83" s="86">
        <f t="shared" si="24"/>
        <v>48</v>
      </c>
      <c r="T83" s="87"/>
      <c r="U83" s="87"/>
      <c r="V83" s="87"/>
      <c r="W83" s="88"/>
      <c r="X83" s="87"/>
      <c r="Y83" s="87"/>
      <c r="Z83" s="87"/>
      <c r="AA83" s="88"/>
      <c r="AB83" s="88">
        <v>39.270000000000003</v>
      </c>
      <c r="AC83" s="88">
        <v>52.462499999999999</v>
      </c>
      <c r="AD83" s="88">
        <v>72.64</v>
      </c>
      <c r="AE83" s="89">
        <f t="shared" si="25"/>
        <v>5741.0700000000006</v>
      </c>
      <c r="AF83" s="90">
        <v>6.5000000000000002E-2</v>
      </c>
      <c r="AG83" s="4">
        <f t="shared" si="21"/>
        <v>373.16955000000007</v>
      </c>
      <c r="AH83" s="49">
        <f t="shared" si="26"/>
        <v>27.489000000000004</v>
      </c>
      <c r="AI83" s="89">
        <f t="shared" si="27"/>
        <v>5367.900450000001</v>
      </c>
      <c r="AJ83" s="91">
        <v>0.18</v>
      </c>
      <c r="AK83" s="5">
        <f t="shared" si="28"/>
        <v>966.22208100000012</v>
      </c>
      <c r="AL83" s="89">
        <f t="shared" si="29"/>
        <v>6334.1225310000009</v>
      </c>
      <c r="AP83" s="92"/>
    </row>
    <row r="84" spans="1:42" hidden="1" x14ac:dyDescent="0.35">
      <c r="A84" s="85">
        <v>46206</v>
      </c>
      <c r="B84" s="51" t="s">
        <v>85</v>
      </c>
      <c r="C84" s="97">
        <v>33868689.535714298</v>
      </c>
      <c r="D84" s="97">
        <v>48508.9</v>
      </c>
      <c r="E84" s="48" t="s">
        <v>86</v>
      </c>
      <c r="F84" s="95" t="s">
        <v>108</v>
      </c>
      <c r="G84" s="95" t="s">
        <v>174</v>
      </c>
      <c r="H84" s="86" t="s">
        <v>110</v>
      </c>
      <c r="I84" s="48" t="s">
        <v>175</v>
      </c>
      <c r="J84" s="52"/>
      <c r="K84" s="86">
        <v>20</v>
      </c>
      <c r="L84" s="86">
        <v>20</v>
      </c>
      <c r="M84" s="86"/>
      <c r="N84" s="104">
        <f t="shared" si="23"/>
        <v>40</v>
      </c>
      <c r="O84" s="105"/>
      <c r="P84" s="105"/>
      <c r="Q84" s="105"/>
      <c r="R84" s="104">
        <f t="shared" si="22"/>
        <v>0</v>
      </c>
      <c r="S84" s="86">
        <f t="shared" si="24"/>
        <v>40</v>
      </c>
      <c r="T84" s="87"/>
      <c r="U84" s="87"/>
      <c r="V84" s="87"/>
      <c r="W84" s="88"/>
      <c r="X84" s="87"/>
      <c r="Y84" s="87"/>
      <c r="Z84" s="87"/>
      <c r="AA84" s="88"/>
      <c r="AB84" s="88">
        <v>39.270000000000003</v>
      </c>
      <c r="AC84" s="88">
        <v>52.462499999999999</v>
      </c>
      <c r="AD84" s="88">
        <v>72.64</v>
      </c>
      <c r="AE84" s="89">
        <f t="shared" si="25"/>
        <v>5004.1000000000004</v>
      </c>
      <c r="AF84" s="90">
        <v>6.5000000000000002E-2</v>
      </c>
      <c r="AG84" s="4">
        <f t="shared" si="21"/>
        <v>325.26650000000001</v>
      </c>
      <c r="AH84" s="49">
        <f t="shared" si="26"/>
        <v>0</v>
      </c>
      <c r="AI84" s="89">
        <f t="shared" si="27"/>
        <v>4678.8335000000006</v>
      </c>
      <c r="AJ84" s="91">
        <v>0.18</v>
      </c>
      <c r="AK84" s="5">
        <f t="shared" si="28"/>
        <v>842.19003000000009</v>
      </c>
      <c r="AL84" s="89">
        <f t="shared" si="29"/>
        <v>5521.0235300000004</v>
      </c>
      <c r="AP84" s="92"/>
    </row>
    <row r="85" spans="1:42" hidden="1" x14ac:dyDescent="0.35">
      <c r="A85" s="85">
        <v>46206</v>
      </c>
      <c r="B85" s="51" t="s">
        <v>85</v>
      </c>
      <c r="C85" s="97">
        <v>34338608.607142799</v>
      </c>
      <c r="D85" s="97">
        <v>49174.6</v>
      </c>
      <c r="E85" s="48" t="s">
        <v>86</v>
      </c>
      <c r="F85" s="95" t="s">
        <v>108</v>
      </c>
      <c r="G85" s="95" t="s">
        <v>177</v>
      </c>
      <c r="H85" s="95" t="s">
        <v>176</v>
      </c>
      <c r="I85" s="52" t="s">
        <v>178</v>
      </c>
      <c r="J85" s="52"/>
      <c r="K85" s="86"/>
      <c r="L85" s="86"/>
      <c r="M85" s="86"/>
      <c r="N85" s="104">
        <f t="shared" si="23"/>
        <v>0</v>
      </c>
      <c r="O85" s="105">
        <v>40</v>
      </c>
      <c r="P85" s="105">
        <v>40</v>
      </c>
      <c r="Q85" s="105">
        <v>40</v>
      </c>
      <c r="R85" s="104">
        <f t="shared" si="22"/>
        <v>120</v>
      </c>
      <c r="S85" s="86">
        <f t="shared" si="24"/>
        <v>120</v>
      </c>
      <c r="T85" s="87"/>
      <c r="U85" s="87"/>
      <c r="V85" s="87"/>
      <c r="W85" s="88"/>
      <c r="X85" s="87"/>
      <c r="Y85" s="87"/>
      <c r="Z85" s="87"/>
      <c r="AA85" s="88"/>
      <c r="AB85" s="88">
        <v>39.270000000000003</v>
      </c>
      <c r="AC85" s="88">
        <v>52.462499999999999</v>
      </c>
      <c r="AD85" s="88">
        <v>72.64</v>
      </c>
      <c r="AE85" s="89">
        <f t="shared" si="25"/>
        <v>8716.7999999999993</v>
      </c>
      <c r="AF85" s="90">
        <v>6.5000000000000002E-2</v>
      </c>
      <c r="AG85" s="4">
        <f t="shared" si="21"/>
        <v>566.59199999999998</v>
      </c>
      <c r="AH85" s="49">
        <f t="shared" si="26"/>
        <v>0</v>
      </c>
      <c r="AI85" s="89">
        <f t="shared" si="27"/>
        <v>8150.2079999999996</v>
      </c>
      <c r="AJ85" s="91">
        <v>0.18</v>
      </c>
      <c r="AK85" s="5">
        <f t="shared" si="28"/>
        <v>1467.0374399999998</v>
      </c>
      <c r="AL85" s="89">
        <f t="shared" si="29"/>
        <v>9617.2454399999988</v>
      </c>
      <c r="AP85" s="92"/>
    </row>
    <row r="86" spans="1:42" hidden="1" x14ac:dyDescent="0.35">
      <c r="A86" s="85">
        <v>46206</v>
      </c>
      <c r="B86" s="51" t="s">
        <v>85</v>
      </c>
      <c r="C86" s="97">
        <v>34808527.678571403</v>
      </c>
      <c r="D86" s="97">
        <v>49840.3</v>
      </c>
      <c r="E86" s="48" t="s">
        <v>86</v>
      </c>
      <c r="F86" s="95" t="s">
        <v>109</v>
      </c>
      <c r="G86" s="95" t="s">
        <v>179</v>
      </c>
      <c r="H86" s="95" t="s">
        <v>112</v>
      </c>
      <c r="I86" s="52" t="s">
        <v>186</v>
      </c>
      <c r="J86" s="52"/>
      <c r="K86" s="86"/>
      <c r="L86" s="86"/>
      <c r="M86" s="86"/>
      <c r="N86" s="104">
        <f t="shared" si="23"/>
        <v>0</v>
      </c>
      <c r="O86" s="105">
        <v>10</v>
      </c>
      <c r="P86" s="105">
        <v>10</v>
      </c>
      <c r="Q86" s="105">
        <v>12</v>
      </c>
      <c r="R86" s="104">
        <f t="shared" si="22"/>
        <v>32</v>
      </c>
      <c r="S86" s="86">
        <f t="shared" si="24"/>
        <v>32</v>
      </c>
      <c r="T86" s="87"/>
      <c r="U86" s="87"/>
      <c r="V86" s="87"/>
      <c r="W86" s="88"/>
      <c r="X86" s="87"/>
      <c r="Y86" s="87"/>
      <c r="Z86" s="87"/>
      <c r="AA86" s="88"/>
      <c r="AB86" s="88">
        <v>39.270000000000003</v>
      </c>
      <c r="AC86" s="88">
        <v>52.462499999999999</v>
      </c>
      <c r="AD86" s="88">
        <v>72.64</v>
      </c>
      <c r="AE86" s="89">
        <f t="shared" si="25"/>
        <v>2324.48</v>
      </c>
      <c r="AF86" s="90">
        <v>6.5000000000000002E-2</v>
      </c>
      <c r="AG86" s="4">
        <f t="shared" si="21"/>
        <v>151.09120000000001</v>
      </c>
      <c r="AH86" s="49">
        <f t="shared" si="26"/>
        <v>0</v>
      </c>
      <c r="AI86" s="89">
        <f t="shared" si="27"/>
        <v>2173.3888000000002</v>
      </c>
      <c r="AJ86" s="91">
        <v>0.18</v>
      </c>
      <c r="AK86" s="5">
        <f t="shared" si="28"/>
        <v>391.20998400000002</v>
      </c>
      <c r="AL86" s="89">
        <f t="shared" si="29"/>
        <v>2564.5987840000003</v>
      </c>
      <c r="AP86" s="92"/>
    </row>
    <row r="87" spans="1:42" hidden="1" x14ac:dyDescent="0.35">
      <c r="A87" s="85">
        <v>46206</v>
      </c>
      <c r="B87" s="51" t="s">
        <v>85</v>
      </c>
      <c r="C87" s="97">
        <v>35278446.75</v>
      </c>
      <c r="D87" s="97">
        <v>50506</v>
      </c>
      <c r="E87" s="48" t="s">
        <v>86</v>
      </c>
      <c r="F87" s="95" t="s">
        <v>109</v>
      </c>
      <c r="G87" s="86" t="s">
        <v>180</v>
      </c>
      <c r="H87" s="95" t="s">
        <v>112</v>
      </c>
      <c r="I87" s="52" t="s">
        <v>186</v>
      </c>
      <c r="J87" s="52"/>
      <c r="K87" s="105"/>
      <c r="L87" s="105"/>
      <c r="M87" s="105"/>
      <c r="N87" s="104">
        <f t="shared" si="23"/>
        <v>0</v>
      </c>
      <c r="O87" s="86"/>
      <c r="P87" s="86">
        <v>13</v>
      </c>
      <c r="Q87" s="86">
        <v>14</v>
      </c>
      <c r="R87" s="104">
        <f t="shared" si="22"/>
        <v>27</v>
      </c>
      <c r="S87" s="86">
        <f t="shared" si="24"/>
        <v>27</v>
      </c>
      <c r="T87" s="87"/>
      <c r="U87" s="87"/>
      <c r="V87" s="87"/>
      <c r="W87" s="88"/>
      <c r="X87" s="87"/>
      <c r="Y87" s="87"/>
      <c r="Z87" s="87"/>
      <c r="AA87" s="88"/>
      <c r="AB87" s="88">
        <v>39.270000000000003</v>
      </c>
      <c r="AC87" s="88">
        <v>52.462499999999999</v>
      </c>
      <c r="AD87" s="88">
        <v>72.64</v>
      </c>
      <c r="AE87" s="89">
        <f t="shared" si="25"/>
        <v>1961.28</v>
      </c>
      <c r="AF87" s="90">
        <v>6.5000000000000002E-2</v>
      </c>
      <c r="AG87" s="4">
        <f t="shared" si="21"/>
        <v>127.4832</v>
      </c>
      <c r="AH87" s="49">
        <f t="shared" si="26"/>
        <v>0</v>
      </c>
      <c r="AI87" s="89">
        <f t="shared" si="27"/>
        <v>1833.7968000000001</v>
      </c>
      <c r="AJ87" s="91">
        <v>0.18</v>
      </c>
      <c r="AK87" s="5">
        <f t="shared" si="28"/>
        <v>330.08342399999998</v>
      </c>
      <c r="AL87" s="89">
        <f t="shared" si="29"/>
        <v>2163.880224</v>
      </c>
      <c r="AP87" s="92"/>
    </row>
    <row r="88" spans="1:42" hidden="1" x14ac:dyDescent="0.35">
      <c r="A88" s="85">
        <v>46206</v>
      </c>
      <c r="B88" s="51" t="s">
        <v>85</v>
      </c>
      <c r="C88" s="97">
        <v>35748365.821428597</v>
      </c>
      <c r="D88" s="97">
        <v>51171.7</v>
      </c>
      <c r="E88" s="48" t="s">
        <v>86</v>
      </c>
      <c r="F88" s="95" t="s">
        <v>109</v>
      </c>
      <c r="G88" s="86" t="s">
        <v>181</v>
      </c>
      <c r="H88" s="95" t="s">
        <v>112</v>
      </c>
      <c r="I88" s="52" t="s">
        <v>186</v>
      </c>
      <c r="J88" s="52">
        <v>12</v>
      </c>
      <c r="K88" s="86">
        <v>6</v>
      </c>
      <c r="L88" s="86">
        <v>6</v>
      </c>
      <c r="M88" s="86"/>
      <c r="N88" s="104">
        <f t="shared" si="23"/>
        <v>12</v>
      </c>
      <c r="O88" s="86"/>
      <c r="P88" s="86"/>
      <c r="Q88" s="86"/>
      <c r="R88" s="104">
        <f t="shared" si="22"/>
        <v>0</v>
      </c>
      <c r="S88" s="86">
        <f t="shared" si="24"/>
        <v>24</v>
      </c>
      <c r="T88" s="87"/>
      <c r="U88" s="87"/>
      <c r="V88" s="87"/>
      <c r="W88" s="88"/>
      <c r="X88" s="87"/>
      <c r="Y88" s="87"/>
      <c r="Z88" s="87"/>
      <c r="AA88" s="88"/>
      <c r="AB88" s="88">
        <v>39.270000000000003</v>
      </c>
      <c r="AC88" s="88">
        <v>52.462499999999999</v>
      </c>
      <c r="AD88" s="88">
        <v>72.64</v>
      </c>
      <c r="AE88" s="89">
        <f t="shared" si="25"/>
        <v>2844.15</v>
      </c>
      <c r="AF88" s="90">
        <v>6.5000000000000002E-2</v>
      </c>
      <c r="AG88" s="4">
        <f t="shared" si="21"/>
        <v>184.86975000000001</v>
      </c>
      <c r="AH88" s="49">
        <f t="shared" si="26"/>
        <v>16.493400000000001</v>
      </c>
      <c r="AI88" s="89">
        <f t="shared" si="27"/>
        <v>2659.2802500000003</v>
      </c>
      <c r="AJ88" s="91">
        <v>0.18</v>
      </c>
      <c r="AK88" s="5">
        <f t="shared" si="28"/>
        <v>478.67044500000003</v>
      </c>
      <c r="AL88" s="89">
        <f t="shared" si="29"/>
        <v>3137.9506950000005</v>
      </c>
      <c r="AP88" s="92"/>
    </row>
    <row r="89" spans="1:42" hidden="1" x14ac:dyDescent="0.35">
      <c r="A89" s="85">
        <v>46206</v>
      </c>
      <c r="B89" s="51" t="s">
        <v>85</v>
      </c>
      <c r="C89" s="97">
        <v>36218284.892857097</v>
      </c>
      <c r="D89" s="97">
        <v>51837.4</v>
      </c>
      <c r="E89" s="48" t="s">
        <v>86</v>
      </c>
      <c r="F89" s="86" t="s">
        <v>108</v>
      </c>
      <c r="G89" s="86" t="s">
        <v>182</v>
      </c>
      <c r="H89" s="95" t="s">
        <v>112</v>
      </c>
      <c r="I89" s="52" t="s">
        <v>186</v>
      </c>
      <c r="J89" s="52">
        <v>6</v>
      </c>
      <c r="K89" s="105">
        <v>20</v>
      </c>
      <c r="L89" s="105">
        <v>20</v>
      </c>
      <c r="M89" s="105"/>
      <c r="N89" s="104">
        <f t="shared" si="23"/>
        <v>40</v>
      </c>
      <c r="O89" s="86"/>
      <c r="P89" s="86"/>
      <c r="Q89" s="105"/>
      <c r="R89" s="104">
        <f t="shared" si="22"/>
        <v>0</v>
      </c>
      <c r="S89" s="86">
        <f t="shared" si="24"/>
        <v>46</v>
      </c>
      <c r="T89" s="87"/>
      <c r="U89" s="87"/>
      <c r="V89" s="87"/>
      <c r="W89" s="88"/>
      <c r="X89" s="87"/>
      <c r="Y89" s="87"/>
      <c r="Z89" s="87"/>
      <c r="AA89" s="88"/>
      <c r="AB89" s="88">
        <v>39.270000000000003</v>
      </c>
      <c r="AC89" s="88">
        <v>52.462499999999999</v>
      </c>
      <c r="AD89" s="88">
        <v>72.64</v>
      </c>
      <c r="AE89" s="89">
        <f t="shared" si="25"/>
        <v>5675.5599999999995</v>
      </c>
      <c r="AF89" s="90">
        <v>6.5000000000000002E-2</v>
      </c>
      <c r="AG89" s="4">
        <f t="shared" si="21"/>
        <v>368.91139999999996</v>
      </c>
      <c r="AH89" s="49">
        <f t="shared" si="26"/>
        <v>8.2467000000000006</v>
      </c>
      <c r="AI89" s="89">
        <f t="shared" si="27"/>
        <v>5306.6485999999995</v>
      </c>
      <c r="AJ89" s="91">
        <v>0.18</v>
      </c>
      <c r="AK89" s="5">
        <f t="shared" si="28"/>
        <v>955.19674799999984</v>
      </c>
      <c r="AL89" s="89">
        <f t="shared" si="29"/>
        <v>6261.8453479999989</v>
      </c>
      <c r="AP89" s="92"/>
    </row>
    <row r="90" spans="1:42" hidden="1" x14ac:dyDescent="0.35">
      <c r="A90" s="85">
        <v>46206</v>
      </c>
      <c r="B90" s="51" t="s">
        <v>85</v>
      </c>
      <c r="C90" s="97">
        <v>36688203.964285702</v>
      </c>
      <c r="D90" s="97">
        <v>52503.1</v>
      </c>
      <c r="E90" s="48" t="s">
        <v>86</v>
      </c>
      <c r="F90" s="86" t="s">
        <v>108</v>
      </c>
      <c r="G90" s="86" t="s">
        <v>183</v>
      </c>
      <c r="H90" s="95" t="s">
        <v>112</v>
      </c>
      <c r="I90" s="52" t="s">
        <v>186</v>
      </c>
      <c r="J90" s="52">
        <v>12</v>
      </c>
      <c r="K90" s="105"/>
      <c r="L90" s="105"/>
      <c r="M90" s="105"/>
      <c r="N90" s="104">
        <f t="shared" si="23"/>
        <v>0</v>
      </c>
      <c r="O90" s="86"/>
      <c r="P90" s="86"/>
      <c r="Q90" s="86"/>
      <c r="R90" s="104">
        <f t="shared" si="22"/>
        <v>0</v>
      </c>
      <c r="S90" s="86">
        <f t="shared" si="24"/>
        <v>12</v>
      </c>
      <c r="T90" s="87"/>
      <c r="U90" s="87"/>
      <c r="V90" s="87"/>
      <c r="W90" s="88"/>
      <c r="X90" s="87"/>
      <c r="Y90" s="87"/>
      <c r="Z90" s="87"/>
      <c r="AA90" s="88"/>
      <c r="AB90" s="88">
        <v>39.270000000000003</v>
      </c>
      <c r="AC90" s="88">
        <v>52.462499999999999</v>
      </c>
      <c r="AD90" s="88">
        <v>72.64</v>
      </c>
      <c r="AE90" s="89">
        <f t="shared" si="25"/>
        <v>1342.92</v>
      </c>
      <c r="AF90" s="90">
        <v>6.5000000000000002E-2</v>
      </c>
      <c r="AG90" s="4">
        <f t="shared" si="21"/>
        <v>87.289800000000014</v>
      </c>
      <c r="AH90" s="49">
        <f t="shared" si="26"/>
        <v>16.493400000000001</v>
      </c>
      <c r="AI90" s="89">
        <f t="shared" si="27"/>
        <v>1255.6302000000001</v>
      </c>
      <c r="AJ90" s="91">
        <v>0.18</v>
      </c>
      <c r="AK90" s="5">
        <f t="shared" si="28"/>
        <v>226.01343600000001</v>
      </c>
      <c r="AL90" s="89">
        <f t="shared" si="29"/>
        <v>1481.643636</v>
      </c>
      <c r="AP90" s="92"/>
    </row>
    <row r="91" spans="1:42" hidden="1" x14ac:dyDescent="0.35">
      <c r="A91" s="85">
        <v>46206</v>
      </c>
      <c r="B91" s="51" t="s">
        <v>85</v>
      </c>
      <c r="C91" s="97">
        <v>37158123.035714298</v>
      </c>
      <c r="D91" s="97">
        <v>53168.800000000003</v>
      </c>
      <c r="E91" s="48" t="s">
        <v>86</v>
      </c>
      <c r="F91" s="86" t="s">
        <v>108</v>
      </c>
      <c r="G91" s="86" t="s">
        <v>184</v>
      </c>
      <c r="H91" s="95" t="s">
        <v>112</v>
      </c>
      <c r="I91" s="52" t="s">
        <v>186</v>
      </c>
      <c r="J91" s="52">
        <v>10</v>
      </c>
      <c r="K91" s="105"/>
      <c r="L91" s="105"/>
      <c r="M91" s="105"/>
      <c r="N91" s="104">
        <f t="shared" si="23"/>
        <v>0</v>
      </c>
      <c r="O91" s="105">
        <v>6</v>
      </c>
      <c r="P91" s="86"/>
      <c r="Q91" s="86">
        <v>6</v>
      </c>
      <c r="R91" s="104">
        <f t="shared" si="22"/>
        <v>12</v>
      </c>
      <c r="S91" s="86">
        <f t="shared" si="24"/>
        <v>22</v>
      </c>
      <c r="T91" s="87"/>
      <c r="U91" s="87"/>
      <c r="V91" s="87"/>
      <c r="W91" s="88"/>
      <c r="X91" s="87"/>
      <c r="Y91" s="87"/>
      <c r="Z91" s="87"/>
      <c r="AA91" s="88"/>
      <c r="AB91" s="88">
        <v>39.270000000000003</v>
      </c>
      <c r="AC91" s="88">
        <v>52.462499999999999</v>
      </c>
      <c r="AD91" s="88">
        <v>72.64</v>
      </c>
      <c r="AE91" s="89">
        <f t="shared" si="25"/>
        <v>1990.78</v>
      </c>
      <c r="AF91" s="90">
        <v>6.5000000000000002E-2</v>
      </c>
      <c r="AG91" s="4">
        <f t="shared" si="21"/>
        <v>129.4007</v>
      </c>
      <c r="AH91" s="49">
        <f t="shared" si="26"/>
        <v>13.744500000000002</v>
      </c>
      <c r="AI91" s="89">
        <f t="shared" si="27"/>
        <v>1861.3793000000001</v>
      </c>
      <c r="AJ91" s="91">
        <v>0.18</v>
      </c>
      <c r="AK91" s="5">
        <f t="shared" si="28"/>
        <v>335.04827399999999</v>
      </c>
      <c r="AL91" s="89">
        <f t="shared" si="29"/>
        <v>2196.4275740000003</v>
      </c>
      <c r="AP91" s="92"/>
    </row>
    <row r="92" spans="1:42" hidden="1" x14ac:dyDescent="0.35">
      <c r="A92" s="85">
        <v>46206</v>
      </c>
      <c r="B92" s="51" t="s">
        <v>85</v>
      </c>
      <c r="C92" s="97">
        <v>37628042.107142799</v>
      </c>
      <c r="D92" s="97">
        <v>53834.5</v>
      </c>
      <c r="E92" s="48" t="s">
        <v>86</v>
      </c>
      <c r="F92" s="86" t="s">
        <v>108</v>
      </c>
      <c r="G92" s="86" t="s">
        <v>185</v>
      </c>
      <c r="H92" s="95" t="s">
        <v>112</v>
      </c>
      <c r="I92" s="52" t="s">
        <v>186</v>
      </c>
      <c r="J92" s="52"/>
      <c r="K92" s="105"/>
      <c r="L92" s="105"/>
      <c r="M92" s="105"/>
      <c r="N92" s="104">
        <f t="shared" si="23"/>
        <v>0</v>
      </c>
      <c r="O92" s="86">
        <v>13</v>
      </c>
      <c r="P92" s="105">
        <v>13</v>
      </c>
      <c r="Q92" s="105">
        <v>14</v>
      </c>
      <c r="R92" s="104">
        <f t="shared" si="22"/>
        <v>40</v>
      </c>
      <c r="S92" s="86">
        <f t="shared" si="24"/>
        <v>40</v>
      </c>
      <c r="T92" s="87"/>
      <c r="U92" s="87"/>
      <c r="V92" s="87"/>
      <c r="W92" s="88"/>
      <c r="X92" s="87"/>
      <c r="Y92" s="87"/>
      <c r="Z92" s="87"/>
      <c r="AA92" s="88"/>
      <c r="AB92" s="88">
        <v>39.270000000000003</v>
      </c>
      <c r="AC92" s="88">
        <v>52.462499999999999</v>
      </c>
      <c r="AD92" s="88">
        <v>72.64</v>
      </c>
      <c r="AE92" s="89">
        <f t="shared" si="25"/>
        <v>2905.6</v>
      </c>
      <c r="AF92" s="90">
        <v>6.5000000000000002E-2</v>
      </c>
      <c r="AG92" s="4">
        <f t="shared" si="21"/>
        <v>188.864</v>
      </c>
      <c r="AH92" s="49">
        <f t="shared" si="26"/>
        <v>0</v>
      </c>
      <c r="AI92" s="89">
        <f t="shared" si="27"/>
        <v>2716.7359999999999</v>
      </c>
      <c r="AJ92" s="91">
        <v>0.18</v>
      </c>
      <c r="AK92" s="5">
        <f t="shared" si="28"/>
        <v>489.01247999999998</v>
      </c>
      <c r="AL92" s="89">
        <f t="shared" si="29"/>
        <v>3205.7484799999997</v>
      </c>
      <c r="AP92" s="92"/>
    </row>
    <row r="93" spans="1:42" hidden="1" x14ac:dyDescent="0.35">
      <c r="A93" s="85">
        <v>46206</v>
      </c>
      <c r="B93" s="51" t="s">
        <v>85</v>
      </c>
      <c r="C93" s="97">
        <v>38097961.178571403</v>
      </c>
      <c r="D93" s="97">
        <v>54500.2</v>
      </c>
      <c r="E93" s="48" t="s">
        <v>86</v>
      </c>
      <c r="F93" s="86" t="s">
        <v>109</v>
      </c>
      <c r="G93" s="86" t="s">
        <v>187</v>
      </c>
      <c r="H93" s="86" t="s">
        <v>127</v>
      </c>
      <c r="I93" s="48" t="s">
        <v>192</v>
      </c>
      <c r="J93" s="52">
        <v>40</v>
      </c>
      <c r="K93" s="86"/>
      <c r="L93" s="86"/>
      <c r="M93" s="86"/>
      <c r="N93" s="104">
        <f t="shared" si="23"/>
        <v>0</v>
      </c>
      <c r="O93" s="86">
        <v>15</v>
      </c>
      <c r="P93" s="86">
        <v>15</v>
      </c>
      <c r="Q93" s="86">
        <v>10</v>
      </c>
      <c r="R93" s="104">
        <f t="shared" si="22"/>
        <v>40</v>
      </c>
      <c r="S93" s="86">
        <f t="shared" si="24"/>
        <v>80</v>
      </c>
      <c r="T93" s="87"/>
      <c r="U93" s="87"/>
      <c r="V93" s="87"/>
      <c r="W93" s="88"/>
      <c r="X93" s="87"/>
      <c r="Y93" s="87"/>
      <c r="Z93" s="87"/>
      <c r="AA93" s="88"/>
      <c r="AB93" s="88">
        <v>39.270000000000003</v>
      </c>
      <c r="AC93" s="88">
        <v>52.462499999999999</v>
      </c>
      <c r="AD93" s="88">
        <v>72.64</v>
      </c>
      <c r="AE93" s="89">
        <f t="shared" si="25"/>
        <v>7382</v>
      </c>
      <c r="AF93" s="90">
        <v>0.14000000000000001</v>
      </c>
      <c r="AG93" s="4">
        <f t="shared" si="21"/>
        <v>1033.48</v>
      </c>
      <c r="AH93" s="49">
        <f t="shared" si="26"/>
        <v>54.978000000000009</v>
      </c>
      <c r="AI93" s="89">
        <f t="shared" si="27"/>
        <v>6348.52</v>
      </c>
      <c r="AJ93" s="91">
        <v>0.18</v>
      </c>
      <c r="AK93" s="5">
        <f t="shared" si="28"/>
        <v>1142.7336</v>
      </c>
      <c r="AL93" s="89">
        <f t="shared" si="29"/>
        <v>7491.2536</v>
      </c>
      <c r="AP93" s="92"/>
    </row>
    <row r="94" spans="1:42" hidden="1" x14ac:dyDescent="0.35">
      <c r="A94" s="85">
        <v>46206</v>
      </c>
      <c r="B94" s="51" t="s">
        <v>85</v>
      </c>
      <c r="C94" s="97">
        <v>38567880.25</v>
      </c>
      <c r="D94" s="97">
        <v>55165.9</v>
      </c>
      <c r="E94" s="48" t="s">
        <v>86</v>
      </c>
      <c r="F94" s="86" t="s">
        <v>108</v>
      </c>
      <c r="G94" s="86" t="s">
        <v>188</v>
      </c>
      <c r="H94" s="86" t="s">
        <v>127</v>
      </c>
      <c r="I94" s="48" t="s">
        <v>192</v>
      </c>
      <c r="J94" s="52">
        <v>12</v>
      </c>
      <c r="K94" s="86"/>
      <c r="L94" s="86"/>
      <c r="M94" s="86"/>
      <c r="N94" s="104">
        <f t="shared" si="23"/>
        <v>0</v>
      </c>
      <c r="O94" s="86"/>
      <c r="P94" s="86"/>
      <c r="Q94" s="86"/>
      <c r="R94" s="104">
        <f t="shared" si="22"/>
        <v>0</v>
      </c>
      <c r="S94" s="86">
        <f t="shared" si="24"/>
        <v>12</v>
      </c>
      <c r="T94" s="87"/>
      <c r="U94" s="87"/>
      <c r="V94" s="87"/>
      <c r="W94" s="88"/>
      <c r="X94" s="87"/>
      <c r="Y94" s="87"/>
      <c r="Z94" s="87"/>
      <c r="AA94" s="88"/>
      <c r="AB94" s="88">
        <v>39.270000000000003</v>
      </c>
      <c r="AC94" s="88">
        <v>52.462499999999999</v>
      </c>
      <c r="AD94" s="88">
        <v>72.64</v>
      </c>
      <c r="AE94" s="89">
        <f t="shared" si="25"/>
        <v>1342.92</v>
      </c>
      <c r="AF94" s="90">
        <v>0.14000000000000001</v>
      </c>
      <c r="AG94" s="4">
        <f t="shared" si="21"/>
        <v>188.00880000000004</v>
      </c>
      <c r="AH94" s="49">
        <f t="shared" si="26"/>
        <v>16.493400000000001</v>
      </c>
      <c r="AI94" s="89">
        <f t="shared" si="27"/>
        <v>1154.9112</v>
      </c>
      <c r="AJ94" s="91">
        <v>0.18</v>
      </c>
      <c r="AK94" s="5">
        <f t="shared" si="28"/>
        <v>207.884016</v>
      </c>
      <c r="AL94" s="89">
        <f t="shared" si="29"/>
        <v>1362.795216</v>
      </c>
      <c r="AP94" s="92"/>
    </row>
    <row r="95" spans="1:42" hidden="1" x14ac:dyDescent="0.35">
      <c r="A95" s="85">
        <v>46206</v>
      </c>
      <c r="B95" s="51" t="s">
        <v>85</v>
      </c>
      <c r="C95" s="97">
        <v>39037799.321428597</v>
      </c>
      <c r="D95" s="97">
        <v>55831.6</v>
      </c>
      <c r="E95" s="48" t="s">
        <v>86</v>
      </c>
      <c r="F95" s="86" t="s">
        <v>108</v>
      </c>
      <c r="G95" s="86" t="s">
        <v>159</v>
      </c>
      <c r="H95" s="86" t="s">
        <v>127</v>
      </c>
      <c r="I95" s="48" t="s">
        <v>192</v>
      </c>
      <c r="J95" s="52">
        <v>40</v>
      </c>
      <c r="K95" s="86">
        <v>20</v>
      </c>
      <c r="L95" s="86">
        <v>20</v>
      </c>
      <c r="M95" s="86"/>
      <c r="N95" s="104">
        <f t="shared" si="23"/>
        <v>40</v>
      </c>
      <c r="O95" s="105">
        <v>40</v>
      </c>
      <c r="P95" s="105">
        <v>40</v>
      </c>
      <c r="Q95" s="105">
        <v>40</v>
      </c>
      <c r="R95" s="104">
        <f t="shared" si="22"/>
        <v>120</v>
      </c>
      <c r="S95" s="86">
        <f t="shared" si="24"/>
        <v>200</v>
      </c>
      <c r="T95" s="87"/>
      <c r="U95" s="87"/>
      <c r="V95" s="87"/>
      <c r="W95" s="88"/>
      <c r="X95" s="87"/>
      <c r="Y95" s="87"/>
      <c r="Z95" s="87"/>
      <c r="AA95" s="88"/>
      <c r="AB95" s="88">
        <v>39.270000000000003</v>
      </c>
      <c r="AC95" s="88">
        <v>52.462499999999999</v>
      </c>
      <c r="AD95" s="88">
        <v>72.64</v>
      </c>
      <c r="AE95" s="89">
        <f t="shared" si="25"/>
        <v>18197.3</v>
      </c>
      <c r="AF95" s="90">
        <v>6.5000000000000002E-2</v>
      </c>
      <c r="AG95" s="4">
        <f t="shared" si="21"/>
        <v>1182.8244999999999</v>
      </c>
      <c r="AH95" s="49">
        <f t="shared" si="26"/>
        <v>54.978000000000009</v>
      </c>
      <c r="AI95" s="89">
        <f t="shared" si="27"/>
        <v>17014.4755</v>
      </c>
      <c r="AJ95" s="91">
        <v>0.18</v>
      </c>
      <c r="AK95" s="5">
        <f t="shared" si="28"/>
        <v>3062.6055900000001</v>
      </c>
      <c r="AL95" s="89">
        <f t="shared" si="29"/>
        <v>20077.08109</v>
      </c>
      <c r="AP95" s="92"/>
    </row>
    <row r="96" spans="1:42" hidden="1" x14ac:dyDescent="0.35">
      <c r="A96" s="85">
        <v>46206</v>
      </c>
      <c r="B96" s="51" t="s">
        <v>85</v>
      </c>
      <c r="C96" s="97">
        <v>39507718.392857097</v>
      </c>
      <c r="D96" s="97">
        <v>56497.3</v>
      </c>
      <c r="E96" s="48" t="s">
        <v>86</v>
      </c>
      <c r="F96" s="86" t="s">
        <v>109</v>
      </c>
      <c r="G96" s="86" t="s">
        <v>189</v>
      </c>
      <c r="H96" s="86" t="s">
        <v>127</v>
      </c>
      <c r="I96" s="48" t="s">
        <v>192</v>
      </c>
      <c r="J96" s="52">
        <v>40</v>
      </c>
      <c r="K96" s="105"/>
      <c r="L96" s="105"/>
      <c r="M96" s="105"/>
      <c r="N96" s="104">
        <f t="shared" si="23"/>
        <v>0</v>
      </c>
      <c r="O96" s="86">
        <v>10</v>
      </c>
      <c r="P96" s="86">
        <v>10</v>
      </c>
      <c r="Q96" s="86">
        <v>20</v>
      </c>
      <c r="R96" s="104">
        <f t="shared" si="22"/>
        <v>40</v>
      </c>
      <c r="S96" s="86">
        <f t="shared" si="24"/>
        <v>80</v>
      </c>
      <c r="T96" s="87"/>
      <c r="U96" s="87"/>
      <c r="V96" s="87"/>
      <c r="W96" s="88"/>
      <c r="X96" s="87"/>
      <c r="Y96" s="87"/>
      <c r="Z96" s="87"/>
      <c r="AA96" s="88"/>
      <c r="AB96" s="88">
        <v>39.270000000000003</v>
      </c>
      <c r="AC96" s="88">
        <v>52.462499999999999</v>
      </c>
      <c r="AD96" s="88">
        <v>72.64</v>
      </c>
      <c r="AE96" s="89">
        <f t="shared" si="25"/>
        <v>7382</v>
      </c>
      <c r="AF96" s="90">
        <v>6.5000000000000002E-2</v>
      </c>
      <c r="AG96" s="4">
        <f t="shared" si="21"/>
        <v>479.83000000000004</v>
      </c>
      <c r="AH96" s="49">
        <f t="shared" si="26"/>
        <v>54.978000000000009</v>
      </c>
      <c r="AI96" s="89">
        <f t="shared" si="27"/>
        <v>6902.17</v>
      </c>
      <c r="AJ96" s="91">
        <v>0.18</v>
      </c>
      <c r="AK96" s="5">
        <f t="shared" si="28"/>
        <v>1242.3905999999999</v>
      </c>
      <c r="AL96" s="89">
        <f t="shared" si="29"/>
        <v>8144.5605999999998</v>
      </c>
      <c r="AP96" s="92"/>
    </row>
    <row r="97" spans="1:42" hidden="1" x14ac:dyDescent="0.35">
      <c r="A97" s="85">
        <v>46206</v>
      </c>
      <c r="B97" s="51" t="s">
        <v>85</v>
      </c>
      <c r="C97" s="97">
        <v>39977637.464285702</v>
      </c>
      <c r="D97" s="97">
        <v>57163</v>
      </c>
      <c r="E97" s="48" t="s">
        <v>86</v>
      </c>
      <c r="F97" s="86" t="s">
        <v>108</v>
      </c>
      <c r="G97" s="86" t="s">
        <v>190</v>
      </c>
      <c r="H97" s="86" t="s">
        <v>127</v>
      </c>
      <c r="I97" s="48" t="s">
        <v>192</v>
      </c>
      <c r="J97" s="52">
        <v>400</v>
      </c>
      <c r="K97" s="86"/>
      <c r="L97" s="86"/>
      <c r="M97" s="86"/>
      <c r="N97" s="104">
        <f t="shared" si="23"/>
        <v>0</v>
      </c>
      <c r="O97" s="105">
        <v>80</v>
      </c>
      <c r="P97" s="105">
        <v>80</v>
      </c>
      <c r="Q97" s="105">
        <v>40</v>
      </c>
      <c r="R97" s="104">
        <f t="shared" si="22"/>
        <v>200</v>
      </c>
      <c r="S97" s="86">
        <f t="shared" si="24"/>
        <v>600</v>
      </c>
      <c r="T97" s="87"/>
      <c r="U97" s="87"/>
      <c r="V97" s="87"/>
      <c r="W97" s="88"/>
      <c r="X97" s="87"/>
      <c r="Y97" s="87"/>
      <c r="Z97" s="87"/>
      <c r="AA97" s="88"/>
      <c r="AB97" s="88">
        <v>39.270000000000003</v>
      </c>
      <c r="AC97" s="88">
        <v>52.462499999999999</v>
      </c>
      <c r="AD97" s="88">
        <v>72.64</v>
      </c>
      <c r="AE97" s="89">
        <f t="shared" si="25"/>
        <v>59292</v>
      </c>
      <c r="AF97" s="90">
        <v>6.5000000000000002E-2</v>
      </c>
      <c r="AG97" s="4">
        <f t="shared" si="21"/>
        <v>3853.98</v>
      </c>
      <c r="AH97" s="49">
        <f t="shared" si="26"/>
        <v>549.78000000000009</v>
      </c>
      <c r="AI97" s="89">
        <f t="shared" si="27"/>
        <v>55438.02</v>
      </c>
      <c r="AJ97" s="91">
        <v>0.18</v>
      </c>
      <c r="AK97" s="5">
        <f t="shared" si="28"/>
        <v>9978.8435999999983</v>
      </c>
      <c r="AL97" s="89">
        <f t="shared" si="29"/>
        <v>65416.863599999997</v>
      </c>
      <c r="AP97" s="92"/>
    </row>
    <row r="98" spans="1:42" hidden="1" x14ac:dyDescent="0.35">
      <c r="A98" s="85">
        <v>46206</v>
      </c>
      <c r="B98" s="51" t="s">
        <v>85</v>
      </c>
      <c r="C98" s="97">
        <v>40447556.535714298</v>
      </c>
      <c r="D98" s="97">
        <v>57828.7</v>
      </c>
      <c r="E98" s="48" t="s">
        <v>86</v>
      </c>
      <c r="F98" s="86" t="s">
        <v>109</v>
      </c>
      <c r="G98" s="86" t="s">
        <v>191</v>
      </c>
      <c r="H98" s="86" t="s">
        <v>127</v>
      </c>
      <c r="I98" s="48" t="s">
        <v>192</v>
      </c>
      <c r="J98" s="52">
        <v>40</v>
      </c>
      <c r="K98" s="86"/>
      <c r="L98" s="105"/>
      <c r="M98" s="105"/>
      <c r="N98" s="104">
        <f t="shared" si="23"/>
        <v>0</v>
      </c>
      <c r="O98" s="86"/>
      <c r="P98" s="105"/>
      <c r="Q98" s="105"/>
      <c r="R98" s="104">
        <f t="shared" si="22"/>
        <v>0</v>
      </c>
      <c r="S98" s="86">
        <f t="shared" si="24"/>
        <v>40</v>
      </c>
      <c r="T98" s="87"/>
      <c r="U98" s="87"/>
      <c r="V98" s="87"/>
      <c r="W98" s="88"/>
      <c r="X98" s="87"/>
      <c r="Y98" s="87"/>
      <c r="Z98" s="87"/>
      <c r="AA98" s="88"/>
      <c r="AB98" s="88">
        <v>39.270000000000003</v>
      </c>
      <c r="AC98" s="88">
        <v>52.462499999999999</v>
      </c>
      <c r="AD98" s="88">
        <v>72.64</v>
      </c>
      <c r="AE98" s="89">
        <f t="shared" si="25"/>
        <v>4476.3999999999996</v>
      </c>
      <c r="AF98" s="90">
        <v>6.5000000000000002E-2</v>
      </c>
      <c r="AG98" s="4">
        <f t="shared" si="21"/>
        <v>290.96600000000001</v>
      </c>
      <c r="AH98" s="49">
        <f t="shared" si="26"/>
        <v>54.978000000000009</v>
      </c>
      <c r="AI98" s="89">
        <f t="shared" si="27"/>
        <v>4185.4339999999993</v>
      </c>
      <c r="AJ98" s="91">
        <v>0.18</v>
      </c>
      <c r="AK98" s="5">
        <f t="shared" si="28"/>
        <v>753.37811999999985</v>
      </c>
      <c r="AL98" s="89">
        <f t="shared" si="29"/>
        <v>4938.8121199999987</v>
      </c>
      <c r="AP98" s="92"/>
    </row>
    <row r="99" spans="1:42" hidden="1" x14ac:dyDescent="0.35">
      <c r="A99" s="85">
        <v>46206</v>
      </c>
      <c r="B99" s="51" t="s">
        <v>85</v>
      </c>
      <c r="C99" s="97">
        <v>40917475.607142799</v>
      </c>
      <c r="D99" s="97">
        <v>58494.400000000001</v>
      </c>
      <c r="E99" s="48" t="s">
        <v>86</v>
      </c>
      <c r="F99" s="95" t="s">
        <v>108</v>
      </c>
      <c r="G99" s="95" t="s">
        <v>193</v>
      </c>
      <c r="H99" s="95" t="s">
        <v>129</v>
      </c>
      <c r="I99" s="52" t="s">
        <v>199</v>
      </c>
      <c r="J99" s="52">
        <v>10</v>
      </c>
      <c r="K99" s="95">
        <v>10</v>
      </c>
      <c r="L99" s="106"/>
      <c r="M99" s="106"/>
      <c r="N99" s="104">
        <f t="shared" si="23"/>
        <v>10</v>
      </c>
      <c r="O99" s="95"/>
      <c r="P99" s="106"/>
      <c r="Q99" s="106"/>
      <c r="R99" s="104">
        <f t="shared" si="22"/>
        <v>0</v>
      </c>
      <c r="S99" s="86">
        <f t="shared" si="24"/>
        <v>20</v>
      </c>
      <c r="T99" s="87"/>
      <c r="U99" s="87"/>
      <c r="V99" s="87"/>
      <c r="W99" s="88"/>
      <c r="X99" s="87"/>
      <c r="Y99" s="87"/>
      <c r="Z99" s="87"/>
      <c r="AA99" s="88"/>
      <c r="AB99" s="88">
        <v>39.270000000000003</v>
      </c>
      <c r="AC99" s="88">
        <v>52.462499999999999</v>
      </c>
      <c r="AD99" s="88">
        <v>72.64</v>
      </c>
      <c r="AE99" s="89">
        <f t="shared" si="25"/>
        <v>2370.125</v>
      </c>
      <c r="AF99" s="90">
        <v>6.5000000000000002E-2</v>
      </c>
      <c r="AG99" s="4">
        <f t="shared" si="21"/>
        <v>154.05812500000002</v>
      </c>
      <c r="AH99" s="49">
        <f t="shared" si="26"/>
        <v>13.744500000000002</v>
      </c>
      <c r="AI99" s="89">
        <f t="shared" si="27"/>
        <v>2216.066875</v>
      </c>
      <c r="AJ99" s="91">
        <v>0.18</v>
      </c>
      <c r="AK99" s="5">
        <f t="shared" si="28"/>
        <v>398.89203749999996</v>
      </c>
      <c r="AL99" s="89">
        <f t="shared" si="29"/>
        <v>2614.9589124999998</v>
      </c>
      <c r="AP99" s="92"/>
    </row>
    <row r="100" spans="1:42" hidden="1" x14ac:dyDescent="0.35">
      <c r="A100" s="85">
        <v>46206</v>
      </c>
      <c r="B100" s="51" t="s">
        <v>85</v>
      </c>
      <c r="C100" s="97">
        <v>41387394.678571403</v>
      </c>
      <c r="D100" s="97">
        <v>59160.1</v>
      </c>
      <c r="E100" s="48" t="s">
        <v>86</v>
      </c>
      <c r="F100" s="95" t="s">
        <v>108</v>
      </c>
      <c r="G100" s="95" t="s">
        <v>139</v>
      </c>
      <c r="H100" s="95" t="s">
        <v>129</v>
      </c>
      <c r="I100" s="52" t="s">
        <v>199</v>
      </c>
      <c r="J100" s="52"/>
      <c r="K100" s="95"/>
      <c r="L100" s="106"/>
      <c r="M100" s="106"/>
      <c r="N100" s="104">
        <f t="shared" si="23"/>
        <v>0</v>
      </c>
      <c r="O100" s="95"/>
      <c r="P100" s="106"/>
      <c r="Q100" s="106">
        <v>10</v>
      </c>
      <c r="R100" s="104">
        <f t="shared" si="22"/>
        <v>10</v>
      </c>
      <c r="S100" s="86">
        <f t="shared" si="24"/>
        <v>10</v>
      </c>
      <c r="T100" s="87"/>
      <c r="U100" s="87"/>
      <c r="V100" s="87"/>
      <c r="W100" s="88"/>
      <c r="X100" s="87"/>
      <c r="Y100" s="87"/>
      <c r="Z100" s="87"/>
      <c r="AA100" s="88"/>
      <c r="AB100" s="88">
        <v>39.270000000000003</v>
      </c>
      <c r="AC100" s="88">
        <v>52.462499999999999</v>
      </c>
      <c r="AD100" s="88">
        <v>72.64</v>
      </c>
      <c r="AE100" s="89">
        <f t="shared" si="25"/>
        <v>726.4</v>
      </c>
      <c r="AF100" s="90">
        <v>6.5000000000000002E-2</v>
      </c>
      <c r="AG100" s="4">
        <f t="shared" si="21"/>
        <v>47.216000000000001</v>
      </c>
      <c r="AH100" s="49">
        <f t="shared" si="26"/>
        <v>0</v>
      </c>
      <c r="AI100" s="89">
        <f t="shared" si="27"/>
        <v>679.18399999999997</v>
      </c>
      <c r="AJ100" s="91">
        <v>0.18</v>
      </c>
      <c r="AK100" s="5">
        <f t="shared" si="28"/>
        <v>122.25312</v>
      </c>
      <c r="AL100" s="89">
        <f t="shared" si="29"/>
        <v>801.43711999999994</v>
      </c>
      <c r="AP100" s="92"/>
    </row>
    <row r="101" spans="1:42" hidden="1" x14ac:dyDescent="0.35">
      <c r="A101" s="85">
        <v>46206</v>
      </c>
      <c r="B101" s="51" t="s">
        <v>85</v>
      </c>
      <c r="C101" s="97">
        <v>41857313.75</v>
      </c>
      <c r="D101" s="97">
        <v>59825.8</v>
      </c>
      <c r="E101" s="48" t="s">
        <v>86</v>
      </c>
      <c r="F101" s="95" t="s">
        <v>108</v>
      </c>
      <c r="G101" s="95" t="s">
        <v>139</v>
      </c>
      <c r="H101" s="95" t="s">
        <v>129</v>
      </c>
      <c r="I101" s="52" t="s">
        <v>199</v>
      </c>
      <c r="J101" s="52"/>
      <c r="K101" s="95"/>
      <c r="L101" s="106"/>
      <c r="M101" s="106"/>
      <c r="N101" s="104">
        <f t="shared" si="23"/>
        <v>0</v>
      </c>
      <c r="O101" s="95"/>
      <c r="P101" s="106"/>
      <c r="Q101" s="106">
        <v>10</v>
      </c>
      <c r="R101" s="104">
        <f t="shared" si="22"/>
        <v>10</v>
      </c>
      <c r="S101" s="86">
        <f t="shared" si="24"/>
        <v>10</v>
      </c>
      <c r="T101" s="87"/>
      <c r="U101" s="87"/>
      <c r="V101" s="87"/>
      <c r="W101" s="88"/>
      <c r="X101" s="87"/>
      <c r="Y101" s="87"/>
      <c r="Z101" s="87"/>
      <c r="AA101" s="88"/>
      <c r="AB101" s="88">
        <v>39.270000000000003</v>
      </c>
      <c r="AC101" s="88">
        <v>52.462499999999999</v>
      </c>
      <c r="AD101" s="88">
        <v>72.64</v>
      </c>
      <c r="AE101" s="89">
        <f t="shared" si="25"/>
        <v>726.4</v>
      </c>
      <c r="AF101" s="90">
        <v>6.5000000000000002E-2</v>
      </c>
      <c r="AG101" s="4">
        <f t="shared" si="21"/>
        <v>47.216000000000001</v>
      </c>
      <c r="AH101" s="49">
        <f t="shared" si="26"/>
        <v>0</v>
      </c>
      <c r="AI101" s="89">
        <f t="shared" si="27"/>
        <v>679.18399999999997</v>
      </c>
      <c r="AJ101" s="91">
        <v>0.18</v>
      </c>
      <c r="AK101" s="5">
        <f t="shared" si="28"/>
        <v>122.25312</v>
      </c>
      <c r="AL101" s="89">
        <f t="shared" si="29"/>
        <v>801.43711999999994</v>
      </c>
      <c r="AP101" s="92"/>
    </row>
    <row r="102" spans="1:42" hidden="1" x14ac:dyDescent="0.35">
      <c r="A102" s="85">
        <v>46206</v>
      </c>
      <c r="B102" s="51" t="s">
        <v>85</v>
      </c>
      <c r="C102" s="97">
        <v>42327232.821428597</v>
      </c>
      <c r="D102" s="97">
        <v>60491.5</v>
      </c>
      <c r="E102" s="48" t="s">
        <v>86</v>
      </c>
      <c r="F102" s="95" t="s">
        <v>108</v>
      </c>
      <c r="G102" s="95" t="s">
        <v>194</v>
      </c>
      <c r="H102" s="95" t="s">
        <v>129</v>
      </c>
      <c r="I102" s="52" t="s">
        <v>199</v>
      </c>
      <c r="J102" s="52">
        <v>80</v>
      </c>
      <c r="K102" s="95"/>
      <c r="L102" s="106"/>
      <c r="M102" s="106"/>
      <c r="N102" s="104">
        <f t="shared" si="23"/>
        <v>0</v>
      </c>
      <c r="O102" s="95"/>
      <c r="P102" s="106">
        <v>40</v>
      </c>
      <c r="Q102" s="106">
        <v>80</v>
      </c>
      <c r="R102" s="104">
        <f t="shared" si="22"/>
        <v>120</v>
      </c>
      <c r="S102" s="86">
        <f t="shared" si="24"/>
        <v>200</v>
      </c>
      <c r="T102" s="87"/>
      <c r="U102" s="87"/>
      <c r="V102" s="87"/>
      <c r="W102" s="88"/>
      <c r="X102" s="87"/>
      <c r="Y102" s="87"/>
      <c r="Z102" s="87"/>
      <c r="AA102" s="88"/>
      <c r="AB102" s="88">
        <v>39.270000000000003</v>
      </c>
      <c r="AC102" s="88">
        <v>52.462499999999999</v>
      </c>
      <c r="AD102" s="88">
        <v>72.64</v>
      </c>
      <c r="AE102" s="89">
        <f t="shared" si="25"/>
        <v>17669.599999999999</v>
      </c>
      <c r="AF102" s="90">
        <v>6.5000000000000002E-2</v>
      </c>
      <c r="AG102" s="4">
        <f t="shared" si="21"/>
        <v>1148.5239999999999</v>
      </c>
      <c r="AH102" s="49">
        <f t="shared" si="26"/>
        <v>109.95600000000002</v>
      </c>
      <c r="AI102" s="89">
        <f t="shared" si="27"/>
        <v>16521.075999999997</v>
      </c>
      <c r="AJ102" s="91">
        <v>0.18</v>
      </c>
      <c r="AK102" s="5">
        <f t="shared" si="28"/>
        <v>2973.7936799999993</v>
      </c>
      <c r="AL102" s="89">
        <f t="shared" si="29"/>
        <v>19494.869679999996</v>
      </c>
      <c r="AP102" s="92"/>
    </row>
    <row r="103" spans="1:42" hidden="1" x14ac:dyDescent="0.35">
      <c r="A103" s="85">
        <v>46206</v>
      </c>
      <c r="B103" s="51" t="s">
        <v>85</v>
      </c>
      <c r="C103" s="97">
        <v>42797151.892857097</v>
      </c>
      <c r="D103" s="97">
        <v>61157.2</v>
      </c>
      <c r="E103" s="48" t="s">
        <v>86</v>
      </c>
      <c r="F103" s="86" t="s">
        <v>109</v>
      </c>
      <c r="G103" s="86" t="s">
        <v>195</v>
      </c>
      <c r="H103" s="95" t="s">
        <v>129</v>
      </c>
      <c r="I103" s="52" t="s">
        <v>199</v>
      </c>
      <c r="J103" s="52">
        <v>10</v>
      </c>
      <c r="K103" s="105">
        <v>10</v>
      </c>
      <c r="L103" s="105">
        <v>10</v>
      </c>
      <c r="M103" s="86"/>
      <c r="N103" s="104">
        <f t="shared" si="23"/>
        <v>20</v>
      </c>
      <c r="O103" s="105">
        <v>20</v>
      </c>
      <c r="P103" s="86">
        <v>10</v>
      </c>
      <c r="Q103" s="105">
        <v>10</v>
      </c>
      <c r="R103" s="104">
        <f t="shared" si="22"/>
        <v>40</v>
      </c>
      <c r="S103" s="86">
        <f t="shared" si="24"/>
        <v>70</v>
      </c>
      <c r="T103" s="87"/>
      <c r="U103" s="87"/>
      <c r="V103" s="87"/>
      <c r="W103" s="88"/>
      <c r="X103" s="87"/>
      <c r="Y103" s="87"/>
      <c r="Z103" s="87"/>
      <c r="AA103" s="88"/>
      <c r="AB103" s="88">
        <v>39.270000000000003</v>
      </c>
      <c r="AC103" s="88">
        <v>52.462499999999999</v>
      </c>
      <c r="AD103" s="88">
        <v>72.64</v>
      </c>
      <c r="AE103" s="89">
        <f t="shared" si="25"/>
        <v>6526.75</v>
      </c>
      <c r="AF103" s="90">
        <v>0.1</v>
      </c>
      <c r="AG103" s="4">
        <f t="shared" si="21"/>
        <v>652.67500000000007</v>
      </c>
      <c r="AH103" s="49">
        <f t="shared" si="26"/>
        <v>13.744500000000002</v>
      </c>
      <c r="AI103" s="89">
        <f t="shared" si="27"/>
        <v>5874.0749999999998</v>
      </c>
      <c r="AJ103" s="91">
        <v>0.18</v>
      </c>
      <c r="AK103" s="5">
        <f t="shared" si="28"/>
        <v>1057.3335</v>
      </c>
      <c r="AL103" s="89">
        <f t="shared" si="29"/>
        <v>6931.4084999999995</v>
      </c>
      <c r="AP103" s="92"/>
    </row>
    <row r="104" spans="1:42" hidden="1" x14ac:dyDescent="0.35">
      <c r="A104" s="85">
        <v>46206</v>
      </c>
      <c r="B104" s="51" t="s">
        <v>85</v>
      </c>
      <c r="C104" s="97">
        <v>43267070.964285702</v>
      </c>
      <c r="D104" s="97">
        <v>61822.9</v>
      </c>
      <c r="E104" s="48" t="s">
        <v>86</v>
      </c>
      <c r="F104" s="86" t="s">
        <v>108</v>
      </c>
      <c r="G104" s="86" t="s">
        <v>196</v>
      </c>
      <c r="H104" s="95" t="s">
        <v>129</v>
      </c>
      <c r="I104" s="52" t="s">
        <v>199</v>
      </c>
      <c r="J104" s="52"/>
      <c r="K104" s="86"/>
      <c r="L104" s="86">
        <v>20</v>
      </c>
      <c r="M104" s="86"/>
      <c r="N104" s="104">
        <f t="shared" si="23"/>
        <v>20</v>
      </c>
      <c r="O104" s="105">
        <v>10</v>
      </c>
      <c r="P104" s="105"/>
      <c r="Q104" s="105">
        <v>10</v>
      </c>
      <c r="R104" s="104">
        <f t="shared" si="22"/>
        <v>20</v>
      </c>
      <c r="S104" s="86">
        <f t="shared" si="24"/>
        <v>40</v>
      </c>
      <c r="T104" s="87"/>
      <c r="U104" s="87"/>
      <c r="V104" s="87"/>
      <c r="W104" s="88"/>
      <c r="X104" s="87"/>
      <c r="Y104" s="87"/>
      <c r="Z104" s="87"/>
      <c r="AA104" s="88"/>
      <c r="AB104" s="88">
        <v>39.270000000000003</v>
      </c>
      <c r="AC104" s="88">
        <v>52.462499999999999</v>
      </c>
      <c r="AD104" s="88">
        <v>72.64</v>
      </c>
      <c r="AE104" s="89">
        <f t="shared" si="25"/>
        <v>3954.85</v>
      </c>
      <c r="AF104" s="90">
        <v>6.5000000000000002E-2</v>
      </c>
      <c r="AG104" s="4">
        <f t="shared" si="21"/>
        <v>257.06524999999999</v>
      </c>
      <c r="AH104" s="49">
        <f t="shared" si="26"/>
        <v>0</v>
      </c>
      <c r="AI104" s="89">
        <f t="shared" si="27"/>
        <v>3697.7847499999998</v>
      </c>
      <c r="AJ104" s="91">
        <v>0.18</v>
      </c>
      <c r="AK104" s="5">
        <f t="shared" si="28"/>
        <v>665.60125499999992</v>
      </c>
      <c r="AL104" s="89">
        <f t="shared" si="29"/>
        <v>4363.3860049999994</v>
      </c>
      <c r="AP104" s="92"/>
    </row>
    <row r="105" spans="1:42" hidden="1" x14ac:dyDescent="0.35">
      <c r="A105" s="85">
        <v>46206</v>
      </c>
      <c r="B105" s="51" t="s">
        <v>85</v>
      </c>
      <c r="C105" s="97">
        <v>43736990.035714298</v>
      </c>
      <c r="D105" s="97">
        <v>62488.6</v>
      </c>
      <c r="E105" s="48" t="s">
        <v>86</v>
      </c>
      <c r="F105" s="86" t="s">
        <v>109</v>
      </c>
      <c r="G105" s="86" t="s">
        <v>197</v>
      </c>
      <c r="H105" s="95" t="s">
        <v>129</v>
      </c>
      <c r="I105" s="52" t="s">
        <v>199</v>
      </c>
      <c r="J105" s="52"/>
      <c r="K105" s="105"/>
      <c r="L105" s="105"/>
      <c r="M105" s="105"/>
      <c r="N105" s="104">
        <f t="shared" si="23"/>
        <v>0</v>
      </c>
      <c r="O105" s="86"/>
      <c r="P105" s="86"/>
      <c r="Q105" s="86">
        <v>10</v>
      </c>
      <c r="R105" s="104">
        <f t="shared" si="22"/>
        <v>10</v>
      </c>
      <c r="S105" s="86">
        <f t="shared" si="24"/>
        <v>10</v>
      </c>
      <c r="T105" s="87"/>
      <c r="U105" s="87"/>
      <c r="V105" s="87"/>
      <c r="W105" s="88"/>
      <c r="X105" s="87"/>
      <c r="Y105" s="87"/>
      <c r="Z105" s="87"/>
      <c r="AA105" s="88"/>
      <c r="AB105" s="88">
        <v>39.270000000000003</v>
      </c>
      <c r="AC105" s="88">
        <v>52.462499999999999</v>
      </c>
      <c r="AD105" s="88">
        <v>72.64</v>
      </c>
      <c r="AE105" s="89">
        <f t="shared" si="25"/>
        <v>726.4</v>
      </c>
      <c r="AF105" s="90">
        <v>6.5000000000000002E-2</v>
      </c>
      <c r="AG105" s="4">
        <f t="shared" si="21"/>
        <v>47.216000000000001</v>
      </c>
      <c r="AH105" s="49">
        <f t="shared" si="26"/>
        <v>0</v>
      </c>
      <c r="AI105" s="89">
        <f t="shared" si="27"/>
        <v>679.18399999999997</v>
      </c>
      <c r="AJ105" s="91">
        <v>0.18</v>
      </c>
      <c r="AK105" s="5">
        <f t="shared" si="28"/>
        <v>122.25312</v>
      </c>
      <c r="AL105" s="89">
        <f t="shared" si="29"/>
        <v>801.43711999999994</v>
      </c>
      <c r="AP105" s="92"/>
    </row>
    <row r="106" spans="1:42" hidden="1" x14ac:dyDescent="0.35">
      <c r="A106" s="85">
        <v>46206</v>
      </c>
      <c r="B106" s="51" t="s">
        <v>85</v>
      </c>
      <c r="C106" s="97">
        <v>44206909.107142799</v>
      </c>
      <c r="D106" s="97">
        <v>63154.3</v>
      </c>
      <c r="E106" s="48" t="s">
        <v>86</v>
      </c>
      <c r="F106" s="86" t="s">
        <v>109</v>
      </c>
      <c r="G106" s="86" t="s">
        <v>198</v>
      </c>
      <c r="H106" s="95" t="s">
        <v>129</v>
      </c>
      <c r="I106" s="52" t="s">
        <v>199</v>
      </c>
      <c r="J106" s="52"/>
      <c r="K106" s="86"/>
      <c r="L106" s="86"/>
      <c r="M106" s="86"/>
      <c r="N106" s="104">
        <f t="shared" si="23"/>
        <v>0</v>
      </c>
      <c r="O106" s="105"/>
      <c r="P106" s="105"/>
      <c r="Q106" s="105">
        <v>10</v>
      </c>
      <c r="R106" s="104">
        <f t="shared" si="22"/>
        <v>10</v>
      </c>
      <c r="S106" s="86">
        <f t="shared" si="24"/>
        <v>10</v>
      </c>
      <c r="T106" s="87"/>
      <c r="U106" s="87"/>
      <c r="V106" s="87"/>
      <c r="W106" s="88"/>
      <c r="X106" s="87"/>
      <c r="Y106" s="87"/>
      <c r="Z106" s="87"/>
      <c r="AA106" s="88"/>
      <c r="AB106" s="88">
        <v>39.270000000000003</v>
      </c>
      <c r="AC106" s="88">
        <v>52.462499999999999</v>
      </c>
      <c r="AD106" s="88">
        <v>72.64</v>
      </c>
      <c r="AE106" s="89">
        <f t="shared" si="25"/>
        <v>726.4</v>
      </c>
      <c r="AF106" s="90">
        <v>6.5000000000000002E-2</v>
      </c>
      <c r="AG106" s="4">
        <f t="shared" si="21"/>
        <v>47.216000000000001</v>
      </c>
      <c r="AH106" s="49">
        <f t="shared" si="26"/>
        <v>0</v>
      </c>
      <c r="AI106" s="89">
        <f t="shared" si="27"/>
        <v>679.18399999999997</v>
      </c>
      <c r="AJ106" s="91">
        <v>0.18</v>
      </c>
      <c r="AK106" s="5">
        <f t="shared" si="28"/>
        <v>122.25312</v>
      </c>
      <c r="AL106" s="89">
        <f t="shared" si="29"/>
        <v>801.43711999999994</v>
      </c>
      <c r="AP106" s="92"/>
    </row>
    <row r="107" spans="1:42" hidden="1" x14ac:dyDescent="0.35">
      <c r="A107" s="85">
        <v>46206</v>
      </c>
      <c r="B107" s="51" t="s">
        <v>85</v>
      </c>
      <c r="C107" s="97">
        <v>44676828.178571403</v>
      </c>
      <c r="D107" s="97">
        <v>63820</v>
      </c>
      <c r="E107" s="48" t="s">
        <v>86</v>
      </c>
      <c r="F107" s="86" t="s">
        <v>108</v>
      </c>
      <c r="G107" s="86" t="s">
        <v>142</v>
      </c>
      <c r="H107" s="95" t="s">
        <v>129</v>
      </c>
      <c r="I107" s="52" t="s">
        <v>199</v>
      </c>
      <c r="J107" s="52"/>
      <c r="K107" s="105"/>
      <c r="L107" s="105"/>
      <c r="M107" s="105"/>
      <c r="N107" s="104">
        <f t="shared" si="23"/>
        <v>0</v>
      </c>
      <c r="O107" s="86">
        <v>15</v>
      </c>
      <c r="P107" s="86">
        <v>10</v>
      </c>
      <c r="Q107" s="86">
        <v>15</v>
      </c>
      <c r="R107" s="104">
        <f t="shared" si="22"/>
        <v>40</v>
      </c>
      <c r="S107" s="86">
        <f t="shared" si="24"/>
        <v>40</v>
      </c>
      <c r="T107" s="87"/>
      <c r="U107" s="87"/>
      <c r="V107" s="87"/>
      <c r="W107" s="88"/>
      <c r="X107" s="87"/>
      <c r="Y107" s="87"/>
      <c r="Z107" s="87"/>
      <c r="AA107" s="88"/>
      <c r="AB107" s="88">
        <v>39.270000000000003</v>
      </c>
      <c r="AC107" s="88">
        <v>52.462499999999999</v>
      </c>
      <c r="AD107" s="88">
        <v>72.64</v>
      </c>
      <c r="AE107" s="89">
        <f t="shared" si="25"/>
        <v>2905.6</v>
      </c>
      <c r="AF107" s="90">
        <v>6.5000000000000002E-2</v>
      </c>
      <c r="AG107" s="4">
        <f t="shared" si="21"/>
        <v>188.864</v>
      </c>
      <c r="AH107" s="49">
        <f t="shared" si="26"/>
        <v>0</v>
      </c>
      <c r="AI107" s="89">
        <f t="shared" si="27"/>
        <v>2716.7359999999999</v>
      </c>
      <c r="AJ107" s="91">
        <v>0.18</v>
      </c>
      <c r="AK107" s="5">
        <f t="shared" si="28"/>
        <v>489.01247999999998</v>
      </c>
      <c r="AL107" s="89">
        <f t="shared" si="29"/>
        <v>3205.7484799999997</v>
      </c>
      <c r="AP107" s="92"/>
    </row>
    <row r="108" spans="1:42" hidden="1" x14ac:dyDescent="0.35">
      <c r="A108" s="85">
        <v>46206</v>
      </c>
      <c r="B108" s="51" t="s">
        <v>85</v>
      </c>
      <c r="C108" s="97">
        <v>45146747.25</v>
      </c>
      <c r="D108" s="97">
        <v>64485.7</v>
      </c>
      <c r="E108" s="48" t="s">
        <v>86</v>
      </c>
      <c r="F108" s="86" t="s">
        <v>108</v>
      </c>
      <c r="G108" s="86" t="s">
        <v>200</v>
      </c>
      <c r="H108" s="95" t="s">
        <v>176</v>
      </c>
      <c r="I108" s="48" t="s">
        <v>208</v>
      </c>
      <c r="J108" s="52"/>
      <c r="K108" s="86"/>
      <c r="L108" s="105"/>
      <c r="M108" s="86"/>
      <c r="N108" s="104">
        <f t="shared" si="23"/>
        <v>0</v>
      </c>
      <c r="O108" s="105">
        <v>40</v>
      </c>
      <c r="P108" s="105">
        <v>40</v>
      </c>
      <c r="Q108" s="105">
        <v>80</v>
      </c>
      <c r="R108" s="104">
        <f t="shared" si="22"/>
        <v>160</v>
      </c>
      <c r="S108" s="86">
        <f t="shared" si="24"/>
        <v>160</v>
      </c>
      <c r="T108" s="87"/>
      <c r="U108" s="87"/>
      <c r="V108" s="87"/>
      <c r="W108" s="88"/>
      <c r="X108" s="87"/>
      <c r="Y108" s="87"/>
      <c r="Z108" s="87"/>
      <c r="AA108" s="88"/>
      <c r="AB108" s="88">
        <v>39.270000000000003</v>
      </c>
      <c r="AC108" s="88">
        <v>52.462499999999999</v>
      </c>
      <c r="AD108" s="88">
        <v>72.64</v>
      </c>
      <c r="AE108" s="89">
        <f t="shared" si="25"/>
        <v>11622.4</v>
      </c>
      <c r="AF108" s="90">
        <v>6.5000000000000002E-2</v>
      </c>
      <c r="AG108" s="4">
        <f t="shared" si="21"/>
        <v>755.45600000000002</v>
      </c>
      <c r="AH108" s="49">
        <f t="shared" si="26"/>
        <v>0</v>
      </c>
      <c r="AI108" s="89">
        <f t="shared" si="27"/>
        <v>10866.944</v>
      </c>
      <c r="AJ108" s="91">
        <v>0.18</v>
      </c>
      <c r="AK108" s="5">
        <f t="shared" si="28"/>
        <v>1956.0499199999999</v>
      </c>
      <c r="AL108" s="89">
        <f t="shared" si="29"/>
        <v>12822.993919999999</v>
      </c>
      <c r="AP108" s="92"/>
    </row>
    <row r="109" spans="1:42" hidden="1" x14ac:dyDescent="0.35">
      <c r="A109" s="85">
        <v>46206</v>
      </c>
      <c r="B109" s="51" t="s">
        <v>85</v>
      </c>
      <c r="C109" s="97">
        <v>45616666.321428597</v>
      </c>
      <c r="D109" s="97">
        <v>65151.4</v>
      </c>
      <c r="E109" s="48" t="s">
        <v>86</v>
      </c>
      <c r="F109" s="86" t="s">
        <v>108</v>
      </c>
      <c r="G109" s="86" t="s">
        <v>201</v>
      </c>
      <c r="H109" s="95" t="s">
        <v>176</v>
      </c>
      <c r="I109" s="48" t="s">
        <v>208</v>
      </c>
      <c r="J109" s="52"/>
      <c r="K109" s="86"/>
      <c r="L109" s="86"/>
      <c r="M109" s="86"/>
      <c r="N109" s="104">
        <f t="shared" si="23"/>
        <v>0</v>
      </c>
      <c r="O109" s="105">
        <v>15</v>
      </c>
      <c r="P109" s="105">
        <v>10</v>
      </c>
      <c r="Q109" s="105">
        <v>15</v>
      </c>
      <c r="R109" s="104">
        <f t="shared" si="22"/>
        <v>40</v>
      </c>
      <c r="S109" s="86">
        <f t="shared" si="24"/>
        <v>40</v>
      </c>
      <c r="T109" s="87"/>
      <c r="U109" s="87"/>
      <c r="V109" s="87"/>
      <c r="W109" s="88"/>
      <c r="X109" s="87"/>
      <c r="Y109" s="87"/>
      <c r="Z109" s="87"/>
      <c r="AA109" s="88"/>
      <c r="AB109" s="88">
        <v>39.270000000000003</v>
      </c>
      <c r="AC109" s="88">
        <v>52.462499999999999</v>
      </c>
      <c r="AD109" s="88">
        <v>72.64</v>
      </c>
      <c r="AE109" s="89">
        <f t="shared" si="25"/>
        <v>2905.6</v>
      </c>
      <c r="AF109" s="90">
        <v>6.5000000000000002E-2</v>
      </c>
      <c r="AG109" s="4">
        <f t="shared" si="21"/>
        <v>188.864</v>
      </c>
      <c r="AH109" s="49">
        <f t="shared" si="26"/>
        <v>0</v>
      </c>
      <c r="AI109" s="89">
        <f t="shared" si="27"/>
        <v>2716.7359999999999</v>
      </c>
      <c r="AJ109" s="91">
        <v>0.18</v>
      </c>
      <c r="AK109" s="5">
        <f t="shared" si="28"/>
        <v>489.01247999999998</v>
      </c>
      <c r="AL109" s="89">
        <f t="shared" si="29"/>
        <v>3205.7484799999997</v>
      </c>
      <c r="AP109" s="92"/>
    </row>
    <row r="110" spans="1:42" hidden="1" x14ac:dyDescent="0.35">
      <c r="A110" s="85">
        <v>46206</v>
      </c>
      <c r="B110" s="51" t="s">
        <v>85</v>
      </c>
      <c r="C110" s="97">
        <v>46086585.392857097</v>
      </c>
      <c r="D110" s="97">
        <v>65817.100000000006</v>
      </c>
      <c r="E110" s="48" t="s">
        <v>86</v>
      </c>
      <c r="F110" s="86" t="s">
        <v>108</v>
      </c>
      <c r="G110" s="86" t="s">
        <v>202</v>
      </c>
      <c r="H110" s="95" t="s">
        <v>176</v>
      </c>
      <c r="I110" s="48" t="s">
        <v>208</v>
      </c>
      <c r="J110" s="52">
        <v>24</v>
      </c>
      <c r="K110" s="105">
        <v>12</v>
      </c>
      <c r="L110" s="105"/>
      <c r="M110" s="86"/>
      <c r="N110" s="104">
        <f t="shared" si="23"/>
        <v>12</v>
      </c>
      <c r="O110" s="86"/>
      <c r="P110" s="86"/>
      <c r="Q110" s="86">
        <v>20</v>
      </c>
      <c r="R110" s="104">
        <f t="shared" si="22"/>
        <v>20</v>
      </c>
      <c r="S110" s="86">
        <f t="shared" si="24"/>
        <v>56</v>
      </c>
      <c r="T110" s="87"/>
      <c r="U110" s="87"/>
      <c r="V110" s="87"/>
      <c r="W110" s="88"/>
      <c r="X110" s="87"/>
      <c r="Y110" s="87"/>
      <c r="Z110" s="87"/>
      <c r="AA110" s="88"/>
      <c r="AB110" s="88">
        <v>39.270000000000003</v>
      </c>
      <c r="AC110" s="88">
        <v>52.462499999999999</v>
      </c>
      <c r="AD110" s="88">
        <v>72.64</v>
      </c>
      <c r="AE110" s="89">
        <f t="shared" si="25"/>
        <v>5639.87</v>
      </c>
      <c r="AF110" s="90">
        <v>6.5000000000000002E-2</v>
      </c>
      <c r="AG110" s="4">
        <f t="shared" si="21"/>
        <v>366.59154999999998</v>
      </c>
      <c r="AH110" s="49">
        <f t="shared" si="26"/>
        <v>32.986800000000002</v>
      </c>
      <c r="AI110" s="89">
        <f t="shared" si="27"/>
        <v>5273.2784499999998</v>
      </c>
      <c r="AJ110" s="91">
        <v>0.18</v>
      </c>
      <c r="AK110" s="5">
        <f t="shared" si="28"/>
        <v>949.19012099999998</v>
      </c>
      <c r="AL110" s="89">
        <f t="shared" si="29"/>
        <v>6222.4685709999994</v>
      </c>
      <c r="AP110" s="92"/>
    </row>
    <row r="111" spans="1:42" hidden="1" x14ac:dyDescent="0.35">
      <c r="A111" s="85">
        <v>46206</v>
      </c>
      <c r="B111" s="51" t="s">
        <v>85</v>
      </c>
      <c r="C111" s="97">
        <v>46556504.464285702</v>
      </c>
      <c r="D111" s="97">
        <v>66482.8</v>
      </c>
      <c r="E111" s="48" t="s">
        <v>86</v>
      </c>
      <c r="F111" s="86" t="s">
        <v>108</v>
      </c>
      <c r="G111" s="86" t="s">
        <v>203</v>
      </c>
      <c r="H111" s="95" t="s">
        <v>176</v>
      </c>
      <c r="I111" s="48" t="s">
        <v>208</v>
      </c>
      <c r="J111" s="52">
        <v>40</v>
      </c>
      <c r="K111" s="105"/>
      <c r="L111" s="105"/>
      <c r="M111" s="86"/>
      <c r="N111" s="104">
        <f t="shared" si="23"/>
        <v>0</v>
      </c>
      <c r="O111" s="86"/>
      <c r="P111" s="86"/>
      <c r="Q111" s="86"/>
      <c r="R111" s="104">
        <f t="shared" si="22"/>
        <v>0</v>
      </c>
      <c r="S111" s="86">
        <f t="shared" si="24"/>
        <v>40</v>
      </c>
      <c r="T111" s="87"/>
      <c r="U111" s="87"/>
      <c r="V111" s="87"/>
      <c r="W111" s="88"/>
      <c r="X111" s="87"/>
      <c r="Y111" s="87"/>
      <c r="Z111" s="87"/>
      <c r="AA111" s="88"/>
      <c r="AB111" s="88">
        <v>39.270000000000003</v>
      </c>
      <c r="AC111" s="88">
        <v>52.462499999999999</v>
      </c>
      <c r="AD111" s="88">
        <v>72.64</v>
      </c>
      <c r="AE111" s="89">
        <f t="shared" si="25"/>
        <v>4476.3999999999996</v>
      </c>
      <c r="AF111" s="90">
        <v>6.5000000000000002E-2</v>
      </c>
      <c r="AG111" s="4">
        <f t="shared" si="21"/>
        <v>290.96600000000001</v>
      </c>
      <c r="AH111" s="49">
        <f t="shared" si="26"/>
        <v>54.978000000000009</v>
      </c>
      <c r="AI111" s="89">
        <f t="shared" si="27"/>
        <v>4185.4339999999993</v>
      </c>
      <c r="AJ111" s="91">
        <v>0.18</v>
      </c>
      <c r="AK111" s="5">
        <f t="shared" si="28"/>
        <v>753.37811999999985</v>
      </c>
      <c r="AL111" s="89">
        <f t="shared" si="29"/>
        <v>4938.8121199999987</v>
      </c>
      <c r="AP111" s="92"/>
    </row>
    <row r="112" spans="1:42" hidden="1" x14ac:dyDescent="0.35">
      <c r="A112" s="85">
        <v>46206</v>
      </c>
      <c r="B112" s="51" t="s">
        <v>85</v>
      </c>
      <c r="C112" s="97">
        <v>47026423.535714298</v>
      </c>
      <c r="D112" s="97">
        <v>67148.5</v>
      </c>
      <c r="E112" s="48" t="s">
        <v>86</v>
      </c>
      <c r="F112" s="86" t="s">
        <v>108</v>
      </c>
      <c r="G112" s="86" t="s">
        <v>204</v>
      </c>
      <c r="H112" s="95" t="s">
        <v>176</v>
      </c>
      <c r="I112" s="48" t="s">
        <v>208</v>
      </c>
      <c r="J112" s="52"/>
      <c r="K112" s="86">
        <v>10</v>
      </c>
      <c r="L112" s="86">
        <v>5</v>
      </c>
      <c r="M112" s="86"/>
      <c r="N112" s="104">
        <f t="shared" si="23"/>
        <v>15</v>
      </c>
      <c r="O112" s="86"/>
      <c r="P112" s="86">
        <v>10</v>
      </c>
      <c r="Q112" s="86">
        <v>10</v>
      </c>
      <c r="R112" s="104">
        <f t="shared" si="22"/>
        <v>20</v>
      </c>
      <c r="S112" s="86">
        <f t="shared" si="24"/>
        <v>35</v>
      </c>
      <c r="T112" s="87"/>
      <c r="U112" s="87"/>
      <c r="V112" s="87"/>
      <c r="W112" s="88"/>
      <c r="X112" s="87"/>
      <c r="Y112" s="87"/>
      <c r="Z112" s="87"/>
      <c r="AA112" s="88"/>
      <c r="AB112" s="88">
        <v>39.270000000000003</v>
      </c>
      <c r="AC112" s="88">
        <v>52.462499999999999</v>
      </c>
      <c r="AD112" s="88">
        <v>72.64</v>
      </c>
      <c r="AE112" s="89">
        <f t="shared" si="25"/>
        <v>3329.3375000000001</v>
      </c>
      <c r="AF112" s="90">
        <v>6.5000000000000002E-2</v>
      </c>
      <c r="AG112" s="4">
        <f t="shared" si="21"/>
        <v>216.40693750000003</v>
      </c>
      <c r="AH112" s="49">
        <f t="shared" si="26"/>
        <v>0</v>
      </c>
      <c r="AI112" s="89">
        <f t="shared" si="27"/>
        <v>3112.9305625000002</v>
      </c>
      <c r="AJ112" s="91">
        <v>0.18</v>
      </c>
      <c r="AK112" s="5">
        <f t="shared" si="28"/>
        <v>560.32750124999995</v>
      </c>
      <c r="AL112" s="89">
        <f t="shared" si="29"/>
        <v>3673.25806375</v>
      </c>
      <c r="AP112" s="92"/>
    </row>
    <row r="113" spans="1:42" hidden="1" x14ac:dyDescent="0.35">
      <c r="A113" s="85">
        <v>46206</v>
      </c>
      <c r="B113" s="51" t="s">
        <v>85</v>
      </c>
      <c r="C113" s="97">
        <v>47496342.607142799</v>
      </c>
      <c r="D113" s="97">
        <v>67814.2</v>
      </c>
      <c r="E113" s="48" t="s">
        <v>86</v>
      </c>
      <c r="F113" s="86" t="s">
        <v>108</v>
      </c>
      <c r="G113" s="95" t="s">
        <v>205</v>
      </c>
      <c r="H113" s="95" t="s">
        <v>176</v>
      </c>
      <c r="I113" s="48" t="s">
        <v>208</v>
      </c>
      <c r="J113" s="52"/>
      <c r="K113" s="95"/>
      <c r="L113" s="95"/>
      <c r="M113" s="95"/>
      <c r="N113" s="104">
        <f t="shared" si="23"/>
        <v>0</v>
      </c>
      <c r="O113" s="95">
        <v>12</v>
      </c>
      <c r="P113" s="95">
        <v>18</v>
      </c>
      <c r="Q113" s="95">
        <v>12</v>
      </c>
      <c r="R113" s="104">
        <f t="shared" si="22"/>
        <v>42</v>
      </c>
      <c r="S113" s="86">
        <f t="shared" si="24"/>
        <v>42</v>
      </c>
      <c r="T113" s="87"/>
      <c r="U113" s="87"/>
      <c r="V113" s="87"/>
      <c r="W113" s="88"/>
      <c r="X113" s="87"/>
      <c r="Y113" s="87"/>
      <c r="Z113" s="87"/>
      <c r="AA113" s="88"/>
      <c r="AB113" s="88">
        <v>39.270000000000003</v>
      </c>
      <c r="AC113" s="88">
        <v>52.462499999999999</v>
      </c>
      <c r="AD113" s="88">
        <v>72.64</v>
      </c>
      <c r="AE113" s="89">
        <f t="shared" si="25"/>
        <v>3050.88</v>
      </c>
      <c r="AF113" s="90">
        <v>6.5000000000000002E-2</v>
      </c>
      <c r="AG113" s="4">
        <f t="shared" si="21"/>
        <v>198.30720000000002</v>
      </c>
      <c r="AH113" s="49">
        <f t="shared" si="26"/>
        <v>0</v>
      </c>
      <c r="AI113" s="89">
        <f t="shared" si="27"/>
        <v>2852.5727999999999</v>
      </c>
      <c r="AJ113" s="91">
        <v>0.18</v>
      </c>
      <c r="AK113" s="5">
        <f t="shared" si="28"/>
        <v>513.46310399999993</v>
      </c>
      <c r="AL113" s="89">
        <f t="shared" si="29"/>
        <v>3366.0359039999998</v>
      </c>
      <c r="AP113" s="92"/>
    </row>
    <row r="114" spans="1:42" hidden="1" x14ac:dyDescent="0.35">
      <c r="A114" s="85">
        <v>46206</v>
      </c>
      <c r="B114" s="51" t="s">
        <v>85</v>
      </c>
      <c r="C114" s="97">
        <v>47966261.678571403</v>
      </c>
      <c r="D114" s="97">
        <v>68479.899999999994</v>
      </c>
      <c r="E114" s="48" t="s">
        <v>86</v>
      </c>
      <c r="F114" s="86" t="s">
        <v>108</v>
      </c>
      <c r="G114" s="86" t="s">
        <v>203</v>
      </c>
      <c r="H114" s="95" t="s">
        <v>176</v>
      </c>
      <c r="I114" s="48" t="s">
        <v>208</v>
      </c>
      <c r="J114" s="52"/>
      <c r="K114" s="105">
        <v>12</v>
      </c>
      <c r="L114" s="105">
        <v>12</v>
      </c>
      <c r="M114" s="105"/>
      <c r="N114" s="104">
        <f t="shared" si="23"/>
        <v>24</v>
      </c>
      <c r="O114" s="86"/>
      <c r="P114" s="86"/>
      <c r="Q114" s="86"/>
      <c r="R114" s="104">
        <f t="shared" si="22"/>
        <v>0</v>
      </c>
      <c r="S114" s="86">
        <f t="shared" si="24"/>
        <v>24</v>
      </c>
      <c r="T114" s="87"/>
      <c r="U114" s="87"/>
      <c r="V114" s="87"/>
      <c r="W114" s="88"/>
      <c r="X114" s="87"/>
      <c r="Y114" s="87"/>
      <c r="Z114" s="87"/>
      <c r="AA114" s="88"/>
      <c r="AB114" s="88">
        <v>39.270000000000003</v>
      </c>
      <c r="AC114" s="88">
        <v>52.462499999999999</v>
      </c>
      <c r="AD114" s="88">
        <v>72.64</v>
      </c>
      <c r="AE114" s="89">
        <f t="shared" ref="AE114" si="72">(J114*AB114)+(N114*AC114)+(AD114*S114)</f>
        <v>3002.46</v>
      </c>
      <c r="AF114" s="90">
        <v>6.5000000000000002E-2</v>
      </c>
      <c r="AG114" s="4">
        <f t="shared" ref="AG114" si="73">AE114*AF114</f>
        <v>195.15990000000002</v>
      </c>
      <c r="AH114" s="49">
        <f t="shared" ref="AH114" si="74">(AB114*J114)*$AH$1</f>
        <v>0</v>
      </c>
      <c r="AI114" s="89">
        <f t="shared" ref="AI114" si="75">AE114-AG114</f>
        <v>2807.3000999999999</v>
      </c>
      <c r="AJ114" s="91">
        <v>0.18</v>
      </c>
      <c r="AK114" s="5">
        <f t="shared" ref="AK114" si="76">AI114*AJ114</f>
        <v>505.31401799999998</v>
      </c>
      <c r="AL114" s="89">
        <f t="shared" ref="AL114" si="77">AI114+AK114</f>
        <v>3312.614118</v>
      </c>
      <c r="AP114" s="92"/>
    </row>
    <row r="115" spans="1:42" hidden="1" x14ac:dyDescent="0.35">
      <c r="A115" s="85">
        <v>46206</v>
      </c>
      <c r="B115" s="51" t="s">
        <v>85</v>
      </c>
      <c r="C115" s="97">
        <v>48436180.75</v>
      </c>
      <c r="D115" s="97">
        <v>69145.600000000006</v>
      </c>
      <c r="E115" s="48" t="s">
        <v>86</v>
      </c>
      <c r="F115" s="86" t="s">
        <v>108</v>
      </c>
      <c r="G115" s="86" t="s">
        <v>206</v>
      </c>
      <c r="H115" s="95" t="s">
        <v>176</v>
      </c>
      <c r="I115" s="48" t="s">
        <v>208</v>
      </c>
      <c r="J115" s="52"/>
      <c r="K115" s="86">
        <v>40</v>
      </c>
      <c r="L115" s="86">
        <v>40</v>
      </c>
      <c r="M115" s="86"/>
      <c r="N115" s="104">
        <f t="shared" si="23"/>
        <v>80</v>
      </c>
      <c r="O115" s="86"/>
      <c r="P115" s="86">
        <v>40</v>
      </c>
      <c r="Q115" s="86"/>
      <c r="R115" s="104">
        <f t="shared" si="22"/>
        <v>40</v>
      </c>
      <c r="S115" s="86">
        <f t="shared" si="24"/>
        <v>120</v>
      </c>
      <c r="T115" s="87"/>
      <c r="U115" s="87"/>
      <c r="V115" s="87"/>
      <c r="W115" s="88"/>
      <c r="X115" s="87"/>
      <c r="Y115" s="87"/>
      <c r="Z115" s="87"/>
      <c r="AA115" s="88"/>
      <c r="AB115" s="88">
        <v>39.270000000000003</v>
      </c>
      <c r="AC115" s="88">
        <v>52.462499999999999</v>
      </c>
      <c r="AD115" s="88">
        <v>72.64</v>
      </c>
      <c r="AE115" s="89">
        <f t="shared" si="25"/>
        <v>12913.8</v>
      </c>
      <c r="AF115" s="90">
        <v>6.5000000000000002E-2</v>
      </c>
      <c r="AG115" s="4">
        <f t="shared" si="21"/>
        <v>839.39699999999993</v>
      </c>
      <c r="AH115" s="49">
        <f t="shared" si="26"/>
        <v>0</v>
      </c>
      <c r="AI115" s="89">
        <f t="shared" si="27"/>
        <v>12074.402999999998</v>
      </c>
      <c r="AJ115" s="91">
        <v>0.18</v>
      </c>
      <c r="AK115" s="5">
        <f t="shared" si="28"/>
        <v>2173.3925399999998</v>
      </c>
      <c r="AL115" s="89">
        <f t="shared" si="29"/>
        <v>14247.795539999999</v>
      </c>
      <c r="AP115" s="92"/>
    </row>
    <row r="116" spans="1:42" hidden="1" x14ac:dyDescent="0.35">
      <c r="A116" s="85">
        <v>46206</v>
      </c>
      <c r="B116" s="51" t="s">
        <v>85</v>
      </c>
      <c r="C116" s="97">
        <v>48906099.821428597</v>
      </c>
      <c r="D116" s="97">
        <v>69811.3</v>
      </c>
      <c r="E116" s="48" t="s">
        <v>86</v>
      </c>
      <c r="F116" s="86" t="s">
        <v>108</v>
      </c>
      <c r="G116" s="86" t="s">
        <v>207</v>
      </c>
      <c r="H116" s="95" t="s">
        <v>176</v>
      </c>
      <c r="I116" s="48" t="s">
        <v>208</v>
      </c>
      <c r="J116" s="52">
        <v>40</v>
      </c>
      <c r="K116" s="86"/>
      <c r="L116" s="105"/>
      <c r="M116" s="86"/>
      <c r="N116" s="104">
        <f t="shared" si="23"/>
        <v>0</v>
      </c>
      <c r="O116" s="105">
        <v>15</v>
      </c>
      <c r="P116" s="105">
        <v>10</v>
      </c>
      <c r="Q116" s="105">
        <v>15</v>
      </c>
      <c r="R116" s="104">
        <f t="shared" si="22"/>
        <v>40</v>
      </c>
      <c r="S116" s="86">
        <f t="shared" si="24"/>
        <v>80</v>
      </c>
      <c r="T116" s="87"/>
      <c r="U116" s="87"/>
      <c r="V116" s="87"/>
      <c r="W116" s="88"/>
      <c r="X116" s="87"/>
      <c r="Y116" s="87"/>
      <c r="Z116" s="87"/>
      <c r="AA116" s="88"/>
      <c r="AB116" s="88">
        <v>39.270000000000003</v>
      </c>
      <c r="AC116" s="88">
        <v>52.462499999999999</v>
      </c>
      <c r="AD116" s="88">
        <v>72.64</v>
      </c>
      <c r="AE116" s="89">
        <f t="shared" si="25"/>
        <v>7382</v>
      </c>
      <c r="AF116" s="90">
        <v>6.5000000000000002E-2</v>
      </c>
      <c r="AG116" s="4">
        <f t="shared" si="21"/>
        <v>479.83000000000004</v>
      </c>
      <c r="AH116" s="49">
        <f t="shared" si="26"/>
        <v>54.978000000000009</v>
      </c>
      <c r="AI116" s="89">
        <f t="shared" si="27"/>
        <v>6902.17</v>
      </c>
      <c r="AJ116" s="91">
        <v>0.18</v>
      </c>
      <c r="AK116" s="5">
        <f t="shared" si="28"/>
        <v>1242.3905999999999</v>
      </c>
      <c r="AL116" s="89">
        <f t="shared" si="29"/>
        <v>8144.5605999999998</v>
      </c>
      <c r="AP116" s="92"/>
    </row>
    <row r="117" spans="1:42" hidden="1" x14ac:dyDescent="0.35">
      <c r="A117" s="85">
        <v>46207</v>
      </c>
      <c r="B117" s="51" t="s">
        <v>85</v>
      </c>
      <c r="C117" s="97">
        <v>48906099.821428597</v>
      </c>
      <c r="D117" s="97">
        <v>69811.3</v>
      </c>
      <c r="E117" s="48" t="s">
        <v>86</v>
      </c>
      <c r="F117" s="95" t="s">
        <v>367</v>
      </c>
      <c r="G117" s="95" t="s">
        <v>420</v>
      </c>
      <c r="H117" s="95" t="s">
        <v>421</v>
      </c>
      <c r="I117" s="52" t="s">
        <v>247</v>
      </c>
      <c r="J117" s="52">
        <v>2000</v>
      </c>
      <c r="K117" s="95">
        <v>1200</v>
      </c>
      <c r="L117" s="106">
        <v>800</v>
      </c>
      <c r="M117" s="95"/>
      <c r="N117" s="104">
        <f t="shared" si="23"/>
        <v>2000</v>
      </c>
      <c r="O117" s="106">
        <v>2800</v>
      </c>
      <c r="P117" s="106">
        <v>2400</v>
      </c>
      <c r="Q117" s="106">
        <v>2800</v>
      </c>
      <c r="R117" s="104">
        <f t="shared" si="22"/>
        <v>8000</v>
      </c>
      <c r="S117" s="86">
        <f>R117+N117+J117</f>
        <v>12000</v>
      </c>
      <c r="T117" s="110"/>
      <c r="U117" s="110"/>
      <c r="V117" s="110"/>
      <c r="W117" s="111"/>
      <c r="X117" s="110"/>
      <c r="Y117" s="110"/>
      <c r="Z117" s="110"/>
      <c r="AA117" s="111"/>
      <c r="AB117" s="111"/>
      <c r="AC117" s="111"/>
      <c r="AD117" s="111"/>
      <c r="AE117" s="112"/>
      <c r="AF117" s="113"/>
      <c r="AG117" s="49"/>
      <c r="AH117" s="49"/>
      <c r="AI117" s="112"/>
      <c r="AJ117" s="91"/>
      <c r="AK117" s="114"/>
      <c r="AL117" s="112"/>
      <c r="AP117" s="115"/>
    </row>
    <row r="118" spans="1:42" hidden="1" x14ac:dyDescent="0.35">
      <c r="A118" s="85">
        <v>46207</v>
      </c>
      <c r="B118" s="51" t="s">
        <v>85</v>
      </c>
      <c r="C118" s="97">
        <v>49376018.892857097</v>
      </c>
      <c r="D118" s="97">
        <v>70477</v>
      </c>
      <c r="E118" s="48" t="s">
        <v>86</v>
      </c>
      <c r="F118" s="86" t="s">
        <v>109</v>
      </c>
      <c r="G118" s="86" t="s">
        <v>209</v>
      </c>
      <c r="H118" s="86" t="s">
        <v>127</v>
      </c>
      <c r="I118" s="48" t="s">
        <v>218</v>
      </c>
      <c r="J118" s="52">
        <v>120</v>
      </c>
      <c r="K118" s="105">
        <v>40</v>
      </c>
      <c r="L118" s="86">
        <v>20</v>
      </c>
      <c r="M118" s="105"/>
      <c r="N118" s="104">
        <f t="shared" si="23"/>
        <v>60</v>
      </c>
      <c r="O118" s="105"/>
      <c r="P118" s="105"/>
      <c r="Q118" s="105"/>
      <c r="R118" s="104">
        <f t="shared" si="22"/>
        <v>0</v>
      </c>
      <c r="S118" s="86">
        <f t="shared" si="24"/>
        <v>180</v>
      </c>
      <c r="T118" s="87"/>
      <c r="U118" s="87"/>
      <c r="V118" s="87"/>
      <c r="W118" s="88"/>
      <c r="X118" s="87"/>
      <c r="Y118" s="87"/>
      <c r="Z118" s="87"/>
      <c r="AA118" s="88"/>
      <c r="AB118" s="88">
        <v>39.270000000000003</v>
      </c>
      <c r="AC118" s="88">
        <v>52.462499999999999</v>
      </c>
      <c r="AD118" s="88">
        <v>72.64</v>
      </c>
      <c r="AE118" s="89">
        <f t="shared" si="25"/>
        <v>20935.350000000002</v>
      </c>
      <c r="AF118" s="90">
        <v>6.5000000000000002E-2</v>
      </c>
      <c r="AG118" s="4">
        <f t="shared" si="21"/>
        <v>1360.7977500000002</v>
      </c>
      <c r="AH118" s="49">
        <f t="shared" si="26"/>
        <v>164.93400000000003</v>
      </c>
      <c r="AI118" s="89">
        <f t="shared" si="27"/>
        <v>19574.552250000001</v>
      </c>
      <c r="AJ118" s="91">
        <v>0.18</v>
      </c>
      <c r="AK118" s="5">
        <f t="shared" si="28"/>
        <v>3523.4194050000001</v>
      </c>
      <c r="AL118" s="89">
        <f t="shared" si="29"/>
        <v>23097.971655000001</v>
      </c>
      <c r="AP118" s="92"/>
    </row>
    <row r="119" spans="1:42" hidden="1" x14ac:dyDescent="0.35">
      <c r="A119" s="85">
        <v>46207</v>
      </c>
      <c r="B119" s="51" t="s">
        <v>85</v>
      </c>
      <c r="C119" s="97">
        <v>49845937.964285702</v>
      </c>
      <c r="D119" s="97">
        <v>71142.7</v>
      </c>
      <c r="E119" s="48" t="s">
        <v>86</v>
      </c>
      <c r="F119" s="86" t="s">
        <v>108</v>
      </c>
      <c r="G119" s="86" t="s">
        <v>210</v>
      </c>
      <c r="H119" s="86" t="s">
        <v>127</v>
      </c>
      <c r="I119" s="48" t="s">
        <v>218</v>
      </c>
      <c r="J119" s="52">
        <v>120</v>
      </c>
      <c r="K119" s="105"/>
      <c r="L119" s="105"/>
      <c r="M119" s="105"/>
      <c r="N119" s="104">
        <f t="shared" si="23"/>
        <v>0</v>
      </c>
      <c r="O119" s="86">
        <v>20</v>
      </c>
      <c r="P119" s="86">
        <v>6</v>
      </c>
      <c r="Q119" s="86">
        <v>8</v>
      </c>
      <c r="R119" s="104">
        <f t="shared" si="22"/>
        <v>34</v>
      </c>
      <c r="S119" s="86">
        <f t="shared" si="24"/>
        <v>154</v>
      </c>
      <c r="T119" s="87"/>
      <c r="U119" s="87"/>
      <c r="V119" s="87"/>
      <c r="W119" s="88"/>
      <c r="X119" s="87"/>
      <c r="Y119" s="87"/>
      <c r="Z119" s="87"/>
      <c r="AA119" s="88"/>
      <c r="AB119" s="88">
        <v>39.270000000000003</v>
      </c>
      <c r="AC119" s="88">
        <v>52.462499999999999</v>
      </c>
      <c r="AD119" s="88">
        <v>72.64</v>
      </c>
      <c r="AE119" s="89">
        <f t="shared" si="25"/>
        <v>15898.96</v>
      </c>
      <c r="AF119" s="90">
        <v>6.5000000000000002E-2</v>
      </c>
      <c r="AG119" s="4">
        <f t="shared" si="21"/>
        <v>1033.4323999999999</v>
      </c>
      <c r="AH119" s="49">
        <f t="shared" si="26"/>
        <v>164.93400000000003</v>
      </c>
      <c r="AI119" s="89">
        <f t="shared" si="27"/>
        <v>14865.527599999999</v>
      </c>
      <c r="AJ119" s="91">
        <v>0.18</v>
      </c>
      <c r="AK119" s="5">
        <f t="shared" si="28"/>
        <v>2675.7949679999997</v>
      </c>
      <c r="AL119" s="89">
        <f t="shared" si="29"/>
        <v>17541.322568</v>
      </c>
      <c r="AP119" s="92"/>
    </row>
    <row r="120" spans="1:42" hidden="1" x14ac:dyDescent="0.35">
      <c r="A120" s="85">
        <v>46207</v>
      </c>
      <c r="B120" s="51" t="s">
        <v>85</v>
      </c>
      <c r="C120" s="97">
        <v>50315857.035714298</v>
      </c>
      <c r="D120" s="97">
        <v>71808.399999999994</v>
      </c>
      <c r="E120" s="48" t="s">
        <v>86</v>
      </c>
      <c r="F120" s="86" t="s">
        <v>108</v>
      </c>
      <c r="G120" s="86" t="s">
        <v>211</v>
      </c>
      <c r="H120" s="86" t="s">
        <v>127</v>
      </c>
      <c r="I120" s="48" t="s">
        <v>218</v>
      </c>
      <c r="J120" s="52">
        <v>80</v>
      </c>
      <c r="K120" s="86"/>
      <c r="L120" s="86"/>
      <c r="M120" s="86"/>
      <c r="N120" s="104">
        <f t="shared" si="23"/>
        <v>0</v>
      </c>
      <c r="O120" s="86">
        <v>120</v>
      </c>
      <c r="P120" s="86">
        <v>80</v>
      </c>
      <c r="Q120" s="86">
        <v>80</v>
      </c>
      <c r="R120" s="104">
        <f t="shared" si="22"/>
        <v>280</v>
      </c>
      <c r="S120" s="86">
        <f t="shared" si="24"/>
        <v>360</v>
      </c>
      <c r="T120" s="87"/>
      <c r="U120" s="87"/>
      <c r="V120" s="87"/>
      <c r="W120" s="88"/>
      <c r="X120" s="87"/>
      <c r="Y120" s="87"/>
      <c r="Z120" s="87"/>
      <c r="AA120" s="88"/>
      <c r="AB120" s="88">
        <v>39.270000000000003</v>
      </c>
      <c r="AC120" s="88">
        <v>52.462499999999999</v>
      </c>
      <c r="AD120" s="88">
        <v>72.64</v>
      </c>
      <c r="AE120" s="89">
        <f t="shared" si="25"/>
        <v>29292</v>
      </c>
      <c r="AF120" s="90">
        <v>6.5000000000000002E-2</v>
      </c>
      <c r="AG120" s="4">
        <f t="shared" si="21"/>
        <v>1903.98</v>
      </c>
      <c r="AH120" s="49">
        <f t="shared" si="26"/>
        <v>109.95600000000002</v>
      </c>
      <c r="AI120" s="89">
        <f t="shared" si="27"/>
        <v>27388.02</v>
      </c>
      <c r="AJ120" s="91">
        <v>0.18</v>
      </c>
      <c r="AK120" s="5">
        <f t="shared" si="28"/>
        <v>4929.8436000000002</v>
      </c>
      <c r="AL120" s="89">
        <f t="shared" si="29"/>
        <v>32317.863600000001</v>
      </c>
      <c r="AP120" s="92"/>
    </row>
    <row r="121" spans="1:42" hidden="1" x14ac:dyDescent="0.35">
      <c r="A121" s="85">
        <v>46207</v>
      </c>
      <c r="B121" s="51" t="s">
        <v>85</v>
      </c>
      <c r="C121" s="97">
        <v>50785776.107142903</v>
      </c>
      <c r="D121" s="97">
        <v>72474.100000000006</v>
      </c>
      <c r="E121" s="48" t="s">
        <v>86</v>
      </c>
      <c r="F121" s="86" t="s">
        <v>108</v>
      </c>
      <c r="G121" s="86" t="s">
        <v>212</v>
      </c>
      <c r="H121" s="86" t="s">
        <v>127</v>
      </c>
      <c r="I121" s="48" t="s">
        <v>218</v>
      </c>
      <c r="J121" s="52">
        <v>40</v>
      </c>
      <c r="K121" s="86">
        <v>35</v>
      </c>
      <c r="L121" s="86">
        <v>15</v>
      </c>
      <c r="M121" s="86"/>
      <c r="N121" s="104">
        <f t="shared" si="23"/>
        <v>50</v>
      </c>
      <c r="O121" s="86"/>
      <c r="P121" s="86"/>
      <c r="Q121" s="86"/>
      <c r="R121" s="104">
        <f t="shared" si="22"/>
        <v>0</v>
      </c>
      <c r="S121" s="86">
        <f t="shared" si="24"/>
        <v>90</v>
      </c>
      <c r="T121" s="87"/>
      <c r="U121" s="87"/>
      <c r="V121" s="87"/>
      <c r="W121" s="88"/>
      <c r="X121" s="87"/>
      <c r="Y121" s="87"/>
      <c r="Z121" s="87"/>
      <c r="AA121" s="88"/>
      <c r="AB121" s="88">
        <v>39.270000000000003</v>
      </c>
      <c r="AC121" s="88">
        <v>52.462499999999999</v>
      </c>
      <c r="AD121" s="88">
        <v>72.64</v>
      </c>
      <c r="AE121" s="89">
        <f t="shared" si="25"/>
        <v>10731.525000000001</v>
      </c>
      <c r="AF121" s="90">
        <v>6.5000000000000002E-2</v>
      </c>
      <c r="AG121" s="4">
        <f t="shared" si="21"/>
        <v>697.54912500000012</v>
      </c>
      <c r="AH121" s="49">
        <f t="shared" si="26"/>
        <v>54.978000000000009</v>
      </c>
      <c r="AI121" s="89">
        <f t="shared" si="27"/>
        <v>10033.975875000002</v>
      </c>
      <c r="AJ121" s="91">
        <v>0.18</v>
      </c>
      <c r="AK121" s="5">
        <f t="shared" si="28"/>
        <v>1806.1156575000002</v>
      </c>
      <c r="AL121" s="89">
        <f t="shared" si="29"/>
        <v>11840.091532500002</v>
      </c>
      <c r="AP121" s="92"/>
    </row>
    <row r="122" spans="1:42" hidden="1" x14ac:dyDescent="0.35">
      <c r="A122" s="85">
        <v>46207</v>
      </c>
      <c r="B122" s="51" t="s">
        <v>85</v>
      </c>
      <c r="C122" s="97">
        <v>51255695.178571403</v>
      </c>
      <c r="D122" s="97">
        <v>73139.8</v>
      </c>
      <c r="E122" s="48" t="s">
        <v>86</v>
      </c>
      <c r="F122" s="86" t="s">
        <v>108</v>
      </c>
      <c r="G122" s="86" t="s">
        <v>213</v>
      </c>
      <c r="H122" s="86" t="s">
        <v>127</v>
      </c>
      <c r="I122" s="48" t="s">
        <v>218</v>
      </c>
      <c r="J122" s="52">
        <v>200</v>
      </c>
      <c r="K122" s="86"/>
      <c r="L122" s="86"/>
      <c r="M122" s="86"/>
      <c r="N122" s="104">
        <f t="shared" si="23"/>
        <v>0</v>
      </c>
      <c r="O122" s="86">
        <v>12</v>
      </c>
      <c r="P122" s="86">
        <v>40</v>
      </c>
      <c r="Q122" s="86">
        <v>40</v>
      </c>
      <c r="R122" s="104">
        <f t="shared" si="22"/>
        <v>92</v>
      </c>
      <c r="S122" s="86">
        <f t="shared" si="24"/>
        <v>292</v>
      </c>
      <c r="T122" s="87"/>
      <c r="U122" s="87"/>
      <c r="V122" s="87"/>
      <c r="W122" s="88"/>
      <c r="X122" s="87"/>
      <c r="Y122" s="87"/>
      <c r="Z122" s="87"/>
      <c r="AA122" s="88"/>
      <c r="AB122" s="88">
        <v>39.270000000000003</v>
      </c>
      <c r="AC122" s="88">
        <v>52.462499999999999</v>
      </c>
      <c r="AD122" s="88">
        <v>72.64</v>
      </c>
      <c r="AE122" s="89">
        <f t="shared" si="25"/>
        <v>29064.880000000001</v>
      </c>
      <c r="AF122" s="90">
        <v>6.5000000000000002E-2</v>
      </c>
      <c r="AG122" s="4">
        <f t="shared" si="21"/>
        <v>1889.2172</v>
      </c>
      <c r="AH122" s="49">
        <f t="shared" si="26"/>
        <v>274.89000000000004</v>
      </c>
      <c r="AI122" s="89">
        <f t="shared" si="27"/>
        <v>27175.662800000002</v>
      </c>
      <c r="AJ122" s="91">
        <v>0.18</v>
      </c>
      <c r="AK122" s="5">
        <f t="shared" si="28"/>
        <v>4891.6193039999998</v>
      </c>
      <c r="AL122" s="89">
        <f t="shared" si="29"/>
        <v>32067.282104000002</v>
      </c>
      <c r="AP122" s="92"/>
    </row>
    <row r="123" spans="1:42" hidden="1" x14ac:dyDescent="0.35">
      <c r="A123" s="85">
        <v>46207</v>
      </c>
      <c r="B123" s="51" t="s">
        <v>85</v>
      </c>
      <c r="C123" s="97">
        <v>51725614.25</v>
      </c>
      <c r="D123" s="97">
        <v>73805.5</v>
      </c>
      <c r="E123" s="48" t="s">
        <v>86</v>
      </c>
      <c r="F123" s="86" t="s">
        <v>109</v>
      </c>
      <c r="G123" s="86" t="s">
        <v>214</v>
      </c>
      <c r="H123" s="86" t="s">
        <v>127</v>
      </c>
      <c r="I123" s="48" t="s">
        <v>218</v>
      </c>
      <c r="J123" s="52">
        <v>114</v>
      </c>
      <c r="K123" s="105">
        <v>40</v>
      </c>
      <c r="L123" s="105">
        <v>40</v>
      </c>
      <c r="M123" s="105"/>
      <c r="N123" s="104">
        <f t="shared" si="23"/>
        <v>80</v>
      </c>
      <c r="O123" s="86">
        <v>100</v>
      </c>
      <c r="P123" s="86">
        <v>120</v>
      </c>
      <c r="Q123" s="105">
        <v>80</v>
      </c>
      <c r="R123" s="104">
        <f t="shared" si="22"/>
        <v>300</v>
      </c>
      <c r="S123" s="86">
        <f t="shared" si="24"/>
        <v>494</v>
      </c>
      <c r="T123" s="87"/>
      <c r="U123" s="87"/>
      <c r="V123" s="87"/>
      <c r="W123" s="88"/>
      <c r="X123" s="87"/>
      <c r="Y123" s="87"/>
      <c r="Z123" s="87"/>
      <c r="AA123" s="88"/>
      <c r="AB123" s="88">
        <v>39.270000000000003</v>
      </c>
      <c r="AC123" s="88">
        <v>52.462499999999999</v>
      </c>
      <c r="AD123" s="88">
        <v>72.64</v>
      </c>
      <c r="AE123" s="89">
        <f t="shared" si="25"/>
        <v>44557.94</v>
      </c>
      <c r="AF123" s="90">
        <v>6.5000000000000002E-2</v>
      </c>
      <c r="AG123" s="4">
        <f t="shared" si="21"/>
        <v>2896.2661000000003</v>
      </c>
      <c r="AH123" s="49">
        <f t="shared" si="26"/>
        <v>156.68730000000005</v>
      </c>
      <c r="AI123" s="89">
        <f t="shared" si="27"/>
        <v>41661.673900000002</v>
      </c>
      <c r="AJ123" s="91">
        <v>0.18</v>
      </c>
      <c r="AK123" s="5">
        <f t="shared" si="28"/>
        <v>7499.101302</v>
      </c>
      <c r="AL123" s="89">
        <f t="shared" si="29"/>
        <v>49160.775202000004</v>
      </c>
      <c r="AP123" s="92"/>
    </row>
    <row r="124" spans="1:42" hidden="1" x14ac:dyDescent="0.35">
      <c r="A124" s="85">
        <v>46207</v>
      </c>
      <c r="B124" s="51" t="s">
        <v>85</v>
      </c>
      <c r="C124" s="97">
        <v>52195533.321428597</v>
      </c>
      <c r="D124" s="97">
        <v>74471.199999999997</v>
      </c>
      <c r="E124" s="48" t="s">
        <v>86</v>
      </c>
      <c r="F124" s="86" t="s">
        <v>108</v>
      </c>
      <c r="G124" s="86" t="s">
        <v>215</v>
      </c>
      <c r="H124" s="86" t="s">
        <v>127</v>
      </c>
      <c r="I124" s="48" t="s">
        <v>218</v>
      </c>
      <c r="J124" s="52"/>
      <c r="K124" s="86"/>
      <c r="L124" s="86"/>
      <c r="M124" s="86"/>
      <c r="N124" s="104">
        <f t="shared" si="23"/>
        <v>0</v>
      </c>
      <c r="O124" s="86">
        <v>30</v>
      </c>
      <c r="P124" s="86">
        <v>37</v>
      </c>
      <c r="Q124" s="86">
        <v>40</v>
      </c>
      <c r="R124" s="104">
        <f t="shared" si="22"/>
        <v>107</v>
      </c>
      <c r="S124" s="86">
        <f t="shared" si="24"/>
        <v>107</v>
      </c>
      <c r="T124" s="87"/>
      <c r="U124" s="87"/>
      <c r="V124" s="87"/>
      <c r="W124" s="88"/>
      <c r="X124" s="87"/>
      <c r="Y124" s="87"/>
      <c r="Z124" s="87"/>
      <c r="AA124" s="88"/>
      <c r="AB124" s="88">
        <v>39.270000000000003</v>
      </c>
      <c r="AC124" s="88">
        <v>52.462499999999999</v>
      </c>
      <c r="AD124" s="88">
        <v>72.64</v>
      </c>
      <c r="AE124" s="89">
        <f t="shared" si="25"/>
        <v>7772.4800000000005</v>
      </c>
      <c r="AF124" s="90">
        <v>6.5000000000000002E-2</v>
      </c>
      <c r="AG124" s="4">
        <f t="shared" ref="AG124:AG180" si="78">AE124*AF124</f>
        <v>505.21120000000008</v>
      </c>
      <c r="AH124" s="49">
        <f t="shared" si="26"/>
        <v>0</v>
      </c>
      <c r="AI124" s="89">
        <f t="shared" si="27"/>
        <v>7267.2688000000007</v>
      </c>
      <c r="AJ124" s="91">
        <v>0.18</v>
      </c>
      <c r="AK124" s="5">
        <f t="shared" si="28"/>
        <v>1308.1083840000001</v>
      </c>
      <c r="AL124" s="89">
        <f t="shared" si="29"/>
        <v>8575.3771840000009</v>
      </c>
      <c r="AP124" s="92"/>
    </row>
    <row r="125" spans="1:42" hidden="1" x14ac:dyDescent="0.35">
      <c r="A125" s="85">
        <v>46207</v>
      </c>
      <c r="B125" s="51" t="s">
        <v>85</v>
      </c>
      <c r="C125" s="97">
        <v>52665452.392857097</v>
      </c>
      <c r="D125" s="97">
        <v>75136.899999999994</v>
      </c>
      <c r="E125" s="48" t="s">
        <v>86</v>
      </c>
      <c r="F125" s="86" t="s">
        <v>108</v>
      </c>
      <c r="G125" s="86" t="s">
        <v>216</v>
      </c>
      <c r="H125" s="86" t="s">
        <v>127</v>
      </c>
      <c r="I125" s="48" t="s">
        <v>218</v>
      </c>
      <c r="J125" s="52">
        <v>40</v>
      </c>
      <c r="K125" s="105"/>
      <c r="L125" s="105">
        <v>20</v>
      </c>
      <c r="M125" s="105"/>
      <c r="N125" s="104">
        <f t="shared" si="23"/>
        <v>20</v>
      </c>
      <c r="O125" s="86">
        <v>41</v>
      </c>
      <c r="P125" s="86"/>
      <c r="Q125" s="105"/>
      <c r="R125" s="104">
        <f t="shared" si="22"/>
        <v>41</v>
      </c>
      <c r="S125" s="86">
        <f t="shared" si="24"/>
        <v>101</v>
      </c>
      <c r="T125" s="87"/>
      <c r="U125" s="87"/>
      <c r="V125" s="87"/>
      <c r="W125" s="88"/>
      <c r="X125" s="87"/>
      <c r="Y125" s="87"/>
      <c r="Z125" s="87"/>
      <c r="AA125" s="88"/>
      <c r="AB125" s="88">
        <v>39.270000000000003</v>
      </c>
      <c r="AC125" s="88">
        <v>52.462499999999999</v>
      </c>
      <c r="AD125" s="88">
        <v>72.64</v>
      </c>
      <c r="AE125" s="89">
        <f t="shared" si="25"/>
        <v>9956.69</v>
      </c>
      <c r="AF125" s="90">
        <v>6.5000000000000002E-2</v>
      </c>
      <c r="AG125" s="4">
        <f t="shared" si="78"/>
        <v>647.1848500000001</v>
      </c>
      <c r="AH125" s="49">
        <f t="shared" si="26"/>
        <v>54.978000000000009</v>
      </c>
      <c r="AI125" s="89">
        <f t="shared" si="27"/>
        <v>9309.5051500000009</v>
      </c>
      <c r="AJ125" s="91">
        <v>0.18</v>
      </c>
      <c r="AK125" s="5">
        <f t="shared" si="28"/>
        <v>1675.7109270000001</v>
      </c>
      <c r="AL125" s="89">
        <f t="shared" si="29"/>
        <v>10985.216077000001</v>
      </c>
      <c r="AP125" s="92"/>
    </row>
    <row r="126" spans="1:42" hidden="1" x14ac:dyDescent="0.35">
      <c r="A126" s="85">
        <v>46207</v>
      </c>
      <c r="B126" s="51" t="s">
        <v>85</v>
      </c>
      <c r="C126" s="97">
        <v>53135371.464285702</v>
      </c>
      <c r="D126" s="97">
        <v>75802.600000000006</v>
      </c>
      <c r="E126" s="48" t="s">
        <v>86</v>
      </c>
      <c r="F126" s="86" t="s">
        <v>108</v>
      </c>
      <c r="G126" s="86" t="s">
        <v>217</v>
      </c>
      <c r="H126" s="86" t="s">
        <v>127</v>
      </c>
      <c r="I126" s="48" t="s">
        <v>218</v>
      </c>
      <c r="J126" s="52">
        <v>40</v>
      </c>
      <c r="K126" s="105"/>
      <c r="L126" s="105"/>
      <c r="M126" s="105"/>
      <c r="N126" s="104">
        <f t="shared" si="23"/>
        <v>0</v>
      </c>
      <c r="O126" s="86">
        <v>40</v>
      </c>
      <c r="P126" s="86"/>
      <c r="Q126" s="86"/>
      <c r="R126" s="104">
        <f t="shared" si="22"/>
        <v>40</v>
      </c>
      <c r="S126" s="86">
        <f t="shared" si="24"/>
        <v>80</v>
      </c>
      <c r="T126" s="87"/>
      <c r="U126" s="87"/>
      <c r="V126" s="87"/>
      <c r="W126" s="88"/>
      <c r="X126" s="87"/>
      <c r="Y126" s="87"/>
      <c r="Z126" s="87"/>
      <c r="AA126" s="88"/>
      <c r="AB126" s="88">
        <v>39.270000000000003</v>
      </c>
      <c r="AC126" s="88">
        <v>52.462499999999999</v>
      </c>
      <c r="AD126" s="88">
        <v>72.64</v>
      </c>
      <c r="AE126" s="89">
        <f t="shared" si="25"/>
        <v>7382</v>
      </c>
      <c r="AF126" s="90">
        <v>6.5000000000000002E-2</v>
      </c>
      <c r="AG126" s="4">
        <f t="shared" si="78"/>
        <v>479.83000000000004</v>
      </c>
      <c r="AH126" s="49">
        <f t="shared" si="26"/>
        <v>54.978000000000009</v>
      </c>
      <c r="AI126" s="89">
        <f t="shared" si="27"/>
        <v>6902.17</v>
      </c>
      <c r="AJ126" s="91">
        <v>0.18</v>
      </c>
      <c r="AK126" s="5">
        <f t="shared" si="28"/>
        <v>1242.3905999999999</v>
      </c>
      <c r="AL126" s="89">
        <f t="shared" si="29"/>
        <v>8144.5605999999998</v>
      </c>
      <c r="AP126" s="92"/>
    </row>
    <row r="127" spans="1:42" hidden="1" x14ac:dyDescent="0.35">
      <c r="A127" s="85">
        <v>46207</v>
      </c>
      <c r="B127" s="51" t="s">
        <v>85</v>
      </c>
      <c r="C127" s="97">
        <v>53605290.535714298</v>
      </c>
      <c r="D127" s="97">
        <v>76468.3</v>
      </c>
      <c r="E127" s="48" t="s">
        <v>86</v>
      </c>
      <c r="F127" s="86" t="s">
        <v>108</v>
      </c>
      <c r="G127" s="86" t="s">
        <v>219</v>
      </c>
      <c r="H127" s="86" t="s">
        <v>129</v>
      </c>
      <c r="I127" s="48" t="s">
        <v>228</v>
      </c>
      <c r="J127" s="52"/>
      <c r="K127" s="86"/>
      <c r="L127" s="86"/>
      <c r="M127" s="105"/>
      <c r="N127" s="104">
        <f t="shared" si="23"/>
        <v>0</v>
      </c>
      <c r="O127" s="105">
        <v>12</v>
      </c>
      <c r="P127" s="105"/>
      <c r="Q127" s="105"/>
      <c r="R127" s="104">
        <f t="shared" si="22"/>
        <v>12</v>
      </c>
      <c r="S127" s="86">
        <f t="shared" si="24"/>
        <v>12</v>
      </c>
      <c r="T127" s="87"/>
      <c r="U127" s="87"/>
      <c r="V127" s="87"/>
      <c r="W127" s="88"/>
      <c r="X127" s="87"/>
      <c r="Y127" s="87"/>
      <c r="Z127" s="87"/>
      <c r="AA127" s="88"/>
      <c r="AB127" s="88">
        <v>39.270000000000003</v>
      </c>
      <c r="AC127" s="88">
        <v>52.462499999999999</v>
      </c>
      <c r="AD127" s="88">
        <v>72.64</v>
      </c>
      <c r="AE127" s="89">
        <f t="shared" si="25"/>
        <v>871.68000000000006</v>
      </c>
      <c r="AF127" s="90">
        <v>6.5000000000000002E-2</v>
      </c>
      <c r="AG127" s="4">
        <f t="shared" si="78"/>
        <v>56.659200000000006</v>
      </c>
      <c r="AH127" s="49">
        <f t="shared" si="26"/>
        <v>0</v>
      </c>
      <c r="AI127" s="89">
        <f t="shared" si="27"/>
        <v>815.02080000000001</v>
      </c>
      <c r="AJ127" s="91">
        <v>0.18</v>
      </c>
      <c r="AK127" s="5">
        <f t="shared" si="28"/>
        <v>146.703744</v>
      </c>
      <c r="AL127" s="89">
        <f t="shared" si="29"/>
        <v>961.72454400000004</v>
      </c>
      <c r="AP127" s="92"/>
    </row>
    <row r="128" spans="1:42" hidden="1" x14ac:dyDescent="0.35">
      <c r="A128" s="85">
        <v>46207</v>
      </c>
      <c r="B128" s="51" t="s">
        <v>85</v>
      </c>
      <c r="C128" s="97">
        <v>54075209.607142903</v>
      </c>
      <c r="D128" s="97">
        <v>77134</v>
      </c>
      <c r="E128" s="48" t="s">
        <v>86</v>
      </c>
      <c r="F128" s="86" t="s">
        <v>109</v>
      </c>
      <c r="G128" s="86" t="s">
        <v>195</v>
      </c>
      <c r="H128" s="86" t="s">
        <v>129</v>
      </c>
      <c r="I128" s="48" t="s">
        <v>228</v>
      </c>
      <c r="J128" s="52">
        <v>10</v>
      </c>
      <c r="K128" s="86"/>
      <c r="L128" s="86"/>
      <c r="M128" s="86"/>
      <c r="N128" s="104">
        <f t="shared" si="23"/>
        <v>0</v>
      </c>
      <c r="O128" s="105"/>
      <c r="P128" s="105"/>
      <c r="Q128" s="105"/>
      <c r="R128" s="104">
        <f t="shared" si="22"/>
        <v>0</v>
      </c>
      <c r="S128" s="86">
        <f t="shared" si="24"/>
        <v>10</v>
      </c>
      <c r="T128" s="87"/>
      <c r="U128" s="87"/>
      <c r="V128" s="87"/>
      <c r="W128" s="88"/>
      <c r="X128" s="87"/>
      <c r="Y128" s="87"/>
      <c r="Z128" s="87"/>
      <c r="AA128" s="88"/>
      <c r="AB128" s="88">
        <v>39.270000000000003</v>
      </c>
      <c r="AC128" s="88">
        <v>52.462499999999999</v>
      </c>
      <c r="AD128" s="88">
        <v>72.64</v>
      </c>
      <c r="AE128" s="89">
        <f t="shared" si="25"/>
        <v>1119.0999999999999</v>
      </c>
      <c r="AF128" s="90">
        <v>6.5000000000000002E-2</v>
      </c>
      <c r="AG128" s="4">
        <f t="shared" si="78"/>
        <v>72.741500000000002</v>
      </c>
      <c r="AH128" s="49">
        <f t="shared" si="26"/>
        <v>13.744500000000002</v>
      </c>
      <c r="AI128" s="89">
        <f t="shared" si="27"/>
        <v>1046.3584999999998</v>
      </c>
      <c r="AJ128" s="91">
        <v>0.18</v>
      </c>
      <c r="AK128" s="5">
        <f t="shared" si="28"/>
        <v>188.34452999999996</v>
      </c>
      <c r="AL128" s="89">
        <f t="shared" si="29"/>
        <v>1234.7030299999997</v>
      </c>
      <c r="AP128" s="92"/>
    </row>
    <row r="129" spans="1:42" hidden="1" x14ac:dyDescent="0.35">
      <c r="A129" s="85">
        <v>46207</v>
      </c>
      <c r="B129" s="51" t="s">
        <v>85</v>
      </c>
      <c r="C129" s="97">
        <v>54545128.678571403</v>
      </c>
      <c r="D129" s="97">
        <v>77799.7</v>
      </c>
      <c r="E129" s="48" t="s">
        <v>86</v>
      </c>
      <c r="F129" s="86" t="s">
        <v>108</v>
      </c>
      <c r="G129" s="86" t="s">
        <v>220</v>
      </c>
      <c r="H129" s="86" t="s">
        <v>129</v>
      </c>
      <c r="I129" s="48" t="s">
        <v>228</v>
      </c>
      <c r="J129" s="52"/>
      <c r="K129" s="105">
        <v>10</v>
      </c>
      <c r="L129" s="105"/>
      <c r="M129" s="105"/>
      <c r="N129" s="104">
        <f t="shared" si="23"/>
        <v>10</v>
      </c>
      <c r="O129" s="86"/>
      <c r="P129" s="86"/>
      <c r="Q129" s="86"/>
      <c r="R129" s="104">
        <f t="shared" si="22"/>
        <v>0</v>
      </c>
      <c r="S129" s="86">
        <f t="shared" si="24"/>
        <v>10</v>
      </c>
      <c r="T129" s="87"/>
      <c r="U129" s="87"/>
      <c r="V129" s="87"/>
      <c r="W129" s="88"/>
      <c r="X129" s="87"/>
      <c r="Y129" s="87"/>
      <c r="Z129" s="87"/>
      <c r="AA129" s="88"/>
      <c r="AB129" s="88">
        <v>39.270000000000003</v>
      </c>
      <c r="AC129" s="88">
        <v>52.462499999999999</v>
      </c>
      <c r="AD129" s="88">
        <v>72.64</v>
      </c>
      <c r="AE129" s="89">
        <f t="shared" si="25"/>
        <v>1251.0250000000001</v>
      </c>
      <c r="AF129" s="90">
        <v>6.5000000000000002E-2</v>
      </c>
      <c r="AG129" s="4">
        <f t="shared" si="78"/>
        <v>81.316625000000002</v>
      </c>
      <c r="AH129" s="49">
        <f t="shared" si="26"/>
        <v>0</v>
      </c>
      <c r="AI129" s="89">
        <f t="shared" si="27"/>
        <v>1169.7083750000002</v>
      </c>
      <c r="AJ129" s="91">
        <v>0.18</v>
      </c>
      <c r="AK129" s="5">
        <f t="shared" si="28"/>
        <v>210.54750750000002</v>
      </c>
      <c r="AL129" s="89">
        <f t="shared" si="29"/>
        <v>1380.2558825000001</v>
      </c>
      <c r="AP129" s="92"/>
    </row>
    <row r="130" spans="1:42" hidden="1" x14ac:dyDescent="0.35">
      <c r="A130" s="85">
        <v>46207</v>
      </c>
      <c r="B130" s="51" t="s">
        <v>85</v>
      </c>
      <c r="C130" s="97">
        <v>55015047.75</v>
      </c>
      <c r="D130" s="97">
        <v>78465.399999999994</v>
      </c>
      <c r="E130" s="48" t="s">
        <v>86</v>
      </c>
      <c r="F130" s="86" t="s">
        <v>109</v>
      </c>
      <c r="G130" s="86" t="s">
        <v>221</v>
      </c>
      <c r="H130" s="86" t="s">
        <v>129</v>
      </c>
      <c r="I130" s="48" t="s">
        <v>228</v>
      </c>
      <c r="J130" s="52"/>
      <c r="K130" s="105"/>
      <c r="L130" s="105">
        <v>10</v>
      </c>
      <c r="M130" s="105"/>
      <c r="N130" s="104">
        <f t="shared" si="23"/>
        <v>10</v>
      </c>
      <c r="O130" s="86"/>
      <c r="P130" s="86"/>
      <c r="Q130" s="86"/>
      <c r="R130" s="104">
        <f t="shared" si="22"/>
        <v>0</v>
      </c>
      <c r="S130" s="86">
        <f t="shared" si="24"/>
        <v>10</v>
      </c>
      <c r="T130" s="87"/>
      <c r="U130" s="87"/>
      <c r="V130" s="87"/>
      <c r="W130" s="88"/>
      <c r="X130" s="87"/>
      <c r="Y130" s="87"/>
      <c r="Z130" s="87"/>
      <c r="AA130" s="88"/>
      <c r="AB130" s="88">
        <v>39.270000000000003</v>
      </c>
      <c r="AC130" s="88">
        <v>52.462499999999999</v>
      </c>
      <c r="AD130" s="88">
        <v>72.64</v>
      </c>
      <c r="AE130" s="89">
        <f t="shared" si="25"/>
        <v>1251.0250000000001</v>
      </c>
      <c r="AF130" s="90">
        <v>6.5000000000000002E-2</v>
      </c>
      <c r="AG130" s="4">
        <f t="shared" si="78"/>
        <v>81.316625000000002</v>
      </c>
      <c r="AH130" s="49">
        <f t="shared" si="26"/>
        <v>0</v>
      </c>
      <c r="AI130" s="89">
        <f t="shared" si="27"/>
        <v>1169.7083750000002</v>
      </c>
      <c r="AJ130" s="91">
        <v>0.18</v>
      </c>
      <c r="AK130" s="5">
        <f t="shared" si="28"/>
        <v>210.54750750000002</v>
      </c>
      <c r="AL130" s="89">
        <f t="shared" si="29"/>
        <v>1380.2558825000001</v>
      </c>
      <c r="AP130" s="92"/>
    </row>
    <row r="131" spans="1:42" hidden="1" x14ac:dyDescent="0.35">
      <c r="A131" s="85">
        <v>46207</v>
      </c>
      <c r="B131" s="51" t="s">
        <v>85</v>
      </c>
      <c r="C131" s="97">
        <v>55484966.821428597</v>
      </c>
      <c r="D131" s="97">
        <v>79131.100000000006</v>
      </c>
      <c r="E131" s="48" t="s">
        <v>86</v>
      </c>
      <c r="F131" s="86" t="s">
        <v>108</v>
      </c>
      <c r="G131" s="86" t="s">
        <v>222</v>
      </c>
      <c r="H131" s="86" t="s">
        <v>129</v>
      </c>
      <c r="I131" s="48" t="s">
        <v>228</v>
      </c>
      <c r="J131" s="52"/>
      <c r="K131" s="105"/>
      <c r="L131" s="105"/>
      <c r="M131" s="105"/>
      <c r="N131" s="104">
        <f t="shared" si="23"/>
        <v>0</v>
      </c>
      <c r="O131" s="86"/>
      <c r="P131" s="86"/>
      <c r="Q131" s="86">
        <v>10</v>
      </c>
      <c r="R131" s="104">
        <f t="shared" si="22"/>
        <v>10</v>
      </c>
      <c r="S131" s="86">
        <f t="shared" si="24"/>
        <v>10</v>
      </c>
      <c r="T131" s="87"/>
      <c r="U131" s="87"/>
      <c r="V131" s="87"/>
      <c r="W131" s="88"/>
      <c r="X131" s="87"/>
      <c r="Y131" s="87"/>
      <c r="Z131" s="87"/>
      <c r="AA131" s="88"/>
      <c r="AB131" s="88">
        <v>39.270000000000003</v>
      </c>
      <c r="AC131" s="88">
        <v>52.462499999999999</v>
      </c>
      <c r="AD131" s="88">
        <v>72.64</v>
      </c>
      <c r="AE131" s="89">
        <f t="shared" si="25"/>
        <v>726.4</v>
      </c>
      <c r="AF131" s="90">
        <v>6.5000000000000002E-2</v>
      </c>
      <c r="AG131" s="4">
        <f t="shared" si="78"/>
        <v>47.216000000000001</v>
      </c>
      <c r="AH131" s="49">
        <f t="shared" si="26"/>
        <v>0</v>
      </c>
      <c r="AI131" s="89">
        <f t="shared" si="27"/>
        <v>679.18399999999997</v>
      </c>
      <c r="AJ131" s="91">
        <v>0.18</v>
      </c>
      <c r="AK131" s="5">
        <f t="shared" si="28"/>
        <v>122.25312</v>
      </c>
      <c r="AL131" s="89">
        <f t="shared" si="29"/>
        <v>801.43711999999994</v>
      </c>
      <c r="AP131" s="92"/>
    </row>
    <row r="132" spans="1:42" hidden="1" x14ac:dyDescent="0.35">
      <c r="A132" s="85">
        <v>46207</v>
      </c>
      <c r="B132" s="51" t="s">
        <v>85</v>
      </c>
      <c r="C132" s="97">
        <v>55954885.892857097</v>
      </c>
      <c r="D132" s="97">
        <v>79796.800000000003</v>
      </c>
      <c r="E132" s="48" t="s">
        <v>86</v>
      </c>
      <c r="F132" s="86" t="s">
        <v>109</v>
      </c>
      <c r="G132" s="86" t="s">
        <v>223</v>
      </c>
      <c r="H132" s="86" t="s">
        <v>129</v>
      </c>
      <c r="I132" s="48" t="s">
        <v>228</v>
      </c>
      <c r="J132" s="52"/>
      <c r="K132" s="105"/>
      <c r="L132" s="105"/>
      <c r="M132" s="105"/>
      <c r="N132" s="104">
        <f t="shared" si="23"/>
        <v>0</v>
      </c>
      <c r="O132" s="86">
        <v>10</v>
      </c>
      <c r="P132" s="86"/>
      <c r="Q132" s="86"/>
      <c r="R132" s="104">
        <f t="shared" ref="R132:R195" si="79">SUM(O132:Q132)</f>
        <v>10</v>
      </c>
      <c r="S132" s="86">
        <f t="shared" si="24"/>
        <v>10</v>
      </c>
      <c r="T132" s="87"/>
      <c r="U132" s="87"/>
      <c r="V132" s="87"/>
      <c r="W132" s="88"/>
      <c r="X132" s="87"/>
      <c r="Y132" s="87"/>
      <c r="Z132" s="87"/>
      <c r="AA132" s="88"/>
      <c r="AB132" s="88">
        <v>39.270000000000003</v>
      </c>
      <c r="AC132" s="88">
        <v>52.462499999999999</v>
      </c>
      <c r="AD132" s="88">
        <v>72.64</v>
      </c>
      <c r="AE132" s="89">
        <f t="shared" si="25"/>
        <v>726.4</v>
      </c>
      <c r="AF132" s="90">
        <v>6.5000000000000002E-2</v>
      </c>
      <c r="AG132" s="4">
        <f t="shared" si="78"/>
        <v>47.216000000000001</v>
      </c>
      <c r="AH132" s="49">
        <f t="shared" si="26"/>
        <v>0</v>
      </c>
      <c r="AI132" s="89">
        <f t="shared" si="27"/>
        <v>679.18399999999997</v>
      </c>
      <c r="AJ132" s="91">
        <v>0.18</v>
      </c>
      <c r="AK132" s="5">
        <f t="shared" si="28"/>
        <v>122.25312</v>
      </c>
      <c r="AL132" s="89">
        <f t="shared" si="29"/>
        <v>801.43711999999994</v>
      </c>
      <c r="AP132" s="92"/>
    </row>
    <row r="133" spans="1:42" hidden="1" x14ac:dyDescent="0.35">
      <c r="A133" s="85">
        <v>46207</v>
      </c>
      <c r="B133" s="51" t="s">
        <v>85</v>
      </c>
      <c r="C133" s="97">
        <v>56424804.964285702</v>
      </c>
      <c r="D133" s="97">
        <v>80462.5</v>
      </c>
      <c r="E133" s="48" t="s">
        <v>86</v>
      </c>
      <c r="F133" s="86" t="s">
        <v>108</v>
      </c>
      <c r="G133" s="86" t="s">
        <v>224</v>
      </c>
      <c r="H133" s="86" t="s">
        <v>129</v>
      </c>
      <c r="I133" s="48" t="s">
        <v>228</v>
      </c>
      <c r="J133" s="52"/>
      <c r="K133" s="86"/>
      <c r="L133" s="86"/>
      <c r="M133" s="105"/>
      <c r="N133" s="104">
        <f t="shared" ref="N133:N196" si="80">K133+L133+M133</f>
        <v>0</v>
      </c>
      <c r="O133" s="86"/>
      <c r="P133" s="86">
        <v>10</v>
      </c>
      <c r="Q133" s="86"/>
      <c r="R133" s="104">
        <f t="shared" si="79"/>
        <v>10</v>
      </c>
      <c r="S133" s="86">
        <f t="shared" ref="S133:S196" si="81">R133+N133+J133</f>
        <v>10</v>
      </c>
      <c r="T133" s="87"/>
      <c r="U133" s="87"/>
      <c r="V133" s="87"/>
      <c r="W133" s="88"/>
      <c r="X133" s="87"/>
      <c r="Y133" s="87"/>
      <c r="Z133" s="87"/>
      <c r="AA133" s="88"/>
      <c r="AB133" s="88">
        <v>39.270000000000003</v>
      </c>
      <c r="AC133" s="88">
        <v>52.462499999999999</v>
      </c>
      <c r="AD133" s="88">
        <v>72.64</v>
      </c>
      <c r="AE133" s="89">
        <f t="shared" si="25"/>
        <v>726.4</v>
      </c>
      <c r="AF133" s="90">
        <v>6.5000000000000002E-2</v>
      </c>
      <c r="AG133" s="4">
        <f t="shared" si="78"/>
        <v>47.216000000000001</v>
      </c>
      <c r="AH133" s="49">
        <f t="shared" si="26"/>
        <v>0</v>
      </c>
      <c r="AI133" s="89">
        <f t="shared" si="27"/>
        <v>679.18399999999997</v>
      </c>
      <c r="AJ133" s="91">
        <v>0.18</v>
      </c>
      <c r="AK133" s="5">
        <f t="shared" si="28"/>
        <v>122.25312</v>
      </c>
      <c r="AL133" s="89">
        <f t="shared" si="29"/>
        <v>801.43711999999994</v>
      </c>
      <c r="AP133" s="92"/>
    </row>
    <row r="134" spans="1:42" hidden="1" x14ac:dyDescent="0.35">
      <c r="A134" s="85">
        <v>46207</v>
      </c>
      <c r="B134" s="51" t="s">
        <v>85</v>
      </c>
      <c r="C134" s="97">
        <v>56894724.035714298</v>
      </c>
      <c r="D134" s="97">
        <v>81128.2</v>
      </c>
      <c r="E134" s="48" t="s">
        <v>86</v>
      </c>
      <c r="F134" s="86" t="s">
        <v>109</v>
      </c>
      <c r="G134" s="86" t="s">
        <v>225</v>
      </c>
      <c r="H134" s="86" t="s">
        <v>129</v>
      </c>
      <c r="I134" s="48" t="s">
        <v>228</v>
      </c>
      <c r="J134" s="52">
        <v>40</v>
      </c>
      <c r="K134" s="86"/>
      <c r="L134" s="86"/>
      <c r="M134" s="105"/>
      <c r="N134" s="104">
        <f t="shared" si="80"/>
        <v>0</v>
      </c>
      <c r="O134" s="86">
        <v>15</v>
      </c>
      <c r="P134" s="86">
        <v>10</v>
      </c>
      <c r="Q134" s="86">
        <v>15</v>
      </c>
      <c r="R134" s="104">
        <f t="shared" si="79"/>
        <v>40</v>
      </c>
      <c r="S134" s="86">
        <f t="shared" si="81"/>
        <v>80</v>
      </c>
      <c r="T134" s="87"/>
      <c r="U134" s="87"/>
      <c r="V134" s="87"/>
      <c r="W134" s="88"/>
      <c r="X134" s="87"/>
      <c r="Y134" s="87"/>
      <c r="Z134" s="87"/>
      <c r="AA134" s="88"/>
      <c r="AB134" s="88">
        <v>39.270000000000003</v>
      </c>
      <c r="AC134" s="88">
        <v>52.462499999999999</v>
      </c>
      <c r="AD134" s="88">
        <v>72.64</v>
      </c>
      <c r="AE134" s="89">
        <f t="shared" si="25"/>
        <v>7382</v>
      </c>
      <c r="AF134" s="90">
        <v>6.5000000000000002E-2</v>
      </c>
      <c r="AG134" s="4">
        <f t="shared" si="78"/>
        <v>479.83000000000004</v>
      </c>
      <c r="AH134" s="49">
        <f t="shared" si="26"/>
        <v>54.978000000000009</v>
      </c>
      <c r="AI134" s="89">
        <f t="shared" si="27"/>
        <v>6902.17</v>
      </c>
      <c r="AJ134" s="91">
        <v>0.18</v>
      </c>
      <c r="AK134" s="5">
        <f t="shared" si="28"/>
        <v>1242.3905999999999</v>
      </c>
      <c r="AL134" s="89">
        <f t="shared" si="29"/>
        <v>8144.5605999999998</v>
      </c>
      <c r="AP134" s="92"/>
    </row>
    <row r="135" spans="1:42" hidden="1" x14ac:dyDescent="0.35">
      <c r="A135" s="85">
        <v>46207</v>
      </c>
      <c r="B135" s="51" t="s">
        <v>85</v>
      </c>
      <c r="C135" s="97">
        <v>57364643.107142903</v>
      </c>
      <c r="D135" s="97">
        <v>81793.899999999994</v>
      </c>
      <c r="E135" s="48" t="s">
        <v>86</v>
      </c>
      <c r="F135" s="86" t="s">
        <v>108</v>
      </c>
      <c r="G135" s="86" t="s">
        <v>114</v>
      </c>
      <c r="H135" s="86" t="s">
        <v>129</v>
      </c>
      <c r="I135" s="48" t="s">
        <v>228</v>
      </c>
      <c r="J135" s="52">
        <v>20</v>
      </c>
      <c r="K135" s="86"/>
      <c r="L135" s="105"/>
      <c r="M135" s="86"/>
      <c r="N135" s="104">
        <f t="shared" si="80"/>
        <v>0</v>
      </c>
      <c r="O135" s="105"/>
      <c r="P135" s="86"/>
      <c r="Q135" s="86">
        <v>20</v>
      </c>
      <c r="R135" s="104">
        <f t="shared" si="79"/>
        <v>20</v>
      </c>
      <c r="S135" s="86">
        <f t="shared" si="81"/>
        <v>40</v>
      </c>
      <c r="T135" s="87"/>
      <c r="U135" s="87"/>
      <c r="V135" s="87"/>
      <c r="W135" s="88"/>
      <c r="X135" s="87"/>
      <c r="Y135" s="87"/>
      <c r="Z135" s="87"/>
      <c r="AA135" s="88"/>
      <c r="AB135" s="88">
        <v>39.270000000000003</v>
      </c>
      <c r="AC135" s="88">
        <v>52.462499999999999</v>
      </c>
      <c r="AD135" s="88">
        <v>72.64</v>
      </c>
      <c r="AE135" s="89">
        <f t="shared" si="25"/>
        <v>3691</v>
      </c>
      <c r="AF135" s="90">
        <v>6.5000000000000002E-2</v>
      </c>
      <c r="AG135" s="4">
        <f t="shared" si="78"/>
        <v>239.91500000000002</v>
      </c>
      <c r="AH135" s="49">
        <f t="shared" si="26"/>
        <v>27.489000000000004</v>
      </c>
      <c r="AI135" s="89">
        <f t="shared" si="27"/>
        <v>3451.085</v>
      </c>
      <c r="AJ135" s="91">
        <v>0.18</v>
      </c>
      <c r="AK135" s="5">
        <f t="shared" si="28"/>
        <v>621.19529999999997</v>
      </c>
      <c r="AL135" s="89">
        <f t="shared" si="29"/>
        <v>4072.2802999999999</v>
      </c>
      <c r="AP135" s="92"/>
    </row>
    <row r="136" spans="1:42" hidden="1" x14ac:dyDescent="0.35">
      <c r="A136" s="85">
        <v>46207</v>
      </c>
      <c r="B136" s="51" t="s">
        <v>85</v>
      </c>
      <c r="C136" s="97">
        <v>57834562.178571403</v>
      </c>
      <c r="D136" s="97">
        <v>82459.600000000006</v>
      </c>
      <c r="E136" s="48" t="s">
        <v>86</v>
      </c>
      <c r="F136" s="86" t="s">
        <v>109</v>
      </c>
      <c r="G136" s="86" t="s">
        <v>226</v>
      </c>
      <c r="H136" s="86" t="s">
        <v>129</v>
      </c>
      <c r="I136" s="48" t="s">
        <v>228</v>
      </c>
      <c r="J136" s="52">
        <v>20</v>
      </c>
      <c r="K136" s="105">
        <v>20</v>
      </c>
      <c r="L136" s="105">
        <v>20</v>
      </c>
      <c r="M136" s="105"/>
      <c r="N136" s="104">
        <f t="shared" si="80"/>
        <v>40</v>
      </c>
      <c r="O136" s="86"/>
      <c r="P136" s="105"/>
      <c r="Q136" s="105"/>
      <c r="R136" s="104">
        <f t="shared" si="79"/>
        <v>0</v>
      </c>
      <c r="S136" s="86">
        <f t="shared" si="81"/>
        <v>60</v>
      </c>
      <c r="T136" s="87"/>
      <c r="U136" s="87"/>
      <c r="V136" s="87"/>
      <c r="W136" s="88"/>
      <c r="X136" s="87"/>
      <c r="Y136" s="87"/>
      <c r="Z136" s="87"/>
      <c r="AA136" s="88"/>
      <c r="AB136" s="88">
        <v>39.270000000000003</v>
      </c>
      <c r="AC136" s="88">
        <v>52.462499999999999</v>
      </c>
      <c r="AD136" s="88">
        <v>72.64</v>
      </c>
      <c r="AE136" s="89">
        <f t="shared" si="25"/>
        <v>7242.2999999999993</v>
      </c>
      <c r="AF136" s="90">
        <v>6.5000000000000002E-2</v>
      </c>
      <c r="AG136" s="4">
        <f t="shared" si="78"/>
        <v>470.74949999999995</v>
      </c>
      <c r="AH136" s="49">
        <f t="shared" si="26"/>
        <v>27.489000000000004</v>
      </c>
      <c r="AI136" s="89">
        <f t="shared" si="27"/>
        <v>6771.5504999999994</v>
      </c>
      <c r="AJ136" s="91">
        <v>0.18</v>
      </c>
      <c r="AK136" s="5">
        <f t="shared" si="28"/>
        <v>1218.8790899999999</v>
      </c>
      <c r="AL136" s="89">
        <f t="shared" si="29"/>
        <v>7990.4295899999997</v>
      </c>
      <c r="AP136" s="92"/>
    </row>
    <row r="137" spans="1:42" hidden="1" x14ac:dyDescent="0.35">
      <c r="A137" s="85">
        <v>46207</v>
      </c>
      <c r="B137" s="51" t="s">
        <v>85</v>
      </c>
      <c r="C137" s="97">
        <v>58304481.25</v>
      </c>
      <c r="D137" s="97">
        <v>83125.3</v>
      </c>
      <c r="E137" s="48" t="s">
        <v>86</v>
      </c>
      <c r="F137" s="86" t="s">
        <v>109</v>
      </c>
      <c r="G137" s="86" t="s">
        <v>227</v>
      </c>
      <c r="H137" s="86" t="s">
        <v>129</v>
      </c>
      <c r="I137" s="48" t="s">
        <v>228</v>
      </c>
      <c r="J137" s="52">
        <v>80</v>
      </c>
      <c r="K137" s="105"/>
      <c r="L137" s="105"/>
      <c r="M137" s="105"/>
      <c r="N137" s="104">
        <f t="shared" si="80"/>
        <v>0</v>
      </c>
      <c r="O137" s="105">
        <v>40</v>
      </c>
      <c r="P137" s="86">
        <v>40</v>
      </c>
      <c r="Q137" s="105">
        <v>40</v>
      </c>
      <c r="R137" s="104">
        <f t="shared" si="79"/>
        <v>120</v>
      </c>
      <c r="S137" s="86">
        <f t="shared" si="81"/>
        <v>200</v>
      </c>
      <c r="T137" s="87"/>
      <c r="U137" s="87"/>
      <c r="V137" s="87"/>
      <c r="W137" s="88"/>
      <c r="X137" s="87"/>
      <c r="Y137" s="87"/>
      <c r="Z137" s="87"/>
      <c r="AA137" s="88"/>
      <c r="AB137" s="88">
        <v>39.270000000000003</v>
      </c>
      <c r="AC137" s="88">
        <v>52.462499999999999</v>
      </c>
      <c r="AD137" s="88">
        <v>72.64</v>
      </c>
      <c r="AE137" s="89">
        <f t="shared" si="25"/>
        <v>17669.599999999999</v>
      </c>
      <c r="AF137" s="90">
        <v>0.1</v>
      </c>
      <c r="AG137" s="4">
        <f t="shared" si="78"/>
        <v>1766.96</v>
      </c>
      <c r="AH137" s="49">
        <f t="shared" si="26"/>
        <v>109.95600000000002</v>
      </c>
      <c r="AI137" s="89">
        <f t="shared" si="27"/>
        <v>15902.64</v>
      </c>
      <c r="AJ137" s="91">
        <v>0.18</v>
      </c>
      <c r="AK137" s="5">
        <f t="shared" si="28"/>
        <v>2862.4751999999999</v>
      </c>
      <c r="AL137" s="89">
        <f t="shared" si="29"/>
        <v>18765.1152</v>
      </c>
      <c r="AP137" s="92"/>
    </row>
    <row r="138" spans="1:42" hidden="1" x14ac:dyDescent="0.35">
      <c r="A138" s="85">
        <v>46207</v>
      </c>
      <c r="B138" s="51" t="s">
        <v>85</v>
      </c>
      <c r="C138" s="97">
        <v>58774400.321428597</v>
      </c>
      <c r="D138" s="97">
        <v>83791</v>
      </c>
      <c r="E138" s="48" t="s">
        <v>86</v>
      </c>
      <c r="F138" s="86" t="s">
        <v>108</v>
      </c>
      <c r="G138" s="86" t="s">
        <v>229</v>
      </c>
      <c r="H138" s="86" t="s">
        <v>110</v>
      </c>
      <c r="I138" s="48" t="s">
        <v>235</v>
      </c>
      <c r="J138" s="52"/>
      <c r="K138" s="86"/>
      <c r="L138" s="86"/>
      <c r="M138" s="86"/>
      <c r="N138" s="104">
        <f t="shared" si="80"/>
        <v>0</v>
      </c>
      <c r="O138" s="86"/>
      <c r="P138" s="86">
        <v>20</v>
      </c>
      <c r="Q138" s="86"/>
      <c r="R138" s="104">
        <f t="shared" si="79"/>
        <v>20</v>
      </c>
      <c r="S138" s="86">
        <f t="shared" si="81"/>
        <v>20</v>
      </c>
      <c r="T138" s="87"/>
      <c r="U138" s="87"/>
      <c r="V138" s="87"/>
      <c r="W138" s="88"/>
      <c r="X138" s="87"/>
      <c r="Y138" s="87"/>
      <c r="Z138" s="87"/>
      <c r="AA138" s="88"/>
      <c r="AB138" s="88">
        <v>39.270000000000003</v>
      </c>
      <c r="AC138" s="88">
        <v>52.462499999999999</v>
      </c>
      <c r="AD138" s="88">
        <v>72.64</v>
      </c>
      <c r="AE138" s="89">
        <f t="shared" si="25"/>
        <v>1452.8</v>
      </c>
      <c r="AF138" s="90">
        <v>6.5000000000000002E-2</v>
      </c>
      <c r="AG138" s="4">
        <f t="shared" si="78"/>
        <v>94.432000000000002</v>
      </c>
      <c r="AH138" s="49">
        <f t="shared" si="26"/>
        <v>0</v>
      </c>
      <c r="AI138" s="89">
        <f t="shared" si="27"/>
        <v>1358.3679999999999</v>
      </c>
      <c r="AJ138" s="91">
        <v>0.18</v>
      </c>
      <c r="AK138" s="5">
        <f t="shared" si="28"/>
        <v>244.50623999999999</v>
      </c>
      <c r="AL138" s="89">
        <f t="shared" si="29"/>
        <v>1602.8742399999999</v>
      </c>
      <c r="AP138" s="92"/>
    </row>
    <row r="139" spans="1:42" hidden="1" x14ac:dyDescent="0.35">
      <c r="A139" s="85">
        <v>46207</v>
      </c>
      <c r="B139" s="51" t="s">
        <v>85</v>
      </c>
      <c r="C139" s="97">
        <v>59244319.392857097</v>
      </c>
      <c r="D139" s="97">
        <v>84456.7</v>
      </c>
      <c r="E139" s="48" t="s">
        <v>86</v>
      </c>
      <c r="F139" s="86" t="s">
        <v>108</v>
      </c>
      <c r="G139" s="86" t="s">
        <v>230</v>
      </c>
      <c r="H139" s="86" t="s">
        <v>110</v>
      </c>
      <c r="I139" s="48" t="s">
        <v>235</v>
      </c>
      <c r="J139" s="52"/>
      <c r="K139" s="86"/>
      <c r="L139" s="105"/>
      <c r="M139" s="105"/>
      <c r="N139" s="104">
        <f t="shared" si="80"/>
        <v>0</v>
      </c>
      <c r="O139" s="105">
        <v>15</v>
      </c>
      <c r="P139" s="86">
        <v>12</v>
      </c>
      <c r="Q139" s="86">
        <v>13</v>
      </c>
      <c r="R139" s="104">
        <f t="shared" si="79"/>
        <v>40</v>
      </c>
      <c r="S139" s="86">
        <f t="shared" si="81"/>
        <v>40</v>
      </c>
      <c r="T139" s="87"/>
      <c r="U139" s="87"/>
      <c r="V139" s="87"/>
      <c r="W139" s="88"/>
      <c r="X139" s="87"/>
      <c r="Y139" s="87"/>
      <c r="Z139" s="87"/>
      <c r="AA139" s="88"/>
      <c r="AB139" s="88">
        <v>39.270000000000003</v>
      </c>
      <c r="AC139" s="88">
        <v>52.462499999999999</v>
      </c>
      <c r="AD139" s="88">
        <v>72.64</v>
      </c>
      <c r="AE139" s="89">
        <f t="shared" si="25"/>
        <v>2905.6</v>
      </c>
      <c r="AF139" s="90">
        <v>6.5000000000000002E-2</v>
      </c>
      <c r="AG139" s="4">
        <f t="shared" si="78"/>
        <v>188.864</v>
      </c>
      <c r="AH139" s="49">
        <f t="shared" si="26"/>
        <v>0</v>
      </c>
      <c r="AI139" s="89">
        <f t="shared" si="27"/>
        <v>2716.7359999999999</v>
      </c>
      <c r="AJ139" s="91">
        <v>0.18</v>
      </c>
      <c r="AK139" s="5">
        <f t="shared" si="28"/>
        <v>489.01247999999998</v>
      </c>
      <c r="AL139" s="89">
        <f t="shared" si="29"/>
        <v>3205.7484799999997</v>
      </c>
      <c r="AP139" s="92"/>
    </row>
    <row r="140" spans="1:42" hidden="1" x14ac:dyDescent="0.35">
      <c r="A140" s="85">
        <v>46207</v>
      </c>
      <c r="B140" s="51" t="s">
        <v>85</v>
      </c>
      <c r="C140" s="97">
        <v>59714238.464285702</v>
      </c>
      <c r="D140" s="97">
        <v>85122.4</v>
      </c>
      <c r="E140" s="48" t="s">
        <v>86</v>
      </c>
      <c r="F140" s="86" t="s">
        <v>108</v>
      </c>
      <c r="G140" s="86" t="s">
        <v>231</v>
      </c>
      <c r="H140" s="86" t="s">
        <v>110</v>
      </c>
      <c r="I140" s="48" t="s">
        <v>235</v>
      </c>
      <c r="J140" s="52"/>
      <c r="K140" s="105"/>
      <c r="L140" s="105"/>
      <c r="M140" s="105"/>
      <c r="N140" s="104">
        <f t="shared" si="80"/>
        <v>0</v>
      </c>
      <c r="O140" s="86">
        <v>15</v>
      </c>
      <c r="P140" s="105">
        <v>12</v>
      </c>
      <c r="Q140" s="105">
        <v>13</v>
      </c>
      <c r="R140" s="104">
        <f t="shared" si="79"/>
        <v>40</v>
      </c>
      <c r="S140" s="86">
        <f t="shared" si="81"/>
        <v>40</v>
      </c>
      <c r="T140" s="87"/>
      <c r="U140" s="87"/>
      <c r="V140" s="87"/>
      <c r="W140" s="88"/>
      <c r="X140" s="87"/>
      <c r="Y140" s="87"/>
      <c r="Z140" s="87"/>
      <c r="AA140" s="88"/>
      <c r="AB140" s="88">
        <v>39.270000000000003</v>
      </c>
      <c r="AC140" s="88">
        <v>52.462499999999999</v>
      </c>
      <c r="AD140" s="88">
        <v>72.64</v>
      </c>
      <c r="AE140" s="89">
        <f t="shared" si="25"/>
        <v>2905.6</v>
      </c>
      <c r="AF140" s="90">
        <v>6.5000000000000002E-2</v>
      </c>
      <c r="AG140" s="4">
        <f t="shared" si="78"/>
        <v>188.864</v>
      </c>
      <c r="AH140" s="49">
        <f t="shared" si="26"/>
        <v>0</v>
      </c>
      <c r="AI140" s="89">
        <f t="shared" si="27"/>
        <v>2716.7359999999999</v>
      </c>
      <c r="AJ140" s="91">
        <v>0.18</v>
      </c>
      <c r="AK140" s="5">
        <f t="shared" si="28"/>
        <v>489.01247999999998</v>
      </c>
      <c r="AL140" s="89">
        <f t="shared" si="29"/>
        <v>3205.7484799999997</v>
      </c>
      <c r="AP140" s="92"/>
    </row>
    <row r="141" spans="1:42" hidden="1" x14ac:dyDescent="0.35">
      <c r="A141" s="85">
        <v>46207</v>
      </c>
      <c r="B141" s="51" t="s">
        <v>85</v>
      </c>
      <c r="C141" s="97">
        <v>60184157.535714298</v>
      </c>
      <c r="D141" s="97">
        <v>85788.1</v>
      </c>
      <c r="E141" s="48" t="s">
        <v>86</v>
      </c>
      <c r="F141" s="86" t="s">
        <v>108</v>
      </c>
      <c r="G141" s="86" t="s">
        <v>232</v>
      </c>
      <c r="H141" s="86" t="s">
        <v>110</v>
      </c>
      <c r="I141" s="48" t="s">
        <v>235</v>
      </c>
      <c r="J141" s="52">
        <v>10</v>
      </c>
      <c r="K141" s="105"/>
      <c r="L141" s="105"/>
      <c r="M141" s="105"/>
      <c r="N141" s="104">
        <f t="shared" si="80"/>
        <v>0</v>
      </c>
      <c r="O141" s="86">
        <v>10</v>
      </c>
      <c r="P141" s="86">
        <v>10</v>
      </c>
      <c r="Q141" s="86">
        <v>10</v>
      </c>
      <c r="R141" s="104">
        <f t="shared" si="79"/>
        <v>30</v>
      </c>
      <c r="S141" s="86">
        <f t="shared" si="81"/>
        <v>40</v>
      </c>
      <c r="T141" s="87"/>
      <c r="U141" s="87"/>
      <c r="V141" s="87"/>
      <c r="W141" s="88"/>
      <c r="X141" s="87"/>
      <c r="Y141" s="87"/>
      <c r="Z141" s="87"/>
      <c r="AA141" s="88"/>
      <c r="AB141" s="88">
        <v>39.270000000000003</v>
      </c>
      <c r="AC141" s="88">
        <v>52.462499999999999</v>
      </c>
      <c r="AD141" s="88">
        <v>72.64</v>
      </c>
      <c r="AE141" s="89">
        <f t="shared" si="25"/>
        <v>3298.3</v>
      </c>
      <c r="AF141" s="90">
        <v>6.5000000000000002E-2</v>
      </c>
      <c r="AG141" s="4">
        <f t="shared" si="78"/>
        <v>214.38950000000003</v>
      </c>
      <c r="AH141" s="49">
        <f t="shared" si="26"/>
        <v>13.744500000000002</v>
      </c>
      <c r="AI141" s="89">
        <f t="shared" si="27"/>
        <v>3083.9105</v>
      </c>
      <c r="AJ141" s="91">
        <v>0.18</v>
      </c>
      <c r="AK141" s="5">
        <f t="shared" si="28"/>
        <v>555.10388999999998</v>
      </c>
      <c r="AL141" s="89">
        <f t="shared" si="29"/>
        <v>3639.0143899999998</v>
      </c>
      <c r="AP141" s="92"/>
    </row>
    <row r="142" spans="1:42" hidden="1" x14ac:dyDescent="0.35">
      <c r="A142" s="85">
        <v>46207</v>
      </c>
      <c r="B142" s="51" t="s">
        <v>85</v>
      </c>
      <c r="C142" s="97">
        <v>60654076.607142903</v>
      </c>
      <c r="D142" s="97">
        <v>86453.8</v>
      </c>
      <c r="E142" s="48" t="s">
        <v>86</v>
      </c>
      <c r="F142" s="86" t="s">
        <v>108</v>
      </c>
      <c r="G142" s="86" t="s">
        <v>233</v>
      </c>
      <c r="H142" s="86" t="s">
        <v>110</v>
      </c>
      <c r="I142" s="48" t="s">
        <v>235</v>
      </c>
      <c r="J142" s="52">
        <v>12</v>
      </c>
      <c r="K142" s="105"/>
      <c r="L142" s="105"/>
      <c r="M142" s="105"/>
      <c r="N142" s="104">
        <f t="shared" si="80"/>
        <v>0</v>
      </c>
      <c r="O142" s="86"/>
      <c r="P142" s="105"/>
      <c r="Q142" s="86"/>
      <c r="R142" s="104">
        <f t="shared" si="79"/>
        <v>0</v>
      </c>
      <c r="S142" s="86">
        <f t="shared" si="81"/>
        <v>12</v>
      </c>
      <c r="T142" s="87"/>
      <c r="U142" s="87"/>
      <c r="V142" s="87"/>
      <c r="W142" s="88"/>
      <c r="X142" s="87"/>
      <c r="Y142" s="87"/>
      <c r="Z142" s="87"/>
      <c r="AA142" s="88"/>
      <c r="AB142" s="88">
        <v>39.270000000000003</v>
      </c>
      <c r="AC142" s="88">
        <v>52.462499999999999</v>
      </c>
      <c r="AD142" s="88">
        <v>72.64</v>
      </c>
      <c r="AE142" s="89">
        <f t="shared" si="25"/>
        <v>1342.92</v>
      </c>
      <c r="AF142" s="90">
        <v>6.5000000000000002E-2</v>
      </c>
      <c r="AG142" s="4">
        <f t="shared" si="78"/>
        <v>87.289800000000014</v>
      </c>
      <c r="AH142" s="49">
        <f t="shared" si="26"/>
        <v>16.493400000000001</v>
      </c>
      <c r="AI142" s="89">
        <f t="shared" si="27"/>
        <v>1255.6302000000001</v>
      </c>
      <c r="AJ142" s="91">
        <v>0.18</v>
      </c>
      <c r="AK142" s="5">
        <f t="shared" si="28"/>
        <v>226.01343600000001</v>
      </c>
      <c r="AL142" s="89">
        <f t="shared" si="29"/>
        <v>1481.643636</v>
      </c>
      <c r="AP142" s="92"/>
    </row>
    <row r="143" spans="1:42" hidden="1" x14ac:dyDescent="0.35">
      <c r="A143" s="85">
        <v>46207</v>
      </c>
      <c r="B143" s="51" t="s">
        <v>85</v>
      </c>
      <c r="C143" s="97">
        <v>61123995.678571403</v>
      </c>
      <c r="D143" s="97">
        <v>87119.5</v>
      </c>
      <c r="E143" s="48" t="s">
        <v>86</v>
      </c>
      <c r="F143" s="86" t="s">
        <v>108</v>
      </c>
      <c r="G143" s="86" t="s">
        <v>234</v>
      </c>
      <c r="H143" s="86" t="s">
        <v>110</v>
      </c>
      <c r="I143" s="48" t="s">
        <v>235</v>
      </c>
      <c r="J143" s="52"/>
      <c r="K143" s="86"/>
      <c r="L143" s="105"/>
      <c r="M143" s="105"/>
      <c r="N143" s="104">
        <f t="shared" si="80"/>
        <v>0</v>
      </c>
      <c r="O143" s="86">
        <v>3</v>
      </c>
      <c r="P143" s="86">
        <v>3</v>
      </c>
      <c r="Q143" s="105">
        <v>3</v>
      </c>
      <c r="R143" s="104">
        <f t="shared" si="79"/>
        <v>9</v>
      </c>
      <c r="S143" s="86">
        <f t="shared" si="81"/>
        <v>9</v>
      </c>
      <c r="T143" s="87"/>
      <c r="U143" s="87"/>
      <c r="V143" s="87"/>
      <c r="W143" s="88"/>
      <c r="X143" s="87"/>
      <c r="Y143" s="87"/>
      <c r="Z143" s="87"/>
      <c r="AA143" s="88"/>
      <c r="AB143" s="88">
        <v>39.270000000000003</v>
      </c>
      <c r="AC143" s="88">
        <v>52.462499999999999</v>
      </c>
      <c r="AD143" s="88">
        <v>72.64</v>
      </c>
      <c r="AE143" s="89">
        <f t="shared" si="25"/>
        <v>653.76</v>
      </c>
      <c r="AF143" s="90">
        <v>6.5000000000000002E-2</v>
      </c>
      <c r="AG143" s="4">
        <f t="shared" si="78"/>
        <v>42.494399999999999</v>
      </c>
      <c r="AH143" s="49">
        <f t="shared" si="26"/>
        <v>0</v>
      </c>
      <c r="AI143" s="89">
        <f t="shared" si="27"/>
        <v>611.26559999999995</v>
      </c>
      <c r="AJ143" s="91">
        <v>0.18</v>
      </c>
      <c r="AK143" s="5">
        <f t="shared" si="28"/>
        <v>110.02780799999999</v>
      </c>
      <c r="AL143" s="89">
        <f t="shared" si="29"/>
        <v>721.293408</v>
      </c>
      <c r="AP143" s="92"/>
    </row>
    <row r="144" spans="1:42" hidden="1" x14ac:dyDescent="0.35">
      <c r="A144" s="85">
        <v>46209</v>
      </c>
      <c r="B144" s="51" t="s">
        <v>85</v>
      </c>
      <c r="C144" s="97">
        <v>61593914.75</v>
      </c>
      <c r="D144" s="97">
        <v>87785.2</v>
      </c>
      <c r="E144" s="48" t="s">
        <v>86</v>
      </c>
      <c r="F144" s="86" t="s">
        <v>108</v>
      </c>
      <c r="G144" s="86" t="s">
        <v>177</v>
      </c>
      <c r="H144" s="95" t="s">
        <v>176</v>
      </c>
      <c r="I144" s="48" t="s">
        <v>250</v>
      </c>
      <c r="J144" s="52"/>
      <c r="K144" s="105"/>
      <c r="L144" s="105"/>
      <c r="M144" s="105"/>
      <c r="N144" s="104">
        <f t="shared" si="80"/>
        <v>0</v>
      </c>
      <c r="O144" s="86">
        <v>40</v>
      </c>
      <c r="P144" s="105">
        <v>40</v>
      </c>
      <c r="Q144" s="86">
        <v>40</v>
      </c>
      <c r="R144" s="104">
        <f t="shared" si="79"/>
        <v>120</v>
      </c>
      <c r="S144" s="86">
        <f t="shared" si="81"/>
        <v>120</v>
      </c>
      <c r="T144" s="87"/>
      <c r="U144" s="87"/>
      <c r="V144" s="87"/>
      <c r="W144" s="88"/>
      <c r="X144" s="87"/>
      <c r="Y144" s="87"/>
      <c r="Z144" s="87"/>
      <c r="AA144" s="88"/>
      <c r="AB144" s="88">
        <v>39.270000000000003</v>
      </c>
      <c r="AC144" s="88">
        <v>52.462499999999999</v>
      </c>
      <c r="AD144" s="88">
        <v>72.64</v>
      </c>
      <c r="AE144" s="89">
        <f t="shared" si="25"/>
        <v>8716.7999999999993</v>
      </c>
      <c r="AF144" s="90">
        <v>6.5000000000000002E-2</v>
      </c>
      <c r="AG144" s="4">
        <f t="shared" si="78"/>
        <v>566.59199999999998</v>
      </c>
      <c r="AH144" s="49">
        <f t="shared" si="26"/>
        <v>0</v>
      </c>
      <c r="AI144" s="89">
        <f t="shared" si="27"/>
        <v>8150.2079999999996</v>
      </c>
      <c r="AJ144" s="91">
        <v>0.18</v>
      </c>
      <c r="AK144" s="5">
        <f t="shared" si="28"/>
        <v>1467.0374399999998</v>
      </c>
      <c r="AL144" s="89">
        <f t="shared" si="29"/>
        <v>9617.2454399999988</v>
      </c>
      <c r="AP144" s="92"/>
    </row>
    <row r="145" spans="1:42" hidden="1" x14ac:dyDescent="0.35">
      <c r="A145" s="85">
        <v>46209</v>
      </c>
      <c r="B145" s="51" t="s">
        <v>85</v>
      </c>
      <c r="C145" s="97">
        <v>62063833.821428597</v>
      </c>
      <c r="D145" s="97">
        <v>88450.9</v>
      </c>
      <c r="E145" s="48" t="s">
        <v>86</v>
      </c>
      <c r="F145" s="86" t="s">
        <v>108</v>
      </c>
      <c r="G145" s="86" t="s">
        <v>249</v>
      </c>
      <c r="H145" s="95" t="s">
        <v>176</v>
      </c>
      <c r="I145" s="48" t="s">
        <v>250</v>
      </c>
      <c r="J145" s="52"/>
      <c r="K145" s="86"/>
      <c r="L145" s="105"/>
      <c r="M145" s="86"/>
      <c r="N145" s="104">
        <f t="shared" si="80"/>
        <v>0</v>
      </c>
      <c r="O145" s="86">
        <v>40</v>
      </c>
      <c r="P145" s="86">
        <v>20</v>
      </c>
      <c r="Q145" s="86">
        <v>20</v>
      </c>
      <c r="R145" s="104">
        <f t="shared" si="79"/>
        <v>80</v>
      </c>
      <c r="S145" s="86">
        <f t="shared" si="81"/>
        <v>80</v>
      </c>
      <c r="T145" s="87"/>
      <c r="U145" s="87"/>
      <c r="V145" s="87"/>
      <c r="W145" s="88"/>
      <c r="X145" s="87"/>
      <c r="Y145" s="87"/>
      <c r="Z145" s="87"/>
      <c r="AA145" s="88"/>
      <c r="AB145" s="88">
        <v>39.270000000000003</v>
      </c>
      <c r="AC145" s="88">
        <v>52.462499999999999</v>
      </c>
      <c r="AD145" s="88">
        <v>72.64</v>
      </c>
      <c r="AE145" s="89">
        <f t="shared" si="25"/>
        <v>5811.2</v>
      </c>
      <c r="AF145" s="90">
        <v>6.5000000000000002E-2</v>
      </c>
      <c r="AG145" s="4">
        <f t="shared" si="78"/>
        <v>377.72800000000001</v>
      </c>
      <c r="AH145" s="49">
        <f t="shared" si="26"/>
        <v>0</v>
      </c>
      <c r="AI145" s="89">
        <f t="shared" si="27"/>
        <v>5433.4719999999998</v>
      </c>
      <c r="AJ145" s="91">
        <v>0.18</v>
      </c>
      <c r="AK145" s="5">
        <f t="shared" si="28"/>
        <v>978.02495999999996</v>
      </c>
      <c r="AL145" s="89">
        <f t="shared" si="29"/>
        <v>6411.4969599999995</v>
      </c>
      <c r="AP145" s="92"/>
    </row>
    <row r="146" spans="1:42" hidden="1" x14ac:dyDescent="0.35">
      <c r="A146" s="85">
        <v>46209</v>
      </c>
      <c r="B146" s="51" t="s">
        <v>85</v>
      </c>
      <c r="C146" s="97">
        <v>62533752.892857097</v>
      </c>
      <c r="D146" s="97">
        <v>89116.6</v>
      </c>
      <c r="E146" s="48" t="s">
        <v>86</v>
      </c>
      <c r="F146" s="86" t="s">
        <v>108</v>
      </c>
      <c r="G146" s="86" t="s">
        <v>251</v>
      </c>
      <c r="H146" s="86" t="s">
        <v>112</v>
      </c>
      <c r="I146" s="48" t="s">
        <v>257</v>
      </c>
      <c r="J146" s="52">
        <v>20</v>
      </c>
      <c r="K146" s="86">
        <v>20</v>
      </c>
      <c r="L146" s="86">
        <v>10</v>
      </c>
      <c r="M146" s="86"/>
      <c r="N146" s="104">
        <f t="shared" si="80"/>
        <v>30</v>
      </c>
      <c r="O146" s="105">
        <v>20</v>
      </c>
      <c r="P146" s="105"/>
      <c r="Q146" s="105">
        <v>20</v>
      </c>
      <c r="R146" s="104">
        <f t="shared" si="79"/>
        <v>40</v>
      </c>
      <c r="S146" s="86">
        <f t="shared" si="81"/>
        <v>90</v>
      </c>
      <c r="T146" s="87"/>
      <c r="U146" s="87"/>
      <c r="V146" s="87"/>
      <c r="W146" s="88"/>
      <c r="X146" s="87"/>
      <c r="Y146" s="87"/>
      <c r="Z146" s="87"/>
      <c r="AA146" s="88"/>
      <c r="AB146" s="88">
        <v>39.270000000000003</v>
      </c>
      <c r="AC146" s="88">
        <v>52.462499999999999</v>
      </c>
      <c r="AD146" s="88">
        <v>72.64</v>
      </c>
      <c r="AE146" s="89">
        <f t="shared" si="25"/>
        <v>8896.875</v>
      </c>
      <c r="AF146" s="90">
        <v>6.5000000000000002E-2</v>
      </c>
      <c r="AG146" s="4">
        <f t="shared" si="78"/>
        <v>578.296875</v>
      </c>
      <c r="AH146" s="49">
        <f t="shared" si="26"/>
        <v>27.489000000000004</v>
      </c>
      <c r="AI146" s="89">
        <f t="shared" si="27"/>
        <v>8318.578125</v>
      </c>
      <c r="AJ146" s="91">
        <v>0.18</v>
      </c>
      <c r="AK146" s="5">
        <f t="shared" si="28"/>
        <v>1497.3440624999998</v>
      </c>
      <c r="AL146" s="89">
        <f t="shared" si="29"/>
        <v>9815.9221875000003</v>
      </c>
      <c r="AP146" s="92"/>
    </row>
    <row r="147" spans="1:42" hidden="1" x14ac:dyDescent="0.35">
      <c r="A147" s="85">
        <v>46209</v>
      </c>
      <c r="B147" s="51" t="s">
        <v>85</v>
      </c>
      <c r="C147" s="97">
        <v>63003671.964285702</v>
      </c>
      <c r="D147" s="97">
        <v>89782.3</v>
      </c>
      <c r="E147" s="48" t="s">
        <v>86</v>
      </c>
      <c r="F147" s="86" t="s">
        <v>108</v>
      </c>
      <c r="G147" s="86" t="s">
        <v>252</v>
      </c>
      <c r="H147" s="86" t="s">
        <v>112</v>
      </c>
      <c r="I147" s="48" t="s">
        <v>257</v>
      </c>
      <c r="J147" s="52">
        <v>40</v>
      </c>
      <c r="K147" s="105"/>
      <c r="L147" s="105"/>
      <c r="M147" s="105"/>
      <c r="N147" s="104">
        <f t="shared" si="80"/>
        <v>0</v>
      </c>
      <c r="O147" s="86"/>
      <c r="P147" s="105"/>
      <c r="Q147" s="105"/>
      <c r="R147" s="104">
        <f t="shared" si="79"/>
        <v>0</v>
      </c>
      <c r="S147" s="86">
        <f t="shared" si="81"/>
        <v>40</v>
      </c>
      <c r="T147" s="87"/>
      <c r="U147" s="87"/>
      <c r="V147" s="87"/>
      <c r="W147" s="88"/>
      <c r="X147" s="87"/>
      <c r="Y147" s="87"/>
      <c r="Z147" s="87"/>
      <c r="AA147" s="88"/>
      <c r="AB147" s="88">
        <v>39.270000000000003</v>
      </c>
      <c r="AC147" s="88">
        <v>52.462499999999999</v>
      </c>
      <c r="AD147" s="88">
        <v>72.64</v>
      </c>
      <c r="AE147" s="89">
        <f t="shared" si="25"/>
        <v>4476.3999999999996</v>
      </c>
      <c r="AF147" s="90">
        <v>6.5000000000000002E-2</v>
      </c>
      <c r="AG147" s="4">
        <f t="shared" si="78"/>
        <v>290.96600000000001</v>
      </c>
      <c r="AH147" s="49">
        <f t="shared" si="26"/>
        <v>54.978000000000009</v>
      </c>
      <c r="AI147" s="89">
        <f t="shared" si="27"/>
        <v>4185.4339999999993</v>
      </c>
      <c r="AJ147" s="91">
        <v>0.18</v>
      </c>
      <c r="AK147" s="5">
        <f t="shared" si="28"/>
        <v>753.37811999999985</v>
      </c>
      <c r="AL147" s="89">
        <f t="shared" si="29"/>
        <v>4938.8121199999987</v>
      </c>
      <c r="AP147" s="92"/>
    </row>
    <row r="148" spans="1:42" hidden="1" x14ac:dyDescent="0.35">
      <c r="A148" s="85">
        <v>46209</v>
      </c>
      <c r="B148" s="51" t="s">
        <v>85</v>
      </c>
      <c r="C148" s="97">
        <v>63473591.035714298</v>
      </c>
      <c r="D148" s="97">
        <v>90448</v>
      </c>
      <c r="E148" s="48" t="s">
        <v>86</v>
      </c>
      <c r="F148" s="86" t="s">
        <v>108</v>
      </c>
      <c r="G148" s="86" t="s">
        <v>253</v>
      </c>
      <c r="H148" s="86" t="s">
        <v>112</v>
      </c>
      <c r="I148" s="48" t="s">
        <v>257</v>
      </c>
      <c r="J148" s="52"/>
      <c r="K148" s="86">
        <v>12</v>
      </c>
      <c r="L148" s="86">
        <v>6</v>
      </c>
      <c r="M148" s="86"/>
      <c r="N148" s="104">
        <f t="shared" si="80"/>
        <v>18</v>
      </c>
      <c r="O148" s="86"/>
      <c r="P148" s="86"/>
      <c r="Q148" s="86"/>
      <c r="R148" s="104">
        <f t="shared" si="79"/>
        <v>0</v>
      </c>
      <c r="S148" s="86">
        <f t="shared" si="81"/>
        <v>18</v>
      </c>
      <c r="T148" s="87"/>
      <c r="U148" s="87"/>
      <c r="V148" s="87"/>
      <c r="W148" s="88"/>
      <c r="X148" s="87"/>
      <c r="Y148" s="87"/>
      <c r="Z148" s="87"/>
      <c r="AA148" s="88"/>
      <c r="AB148" s="88">
        <v>39.270000000000003</v>
      </c>
      <c r="AC148" s="88">
        <v>52.462499999999999</v>
      </c>
      <c r="AD148" s="88">
        <v>72.64</v>
      </c>
      <c r="AE148" s="89">
        <f t="shared" si="25"/>
        <v>2251.8449999999998</v>
      </c>
      <c r="AF148" s="90">
        <v>6.5000000000000002E-2</v>
      </c>
      <c r="AG148" s="4">
        <f t="shared" si="78"/>
        <v>146.36992499999999</v>
      </c>
      <c r="AH148" s="49">
        <f t="shared" si="26"/>
        <v>0</v>
      </c>
      <c r="AI148" s="89">
        <f t="shared" si="27"/>
        <v>2105.4750749999998</v>
      </c>
      <c r="AJ148" s="91">
        <v>0.18</v>
      </c>
      <c r="AK148" s="5">
        <f t="shared" si="28"/>
        <v>378.98551349999997</v>
      </c>
      <c r="AL148" s="89">
        <f t="shared" si="29"/>
        <v>2484.4605884999996</v>
      </c>
      <c r="AP148" s="92"/>
    </row>
    <row r="149" spans="1:42" hidden="1" x14ac:dyDescent="0.35">
      <c r="A149" s="85">
        <v>46209</v>
      </c>
      <c r="B149" s="51" t="s">
        <v>85</v>
      </c>
      <c r="C149" s="97">
        <v>63943510.107142903</v>
      </c>
      <c r="D149" s="97">
        <v>91113.7</v>
      </c>
      <c r="E149" s="48" t="s">
        <v>86</v>
      </c>
      <c r="F149" s="86" t="s">
        <v>109</v>
      </c>
      <c r="G149" s="86" t="s">
        <v>254</v>
      </c>
      <c r="H149" s="86" t="s">
        <v>112</v>
      </c>
      <c r="I149" s="48" t="s">
        <v>257</v>
      </c>
      <c r="J149" s="52"/>
      <c r="K149" s="86"/>
      <c r="L149" s="86"/>
      <c r="M149" s="86"/>
      <c r="N149" s="104">
        <f t="shared" si="80"/>
        <v>0</v>
      </c>
      <c r="O149" s="105">
        <v>10</v>
      </c>
      <c r="P149" s="105">
        <v>20</v>
      </c>
      <c r="Q149" s="105">
        <v>20</v>
      </c>
      <c r="R149" s="104">
        <f t="shared" si="79"/>
        <v>50</v>
      </c>
      <c r="S149" s="86">
        <f t="shared" si="81"/>
        <v>50</v>
      </c>
      <c r="T149" s="87"/>
      <c r="U149" s="87"/>
      <c r="V149" s="87"/>
      <c r="W149" s="88"/>
      <c r="X149" s="87"/>
      <c r="Y149" s="87"/>
      <c r="Z149" s="87"/>
      <c r="AA149" s="88"/>
      <c r="AB149" s="88">
        <v>39.270000000000003</v>
      </c>
      <c r="AC149" s="88">
        <v>52.462499999999999</v>
      </c>
      <c r="AD149" s="88">
        <v>72.64</v>
      </c>
      <c r="AE149" s="89">
        <f t="shared" si="25"/>
        <v>3632</v>
      </c>
      <c r="AF149" s="90">
        <v>6.5000000000000002E-2</v>
      </c>
      <c r="AG149" s="4">
        <f t="shared" si="78"/>
        <v>236.08</v>
      </c>
      <c r="AH149" s="49">
        <f t="shared" si="26"/>
        <v>0</v>
      </c>
      <c r="AI149" s="89">
        <f t="shared" si="27"/>
        <v>3395.92</v>
      </c>
      <c r="AJ149" s="91">
        <v>0.18</v>
      </c>
      <c r="AK149" s="5">
        <f t="shared" si="28"/>
        <v>611.26559999999995</v>
      </c>
      <c r="AL149" s="89">
        <f t="shared" si="29"/>
        <v>4007.1855999999998</v>
      </c>
      <c r="AP149" s="92"/>
    </row>
    <row r="150" spans="1:42" hidden="1" x14ac:dyDescent="0.35">
      <c r="A150" s="85">
        <v>46209</v>
      </c>
      <c r="B150" s="51" t="s">
        <v>85</v>
      </c>
      <c r="C150" s="97">
        <v>64413429.178571403</v>
      </c>
      <c r="D150" s="97">
        <v>91779.4</v>
      </c>
      <c r="E150" s="48" t="s">
        <v>86</v>
      </c>
      <c r="F150" s="86" t="s">
        <v>108</v>
      </c>
      <c r="G150" s="86" t="s">
        <v>255</v>
      </c>
      <c r="H150" s="86" t="s">
        <v>112</v>
      </c>
      <c r="I150" s="48" t="s">
        <v>257</v>
      </c>
      <c r="J150" s="52"/>
      <c r="K150" s="105">
        <v>10</v>
      </c>
      <c r="L150" s="105"/>
      <c r="M150" s="105"/>
      <c r="N150" s="104">
        <f t="shared" si="80"/>
        <v>10</v>
      </c>
      <c r="O150" s="86"/>
      <c r="P150" s="86"/>
      <c r="Q150" s="86"/>
      <c r="R150" s="104">
        <f t="shared" si="79"/>
        <v>0</v>
      </c>
      <c r="S150" s="86">
        <f t="shared" si="81"/>
        <v>10</v>
      </c>
      <c r="T150" s="87"/>
      <c r="U150" s="87"/>
      <c r="V150" s="87"/>
      <c r="W150" s="88"/>
      <c r="X150" s="87"/>
      <c r="Y150" s="87"/>
      <c r="Z150" s="87"/>
      <c r="AA150" s="88"/>
      <c r="AB150" s="88">
        <v>39.270000000000003</v>
      </c>
      <c r="AC150" s="88">
        <v>52.462499999999999</v>
      </c>
      <c r="AD150" s="88">
        <v>72.64</v>
      </c>
      <c r="AE150" s="89">
        <f t="shared" ref="AE150:AE213" si="82">(J150*AB150)+(N150*AC150)+(AD150*S150)</f>
        <v>1251.0250000000001</v>
      </c>
      <c r="AF150" s="90">
        <v>6.5000000000000002E-2</v>
      </c>
      <c r="AG150" s="4">
        <f t="shared" si="78"/>
        <v>81.316625000000002</v>
      </c>
      <c r="AH150" s="49">
        <f t="shared" ref="AH150:AH213" si="83">(AB150*J150)*$AH$1</f>
        <v>0</v>
      </c>
      <c r="AI150" s="89">
        <f t="shared" ref="AI150:AI213" si="84">AE150-AG150</f>
        <v>1169.7083750000002</v>
      </c>
      <c r="AJ150" s="91">
        <v>0.18</v>
      </c>
      <c r="AK150" s="5">
        <f t="shared" ref="AK150:AK213" si="85">AI150*AJ150</f>
        <v>210.54750750000002</v>
      </c>
      <c r="AL150" s="89">
        <f t="shared" ref="AL150:AL213" si="86">AI150+AK150</f>
        <v>1380.2558825000001</v>
      </c>
      <c r="AP150" s="92"/>
    </row>
    <row r="151" spans="1:42" hidden="1" x14ac:dyDescent="0.35">
      <c r="A151" s="85">
        <v>46209</v>
      </c>
      <c r="B151" s="51" t="s">
        <v>85</v>
      </c>
      <c r="C151" s="97">
        <v>64883348.25</v>
      </c>
      <c r="D151" s="97">
        <v>92445.1</v>
      </c>
      <c r="E151" s="48" t="s">
        <v>86</v>
      </c>
      <c r="F151" s="86" t="s">
        <v>108</v>
      </c>
      <c r="G151" s="86" t="s">
        <v>256</v>
      </c>
      <c r="H151" s="86" t="s">
        <v>112</v>
      </c>
      <c r="I151" s="48" t="s">
        <v>257</v>
      </c>
      <c r="J151" s="52"/>
      <c r="K151" s="86"/>
      <c r="L151" s="86"/>
      <c r="M151" s="105"/>
      <c r="N151" s="104">
        <f t="shared" si="80"/>
        <v>0</v>
      </c>
      <c r="O151" s="86">
        <v>10</v>
      </c>
      <c r="P151" s="105">
        <v>5</v>
      </c>
      <c r="Q151" s="86">
        <v>5</v>
      </c>
      <c r="R151" s="104">
        <f t="shared" si="79"/>
        <v>20</v>
      </c>
      <c r="S151" s="86">
        <f t="shared" si="81"/>
        <v>20</v>
      </c>
      <c r="T151" s="87"/>
      <c r="U151" s="87"/>
      <c r="V151" s="87"/>
      <c r="W151" s="88"/>
      <c r="X151" s="87"/>
      <c r="Y151" s="87"/>
      <c r="Z151" s="87"/>
      <c r="AA151" s="88"/>
      <c r="AB151" s="88">
        <v>39.270000000000003</v>
      </c>
      <c r="AC151" s="88">
        <v>52.462499999999999</v>
      </c>
      <c r="AD151" s="88">
        <v>72.64</v>
      </c>
      <c r="AE151" s="89">
        <f t="shared" si="82"/>
        <v>1452.8</v>
      </c>
      <c r="AF151" s="90">
        <v>6.5000000000000002E-2</v>
      </c>
      <c r="AG151" s="4">
        <f t="shared" si="78"/>
        <v>94.432000000000002</v>
      </c>
      <c r="AH151" s="49">
        <f t="shared" si="83"/>
        <v>0</v>
      </c>
      <c r="AI151" s="89">
        <f t="shared" si="84"/>
        <v>1358.3679999999999</v>
      </c>
      <c r="AJ151" s="91">
        <v>0.18</v>
      </c>
      <c r="AK151" s="5">
        <f t="shared" si="85"/>
        <v>244.50623999999999</v>
      </c>
      <c r="AL151" s="89">
        <f t="shared" si="86"/>
        <v>1602.8742399999999</v>
      </c>
      <c r="AP151" s="92"/>
    </row>
    <row r="152" spans="1:42" hidden="1" x14ac:dyDescent="0.35">
      <c r="A152" s="85">
        <v>46209</v>
      </c>
      <c r="B152" s="51" t="s">
        <v>85</v>
      </c>
      <c r="C152" s="97">
        <v>65353267.321428597</v>
      </c>
      <c r="D152" s="97">
        <v>93110.8</v>
      </c>
      <c r="E152" s="48" t="s">
        <v>86</v>
      </c>
      <c r="F152" s="86" t="s">
        <v>108</v>
      </c>
      <c r="G152" s="86" t="s">
        <v>258</v>
      </c>
      <c r="H152" s="86" t="s">
        <v>127</v>
      </c>
      <c r="I152" s="48" t="s">
        <v>264</v>
      </c>
      <c r="J152" s="52"/>
      <c r="K152" s="105"/>
      <c r="L152" s="105"/>
      <c r="M152" s="105"/>
      <c r="N152" s="104">
        <f t="shared" si="80"/>
        <v>0</v>
      </c>
      <c r="O152" s="86">
        <v>15</v>
      </c>
      <c r="P152" s="86">
        <v>15</v>
      </c>
      <c r="Q152" s="105">
        <v>10</v>
      </c>
      <c r="R152" s="104">
        <f t="shared" si="79"/>
        <v>40</v>
      </c>
      <c r="S152" s="86">
        <f t="shared" si="81"/>
        <v>40</v>
      </c>
      <c r="T152" s="87"/>
      <c r="U152" s="87"/>
      <c r="V152" s="87"/>
      <c r="W152" s="88"/>
      <c r="X152" s="87"/>
      <c r="Y152" s="87"/>
      <c r="Z152" s="87"/>
      <c r="AA152" s="88"/>
      <c r="AB152" s="88">
        <v>39.270000000000003</v>
      </c>
      <c r="AC152" s="88">
        <v>52.462499999999999</v>
      </c>
      <c r="AD152" s="88">
        <v>72.64</v>
      </c>
      <c r="AE152" s="89">
        <f t="shared" si="82"/>
        <v>2905.6</v>
      </c>
      <c r="AF152" s="90">
        <v>6.5000000000000002E-2</v>
      </c>
      <c r="AG152" s="4">
        <f t="shared" si="78"/>
        <v>188.864</v>
      </c>
      <c r="AH152" s="49">
        <f t="shared" si="83"/>
        <v>0</v>
      </c>
      <c r="AI152" s="89">
        <f t="shared" si="84"/>
        <v>2716.7359999999999</v>
      </c>
      <c r="AJ152" s="91">
        <v>0.18</v>
      </c>
      <c r="AK152" s="5">
        <f t="shared" si="85"/>
        <v>489.01247999999998</v>
      </c>
      <c r="AL152" s="89">
        <f t="shared" si="86"/>
        <v>3205.7484799999997</v>
      </c>
      <c r="AP152" s="92"/>
    </row>
    <row r="153" spans="1:42" hidden="1" x14ac:dyDescent="0.35">
      <c r="A153" s="85">
        <v>46209</v>
      </c>
      <c r="B153" s="51" t="s">
        <v>85</v>
      </c>
      <c r="C153" s="97">
        <v>65823186.392857097</v>
      </c>
      <c r="D153" s="97">
        <v>93776.5</v>
      </c>
      <c r="E153" s="48" t="s">
        <v>86</v>
      </c>
      <c r="F153" s="86" t="s">
        <v>109</v>
      </c>
      <c r="G153" s="86" t="s">
        <v>259</v>
      </c>
      <c r="H153" s="86" t="s">
        <v>127</v>
      </c>
      <c r="I153" s="48" t="s">
        <v>264</v>
      </c>
      <c r="J153" s="52">
        <v>80</v>
      </c>
      <c r="K153" s="86">
        <v>40</v>
      </c>
      <c r="L153" s="86"/>
      <c r="M153" s="86"/>
      <c r="N153" s="104">
        <f t="shared" si="80"/>
        <v>40</v>
      </c>
      <c r="O153" s="86"/>
      <c r="P153" s="86"/>
      <c r="Q153" s="86">
        <v>40</v>
      </c>
      <c r="R153" s="104">
        <f t="shared" si="79"/>
        <v>40</v>
      </c>
      <c r="S153" s="86">
        <f t="shared" si="81"/>
        <v>160</v>
      </c>
      <c r="T153" s="87"/>
      <c r="U153" s="87"/>
      <c r="V153" s="87"/>
      <c r="W153" s="88"/>
      <c r="X153" s="87"/>
      <c r="Y153" s="87"/>
      <c r="Z153" s="87"/>
      <c r="AA153" s="88"/>
      <c r="AB153" s="88">
        <v>39.270000000000003</v>
      </c>
      <c r="AC153" s="88">
        <v>52.462499999999999</v>
      </c>
      <c r="AD153" s="88">
        <v>72.64</v>
      </c>
      <c r="AE153" s="89">
        <f t="shared" si="82"/>
        <v>16862.5</v>
      </c>
      <c r="AF153" s="90">
        <v>6.5000000000000002E-2</v>
      </c>
      <c r="AG153" s="4">
        <f t="shared" si="78"/>
        <v>1096.0625</v>
      </c>
      <c r="AH153" s="49">
        <f t="shared" si="83"/>
        <v>109.95600000000002</v>
      </c>
      <c r="AI153" s="89">
        <f t="shared" si="84"/>
        <v>15766.4375</v>
      </c>
      <c r="AJ153" s="91">
        <v>0.18</v>
      </c>
      <c r="AK153" s="5">
        <f t="shared" si="85"/>
        <v>2837.9587499999998</v>
      </c>
      <c r="AL153" s="89">
        <f t="shared" si="86"/>
        <v>18604.396249999998</v>
      </c>
      <c r="AP153" s="92"/>
    </row>
    <row r="154" spans="1:42" hidden="1" x14ac:dyDescent="0.35">
      <c r="A154" s="85">
        <v>46209</v>
      </c>
      <c r="B154" s="51" t="s">
        <v>85</v>
      </c>
      <c r="C154" s="97">
        <v>66293105.464285702</v>
      </c>
      <c r="D154" s="97">
        <v>94442.2</v>
      </c>
      <c r="E154" s="48" t="s">
        <v>86</v>
      </c>
      <c r="F154" s="86" t="s">
        <v>109</v>
      </c>
      <c r="G154" s="86" t="s">
        <v>260</v>
      </c>
      <c r="H154" s="86" t="s">
        <v>127</v>
      </c>
      <c r="I154" s="48" t="s">
        <v>264</v>
      </c>
      <c r="J154" s="52"/>
      <c r="K154" s="86">
        <v>40</v>
      </c>
      <c r="L154" s="105">
        <v>40</v>
      </c>
      <c r="M154" s="105"/>
      <c r="N154" s="104">
        <f t="shared" si="80"/>
        <v>80</v>
      </c>
      <c r="O154" s="86">
        <v>40</v>
      </c>
      <c r="P154" s="86">
        <v>40</v>
      </c>
      <c r="Q154" s="86">
        <v>40</v>
      </c>
      <c r="R154" s="104">
        <f t="shared" si="79"/>
        <v>120</v>
      </c>
      <c r="S154" s="86">
        <f t="shared" si="81"/>
        <v>200</v>
      </c>
      <c r="T154" s="87"/>
      <c r="U154" s="87"/>
      <c r="V154" s="87"/>
      <c r="W154" s="88"/>
      <c r="X154" s="87"/>
      <c r="Y154" s="87"/>
      <c r="Z154" s="87"/>
      <c r="AA154" s="88"/>
      <c r="AB154" s="88">
        <v>39.270000000000003</v>
      </c>
      <c r="AC154" s="88">
        <v>52.462499999999999</v>
      </c>
      <c r="AD154" s="88">
        <v>72.64</v>
      </c>
      <c r="AE154" s="89">
        <f t="shared" si="82"/>
        <v>18725</v>
      </c>
      <c r="AF154" s="90">
        <v>6.5000000000000002E-2</v>
      </c>
      <c r="AG154" s="4">
        <f t="shared" si="78"/>
        <v>1217.125</v>
      </c>
      <c r="AH154" s="49">
        <f t="shared" si="83"/>
        <v>0</v>
      </c>
      <c r="AI154" s="89">
        <f t="shared" si="84"/>
        <v>17507.875</v>
      </c>
      <c r="AJ154" s="91">
        <v>0.18</v>
      </c>
      <c r="AK154" s="5">
        <f t="shared" si="85"/>
        <v>3151.4175</v>
      </c>
      <c r="AL154" s="89">
        <f t="shared" si="86"/>
        <v>20659.2925</v>
      </c>
      <c r="AP154" s="92"/>
    </row>
    <row r="155" spans="1:42" hidden="1" x14ac:dyDescent="0.35">
      <c r="A155" s="85">
        <v>46209</v>
      </c>
      <c r="B155" s="51" t="s">
        <v>85</v>
      </c>
      <c r="C155" s="97">
        <v>66763024.535714298</v>
      </c>
      <c r="D155" s="97">
        <v>95107.9</v>
      </c>
      <c r="E155" s="48" t="s">
        <v>86</v>
      </c>
      <c r="F155" s="86" t="s">
        <v>109</v>
      </c>
      <c r="G155" s="86" t="s">
        <v>261</v>
      </c>
      <c r="H155" s="86" t="s">
        <v>127</v>
      </c>
      <c r="I155" s="48" t="s">
        <v>264</v>
      </c>
      <c r="J155" s="52">
        <v>40</v>
      </c>
      <c r="K155" s="105">
        <v>40</v>
      </c>
      <c r="L155" s="105">
        <v>40</v>
      </c>
      <c r="M155" s="105"/>
      <c r="N155" s="104">
        <f t="shared" si="80"/>
        <v>80</v>
      </c>
      <c r="O155" s="86">
        <v>40</v>
      </c>
      <c r="P155" s="105">
        <v>40</v>
      </c>
      <c r="Q155" s="105">
        <v>40</v>
      </c>
      <c r="R155" s="104">
        <f t="shared" si="79"/>
        <v>120</v>
      </c>
      <c r="S155" s="86">
        <f t="shared" si="81"/>
        <v>240</v>
      </c>
      <c r="T155" s="87"/>
      <c r="U155" s="87"/>
      <c r="V155" s="87"/>
      <c r="W155" s="88"/>
      <c r="X155" s="87"/>
      <c r="Y155" s="87"/>
      <c r="Z155" s="87"/>
      <c r="AA155" s="88"/>
      <c r="AB155" s="88">
        <v>39.270000000000003</v>
      </c>
      <c r="AC155" s="88">
        <v>52.462499999999999</v>
      </c>
      <c r="AD155" s="88">
        <v>72.64</v>
      </c>
      <c r="AE155" s="89">
        <f t="shared" si="82"/>
        <v>23201.399999999998</v>
      </c>
      <c r="AF155" s="90">
        <v>6.5000000000000002E-2</v>
      </c>
      <c r="AG155" s="4">
        <f t="shared" si="78"/>
        <v>1508.0909999999999</v>
      </c>
      <c r="AH155" s="49">
        <f t="shared" si="83"/>
        <v>54.978000000000009</v>
      </c>
      <c r="AI155" s="89">
        <f t="shared" si="84"/>
        <v>21693.308999999997</v>
      </c>
      <c r="AJ155" s="91">
        <v>0.18</v>
      </c>
      <c r="AK155" s="5">
        <f t="shared" si="85"/>
        <v>3904.7956199999994</v>
      </c>
      <c r="AL155" s="89">
        <f t="shared" si="86"/>
        <v>25598.104619999998</v>
      </c>
      <c r="AP155" s="92"/>
    </row>
    <row r="156" spans="1:42" hidden="1" x14ac:dyDescent="0.35">
      <c r="A156" s="85">
        <v>46209</v>
      </c>
      <c r="B156" s="51" t="s">
        <v>85</v>
      </c>
      <c r="C156" s="97">
        <v>67232943.607142895</v>
      </c>
      <c r="D156" s="97">
        <v>95773.6</v>
      </c>
      <c r="E156" s="48" t="s">
        <v>86</v>
      </c>
      <c r="F156" s="86" t="s">
        <v>109</v>
      </c>
      <c r="G156" s="86" t="s">
        <v>262</v>
      </c>
      <c r="H156" s="86" t="s">
        <v>127</v>
      </c>
      <c r="I156" s="48" t="s">
        <v>264</v>
      </c>
      <c r="J156" s="52">
        <v>20</v>
      </c>
      <c r="K156" s="86">
        <v>20</v>
      </c>
      <c r="L156" s="105">
        <v>20</v>
      </c>
      <c r="M156" s="86"/>
      <c r="N156" s="104">
        <f t="shared" si="80"/>
        <v>40</v>
      </c>
      <c r="O156" s="86"/>
      <c r="P156" s="86"/>
      <c r="Q156" s="105"/>
      <c r="R156" s="104">
        <f t="shared" si="79"/>
        <v>0</v>
      </c>
      <c r="S156" s="86">
        <f t="shared" si="81"/>
        <v>60</v>
      </c>
      <c r="T156" s="87"/>
      <c r="U156" s="87"/>
      <c r="V156" s="87"/>
      <c r="W156" s="88"/>
      <c r="X156" s="87"/>
      <c r="Y156" s="87"/>
      <c r="Z156" s="87"/>
      <c r="AA156" s="88"/>
      <c r="AB156" s="88">
        <v>39.270000000000003</v>
      </c>
      <c r="AC156" s="88">
        <v>52.462499999999999</v>
      </c>
      <c r="AD156" s="88">
        <v>72.64</v>
      </c>
      <c r="AE156" s="89">
        <f t="shared" si="82"/>
        <v>7242.2999999999993</v>
      </c>
      <c r="AF156" s="90">
        <v>6.5000000000000002E-2</v>
      </c>
      <c r="AG156" s="4">
        <f t="shared" si="78"/>
        <v>470.74949999999995</v>
      </c>
      <c r="AH156" s="49">
        <f t="shared" si="83"/>
        <v>27.489000000000004</v>
      </c>
      <c r="AI156" s="89">
        <f t="shared" si="84"/>
        <v>6771.5504999999994</v>
      </c>
      <c r="AJ156" s="91">
        <v>0.18</v>
      </c>
      <c r="AK156" s="5">
        <f t="shared" si="85"/>
        <v>1218.8790899999999</v>
      </c>
      <c r="AL156" s="89">
        <f t="shared" si="86"/>
        <v>7990.4295899999997</v>
      </c>
      <c r="AP156" s="92"/>
    </row>
    <row r="157" spans="1:42" hidden="1" x14ac:dyDescent="0.35">
      <c r="A157" s="85">
        <v>46209</v>
      </c>
      <c r="B157" s="51" t="s">
        <v>85</v>
      </c>
      <c r="C157" s="97">
        <v>67702862.678571403</v>
      </c>
      <c r="D157" s="97">
        <v>96439.3</v>
      </c>
      <c r="E157" s="48" t="s">
        <v>86</v>
      </c>
      <c r="F157" s="86" t="s">
        <v>109</v>
      </c>
      <c r="G157" s="86" t="s">
        <v>263</v>
      </c>
      <c r="H157" s="86" t="s">
        <v>127</v>
      </c>
      <c r="I157" s="48" t="s">
        <v>264</v>
      </c>
      <c r="J157" s="52"/>
      <c r="K157" s="105">
        <v>40</v>
      </c>
      <c r="L157" s="105">
        <v>40</v>
      </c>
      <c r="M157" s="105"/>
      <c r="N157" s="104">
        <f t="shared" si="80"/>
        <v>80</v>
      </c>
      <c r="O157" s="86">
        <v>40</v>
      </c>
      <c r="P157" s="86">
        <v>40</v>
      </c>
      <c r="Q157" s="86">
        <v>40</v>
      </c>
      <c r="R157" s="104">
        <f t="shared" si="79"/>
        <v>120</v>
      </c>
      <c r="S157" s="86">
        <f t="shared" si="81"/>
        <v>200</v>
      </c>
      <c r="T157" s="87"/>
      <c r="U157" s="87"/>
      <c r="V157" s="87"/>
      <c r="W157" s="88"/>
      <c r="X157" s="87"/>
      <c r="Y157" s="87"/>
      <c r="Z157" s="87"/>
      <c r="AA157" s="88"/>
      <c r="AB157" s="88">
        <v>39.270000000000003</v>
      </c>
      <c r="AC157" s="88">
        <v>52.462499999999999</v>
      </c>
      <c r="AD157" s="88">
        <v>72.64</v>
      </c>
      <c r="AE157" s="89">
        <f t="shared" si="82"/>
        <v>18725</v>
      </c>
      <c r="AF157" s="90">
        <v>6.5000000000000002E-2</v>
      </c>
      <c r="AG157" s="4">
        <f t="shared" si="78"/>
        <v>1217.125</v>
      </c>
      <c r="AH157" s="49">
        <f t="shared" si="83"/>
        <v>0</v>
      </c>
      <c r="AI157" s="89">
        <f t="shared" si="84"/>
        <v>17507.875</v>
      </c>
      <c r="AJ157" s="91">
        <v>0.18</v>
      </c>
      <c r="AK157" s="5">
        <f t="shared" si="85"/>
        <v>3151.4175</v>
      </c>
      <c r="AL157" s="89">
        <f t="shared" si="86"/>
        <v>20659.2925</v>
      </c>
      <c r="AP157" s="92"/>
    </row>
    <row r="158" spans="1:42" hidden="1" x14ac:dyDescent="0.35">
      <c r="A158" s="85">
        <v>46209</v>
      </c>
      <c r="B158" s="51" t="s">
        <v>85</v>
      </c>
      <c r="C158" s="97">
        <v>68172781.75</v>
      </c>
      <c r="D158" s="97">
        <v>97105</v>
      </c>
      <c r="E158" s="48" t="s">
        <v>86</v>
      </c>
      <c r="F158" s="86" t="s">
        <v>108</v>
      </c>
      <c r="G158" s="86" t="s">
        <v>265</v>
      </c>
      <c r="H158" s="86" t="s">
        <v>129</v>
      </c>
      <c r="I158" s="48" t="s">
        <v>273</v>
      </c>
      <c r="J158" s="52"/>
      <c r="K158" s="105"/>
      <c r="L158" s="105"/>
      <c r="M158" s="105"/>
      <c r="N158" s="104">
        <f t="shared" si="80"/>
        <v>0</v>
      </c>
      <c r="O158" s="86"/>
      <c r="P158" s="86"/>
      <c r="Q158" s="105">
        <v>10</v>
      </c>
      <c r="R158" s="104">
        <f t="shared" si="79"/>
        <v>10</v>
      </c>
      <c r="S158" s="86">
        <f t="shared" si="81"/>
        <v>10</v>
      </c>
      <c r="T158" s="87"/>
      <c r="U158" s="87"/>
      <c r="V158" s="87"/>
      <c r="W158" s="88"/>
      <c r="X158" s="87"/>
      <c r="Y158" s="87"/>
      <c r="Z158" s="87"/>
      <c r="AA158" s="88"/>
      <c r="AB158" s="88">
        <v>39.270000000000003</v>
      </c>
      <c r="AC158" s="88">
        <v>52.462499999999999</v>
      </c>
      <c r="AD158" s="88">
        <v>72.64</v>
      </c>
      <c r="AE158" s="89">
        <f t="shared" si="82"/>
        <v>726.4</v>
      </c>
      <c r="AF158" s="90">
        <v>6.5000000000000002E-2</v>
      </c>
      <c r="AG158" s="4">
        <f t="shared" si="78"/>
        <v>47.216000000000001</v>
      </c>
      <c r="AH158" s="49">
        <f t="shared" si="83"/>
        <v>0</v>
      </c>
      <c r="AI158" s="89">
        <f t="shared" si="84"/>
        <v>679.18399999999997</v>
      </c>
      <c r="AJ158" s="91">
        <v>0.18</v>
      </c>
      <c r="AK158" s="5">
        <f t="shared" si="85"/>
        <v>122.25312</v>
      </c>
      <c r="AL158" s="89">
        <f t="shared" si="86"/>
        <v>801.43711999999994</v>
      </c>
      <c r="AP158" s="92"/>
    </row>
    <row r="159" spans="1:42" hidden="1" x14ac:dyDescent="0.35">
      <c r="A159" s="85">
        <v>46209</v>
      </c>
      <c r="B159" s="51" t="s">
        <v>85</v>
      </c>
      <c r="C159" s="97">
        <v>68642700.821428597</v>
      </c>
      <c r="D159" s="97">
        <v>97770.7</v>
      </c>
      <c r="E159" s="48" t="s">
        <v>86</v>
      </c>
      <c r="F159" s="86" t="s">
        <v>108</v>
      </c>
      <c r="G159" s="86" t="s">
        <v>266</v>
      </c>
      <c r="H159" s="86" t="s">
        <v>129</v>
      </c>
      <c r="I159" s="48" t="s">
        <v>273</v>
      </c>
      <c r="J159" s="52"/>
      <c r="K159" s="86"/>
      <c r="L159" s="86"/>
      <c r="M159" s="86"/>
      <c r="N159" s="104">
        <f t="shared" si="80"/>
        <v>0</v>
      </c>
      <c r="O159" s="86"/>
      <c r="P159" s="86"/>
      <c r="Q159" s="86">
        <v>10</v>
      </c>
      <c r="R159" s="104">
        <f t="shared" si="79"/>
        <v>10</v>
      </c>
      <c r="S159" s="86">
        <f t="shared" si="81"/>
        <v>10</v>
      </c>
      <c r="T159" s="87"/>
      <c r="U159" s="87"/>
      <c r="V159" s="87"/>
      <c r="W159" s="88"/>
      <c r="X159" s="87"/>
      <c r="Y159" s="87"/>
      <c r="Z159" s="87"/>
      <c r="AA159" s="88"/>
      <c r="AB159" s="88">
        <v>39.270000000000003</v>
      </c>
      <c r="AC159" s="88">
        <v>52.462499999999999</v>
      </c>
      <c r="AD159" s="88">
        <v>72.64</v>
      </c>
      <c r="AE159" s="89">
        <f t="shared" si="82"/>
        <v>726.4</v>
      </c>
      <c r="AF159" s="90">
        <v>6.5000000000000002E-2</v>
      </c>
      <c r="AG159" s="4">
        <f t="shared" si="78"/>
        <v>47.216000000000001</v>
      </c>
      <c r="AH159" s="49">
        <f t="shared" si="83"/>
        <v>0</v>
      </c>
      <c r="AI159" s="89">
        <f t="shared" si="84"/>
        <v>679.18399999999997</v>
      </c>
      <c r="AJ159" s="91">
        <v>0.18</v>
      </c>
      <c r="AK159" s="5">
        <f t="shared" si="85"/>
        <v>122.25312</v>
      </c>
      <c r="AL159" s="89">
        <f t="shared" si="86"/>
        <v>801.43711999999994</v>
      </c>
      <c r="AP159" s="92"/>
    </row>
    <row r="160" spans="1:42" hidden="1" x14ac:dyDescent="0.35">
      <c r="A160" s="85">
        <v>46209</v>
      </c>
      <c r="B160" s="51" t="s">
        <v>85</v>
      </c>
      <c r="C160" s="97">
        <v>69112619.892857105</v>
      </c>
      <c r="D160" s="97">
        <v>98436.4</v>
      </c>
      <c r="E160" s="48" t="s">
        <v>86</v>
      </c>
      <c r="F160" s="86" t="s">
        <v>108</v>
      </c>
      <c r="G160" s="86" t="s">
        <v>267</v>
      </c>
      <c r="H160" s="86" t="s">
        <v>129</v>
      </c>
      <c r="I160" s="48" t="s">
        <v>273</v>
      </c>
      <c r="J160" s="52"/>
      <c r="K160" s="86"/>
      <c r="L160" s="105"/>
      <c r="M160" s="86"/>
      <c r="N160" s="104">
        <f t="shared" si="80"/>
        <v>0</v>
      </c>
      <c r="O160" s="86">
        <v>10</v>
      </c>
      <c r="P160" s="105"/>
      <c r="Q160" s="86"/>
      <c r="R160" s="104">
        <f t="shared" si="79"/>
        <v>10</v>
      </c>
      <c r="S160" s="86">
        <f t="shared" si="81"/>
        <v>10</v>
      </c>
      <c r="T160" s="87"/>
      <c r="U160" s="87"/>
      <c r="V160" s="87"/>
      <c r="W160" s="88"/>
      <c r="X160" s="87"/>
      <c r="Y160" s="87"/>
      <c r="Z160" s="87"/>
      <c r="AA160" s="88"/>
      <c r="AB160" s="88">
        <v>39.270000000000003</v>
      </c>
      <c r="AC160" s="88">
        <v>52.462499999999999</v>
      </c>
      <c r="AD160" s="88">
        <v>72.64</v>
      </c>
      <c r="AE160" s="89">
        <f t="shared" si="82"/>
        <v>726.4</v>
      </c>
      <c r="AF160" s="90">
        <v>6.5000000000000002E-2</v>
      </c>
      <c r="AG160" s="4">
        <f t="shared" si="78"/>
        <v>47.216000000000001</v>
      </c>
      <c r="AH160" s="49">
        <f t="shared" si="83"/>
        <v>0</v>
      </c>
      <c r="AI160" s="89">
        <f t="shared" si="84"/>
        <v>679.18399999999997</v>
      </c>
      <c r="AJ160" s="91">
        <v>0.18</v>
      </c>
      <c r="AK160" s="5">
        <f t="shared" si="85"/>
        <v>122.25312</v>
      </c>
      <c r="AL160" s="89">
        <f t="shared" si="86"/>
        <v>801.43711999999994</v>
      </c>
      <c r="AP160" s="92"/>
    </row>
    <row r="161" spans="1:42" hidden="1" x14ac:dyDescent="0.35">
      <c r="A161" s="85">
        <v>46209</v>
      </c>
      <c r="B161" s="51" t="s">
        <v>85</v>
      </c>
      <c r="C161" s="97">
        <v>69582538.964285702</v>
      </c>
      <c r="D161" s="97">
        <v>99102.1</v>
      </c>
      <c r="E161" s="48" t="s">
        <v>86</v>
      </c>
      <c r="F161" s="86" t="s">
        <v>108</v>
      </c>
      <c r="G161" s="86" t="s">
        <v>268</v>
      </c>
      <c r="H161" s="86" t="s">
        <v>129</v>
      </c>
      <c r="I161" s="48" t="s">
        <v>273</v>
      </c>
      <c r="J161" s="52">
        <v>80</v>
      </c>
      <c r="K161" s="86">
        <v>40</v>
      </c>
      <c r="L161" s="86"/>
      <c r="M161" s="86"/>
      <c r="N161" s="104">
        <f t="shared" si="80"/>
        <v>40</v>
      </c>
      <c r="O161" s="86">
        <v>40</v>
      </c>
      <c r="P161" s="86"/>
      <c r="Q161" s="86">
        <v>80</v>
      </c>
      <c r="R161" s="104">
        <f t="shared" si="79"/>
        <v>120</v>
      </c>
      <c r="S161" s="86">
        <f t="shared" si="81"/>
        <v>240</v>
      </c>
      <c r="T161" s="87"/>
      <c r="U161" s="87"/>
      <c r="V161" s="87"/>
      <c r="W161" s="88"/>
      <c r="X161" s="87"/>
      <c r="Y161" s="87"/>
      <c r="Z161" s="87"/>
      <c r="AA161" s="88"/>
      <c r="AB161" s="88">
        <v>39.270000000000003</v>
      </c>
      <c r="AC161" s="88">
        <v>52.462499999999999</v>
      </c>
      <c r="AD161" s="88">
        <v>72.64</v>
      </c>
      <c r="AE161" s="89">
        <f t="shared" si="82"/>
        <v>22673.699999999997</v>
      </c>
      <c r="AF161" s="90">
        <v>6.5000000000000002E-2</v>
      </c>
      <c r="AG161" s="4">
        <f t="shared" si="78"/>
        <v>1473.7904999999998</v>
      </c>
      <c r="AH161" s="49">
        <f t="shared" si="83"/>
        <v>109.95600000000002</v>
      </c>
      <c r="AI161" s="89">
        <f t="shared" si="84"/>
        <v>21199.909499999998</v>
      </c>
      <c r="AJ161" s="91">
        <v>0.18</v>
      </c>
      <c r="AK161" s="5">
        <f t="shared" si="85"/>
        <v>3815.9837099999995</v>
      </c>
      <c r="AL161" s="89">
        <f t="shared" si="86"/>
        <v>25015.893209999998</v>
      </c>
      <c r="AP161" s="92"/>
    </row>
    <row r="162" spans="1:42" hidden="1" x14ac:dyDescent="0.35">
      <c r="A162" s="85">
        <v>46209</v>
      </c>
      <c r="B162" s="51" t="s">
        <v>85</v>
      </c>
      <c r="C162" s="97">
        <v>70052458.035714298</v>
      </c>
      <c r="D162" s="97">
        <v>99767.8</v>
      </c>
      <c r="E162" s="48" t="s">
        <v>86</v>
      </c>
      <c r="F162" s="86" t="s">
        <v>108</v>
      </c>
      <c r="G162" s="86" t="s">
        <v>269</v>
      </c>
      <c r="H162" s="86" t="s">
        <v>129</v>
      </c>
      <c r="I162" s="48" t="s">
        <v>273</v>
      </c>
      <c r="J162" s="52"/>
      <c r="K162" s="86"/>
      <c r="L162" s="105"/>
      <c r="M162" s="105"/>
      <c r="N162" s="104">
        <f t="shared" si="80"/>
        <v>0</v>
      </c>
      <c r="O162" s="86"/>
      <c r="P162" s="105">
        <v>10</v>
      </c>
      <c r="Q162" s="105"/>
      <c r="R162" s="104">
        <f t="shared" si="79"/>
        <v>10</v>
      </c>
      <c r="S162" s="86">
        <f t="shared" si="81"/>
        <v>10</v>
      </c>
      <c r="T162" s="87"/>
      <c r="U162" s="87"/>
      <c r="V162" s="87"/>
      <c r="W162" s="88"/>
      <c r="X162" s="87"/>
      <c r="Y162" s="87"/>
      <c r="Z162" s="87"/>
      <c r="AA162" s="88"/>
      <c r="AB162" s="88">
        <v>39.270000000000003</v>
      </c>
      <c r="AC162" s="88">
        <v>52.462499999999999</v>
      </c>
      <c r="AD162" s="88">
        <v>72.64</v>
      </c>
      <c r="AE162" s="89">
        <f t="shared" si="82"/>
        <v>726.4</v>
      </c>
      <c r="AF162" s="90">
        <v>6.5000000000000002E-2</v>
      </c>
      <c r="AG162" s="4">
        <f t="shared" si="78"/>
        <v>47.216000000000001</v>
      </c>
      <c r="AH162" s="49">
        <f t="shared" si="83"/>
        <v>0</v>
      </c>
      <c r="AI162" s="89">
        <f t="shared" si="84"/>
        <v>679.18399999999997</v>
      </c>
      <c r="AJ162" s="91">
        <v>0.18</v>
      </c>
      <c r="AK162" s="5">
        <f t="shared" si="85"/>
        <v>122.25312</v>
      </c>
      <c r="AL162" s="89">
        <f t="shared" si="86"/>
        <v>801.43711999999994</v>
      </c>
      <c r="AP162" s="92"/>
    </row>
    <row r="163" spans="1:42" hidden="1" x14ac:dyDescent="0.35">
      <c r="A163" s="85">
        <v>46209</v>
      </c>
      <c r="B163" s="51" t="s">
        <v>85</v>
      </c>
      <c r="C163" s="97">
        <v>70522377.107142895</v>
      </c>
      <c r="D163" s="97">
        <v>100433.5</v>
      </c>
      <c r="E163" s="48" t="s">
        <v>86</v>
      </c>
      <c r="F163" s="86" t="s">
        <v>108</v>
      </c>
      <c r="G163" s="86" t="s">
        <v>177</v>
      </c>
      <c r="H163" s="86" t="s">
        <v>129</v>
      </c>
      <c r="I163" s="48" t="s">
        <v>273</v>
      </c>
      <c r="J163" s="52">
        <v>10</v>
      </c>
      <c r="K163" s="86"/>
      <c r="L163" s="86"/>
      <c r="M163" s="105"/>
      <c r="N163" s="104">
        <f t="shared" si="80"/>
        <v>0</v>
      </c>
      <c r="O163" s="86"/>
      <c r="P163" s="86"/>
      <c r="Q163" s="105"/>
      <c r="R163" s="104">
        <f t="shared" si="79"/>
        <v>0</v>
      </c>
      <c r="S163" s="86">
        <f t="shared" si="81"/>
        <v>10</v>
      </c>
      <c r="T163" s="87"/>
      <c r="U163" s="87"/>
      <c r="V163" s="87"/>
      <c r="W163" s="88"/>
      <c r="X163" s="87"/>
      <c r="Y163" s="87"/>
      <c r="Z163" s="87"/>
      <c r="AA163" s="88"/>
      <c r="AB163" s="88">
        <v>39.270000000000003</v>
      </c>
      <c r="AC163" s="88">
        <v>52.462499999999999</v>
      </c>
      <c r="AD163" s="88">
        <v>72.64</v>
      </c>
      <c r="AE163" s="89">
        <f t="shared" si="82"/>
        <v>1119.0999999999999</v>
      </c>
      <c r="AF163" s="90">
        <v>6.5000000000000002E-2</v>
      </c>
      <c r="AG163" s="4">
        <f t="shared" si="78"/>
        <v>72.741500000000002</v>
      </c>
      <c r="AH163" s="49">
        <f t="shared" si="83"/>
        <v>13.744500000000002</v>
      </c>
      <c r="AI163" s="89">
        <f t="shared" si="84"/>
        <v>1046.3584999999998</v>
      </c>
      <c r="AJ163" s="91">
        <v>0.18</v>
      </c>
      <c r="AK163" s="5">
        <f t="shared" si="85"/>
        <v>188.34452999999996</v>
      </c>
      <c r="AL163" s="89">
        <f t="shared" si="86"/>
        <v>1234.7030299999997</v>
      </c>
      <c r="AP163" s="92"/>
    </row>
    <row r="164" spans="1:42" hidden="1" x14ac:dyDescent="0.35">
      <c r="A164" s="85">
        <v>46209</v>
      </c>
      <c r="B164" s="51" t="s">
        <v>85</v>
      </c>
      <c r="C164" s="97">
        <v>70992296.178571403</v>
      </c>
      <c r="D164" s="97">
        <v>101099.2</v>
      </c>
      <c r="E164" s="48" t="s">
        <v>86</v>
      </c>
      <c r="F164" s="86" t="s">
        <v>108</v>
      </c>
      <c r="G164" s="86" t="s">
        <v>270</v>
      </c>
      <c r="H164" s="86" t="s">
        <v>129</v>
      </c>
      <c r="I164" s="48" t="s">
        <v>273</v>
      </c>
      <c r="J164" s="52">
        <v>10</v>
      </c>
      <c r="K164" s="105"/>
      <c r="L164" s="86"/>
      <c r="M164" s="105"/>
      <c r="N164" s="104">
        <f t="shared" si="80"/>
        <v>0</v>
      </c>
      <c r="O164" s="86"/>
      <c r="P164" s="86"/>
      <c r="Q164" s="86"/>
      <c r="R164" s="104">
        <f t="shared" si="79"/>
        <v>0</v>
      </c>
      <c r="S164" s="86">
        <f t="shared" si="81"/>
        <v>10</v>
      </c>
      <c r="T164" s="87"/>
      <c r="U164" s="87"/>
      <c r="V164" s="87"/>
      <c r="W164" s="88"/>
      <c r="X164" s="87"/>
      <c r="Y164" s="87"/>
      <c r="Z164" s="87"/>
      <c r="AA164" s="88"/>
      <c r="AB164" s="88">
        <v>39.270000000000003</v>
      </c>
      <c r="AC164" s="88">
        <v>52.462499999999999</v>
      </c>
      <c r="AD164" s="88">
        <v>72.64</v>
      </c>
      <c r="AE164" s="89">
        <f t="shared" si="82"/>
        <v>1119.0999999999999</v>
      </c>
      <c r="AF164" s="90">
        <v>6.5000000000000002E-2</v>
      </c>
      <c r="AG164" s="4">
        <f t="shared" si="78"/>
        <v>72.741500000000002</v>
      </c>
      <c r="AH164" s="49">
        <f t="shared" si="83"/>
        <v>13.744500000000002</v>
      </c>
      <c r="AI164" s="89">
        <f t="shared" si="84"/>
        <v>1046.3584999999998</v>
      </c>
      <c r="AJ164" s="91">
        <v>0.18</v>
      </c>
      <c r="AK164" s="5">
        <f t="shared" si="85"/>
        <v>188.34452999999996</v>
      </c>
      <c r="AL164" s="89">
        <f t="shared" si="86"/>
        <v>1234.7030299999997</v>
      </c>
      <c r="AP164" s="92"/>
    </row>
    <row r="165" spans="1:42" hidden="1" x14ac:dyDescent="0.35">
      <c r="A165" s="85">
        <v>46209</v>
      </c>
      <c r="B165" s="51" t="s">
        <v>85</v>
      </c>
      <c r="C165" s="97">
        <v>71462215.25</v>
      </c>
      <c r="D165" s="97">
        <v>101764.9</v>
      </c>
      <c r="E165" s="48" t="s">
        <v>86</v>
      </c>
      <c r="F165" s="86" t="s">
        <v>108</v>
      </c>
      <c r="G165" s="86" t="s">
        <v>212</v>
      </c>
      <c r="H165" s="86" t="s">
        <v>129</v>
      </c>
      <c r="I165" s="48" t="s">
        <v>273</v>
      </c>
      <c r="J165" s="52">
        <v>10</v>
      </c>
      <c r="K165" s="86"/>
      <c r="L165" s="86"/>
      <c r="M165" s="86"/>
      <c r="N165" s="104">
        <f t="shared" si="80"/>
        <v>0</v>
      </c>
      <c r="O165" s="86"/>
      <c r="P165" s="86"/>
      <c r="Q165" s="86"/>
      <c r="R165" s="104">
        <f t="shared" si="79"/>
        <v>0</v>
      </c>
      <c r="S165" s="86">
        <f t="shared" si="81"/>
        <v>10</v>
      </c>
      <c r="T165" s="87"/>
      <c r="U165" s="87"/>
      <c r="V165" s="87"/>
      <c r="W165" s="88"/>
      <c r="X165" s="87"/>
      <c r="Y165" s="87"/>
      <c r="Z165" s="87"/>
      <c r="AA165" s="88"/>
      <c r="AB165" s="88">
        <v>39.270000000000003</v>
      </c>
      <c r="AC165" s="88">
        <v>52.462499999999999</v>
      </c>
      <c r="AD165" s="88">
        <v>72.64</v>
      </c>
      <c r="AE165" s="89">
        <f t="shared" si="82"/>
        <v>1119.0999999999999</v>
      </c>
      <c r="AF165" s="90">
        <v>6.5000000000000002E-2</v>
      </c>
      <c r="AG165" s="4">
        <f t="shared" si="78"/>
        <v>72.741500000000002</v>
      </c>
      <c r="AH165" s="49">
        <f t="shared" si="83"/>
        <v>13.744500000000002</v>
      </c>
      <c r="AI165" s="89">
        <f t="shared" si="84"/>
        <v>1046.3584999999998</v>
      </c>
      <c r="AJ165" s="91">
        <v>0.18</v>
      </c>
      <c r="AK165" s="5">
        <f t="shared" si="85"/>
        <v>188.34452999999996</v>
      </c>
      <c r="AL165" s="89">
        <f t="shared" si="86"/>
        <v>1234.7030299999997</v>
      </c>
      <c r="AP165" s="92"/>
    </row>
    <row r="166" spans="1:42" hidden="1" x14ac:dyDescent="0.35">
      <c r="A166" s="85">
        <v>46209</v>
      </c>
      <c r="B166" s="51" t="s">
        <v>85</v>
      </c>
      <c r="C166" s="97">
        <v>71932134.321428597</v>
      </c>
      <c r="D166" s="97">
        <v>102430.6</v>
      </c>
      <c r="E166" s="48" t="s">
        <v>86</v>
      </c>
      <c r="F166" s="86" t="s">
        <v>108</v>
      </c>
      <c r="G166" s="86" t="s">
        <v>271</v>
      </c>
      <c r="H166" s="86" t="s">
        <v>129</v>
      </c>
      <c r="I166" s="48" t="s">
        <v>273</v>
      </c>
      <c r="J166" s="52">
        <v>10</v>
      </c>
      <c r="K166" s="86"/>
      <c r="L166" s="105"/>
      <c r="M166" s="86"/>
      <c r="N166" s="104">
        <f t="shared" si="80"/>
        <v>0</v>
      </c>
      <c r="O166" s="86"/>
      <c r="P166" s="86"/>
      <c r="Q166" s="86"/>
      <c r="R166" s="104">
        <f t="shared" si="79"/>
        <v>0</v>
      </c>
      <c r="S166" s="86">
        <f t="shared" si="81"/>
        <v>10</v>
      </c>
      <c r="T166" s="87"/>
      <c r="U166" s="87"/>
      <c r="V166" s="87"/>
      <c r="W166" s="88"/>
      <c r="X166" s="87"/>
      <c r="Y166" s="87"/>
      <c r="Z166" s="87"/>
      <c r="AA166" s="88"/>
      <c r="AB166" s="88">
        <v>39.270000000000003</v>
      </c>
      <c r="AC166" s="88">
        <v>52.462499999999999</v>
      </c>
      <c r="AD166" s="88">
        <v>72.64</v>
      </c>
      <c r="AE166" s="89">
        <f t="shared" si="82"/>
        <v>1119.0999999999999</v>
      </c>
      <c r="AF166" s="90">
        <v>0.14000000000000001</v>
      </c>
      <c r="AG166" s="4">
        <f t="shared" si="78"/>
        <v>156.67400000000001</v>
      </c>
      <c r="AH166" s="49">
        <f t="shared" si="83"/>
        <v>13.744500000000002</v>
      </c>
      <c r="AI166" s="89">
        <f t="shared" si="84"/>
        <v>962.42599999999993</v>
      </c>
      <c r="AJ166" s="91">
        <v>0.18</v>
      </c>
      <c r="AK166" s="5">
        <f t="shared" si="85"/>
        <v>173.23667999999998</v>
      </c>
      <c r="AL166" s="89">
        <f t="shared" si="86"/>
        <v>1135.6626799999999</v>
      </c>
      <c r="AP166" s="92"/>
    </row>
    <row r="167" spans="1:42" hidden="1" x14ac:dyDescent="0.35">
      <c r="A167" s="85">
        <v>46209</v>
      </c>
      <c r="B167" s="51" t="s">
        <v>85</v>
      </c>
      <c r="C167" s="97">
        <v>72402053.392857105</v>
      </c>
      <c r="D167" s="97">
        <v>103096.3</v>
      </c>
      <c r="E167" s="48" t="s">
        <v>86</v>
      </c>
      <c r="F167" s="86" t="s">
        <v>108</v>
      </c>
      <c r="G167" s="86" t="s">
        <v>272</v>
      </c>
      <c r="H167" s="86" t="s">
        <v>129</v>
      </c>
      <c r="I167" s="48" t="s">
        <v>273</v>
      </c>
      <c r="J167" s="52">
        <v>80</v>
      </c>
      <c r="K167" s="86"/>
      <c r="L167" s="105"/>
      <c r="M167" s="105"/>
      <c r="N167" s="104">
        <f t="shared" si="80"/>
        <v>0</v>
      </c>
      <c r="O167" s="86">
        <v>80</v>
      </c>
      <c r="P167" s="86">
        <v>40</v>
      </c>
      <c r="Q167" s="86">
        <v>160</v>
      </c>
      <c r="R167" s="104">
        <f t="shared" si="79"/>
        <v>280</v>
      </c>
      <c r="S167" s="86">
        <f t="shared" si="81"/>
        <v>360</v>
      </c>
      <c r="T167" s="87"/>
      <c r="U167" s="87"/>
      <c r="V167" s="87"/>
      <c r="W167" s="88"/>
      <c r="X167" s="87"/>
      <c r="Y167" s="87"/>
      <c r="Z167" s="87"/>
      <c r="AA167" s="88"/>
      <c r="AB167" s="88">
        <v>39.270000000000003</v>
      </c>
      <c r="AC167" s="88">
        <v>52.462499999999999</v>
      </c>
      <c r="AD167" s="88">
        <v>72.64</v>
      </c>
      <c r="AE167" s="89">
        <f t="shared" si="82"/>
        <v>29292</v>
      </c>
      <c r="AF167" s="90">
        <v>0.14000000000000001</v>
      </c>
      <c r="AG167" s="4">
        <f t="shared" si="78"/>
        <v>4100.88</v>
      </c>
      <c r="AH167" s="49">
        <f t="shared" si="83"/>
        <v>109.95600000000002</v>
      </c>
      <c r="AI167" s="89">
        <f t="shared" si="84"/>
        <v>25191.119999999999</v>
      </c>
      <c r="AJ167" s="91">
        <v>0.18</v>
      </c>
      <c r="AK167" s="5">
        <f t="shared" si="85"/>
        <v>4534.4015999999992</v>
      </c>
      <c r="AL167" s="89">
        <f t="shared" si="86"/>
        <v>29725.5216</v>
      </c>
      <c r="AP167" s="92"/>
    </row>
    <row r="168" spans="1:42" hidden="1" x14ac:dyDescent="0.35">
      <c r="A168" s="85">
        <v>46210</v>
      </c>
      <c r="B168" s="51" t="s">
        <v>85</v>
      </c>
      <c r="C168" s="97">
        <v>72871972.464285702</v>
      </c>
      <c r="D168" s="97">
        <v>103762</v>
      </c>
      <c r="E168" s="48" t="s">
        <v>86</v>
      </c>
      <c r="F168" s="86" t="s">
        <v>108</v>
      </c>
      <c r="G168" s="86" t="s">
        <v>139</v>
      </c>
      <c r="H168" s="86" t="s">
        <v>110</v>
      </c>
      <c r="I168" s="48" t="s">
        <v>145</v>
      </c>
      <c r="J168" s="52">
        <v>6</v>
      </c>
      <c r="K168" s="105">
        <v>6</v>
      </c>
      <c r="L168" s="105"/>
      <c r="M168" s="105"/>
      <c r="N168" s="104">
        <f t="shared" si="80"/>
        <v>6</v>
      </c>
      <c r="O168" s="86"/>
      <c r="P168" s="105"/>
      <c r="Q168" s="86"/>
      <c r="R168" s="104">
        <f t="shared" si="79"/>
        <v>0</v>
      </c>
      <c r="S168" s="86">
        <f t="shared" si="81"/>
        <v>12</v>
      </c>
      <c r="T168" s="87"/>
      <c r="U168" s="87"/>
      <c r="V168" s="87"/>
      <c r="W168" s="88"/>
      <c r="X168" s="87"/>
      <c r="Y168" s="87"/>
      <c r="Z168" s="87"/>
      <c r="AA168" s="88"/>
      <c r="AB168" s="88">
        <v>39.270000000000003</v>
      </c>
      <c r="AC168" s="88">
        <v>52.462499999999999</v>
      </c>
      <c r="AD168" s="88">
        <v>72.64</v>
      </c>
      <c r="AE168" s="89">
        <f t="shared" si="82"/>
        <v>1422.075</v>
      </c>
      <c r="AF168" s="90">
        <v>6.5000000000000002E-2</v>
      </c>
      <c r="AG168" s="4">
        <f t="shared" si="78"/>
        <v>92.434875000000005</v>
      </c>
      <c r="AH168" s="49">
        <f t="shared" si="83"/>
        <v>8.2467000000000006</v>
      </c>
      <c r="AI168" s="89">
        <f t="shared" si="84"/>
        <v>1329.6401250000001</v>
      </c>
      <c r="AJ168" s="91">
        <v>0.18</v>
      </c>
      <c r="AK168" s="5">
        <f t="shared" si="85"/>
        <v>239.33522250000001</v>
      </c>
      <c r="AL168" s="89">
        <f t="shared" si="86"/>
        <v>1568.9753475000002</v>
      </c>
      <c r="AP168" s="92"/>
    </row>
    <row r="169" spans="1:42" hidden="1" x14ac:dyDescent="0.35">
      <c r="A169" s="85">
        <v>46210</v>
      </c>
      <c r="B169" s="51" t="s">
        <v>85</v>
      </c>
      <c r="C169" s="97">
        <v>73341891.535714298</v>
      </c>
      <c r="D169" s="97">
        <v>104427.7</v>
      </c>
      <c r="E169" s="48" t="s">
        <v>86</v>
      </c>
      <c r="F169" s="86" t="s">
        <v>108</v>
      </c>
      <c r="G169" s="86" t="s">
        <v>274</v>
      </c>
      <c r="H169" s="86" t="s">
        <v>110</v>
      </c>
      <c r="I169" s="48" t="s">
        <v>276</v>
      </c>
      <c r="J169" s="52">
        <v>12</v>
      </c>
      <c r="K169" s="105"/>
      <c r="L169" s="105">
        <v>6</v>
      </c>
      <c r="M169" s="105"/>
      <c r="N169" s="104">
        <f t="shared" si="80"/>
        <v>6</v>
      </c>
      <c r="O169" s="86"/>
      <c r="P169" s="86"/>
      <c r="Q169" s="86"/>
      <c r="R169" s="104">
        <f t="shared" si="79"/>
        <v>0</v>
      </c>
      <c r="S169" s="86">
        <f t="shared" si="81"/>
        <v>18</v>
      </c>
      <c r="T169" s="87"/>
      <c r="U169" s="87"/>
      <c r="V169" s="87"/>
      <c r="W169" s="88"/>
      <c r="X169" s="87"/>
      <c r="Y169" s="87"/>
      <c r="Z169" s="87"/>
      <c r="AA169" s="88"/>
      <c r="AB169" s="88">
        <v>39.270000000000003</v>
      </c>
      <c r="AC169" s="88">
        <v>52.462499999999999</v>
      </c>
      <c r="AD169" s="88">
        <v>72.64</v>
      </c>
      <c r="AE169" s="89">
        <f t="shared" si="82"/>
        <v>2093.5349999999999</v>
      </c>
      <c r="AF169" s="90">
        <v>6.5000000000000002E-2</v>
      </c>
      <c r="AG169" s="4">
        <f t="shared" si="78"/>
        <v>136.07977499999998</v>
      </c>
      <c r="AH169" s="49">
        <f t="shared" si="83"/>
        <v>16.493400000000001</v>
      </c>
      <c r="AI169" s="89">
        <f t="shared" si="84"/>
        <v>1957.4552249999999</v>
      </c>
      <c r="AJ169" s="91">
        <v>0.18</v>
      </c>
      <c r="AK169" s="5">
        <f t="shared" si="85"/>
        <v>352.34194049999996</v>
      </c>
      <c r="AL169" s="89">
        <f t="shared" si="86"/>
        <v>2309.7971655000001</v>
      </c>
      <c r="AP169" s="92"/>
    </row>
    <row r="170" spans="1:42" hidden="1" x14ac:dyDescent="0.35">
      <c r="A170" s="85">
        <v>46210</v>
      </c>
      <c r="B170" s="51" t="s">
        <v>85</v>
      </c>
      <c r="C170" s="97">
        <v>73811810.607142895</v>
      </c>
      <c r="D170" s="97">
        <v>105093.4</v>
      </c>
      <c r="E170" s="48" t="s">
        <v>86</v>
      </c>
      <c r="F170" s="86" t="s">
        <v>108</v>
      </c>
      <c r="G170" s="86" t="s">
        <v>275</v>
      </c>
      <c r="H170" s="86" t="s">
        <v>110</v>
      </c>
      <c r="I170" s="48" t="s">
        <v>145</v>
      </c>
      <c r="J170" s="52">
        <v>24</v>
      </c>
      <c r="K170" s="105"/>
      <c r="L170" s="105"/>
      <c r="M170" s="105"/>
      <c r="N170" s="104">
        <f t="shared" si="80"/>
        <v>0</v>
      </c>
      <c r="O170" s="86"/>
      <c r="P170" s="86"/>
      <c r="Q170" s="105"/>
      <c r="R170" s="104">
        <f t="shared" si="79"/>
        <v>0</v>
      </c>
      <c r="S170" s="86">
        <f t="shared" si="81"/>
        <v>24</v>
      </c>
      <c r="T170" s="87"/>
      <c r="U170" s="87"/>
      <c r="V170" s="87"/>
      <c r="W170" s="88"/>
      <c r="X170" s="87"/>
      <c r="Y170" s="87"/>
      <c r="Z170" s="87"/>
      <c r="AA170" s="88"/>
      <c r="AB170" s="88">
        <v>39.270000000000003</v>
      </c>
      <c r="AC170" s="88">
        <v>52.462499999999999</v>
      </c>
      <c r="AD170" s="88">
        <v>72.64</v>
      </c>
      <c r="AE170" s="89">
        <f t="shared" si="82"/>
        <v>2685.84</v>
      </c>
      <c r="AF170" s="90">
        <v>6.5000000000000002E-2</v>
      </c>
      <c r="AG170" s="4">
        <f t="shared" si="78"/>
        <v>174.57960000000003</v>
      </c>
      <c r="AH170" s="49">
        <f t="shared" si="83"/>
        <v>32.986800000000002</v>
      </c>
      <c r="AI170" s="89">
        <f t="shared" si="84"/>
        <v>2511.2604000000001</v>
      </c>
      <c r="AJ170" s="91">
        <v>0.18</v>
      </c>
      <c r="AK170" s="5">
        <f t="shared" si="85"/>
        <v>452.02687200000003</v>
      </c>
      <c r="AL170" s="89">
        <f t="shared" si="86"/>
        <v>2963.287272</v>
      </c>
      <c r="AP170" s="92"/>
    </row>
    <row r="171" spans="1:42" x14ac:dyDescent="0.35">
      <c r="A171" s="85">
        <v>46210</v>
      </c>
      <c r="B171" s="51" t="s">
        <v>85</v>
      </c>
      <c r="C171" s="97">
        <v>74281729.678571403</v>
      </c>
      <c r="D171" s="97">
        <v>105759.1</v>
      </c>
      <c r="E171" s="48" t="s">
        <v>86</v>
      </c>
      <c r="F171" s="86" t="s">
        <v>87</v>
      </c>
      <c r="G171" s="86" t="s">
        <v>277</v>
      </c>
      <c r="H171" s="95" t="s">
        <v>136</v>
      </c>
      <c r="I171" s="48" t="s">
        <v>278</v>
      </c>
      <c r="J171" s="52">
        <v>400</v>
      </c>
      <c r="K171" s="105">
        <v>400</v>
      </c>
      <c r="L171" s="105">
        <v>200</v>
      </c>
      <c r="M171" s="105"/>
      <c r="N171" s="104">
        <f t="shared" si="80"/>
        <v>600</v>
      </c>
      <c r="O171" s="86">
        <v>400</v>
      </c>
      <c r="P171" s="86">
        <v>200</v>
      </c>
      <c r="Q171" s="86">
        <v>400</v>
      </c>
      <c r="R171" s="104">
        <f t="shared" si="79"/>
        <v>1000</v>
      </c>
      <c r="S171" s="86">
        <f t="shared" si="81"/>
        <v>2000</v>
      </c>
      <c r="T171" s="87"/>
      <c r="U171" s="87"/>
      <c r="V171" s="87"/>
      <c r="W171" s="88"/>
      <c r="X171" s="87"/>
      <c r="Y171" s="87"/>
      <c r="Z171" s="87"/>
      <c r="AA171" s="88"/>
      <c r="AB171" s="88">
        <v>39.270000000000003</v>
      </c>
      <c r="AC171" s="88">
        <v>52.462499999999999</v>
      </c>
      <c r="AD171" s="88">
        <v>72.64</v>
      </c>
      <c r="AE171" s="89">
        <f t="shared" si="82"/>
        <v>192465.5</v>
      </c>
      <c r="AF171" s="90">
        <v>6.5000000000000002E-2</v>
      </c>
      <c r="AG171" s="4">
        <f t="shared" si="78"/>
        <v>12510.2575</v>
      </c>
      <c r="AH171" s="49">
        <f t="shared" si="83"/>
        <v>549.78000000000009</v>
      </c>
      <c r="AI171" s="89">
        <f t="shared" si="84"/>
        <v>179955.24249999999</v>
      </c>
      <c r="AJ171" s="91">
        <v>0.18</v>
      </c>
      <c r="AK171" s="5">
        <f t="shared" si="85"/>
        <v>32391.943649999997</v>
      </c>
      <c r="AL171" s="89">
        <f t="shared" si="86"/>
        <v>212347.18614999999</v>
      </c>
      <c r="AP171" s="92"/>
    </row>
    <row r="172" spans="1:42" x14ac:dyDescent="0.35">
      <c r="A172" s="85">
        <v>46210</v>
      </c>
      <c r="B172" s="51" t="s">
        <v>85</v>
      </c>
      <c r="C172" s="97">
        <v>74751648.75</v>
      </c>
      <c r="D172" s="97">
        <v>106424.8</v>
      </c>
      <c r="E172" s="48" t="s">
        <v>86</v>
      </c>
      <c r="F172" s="86" t="s">
        <v>87</v>
      </c>
      <c r="G172" s="86" t="s">
        <v>277</v>
      </c>
      <c r="H172" s="95" t="s">
        <v>136</v>
      </c>
      <c r="I172" s="48" t="s">
        <v>278</v>
      </c>
      <c r="J172" s="52">
        <v>5</v>
      </c>
      <c r="K172" s="105"/>
      <c r="L172" s="86"/>
      <c r="M172" s="86"/>
      <c r="N172" s="104">
        <f t="shared" si="80"/>
        <v>0</v>
      </c>
      <c r="O172" s="86"/>
      <c r="P172" s="86"/>
      <c r="Q172" s="86"/>
      <c r="R172" s="104">
        <f t="shared" si="79"/>
        <v>0</v>
      </c>
      <c r="S172" s="86">
        <f t="shared" si="81"/>
        <v>5</v>
      </c>
      <c r="T172" s="87"/>
      <c r="U172" s="87"/>
      <c r="V172" s="87"/>
      <c r="W172" s="88"/>
      <c r="X172" s="87"/>
      <c r="Y172" s="87"/>
      <c r="Z172" s="87"/>
      <c r="AA172" s="88"/>
      <c r="AB172" s="88">
        <v>39.270000000000003</v>
      </c>
      <c r="AC172" s="88">
        <v>52.462499999999999</v>
      </c>
      <c r="AD172" s="88">
        <v>72.64</v>
      </c>
      <c r="AE172" s="89">
        <f t="shared" si="82"/>
        <v>559.54999999999995</v>
      </c>
      <c r="AF172" s="90">
        <v>6.5000000000000002E-2</v>
      </c>
      <c r="AG172" s="4">
        <f t="shared" si="78"/>
        <v>36.370750000000001</v>
      </c>
      <c r="AH172" s="49">
        <f t="shared" si="83"/>
        <v>6.8722500000000011</v>
      </c>
      <c r="AI172" s="89">
        <f t="shared" si="84"/>
        <v>523.17924999999991</v>
      </c>
      <c r="AJ172" s="91">
        <v>0.18</v>
      </c>
      <c r="AK172" s="5">
        <f t="shared" si="85"/>
        <v>94.172264999999982</v>
      </c>
      <c r="AL172" s="89">
        <f t="shared" si="86"/>
        <v>617.35151499999984</v>
      </c>
      <c r="AP172" s="92"/>
    </row>
    <row r="173" spans="1:42" hidden="1" x14ac:dyDescent="0.35">
      <c r="A173" s="85">
        <v>46210</v>
      </c>
      <c r="B173" s="51" t="s">
        <v>85</v>
      </c>
      <c r="C173" s="97">
        <v>75221567.821428597</v>
      </c>
      <c r="D173" s="97">
        <v>107090.5</v>
      </c>
      <c r="E173" s="48" t="s">
        <v>86</v>
      </c>
      <c r="F173" s="86" t="s">
        <v>108</v>
      </c>
      <c r="G173" s="86" t="s">
        <v>279</v>
      </c>
      <c r="H173" s="95" t="s">
        <v>176</v>
      </c>
      <c r="I173" s="48" t="s">
        <v>285</v>
      </c>
      <c r="J173" s="52"/>
      <c r="K173" s="86"/>
      <c r="L173" s="86"/>
      <c r="M173" s="86"/>
      <c r="N173" s="104">
        <f t="shared" si="80"/>
        <v>0</v>
      </c>
      <c r="O173" s="105">
        <v>40</v>
      </c>
      <c r="P173" s="105">
        <v>40</v>
      </c>
      <c r="Q173" s="105">
        <v>40</v>
      </c>
      <c r="R173" s="104">
        <f t="shared" si="79"/>
        <v>120</v>
      </c>
      <c r="S173" s="86">
        <f t="shared" si="81"/>
        <v>120</v>
      </c>
      <c r="T173" s="87"/>
      <c r="U173" s="87"/>
      <c r="V173" s="87"/>
      <c r="W173" s="88"/>
      <c r="X173" s="87"/>
      <c r="Y173" s="87"/>
      <c r="Z173" s="87"/>
      <c r="AA173" s="88"/>
      <c r="AB173" s="88">
        <v>39.270000000000003</v>
      </c>
      <c r="AC173" s="88">
        <v>52.462499999999999</v>
      </c>
      <c r="AD173" s="88">
        <v>72.64</v>
      </c>
      <c r="AE173" s="89">
        <f t="shared" si="82"/>
        <v>8716.7999999999993</v>
      </c>
      <c r="AF173" s="90">
        <v>6.5000000000000002E-2</v>
      </c>
      <c r="AG173" s="4">
        <f t="shared" si="78"/>
        <v>566.59199999999998</v>
      </c>
      <c r="AH173" s="49">
        <f t="shared" si="83"/>
        <v>0</v>
      </c>
      <c r="AI173" s="89">
        <f t="shared" si="84"/>
        <v>8150.2079999999996</v>
      </c>
      <c r="AJ173" s="91">
        <v>0.18</v>
      </c>
      <c r="AK173" s="5">
        <f t="shared" si="85"/>
        <v>1467.0374399999998</v>
      </c>
      <c r="AL173" s="89">
        <f t="shared" si="86"/>
        <v>9617.2454399999988</v>
      </c>
      <c r="AP173" s="92"/>
    </row>
    <row r="174" spans="1:42" hidden="1" x14ac:dyDescent="0.35">
      <c r="A174" s="85">
        <v>46210</v>
      </c>
      <c r="B174" s="51" t="s">
        <v>85</v>
      </c>
      <c r="C174" s="97">
        <v>75691486.892857105</v>
      </c>
      <c r="D174" s="97">
        <v>107756.2</v>
      </c>
      <c r="E174" s="48" t="s">
        <v>86</v>
      </c>
      <c r="F174" s="86" t="s">
        <v>108</v>
      </c>
      <c r="G174" s="86" t="s">
        <v>280</v>
      </c>
      <c r="H174" s="95" t="s">
        <v>176</v>
      </c>
      <c r="I174" s="48" t="s">
        <v>285</v>
      </c>
      <c r="J174" s="52">
        <v>20</v>
      </c>
      <c r="K174" s="86"/>
      <c r="L174" s="86"/>
      <c r="M174" s="86"/>
      <c r="N174" s="104">
        <f t="shared" si="80"/>
        <v>0</v>
      </c>
      <c r="O174" s="105"/>
      <c r="P174" s="105">
        <v>10</v>
      </c>
      <c r="Q174" s="105">
        <v>10</v>
      </c>
      <c r="R174" s="104">
        <f t="shared" si="79"/>
        <v>20</v>
      </c>
      <c r="S174" s="86">
        <f t="shared" si="81"/>
        <v>40</v>
      </c>
      <c r="T174" s="87"/>
      <c r="U174" s="87"/>
      <c r="V174" s="87"/>
      <c r="W174" s="88"/>
      <c r="X174" s="87"/>
      <c r="Y174" s="87"/>
      <c r="Z174" s="87"/>
      <c r="AA174" s="88"/>
      <c r="AB174" s="88">
        <v>39.270000000000003</v>
      </c>
      <c r="AC174" s="88">
        <v>52.462499999999999</v>
      </c>
      <c r="AD174" s="88">
        <v>72.64</v>
      </c>
      <c r="AE174" s="89">
        <f t="shared" si="82"/>
        <v>3691</v>
      </c>
      <c r="AF174" s="90">
        <v>6.5000000000000002E-2</v>
      </c>
      <c r="AG174" s="4">
        <f t="shared" si="78"/>
        <v>239.91500000000002</v>
      </c>
      <c r="AH174" s="49">
        <f t="shared" si="83"/>
        <v>27.489000000000004</v>
      </c>
      <c r="AI174" s="89">
        <f t="shared" si="84"/>
        <v>3451.085</v>
      </c>
      <c r="AJ174" s="91">
        <v>0.18</v>
      </c>
      <c r="AK174" s="5">
        <f t="shared" si="85"/>
        <v>621.19529999999997</v>
      </c>
      <c r="AL174" s="89">
        <f t="shared" si="86"/>
        <v>4072.2802999999999</v>
      </c>
      <c r="AP174" s="92"/>
    </row>
    <row r="175" spans="1:42" hidden="1" x14ac:dyDescent="0.35">
      <c r="A175" s="85">
        <v>46210</v>
      </c>
      <c r="B175" s="51" t="s">
        <v>85</v>
      </c>
      <c r="C175" s="97">
        <v>76161405.964285702</v>
      </c>
      <c r="D175" s="97">
        <v>108421.9</v>
      </c>
      <c r="E175" s="48" t="s">
        <v>86</v>
      </c>
      <c r="F175" s="86" t="s">
        <v>109</v>
      </c>
      <c r="G175" s="86" t="s">
        <v>225</v>
      </c>
      <c r="H175" s="95" t="s">
        <v>176</v>
      </c>
      <c r="I175" s="48" t="s">
        <v>285</v>
      </c>
      <c r="J175" s="52"/>
      <c r="K175" s="105"/>
      <c r="L175" s="105"/>
      <c r="M175" s="105"/>
      <c r="N175" s="104">
        <f t="shared" si="80"/>
        <v>0</v>
      </c>
      <c r="O175" s="86">
        <v>40</v>
      </c>
      <c r="P175" s="86">
        <v>40</v>
      </c>
      <c r="Q175" s="86">
        <v>40</v>
      </c>
      <c r="R175" s="104">
        <f t="shared" si="79"/>
        <v>120</v>
      </c>
      <c r="S175" s="86">
        <f t="shared" si="81"/>
        <v>120</v>
      </c>
      <c r="T175" s="87"/>
      <c r="U175" s="87"/>
      <c r="V175" s="87"/>
      <c r="W175" s="88"/>
      <c r="X175" s="87"/>
      <c r="Y175" s="87"/>
      <c r="Z175" s="87"/>
      <c r="AA175" s="88"/>
      <c r="AB175" s="88">
        <v>39.270000000000003</v>
      </c>
      <c r="AC175" s="88">
        <v>52.462499999999999</v>
      </c>
      <c r="AD175" s="88">
        <v>72.64</v>
      </c>
      <c r="AE175" s="89">
        <f t="shared" si="82"/>
        <v>8716.7999999999993</v>
      </c>
      <c r="AF175" s="90">
        <v>6.5000000000000002E-2</v>
      </c>
      <c r="AG175" s="4">
        <f t="shared" si="78"/>
        <v>566.59199999999998</v>
      </c>
      <c r="AH175" s="49">
        <f t="shared" si="83"/>
        <v>0</v>
      </c>
      <c r="AI175" s="89">
        <f t="shared" si="84"/>
        <v>8150.2079999999996</v>
      </c>
      <c r="AJ175" s="91">
        <v>0.18</v>
      </c>
      <c r="AK175" s="5">
        <f t="shared" si="85"/>
        <v>1467.0374399999998</v>
      </c>
      <c r="AL175" s="89">
        <f t="shared" si="86"/>
        <v>9617.2454399999988</v>
      </c>
      <c r="AP175" s="92"/>
    </row>
    <row r="176" spans="1:42" hidden="1" x14ac:dyDescent="0.35">
      <c r="A176" s="85">
        <v>46210</v>
      </c>
      <c r="B176" s="51" t="s">
        <v>85</v>
      </c>
      <c r="C176" s="97">
        <v>76631325.035714298</v>
      </c>
      <c r="D176" s="97">
        <v>109087.6</v>
      </c>
      <c r="E176" s="48" t="s">
        <v>86</v>
      </c>
      <c r="F176" s="86" t="s">
        <v>108</v>
      </c>
      <c r="G176" s="86" t="s">
        <v>281</v>
      </c>
      <c r="H176" s="95" t="s">
        <v>176</v>
      </c>
      <c r="I176" s="48" t="s">
        <v>285</v>
      </c>
      <c r="J176" s="52"/>
      <c r="K176" s="105"/>
      <c r="L176" s="105"/>
      <c r="M176" s="105"/>
      <c r="N176" s="104">
        <f t="shared" si="80"/>
        <v>0</v>
      </c>
      <c r="O176" s="86">
        <v>10</v>
      </c>
      <c r="P176" s="86">
        <v>10</v>
      </c>
      <c r="Q176" s="86">
        <v>20</v>
      </c>
      <c r="R176" s="104">
        <f t="shared" si="79"/>
        <v>40</v>
      </c>
      <c r="S176" s="86">
        <f t="shared" si="81"/>
        <v>40</v>
      </c>
      <c r="T176" s="87"/>
      <c r="U176" s="87"/>
      <c r="V176" s="87"/>
      <c r="W176" s="88"/>
      <c r="X176" s="87"/>
      <c r="Y176" s="87"/>
      <c r="Z176" s="87"/>
      <c r="AA176" s="88"/>
      <c r="AB176" s="88">
        <v>39.270000000000003</v>
      </c>
      <c r="AC176" s="88">
        <v>52.462499999999999</v>
      </c>
      <c r="AD176" s="88">
        <v>72.64</v>
      </c>
      <c r="AE176" s="89">
        <f t="shared" si="82"/>
        <v>2905.6</v>
      </c>
      <c r="AF176" s="90">
        <v>6.5000000000000002E-2</v>
      </c>
      <c r="AG176" s="4">
        <f t="shared" si="78"/>
        <v>188.864</v>
      </c>
      <c r="AH176" s="49">
        <f t="shared" si="83"/>
        <v>0</v>
      </c>
      <c r="AI176" s="89">
        <f t="shared" si="84"/>
        <v>2716.7359999999999</v>
      </c>
      <c r="AJ176" s="91">
        <v>0.18</v>
      </c>
      <c r="AK176" s="5">
        <f t="shared" si="85"/>
        <v>489.01247999999998</v>
      </c>
      <c r="AL176" s="89">
        <f t="shared" si="86"/>
        <v>3205.7484799999997</v>
      </c>
      <c r="AP176" s="92"/>
    </row>
    <row r="177" spans="1:42" hidden="1" x14ac:dyDescent="0.35">
      <c r="A177" s="85">
        <v>46210</v>
      </c>
      <c r="B177" s="51" t="s">
        <v>85</v>
      </c>
      <c r="C177" s="97">
        <v>77101244.107142895</v>
      </c>
      <c r="D177" s="97">
        <v>109753.3</v>
      </c>
      <c r="E177" s="48" t="s">
        <v>86</v>
      </c>
      <c r="F177" s="86" t="s">
        <v>109</v>
      </c>
      <c r="G177" s="86" t="s">
        <v>282</v>
      </c>
      <c r="H177" s="95" t="s">
        <v>176</v>
      </c>
      <c r="I177" s="48" t="s">
        <v>285</v>
      </c>
      <c r="J177" s="52"/>
      <c r="K177" s="105"/>
      <c r="L177" s="105"/>
      <c r="M177" s="105"/>
      <c r="N177" s="104">
        <f t="shared" si="80"/>
        <v>0</v>
      </c>
      <c r="O177" s="86">
        <v>40</v>
      </c>
      <c r="P177" s="86"/>
      <c r="Q177" s="86">
        <v>40</v>
      </c>
      <c r="R177" s="104">
        <f t="shared" si="79"/>
        <v>80</v>
      </c>
      <c r="S177" s="86">
        <f t="shared" si="81"/>
        <v>80</v>
      </c>
      <c r="T177" s="87"/>
      <c r="U177" s="87"/>
      <c r="V177" s="87"/>
      <c r="W177" s="88"/>
      <c r="X177" s="87"/>
      <c r="Y177" s="87"/>
      <c r="Z177" s="87"/>
      <c r="AA177" s="88"/>
      <c r="AB177" s="88">
        <v>39.270000000000003</v>
      </c>
      <c r="AC177" s="88">
        <v>52.462499999999999</v>
      </c>
      <c r="AD177" s="88">
        <v>72.64</v>
      </c>
      <c r="AE177" s="89">
        <f t="shared" si="82"/>
        <v>5811.2</v>
      </c>
      <c r="AF177" s="90">
        <v>6.5000000000000002E-2</v>
      </c>
      <c r="AG177" s="4">
        <f t="shared" si="78"/>
        <v>377.72800000000001</v>
      </c>
      <c r="AH177" s="49">
        <f t="shared" si="83"/>
        <v>0</v>
      </c>
      <c r="AI177" s="89">
        <f t="shared" si="84"/>
        <v>5433.4719999999998</v>
      </c>
      <c r="AJ177" s="91">
        <v>0.18</v>
      </c>
      <c r="AK177" s="5">
        <f t="shared" si="85"/>
        <v>978.02495999999996</v>
      </c>
      <c r="AL177" s="89">
        <f t="shared" si="86"/>
        <v>6411.4969599999995</v>
      </c>
      <c r="AP177" s="92"/>
    </row>
    <row r="178" spans="1:42" hidden="1" x14ac:dyDescent="0.35">
      <c r="A178" s="85">
        <v>46210</v>
      </c>
      <c r="B178" s="51" t="s">
        <v>85</v>
      </c>
      <c r="C178" s="97">
        <v>77571163.178571403</v>
      </c>
      <c r="D178" s="97">
        <v>110419</v>
      </c>
      <c r="E178" s="48" t="s">
        <v>86</v>
      </c>
      <c r="F178" s="86" t="s">
        <v>108</v>
      </c>
      <c r="G178" s="86" t="s">
        <v>283</v>
      </c>
      <c r="H178" s="95" t="s">
        <v>176</v>
      </c>
      <c r="I178" s="48" t="s">
        <v>285</v>
      </c>
      <c r="J178" s="52"/>
      <c r="K178" s="105"/>
      <c r="L178" s="105"/>
      <c r="M178" s="105"/>
      <c r="N178" s="104">
        <f t="shared" si="80"/>
        <v>0</v>
      </c>
      <c r="O178" s="86">
        <v>20</v>
      </c>
      <c r="P178" s="86"/>
      <c r="Q178" s="86">
        <v>20</v>
      </c>
      <c r="R178" s="104">
        <f t="shared" si="79"/>
        <v>40</v>
      </c>
      <c r="S178" s="86">
        <f t="shared" si="81"/>
        <v>40</v>
      </c>
      <c r="T178" s="87"/>
      <c r="U178" s="87"/>
      <c r="V178" s="87"/>
      <c r="W178" s="88"/>
      <c r="X178" s="87"/>
      <c r="Y178" s="87"/>
      <c r="Z178" s="87"/>
      <c r="AA178" s="88"/>
      <c r="AB178" s="88">
        <v>39.270000000000003</v>
      </c>
      <c r="AC178" s="88">
        <v>52.462499999999999</v>
      </c>
      <c r="AD178" s="88">
        <v>72.64</v>
      </c>
      <c r="AE178" s="89">
        <f t="shared" si="82"/>
        <v>2905.6</v>
      </c>
      <c r="AF178" s="90">
        <v>6.5000000000000002E-2</v>
      </c>
      <c r="AG178" s="4">
        <f t="shared" si="78"/>
        <v>188.864</v>
      </c>
      <c r="AH178" s="49">
        <f t="shared" si="83"/>
        <v>0</v>
      </c>
      <c r="AI178" s="89">
        <f t="shared" si="84"/>
        <v>2716.7359999999999</v>
      </c>
      <c r="AJ178" s="91">
        <v>0.18</v>
      </c>
      <c r="AK178" s="5">
        <f t="shared" si="85"/>
        <v>489.01247999999998</v>
      </c>
      <c r="AL178" s="89">
        <f t="shared" si="86"/>
        <v>3205.7484799999997</v>
      </c>
      <c r="AP178" s="92"/>
    </row>
    <row r="179" spans="1:42" hidden="1" x14ac:dyDescent="0.35">
      <c r="A179" s="85">
        <v>46210</v>
      </c>
      <c r="B179" s="51" t="s">
        <v>85</v>
      </c>
      <c r="C179" s="97">
        <v>78041082.25</v>
      </c>
      <c r="D179" s="97">
        <v>111084.7</v>
      </c>
      <c r="E179" s="48" t="s">
        <v>86</v>
      </c>
      <c r="F179" s="86" t="s">
        <v>108</v>
      </c>
      <c r="G179" s="86" t="s">
        <v>284</v>
      </c>
      <c r="H179" s="95" t="s">
        <v>176</v>
      </c>
      <c r="I179" s="48" t="s">
        <v>285</v>
      </c>
      <c r="J179" s="52"/>
      <c r="K179" s="86"/>
      <c r="L179" s="86"/>
      <c r="M179" s="86"/>
      <c r="N179" s="104">
        <f t="shared" si="80"/>
        <v>0</v>
      </c>
      <c r="O179" s="105"/>
      <c r="P179" s="105"/>
      <c r="Q179" s="105">
        <v>40</v>
      </c>
      <c r="R179" s="104">
        <f t="shared" si="79"/>
        <v>40</v>
      </c>
      <c r="S179" s="86">
        <f t="shared" si="81"/>
        <v>40</v>
      </c>
      <c r="T179" s="87"/>
      <c r="U179" s="87"/>
      <c r="V179" s="87"/>
      <c r="W179" s="88"/>
      <c r="X179" s="87"/>
      <c r="Y179" s="87"/>
      <c r="Z179" s="87"/>
      <c r="AA179" s="88"/>
      <c r="AB179" s="88">
        <v>39.270000000000003</v>
      </c>
      <c r="AC179" s="88">
        <v>52.462499999999999</v>
      </c>
      <c r="AD179" s="88">
        <v>72.64</v>
      </c>
      <c r="AE179" s="89">
        <f t="shared" si="82"/>
        <v>2905.6</v>
      </c>
      <c r="AF179" s="90">
        <v>6.5000000000000002E-2</v>
      </c>
      <c r="AG179" s="4">
        <f t="shared" si="78"/>
        <v>188.864</v>
      </c>
      <c r="AH179" s="49">
        <f t="shared" si="83"/>
        <v>0</v>
      </c>
      <c r="AI179" s="89">
        <f t="shared" si="84"/>
        <v>2716.7359999999999</v>
      </c>
      <c r="AJ179" s="91">
        <v>0.18</v>
      </c>
      <c r="AK179" s="5">
        <f t="shared" si="85"/>
        <v>489.01247999999998</v>
      </c>
      <c r="AL179" s="89">
        <f t="shared" si="86"/>
        <v>3205.7484799999997</v>
      </c>
      <c r="AP179" s="92"/>
    </row>
    <row r="180" spans="1:42" hidden="1" x14ac:dyDescent="0.35">
      <c r="A180" s="85">
        <v>46210</v>
      </c>
      <c r="B180" s="51" t="s">
        <v>85</v>
      </c>
      <c r="C180" s="97">
        <v>78511001.321428597</v>
      </c>
      <c r="D180" s="97">
        <v>111750.39999999999</v>
      </c>
      <c r="E180" s="48" t="s">
        <v>86</v>
      </c>
      <c r="F180" s="86" t="s">
        <v>108</v>
      </c>
      <c r="G180" s="86" t="s">
        <v>286</v>
      </c>
      <c r="H180" s="86" t="s">
        <v>112</v>
      </c>
      <c r="I180" s="48" t="s">
        <v>288</v>
      </c>
      <c r="J180" s="52">
        <v>40</v>
      </c>
      <c r="K180" s="86">
        <v>40</v>
      </c>
      <c r="L180" s="86">
        <v>40</v>
      </c>
      <c r="M180" s="86"/>
      <c r="N180" s="104">
        <f t="shared" si="80"/>
        <v>80</v>
      </c>
      <c r="O180" s="86"/>
      <c r="P180" s="86"/>
      <c r="Q180" s="86"/>
      <c r="R180" s="104">
        <f t="shared" si="79"/>
        <v>0</v>
      </c>
      <c r="S180" s="86">
        <f t="shared" si="81"/>
        <v>120</v>
      </c>
      <c r="T180" s="87"/>
      <c r="U180" s="87"/>
      <c r="V180" s="87"/>
      <c r="W180" s="88"/>
      <c r="X180" s="87"/>
      <c r="Y180" s="87"/>
      <c r="Z180" s="87"/>
      <c r="AA180" s="88"/>
      <c r="AB180" s="88">
        <v>39.270000000000003</v>
      </c>
      <c r="AC180" s="88">
        <v>52.462499999999999</v>
      </c>
      <c r="AD180" s="88">
        <v>72.64</v>
      </c>
      <c r="AE180" s="89">
        <f t="shared" si="82"/>
        <v>14484.599999999999</v>
      </c>
      <c r="AF180" s="90">
        <v>0.1</v>
      </c>
      <c r="AG180" s="4">
        <f t="shared" si="78"/>
        <v>1448.46</v>
      </c>
      <c r="AH180" s="49">
        <f t="shared" si="83"/>
        <v>54.978000000000009</v>
      </c>
      <c r="AI180" s="89">
        <f t="shared" si="84"/>
        <v>13036.14</v>
      </c>
      <c r="AJ180" s="91">
        <v>0.18</v>
      </c>
      <c r="AK180" s="5">
        <f t="shared" si="85"/>
        <v>2346.5051999999996</v>
      </c>
      <c r="AL180" s="89">
        <f t="shared" si="86"/>
        <v>15382.645199999999</v>
      </c>
      <c r="AP180" s="92"/>
    </row>
    <row r="181" spans="1:42" hidden="1" x14ac:dyDescent="0.35">
      <c r="A181" s="85">
        <v>46210</v>
      </c>
      <c r="B181" s="51" t="s">
        <v>85</v>
      </c>
      <c r="C181" s="97">
        <v>78980920.392857105</v>
      </c>
      <c r="D181" s="97">
        <v>112416.1</v>
      </c>
      <c r="E181" s="48" t="s">
        <v>86</v>
      </c>
      <c r="F181" s="86" t="s">
        <v>108</v>
      </c>
      <c r="G181" s="86" t="s">
        <v>169</v>
      </c>
      <c r="H181" s="86" t="s">
        <v>112</v>
      </c>
      <c r="I181" s="48" t="s">
        <v>288</v>
      </c>
      <c r="J181" s="52">
        <v>40</v>
      </c>
      <c r="K181" s="105"/>
      <c r="L181" s="105"/>
      <c r="M181" s="105"/>
      <c r="N181" s="104">
        <f t="shared" si="80"/>
        <v>0</v>
      </c>
      <c r="O181" s="86">
        <v>40</v>
      </c>
      <c r="P181" s="86">
        <v>40</v>
      </c>
      <c r="Q181" s="86">
        <v>40</v>
      </c>
      <c r="R181" s="104">
        <f t="shared" si="79"/>
        <v>120</v>
      </c>
      <c r="S181" s="86">
        <f t="shared" si="81"/>
        <v>160</v>
      </c>
      <c r="T181" s="87"/>
      <c r="U181" s="87"/>
      <c r="V181" s="87"/>
      <c r="W181" s="88"/>
      <c r="X181" s="87"/>
      <c r="Y181" s="87"/>
      <c r="Z181" s="87"/>
      <c r="AA181" s="88"/>
      <c r="AB181" s="88">
        <v>39.270000000000003</v>
      </c>
      <c r="AC181" s="88">
        <v>52.462499999999999</v>
      </c>
      <c r="AD181" s="88">
        <v>72.64</v>
      </c>
      <c r="AE181" s="89">
        <f t="shared" si="82"/>
        <v>13193.2</v>
      </c>
      <c r="AF181" s="90">
        <v>6.5000000000000002E-2</v>
      </c>
      <c r="AG181" s="4">
        <f t="shared" ref="AG181:AG222" si="87">AE181*AF181</f>
        <v>857.55800000000011</v>
      </c>
      <c r="AH181" s="49">
        <f t="shared" si="83"/>
        <v>54.978000000000009</v>
      </c>
      <c r="AI181" s="89">
        <f t="shared" si="84"/>
        <v>12335.642</v>
      </c>
      <c r="AJ181" s="91">
        <v>0.18</v>
      </c>
      <c r="AK181" s="5">
        <f t="shared" si="85"/>
        <v>2220.4155599999999</v>
      </c>
      <c r="AL181" s="89">
        <f t="shared" si="86"/>
        <v>14556.057559999999</v>
      </c>
      <c r="AP181" s="92"/>
    </row>
    <row r="182" spans="1:42" hidden="1" x14ac:dyDescent="0.35">
      <c r="A182" s="85">
        <v>46210</v>
      </c>
      <c r="B182" s="51" t="s">
        <v>85</v>
      </c>
      <c r="C182" s="97">
        <v>79450839.464285702</v>
      </c>
      <c r="D182" s="97">
        <v>113081.8</v>
      </c>
      <c r="E182" s="48" t="s">
        <v>86</v>
      </c>
      <c r="F182" s="86" t="s">
        <v>108</v>
      </c>
      <c r="G182" s="86" t="s">
        <v>287</v>
      </c>
      <c r="H182" s="86" t="s">
        <v>112</v>
      </c>
      <c r="I182" s="48" t="s">
        <v>288</v>
      </c>
      <c r="J182" s="52"/>
      <c r="K182" s="105">
        <v>40</v>
      </c>
      <c r="L182" s="105">
        <v>40</v>
      </c>
      <c r="M182" s="105"/>
      <c r="N182" s="104">
        <f t="shared" si="80"/>
        <v>80</v>
      </c>
      <c r="O182" s="86">
        <v>40</v>
      </c>
      <c r="P182" s="105">
        <v>20</v>
      </c>
      <c r="Q182" s="86">
        <v>20</v>
      </c>
      <c r="R182" s="104">
        <f t="shared" si="79"/>
        <v>80</v>
      </c>
      <c r="S182" s="86">
        <f t="shared" si="81"/>
        <v>160</v>
      </c>
      <c r="T182" s="87"/>
      <c r="U182" s="87"/>
      <c r="V182" s="87"/>
      <c r="W182" s="88"/>
      <c r="X182" s="87"/>
      <c r="Y182" s="87"/>
      <c r="Z182" s="87"/>
      <c r="AA182" s="88"/>
      <c r="AB182" s="88">
        <v>39.270000000000003</v>
      </c>
      <c r="AC182" s="88">
        <v>52.462499999999999</v>
      </c>
      <c r="AD182" s="88">
        <v>72.64</v>
      </c>
      <c r="AE182" s="89">
        <f t="shared" si="82"/>
        <v>15819.4</v>
      </c>
      <c r="AF182" s="90">
        <v>6.5000000000000002E-2</v>
      </c>
      <c r="AG182" s="4">
        <f t="shared" si="87"/>
        <v>1028.261</v>
      </c>
      <c r="AH182" s="49">
        <f t="shared" si="83"/>
        <v>0</v>
      </c>
      <c r="AI182" s="89">
        <f t="shared" si="84"/>
        <v>14791.138999999999</v>
      </c>
      <c r="AJ182" s="91">
        <v>0.18</v>
      </c>
      <c r="AK182" s="5">
        <f t="shared" si="85"/>
        <v>2662.4050199999997</v>
      </c>
      <c r="AL182" s="89">
        <f t="shared" si="86"/>
        <v>17453.544019999998</v>
      </c>
      <c r="AP182" s="92"/>
    </row>
    <row r="183" spans="1:42" hidden="1" x14ac:dyDescent="0.35">
      <c r="A183" s="85">
        <v>46210</v>
      </c>
      <c r="B183" s="51" t="s">
        <v>85</v>
      </c>
      <c r="C183" s="97">
        <v>79920758.535714298</v>
      </c>
      <c r="D183" s="97">
        <v>113747.5</v>
      </c>
      <c r="E183" s="48" t="s">
        <v>86</v>
      </c>
      <c r="F183" s="86" t="s">
        <v>108</v>
      </c>
      <c r="G183" s="86" t="s">
        <v>289</v>
      </c>
      <c r="H183" s="86" t="s">
        <v>127</v>
      </c>
      <c r="I183" s="48" t="s">
        <v>297</v>
      </c>
      <c r="J183" s="52">
        <v>12</v>
      </c>
      <c r="K183" s="105">
        <v>6</v>
      </c>
      <c r="L183" s="105">
        <v>6</v>
      </c>
      <c r="M183" s="105"/>
      <c r="N183" s="104">
        <f t="shared" si="80"/>
        <v>12</v>
      </c>
      <c r="O183" s="86"/>
      <c r="P183" s="86"/>
      <c r="Q183" s="86"/>
      <c r="R183" s="104">
        <f t="shared" si="79"/>
        <v>0</v>
      </c>
      <c r="S183" s="86">
        <f t="shared" si="81"/>
        <v>24</v>
      </c>
      <c r="T183" s="87"/>
      <c r="U183" s="87"/>
      <c r="V183" s="87"/>
      <c r="W183" s="88"/>
      <c r="X183" s="87"/>
      <c r="Y183" s="87"/>
      <c r="Z183" s="87"/>
      <c r="AA183" s="88"/>
      <c r="AB183" s="88">
        <v>39.270000000000003</v>
      </c>
      <c r="AC183" s="88">
        <v>52.462499999999999</v>
      </c>
      <c r="AD183" s="88">
        <v>72.64</v>
      </c>
      <c r="AE183" s="89">
        <f t="shared" si="82"/>
        <v>2844.15</v>
      </c>
      <c r="AF183" s="90">
        <v>6.5000000000000002E-2</v>
      </c>
      <c r="AG183" s="4">
        <f t="shared" si="87"/>
        <v>184.86975000000001</v>
      </c>
      <c r="AH183" s="49">
        <f t="shared" si="83"/>
        <v>16.493400000000001</v>
      </c>
      <c r="AI183" s="89">
        <f t="shared" si="84"/>
        <v>2659.2802500000003</v>
      </c>
      <c r="AJ183" s="91">
        <v>0.18</v>
      </c>
      <c r="AK183" s="5">
        <f t="shared" si="85"/>
        <v>478.67044500000003</v>
      </c>
      <c r="AL183" s="89">
        <f t="shared" si="86"/>
        <v>3137.9506950000005</v>
      </c>
      <c r="AP183" s="92"/>
    </row>
    <row r="184" spans="1:42" hidden="1" x14ac:dyDescent="0.35">
      <c r="A184" s="85">
        <v>46210</v>
      </c>
      <c r="B184" s="51" t="s">
        <v>85</v>
      </c>
      <c r="C184" s="97">
        <v>80390677.607142895</v>
      </c>
      <c r="D184" s="97">
        <v>114413.2</v>
      </c>
      <c r="E184" s="48" t="s">
        <v>86</v>
      </c>
      <c r="F184" s="86" t="s">
        <v>108</v>
      </c>
      <c r="G184" s="86" t="s">
        <v>290</v>
      </c>
      <c r="H184" s="86" t="s">
        <v>127</v>
      </c>
      <c r="I184" s="48" t="s">
        <v>297</v>
      </c>
      <c r="J184" s="52">
        <v>6</v>
      </c>
      <c r="K184" s="105">
        <v>6</v>
      </c>
      <c r="L184" s="105">
        <v>6</v>
      </c>
      <c r="M184" s="105"/>
      <c r="N184" s="104">
        <f t="shared" si="80"/>
        <v>12</v>
      </c>
      <c r="O184" s="86"/>
      <c r="P184" s="86"/>
      <c r="Q184" s="86"/>
      <c r="R184" s="104">
        <f t="shared" si="79"/>
        <v>0</v>
      </c>
      <c r="S184" s="86">
        <f t="shared" si="81"/>
        <v>18</v>
      </c>
      <c r="T184" s="87"/>
      <c r="U184" s="87"/>
      <c r="V184" s="87"/>
      <c r="W184" s="88"/>
      <c r="X184" s="87"/>
      <c r="Y184" s="87"/>
      <c r="Z184" s="87"/>
      <c r="AA184" s="88"/>
      <c r="AB184" s="88">
        <v>39.270000000000003</v>
      </c>
      <c r="AC184" s="88">
        <v>52.462499999999999</v>
      </c>
      <c r="AD184" s="88">
        <v>72.64</v>
      </c>
      <c r="AE184" s="89">
        <f t="shared" si="82"/>
        <v>2172.69</v>
      </c>
      <c r="AF184" s="90">
        <v>6.5000000000000002E-2</v>
      </c>
      <c r="AG184" s="4">
        <f t="shared" si="87"/>
        <v>141.22485</v>
      </c>
      <c r="AH184" s="49">
        <f t="shared" si="83"/>
        <v>8.2467000000000006</v>
      </c>
      <c r="AI184" s="89">
        <f t="shared" si="84"/>
        <v>2031.46515</v>
      </c>
      <c r="AJ184" s="91">
        <v>0.18</v>
      </c>
      <c r="AK184" s="5">
        <f t="shared" si="85"/>
        <v>365.66372699999999</v>
      </c>
      <c r="AL184" s="89">
        <f t="shared" si="86"/>
        <v>2397.1288770000001</v>
      </c>
      <c r="AP184" s="92"/>
    </row>
    <row r="185" spans="1:42" hidden="1" x14ac:dyDescent="0.35">
      <c r="A185" s="85">
        <v>46210</v>
      </c>
      <c r="B185" s="51" t="s">
        <v>85</v>
      </c>
      <c r="C185" s="97">
        <v>80860596.678571403</v>
      </c>
      <c r="D185" s="97">
        <v>115078.9</v>
      </c>
      <c r="E185" s="48" t="s">
        <v>86</v>
      </c>
      <c r="F185" s="86" t="s">
        <v>108</v>
      </c>
      <c r="G185" s="86" t="s">
        <v>291</v>
      </c>
      <c r="H185" s="86" t="s">
        <v>127</v>
      </c>
      <c r="I185" s="48" t="s">
        <v>297</v>
      </c>
      <c r="J185" s="52">
        <v>40</v>
      </c>
      <c r="K185" s="86">
        <v>40</v>
      </c>
      <c r="L185" s="105">
        <v>40</v>
      </c>
      <c r="M185" s="105"/>
      <c r="N185" s="104">
        <f t="shared" si="80"/>
        <v>80</v>
      </c>
      <c r="O185" s="86"/>
      <c r="P185" s="105"/>
      <c r="Q185" s="105"/>
      <c r="R185" s="104">
        <f t="shared" si="79"/>
        <v>0</v>
      </c>
      <c r="S185" s="86">
        <f t="shared" si="81"/>
        <v>120</v>
      </c>
      <c r="T185" s="87"/>
      <c r="U185" s="87"/>
      <c r="V185" s="87"/>
      <c r="W185" s="88"/>
      <c r="X185" s="87"/>
      <c r="Y185" s="87"/>
      <c r="Z185" s="87"/>
      <c r="AA185" s="88"/>
      <c r="AB185" s="88">
        <v>39.270000000000003</v>
      </c>
      <c r="AC185" s="88">
        <v>52.462499999999999</v>
      </c>
      <c r="AD185" s="88">
        <v>72.64</v>
      </c>
      <c r="AE185" s="89">
        <f t="shared" si="82"/>
        <v>14484.599999999999</v>
      </c>
      <c r="AF185" s="90">
        <v>6.5000000000000002E-2</v>
      </c>
      <c r="AG185" s="4">
        <f t="shared" si="87"/>
        <v>941.49899999999991</v>
      </c>
      <c r="AH185" s="49">
        <f t="shared" si="83"/>
        <v>54.978000000000009</v>
      </c>
      <c r="AI185" s="89">
        <f t="shared" si="84"/>
        <v>13543.100999999999</v>
      </c>
      <c r="AJ185" s="91">
        <v>0.18</v>
      </c>
      <c r="AK185" s="5">
        <f t="shared" si="85"/>
        <v>2437.7581799999998</v>
      </c>
      <c r="AL185" s="89">
        <f t="shared" si="86"/>
        <v>15980.859179999999</v>
      </c>
      <c r="AP185" s="92"/>
    </row>
    <row r="186" spans="1:42" hidden="1" x14ac:dyDescent="0.35">
      <c r="A186" s="85">
        <v>46210</v>
      </c>
      <c r="B186" s="51" t="s">
        <v>85</v>
      </c>
      <c r="C186" s="97">
        <v>81330515.75</v>
      </c>
      <c r="D186" s="97">
        <v>115744.6</v>
      </c>
      <c r="E186" s="48" t="s">
        <v>86</v>
      </c>
      <c r="F186" s="86" t="s">
        <v>108</v>
      </c>
      <c r="G186" s="86" t="s">
        <v>292</v>
      </c>
      <c r="H186" s="86" t="s">
        <v>127</v>
      </c>
      <c r="I186" s="48" t="s">
        <v>297</v>
      </c>
      <c r="J186" s="52">
        <v>40</v>
      </c>
      <c r="K186" s="86"/>
      <c r="L186" s="105"/>
      <c r="M186" s="105"/>
      <c r="N186" s="104">
        <f t="shared" si="80"/>
        <v>0</v>
      </c>
      <c r="O186" s="86"/>
      <c r="P186" s="86"/>
      <c r="Q186" s="86"/>
      <c r="R186" s="104">
        <f t="shared" si="79"/>
        <v>0</v>
      </c>
      <c r="S186" s="86">
        <f t="shared" si="81"/>
        <v>40</v>
      </c>
      <c r="T186" s="87"/>
      <c r="U186" s="87"/>
      <c r="V186" s="87"/>
      <c r="W186" s="88"/>
      <c r="X186" s="87"/>
      <c r="Y186" s="87"/>
      <c r="Z186" s="87"/>
      <c r="AA186" s="88"/>
      <c r="AB186" s="88">
        <v>39.270000000000003</v>
      </c>
      <c r="AC186" s="88">
        <v>52.462499999999999</v>
      </c>
      <c r="AD186" s="88">
        <v>72.64</v>
      </c>
      <c r="AE186" s="89">
        <f t="shared" si="82"/>
        <v>4476.3999999999996</v>
      </c>
      <c r="AF186" s="90">
        <v>6.5000000000000002E-2</v>
      </c>
      <c r="AG186" s="4">
        <f t="shared" si="87"/>
        <v>290.96600000000001</v>
      </c>
      <c r="AH186" s="49">
        <f t="shared" si="83"/>
        <v>54.978000000000009</v>
      </c>
      <c r="AI186" s="89">
        <f t="shared" si="84"/>
        <v>4185.4339999999993</v>
      </c>
      <c r="AJ186" s="91">
        <v>0.18</v>
      </c>
      <c r="AK186" s="5">
        <f t="shared" si="85"/>
        <v>753.37811999999985</v>
      </c>
      <c r="AL186" s="89">
        <f t="shared" si="86"/>
        <v>4938.8121199999987</v>
      </c>
      <c r="AP186" s="92"/>
    </row>
    <row r="187" spans="1:42" hidden="1" x14ac:dyDescent="0.35">
      <c r="A187" s="85">
        <v>46210</v>
      </c>
      <c r="B187" s="51" t="s">
        <v>85</v>
      </c>
      <c r="C187" s="97">
        <v>81800434.821428597</v>
      </c>
      <c r="D187" s="97">
        <v>116410.3</v>
      </c>
      <c r="E187" s="48" t="s">
        <v>86</v>
      </c>
      <c r="F187" s="86" t="s">
        <v>108</v>
      </c>
      <c r="G187" s="86" t="s">
        <v>293</v>
      </c>
      <c r="H187" s="86" t="s">
        <v>127</v>
      </c>
      <c r="I187" s="48" t="s">
        <v>297</v>
      </c>
      <c r="J187" s="52">
        <v>12</v>
      </c>
      <c r="K187" s="86"/>
      <c r="L187" s="105"/>
      <c r="M187" s="105"/>
      <c r="N187" s="104">
        <f t="shared" si="80"/>
        <v>0</v>
      </c>
      <c r="O187" s="86"/>
      <c r="P187" s="86"/>
      <c r="Q187" s="86"/>
      <c r="R187" s="104">
        <f t="shared" si="79"/>
        <v>0</v>
      </c>
      <c r="S187" s="86">
        <f t="shared" si="81"/>
        <v>12</v>
      </c>
      <c r="T187" s="87"/>
      <c r="U187" s="87"/>
      <c r="V187" s="87"/>
      <c r="W187" s="88"/>
      <c r="X187" s="87"/>
      <c r="Y187" s="87"/>
      <c r="Z187" s="87"/>
      <c r="AA187" s="88"/>
      <c r="AB187" s="88">
        <v>39.270000000000003</v>
      </c>
      <c r="AC187" s="88">
        <v>52.462499999999999</v>
      </c>
      <c r="AD187" s="88">
        <v>72.64</v>
      </c>
      <c r="AE187" s="89">
        <f t="shared" si="82"/>
        <v>1342.92</v>
      </c>
      <c r="AF187" s="90">
        <v>6.5000000000000002E-2</v>
      </c>
      <c r="AG187" s="4">
        <f t="shared" si="87"/>
        <v>87.289800000000014</v>
      </c>
      <c r="AH187" s="49">
        <f t="shared" si="83"/>
        <v>16.493400000000001</v>
      </c>
      <c r="AI187" s="89">
        <f t="shared" si="84"/>
        <v>1255.6302000000001</v>
      </c>
      <c r="AJ187" s="91">
        <v>0.18</v>
      </c>
      <c r="AK187" s="5">
        <f t="shared" si="85"/>
        <v>226.01343600000001</v>
      </c>
      <c r="AL187" s="89">
        <f t="shared" si="86"/>
        <v>1481.643636</v>
      </c>
      <c r="AP187" s="92"/>
    </row>
    <row r="188" spans="1:42" hidden="1" x14ac:dyDescent="0.35">
      <c r="A188" s="85">
        <v>46210</v>
      </c>
      <c r="B188" s="51" t="s">
        <v>85</v>
      </c>
      <c r="C188" s="97">
        <v>82270353.892857105</v>
      </c>
      <c r="D188" s="97">
        <v>117076</v>
      </c>
      <c r="E188" s="48" t="s">
        <v>86</v>
      </c>
      <c r="F188" s="86" t="s">
        <v>108</v>
      </c>
      <c r="G188" s="86" t="s">
        <v>267</v>
      </c>
      <c r="H188" s="86" t="s">
        <v>127</v>
      </c>
      <c r="I188" s="48" t="s">
        <v>297</v>
      </c>
      <c r="J188" s="52">
        <v>40</v>
      </c>
      <c r="K188" s="86"/>
      <c r="L188" s="86"/>
      <c r="M188" s="86"/>
      <c r="N188" s="104">
        <f t="shared" si="80"/>
        <v>0</v>
      </c>
      <c r="O188" s="105"/>
      <c r="P188" s="105"/>
      <c r="Q188" s="105"/>
      <c r="R188" s="104">
        <f t="shared" si="79"/>
        <v>0</v>
      </c>
      <c r="S188" s="86">
        <f t="shared" si="81"/>
        <v>40</v>
      </c>
      <c r="T188" s="87"/>
      <c r="U188" s="87"/>
      <c r="V188" s="87"/>
      <c r="W188" s="88"/>
      <c r="X188" s="87"/>
      <c r="Y188" s="87"/>
      <c r="Z188" s="87"/>
      <c r="AA188" s="88"/>
      <c r="AB188" s="88">
        <v>39.270000000000003</v>
      </c>
      <c r="AC188" s="88">
        <v>52.462499999999999</v>
      </c>
      <c r="AD188" s="88">
        <v>72.64</v>
      </c>
      <c r="AE188" s="89">
        <f t="shared" si="82"/>
        <v>4476.3999999999996</v>
      </c>
      <c r="AF188" s="90">
        <v>6.5000000000000002E-2</v>
      </c>
      <c r="AG188" s="4">
        <f t="shared" si="87"/>
        <v>290.96600000000001</v>
      </c>
      <c r="AH188" s="49">
        <f t="shared" si="83"/>
        <v>54.978000000000009</v>
      </c>
      <c r="AI188" s="89">
        <f t="shared" si="84"/>
        <v>4185.4339999999993</v>
      </c>
      <c r="AJ188" s="91">
        <v>0.18</v>
      </c>
      <c r="AK188" s="5">
        <f t="shared" si="85"/>
        <v>753.37811999999985</v>
      </c>
      <c r="AL188" s="89">
        <f t="shared" si="86"/>
        <v>4938.8121199999987</v>
      </c>
      <c r="AP188" s="92"/>
    </row>
    <row r="189" spans="1:42" hidden="1" x14ac:dyDescent="0.35">
      <c r="A189" s="85">
        <v>46210</v>
      </c>
      <c r="B189" s="51" t="s">
        <v>85</v>
      </c>
      <c r="C189" s="97">
        <v>82740272.964285702</v>
      </c>
      <c r="D189" s="97">
        <v>117741.7</v>
      </c>
      <c r="E189" s="48" t="s">
        <v>86</v>
      </c>
      <c r="F189" s="86" t="s">
        <v>108</v>
      </c>
      <c r="G189" s="86" t="s">
        <v>294</v>
      </c>
      <c r="H189" s="86" t="s">
        <v>127</v>
      </c>
      <c r="I189" s="48" t="s">
        <v>297</v>
      </c>
      <c r="J189" s="52">
        <v>12</v>
      </c>
      <c r="K189" s="86"/>
      <c r="L189" s="105"/>
      <c r="M189" s="105"/>
      <c r="N189" s="104">
        <f t="shared" si="80"/>
        <v>0</v>
      </c>
      <c r="O189" s="86"/>
      <c r="P189" s="105"/>
      <c r="Q189" s="86"/>
      <c r="R189" s="104">
        <f t="shared" si="79"/>
        <v>0</v>
      </c>
      <c r="S189" s="86">
        <f t="shared" si="81"/>
        <v>12</v>
      </c>
      <c r="T189" s="87"/>
      <c r="U189" s="87"/>
      <c r="V189" s="87"/>
      <c r="W189" s="88"/>
      <c r="X189" s="87"/>
      <c r="Y189" s="87"/>
      <c r="Z189" s="87"/>
      <c r="AA189" s="88"/>
      <c r="AB189" s="88">
        <v>39.270000000000003</v>
      </c>
      <c r="AC189" s="88">
        <v>52.462499999999999</v>
      </c>
      <c r="AD189" s="88">
        <v>72.64</v>
      </c>
      <c r="AE189" s="89">
        <f t="shared" si="82"/>
        <v>1342.92</v>
      </c>
      <c r="AF189" s="90">
        <v>6.5000000000000002E-2</v>
      </c>
      <c r="AG189" s="4">
        <f t="shared" si="87"/>
        <v>87.289800000000014</v>
      </c>
      <c r="AH189" s="49">
        <f t="shared" si="83"/>
        <v>16.493400000000001</v>
      </c>
      <c r="AI189" s="89">
        <f t="shared" si="84"/>
        <v>1255.6302000000001</v>
      </c>
      <c r="AJ189" s="91">
        <v>0.18</v>
      </c>
      <c r="AK189" s="5">
        <f t="shared" si="85"/>
        <v>226.01343600000001</v>
      </c>
      <c r="AL189" s="89">
        <f t="shared" si="86"/>
        <v>1481.643636</v>
      </c>
      <c r="AP189" s="92"/>
    </row>
    <row r="190" spans="1:42" hidden="1" x14ac:dyDescent="0.35">
      <c r="A190" s="85">
        <v>46210</v>
      </c>
      <c r="B190" s="51" t="s">
        <v>85</v>
      </c>
      <c r="C190" s="97">
        <v>83210192.035714298</v>
      </c>
      <c r="D190" s="97">
        <v>118407.4</v>
      </c>
      <c r="E190" s="48" t="s">
        <v>86</v>
      </c>
      <c r="F190" s="86" t="s">
        <v>108</v>
      </c>
      <c r="G190" s="86" t="s">
        <v>295</v>
      </c>
      <c r="H190" s="86" t="s">
        <v>127</v>
      </c>
      <c r="I190" s="48" t="s">
        <v>297</v>
      </c>
      <c r="J190" s="52">
        <v>20</v>
      </c>
      <c r="K190" s="86"/>
      <c r="L190" s="86"/>
      <c r="M190" s="86"/>
      <c r="N190" s="104">
        <f t="shared" si="80"/>
        <v>0</v>
      </c>
      <c r="O190" s="86">
        <v>15</v>
      </c>
      <c r="P190" s="86">
        <v>10</v>
      </c>
      <c r="Q190" s="86">
        <v>15</v>
      </c>
      <c r="R190" s="104">
        <f t="shared" si="79"/>
        <v>40</v>
      </c>
      <c r="S190" s="86">
        <f t="shared" si="81"/>
        <v>60</v>
      </c>
      <c r="T190" s="87"/>
      <c r="U190" s="87"/>
      <c r="V190" s="87"/>
      <c r="W190" s="88"/>
      <c r="X190" s="87"/>
      <c r="Y190" s="87"/>
      <c r="Z190" s="87"/>
      <c r="AA190" s="88"/>
      <c r="AB190" s="88">
        <v>39.270000000000003</v>
      </c>
      <c r="AC190" s="88">
        <v>52.462499999999999</v>
      </c>
      <c r="AD190" s="88">
        <v>72.64</v>
      </c>
      <c r="AE190" s="89">
        <f t="shared" si="82"/>
        <v>5143.7999999999993</v>
      </c>
      <c r="AF190" s="90">
        <v>6.5000000000000002E-2</v>
      </c>
      <c r="AG190" s="4">
        <f t="shared" si="87"/>
        <v>334.34699999999998</v>
      </c>
      <c r="AH190" s="49">
        <f t="shared" si="83"/>
        <v>27.489000000000004</v>
      </c>
      <c r="AI190" s="89">
        <f t="shared" si="84"/>
        <v>4809.4529999999995</v>
      </c>
      <c r="AJ190" s="91">
        <v>0.18</v>
      </c>
      <c r="AK190" s="5">
        <f t="shared" si="85"/>
        <v>865.70153999999991</v>
      </c>
      <c r="AL190" s="89">
        <f t="shared" si="86"/>
        <v>5675.1545399999995</v>
      </c>
      <c r="AP190" s="92"/>
    </row>
    <row r="191" spans="1:42" hidden="1" x14ac:dyDescent="0.35">
      <c r="A191" s="85">
        <v>46210</v>
      </c>
      <c r="B191" s="51" t="s">
        <v>85</v>
      </c>
      <c r="C191" s="97">
        <v>83680111.107142895</v>
      </c>
      <c r="D191" s="97">
        <v>119073.1</v>
      </c>
      <c r="E191" s="48" t="s">
        <v>86</v>
      </c>
      <c r="F191" s="86" t="s">
        <v>108</v>
      </c>
      <c r="G191" s="86" t="s">
        <v>142</v>
      </c>
      <c r="H191" s="86" t="s">
        <v>127</v>
      </c>
      <c r="I191" s="48" t="s">
        <v>297</v>
      </c>
      <c r="J191" s="52">
        <v>20</v>
      </c>
      <c r="K191" s="105"/>
      <c r="L191" s="105"/>
      <c r="M191" s="105"/>
      <c r="N191" s="104">
        <f t="shared" si="80"/>
        <v>0</v>
      </c>
      <c r="O191" s="86"/>
      <c r="P191" s="86"/>
      <c r="Q191" s="86"/>
      <c r="R191" s="104">
        <f t="shared" si="79"/>
        <v>0</v>
      </c>
      <c r="S191" s="86">
        <f t="shared" si="81"/>
        <v>20</v>
      </c>
      <c r="T191" s="87"/>
      <c r="U191" s="87"/>
      <c r="V191" s="87"/>
      <c r="W191" s="88"/>
      <c r="X191" s="87"/>
      <c r="Y191" s="87"/>
      <c r="Z191" s="87"/>
      <c r="AA191" s="88"/>
      <c r="AB191" s="88">
        <v>39.270000000000003</v>
      </c>
      <c r="AC191" s="88">
        <v>52.462499999999999</v>
      </c>
      <c r="AD191" s="88">
        <v>72.64</v>
      </c>
      <c r="AE191" s="89">
        <f t="shared" si="82"/>
        <v>2238.1999999999998</v>
      </c>
      <c r="AF191" s="90">
        <v>6.5000000000000002E-2</v>
      </c>
      <c r="AG191" s="4">
        <f t="shared" si="87"/>
        <v>145.483</v>
      </c>
      <c r="AH191" s="49">
        <f t="shared" si="83"/>
        <v>27.489000000000004</v>
      </c>
      <c r="AI191" s="89">
        <f t="shared" si="84"/>
        <v>2092.7169999999996</v>
      </c>
      <c r="AJ191" s="91">
        <v>0.18</v>
      </c>
      <c r="AK191" s="5">
        <f t="shared" si="85"/>
        <v>376.68905999999993</v>
      </c>
      <c r="AL191" s="89">
        <f t="shared" si="86"/>
        <v>2469.4060599999993</v>
      </c>
      <c r="AP191" s="92"/>
    </row>
    <row r="192" spans="1:42" hidden="1" x14ac:dyDescent="0.35">
      <c r="A192" s="85">
        <v>46210</v>
      </c>
      <c r="B192" s="51" t="s">
        <v>85</v>
      </c>
      <c r="C192" s="97">
        <v>84150030.178571403</v>
      </c>
      <c r="D192" s="97">
        <v>119738.8</v>
      </c>
      <c r="E192" s="48" t="s">
        <v>86</v>
      </c>
      <c r="F192" s="86" t="s">
        <v>108</v>
      </c>
      <c r="G192" s="86" t="s">
        <v>296</v>
      </c>
      <c r="H192" s="86" t="s">
        <v>127</v>
      </c>
      <c r="I192" s="48" t="s">
        <v>297</v>
      </c>
      <c r="J192" s="52">
        <v>40</v>
      </c>
      <c r="K192" s="86"/>
      <c r="L192" s="86"/>
      <c r="M192" s="86"/>
      <c r="N192" s="104">
        <f t="shared" si="80"/>
        <v>0</v>
      </c>
      <c r="O192" s="86"/>
      <c r="P192" s="86"/>
      <c r="Q192" s="86"/>
      <c r="R192" s="104">
        <f t="shared" si="79"/>
        <v>0</v>
      </c>
      <c r="S192" s="86">
        <f t="shared" si="81"/>
        <v>40</v>
      </c>
      <c r="T192" s="87"/>
      <c r="U192" s="87"/>
      <c r="V192" s="87"/>
      <c r="W192" s="88"/>
      <c r="X192" s="87"/>
      <c r="Y192" s="87"/>
      <c r="Z192" s="87"/>
      <c r="AA192" s="88"/>
      <c r="AB192" s="88">
        <v>39.270000000000003</v>
      </c>
      <c r="AC192" s="88">
        <v>52.462499999999999</v>
      </c>
      <c r="AD192" s="88">
        <v>72.64</v>
      </c>
      <c r="AE192" s="89">
        <f t="shared" si="82"/>
        <v>4476.3999999999996</v>
      </c>
      <c r="AF192" s="90">
        <v>6.5000000000000002E-2</v>
      </c>
      <c r="AG192" s="4">
        <f t="shared" si="87"/>
        <v>290.96600000000001</v>
      </c>
      <c r="AH192" s="49">
        <f t="shared" si="83"/>
        <v>54.978000000000009</v>
      </c>
      <c r="AI192" s="89">
        <f t="shared" si="84"/>
        <v>4185.4339999999993</v>
      </c>
      <c r="AJ192" s="91">
        <v>0.18</v>
      </c>
      <c r="AK192" s="5">
        <f t="shared" si="85"/>
        <v>753.37811999999985</v>
      </c>
      <c r="AL192" s="89">
        <f t="shared" si="86"/>
        <v>4938.8121199999987</v>
      </c>
      <c r="AP192" s="92"/>
    </row>
    <row r="193" spans="1:42" hidden="1" x14ac:dyDescent="0.35">
      <c r="A193" s="85">
        <v>46210</v>
      </c>
      <c r="B193" s="51" t="s">
        <v>85</v>
      </c>
      <c r="C193" s="97">
        <v>84619949.25</v>
      </c>
      <c r="D193" s="97">
        <v>120404.5</v>
      </c>
      <c r="E193" s="48" t="s">
        <v>86</v>
      </c>
      <c r="F193" s="86" t="s">
        <v>108</v>
      </c>
      <c r="G193" s="86" t="s">
        <v>139</v>
      </c>
      <c r="H193" s="86" t="s">
        <v>129</v>
      </c>
      <c r="I193" s="48" t="s">
        <v>171</v>
      </c>
      <c r="J193" s="52">
        <v>10</v>
      </c>
      <c r="K193" s="86"/>
      <c r="L193" s="86"/>
      <c r="M193" s="86"/>
      <c r="N193" s="104">
        <f t="shared" si="80"/>
        <v>0</v>
      </c>
      <c r="O193" s="86"/>
      <c r="P193" s="86"/>
      <c r="Q193" s="86"/>
      <c r="R193" s="104">
        <f t="shared" si="79"/>
        <v>0</v>
      </c>
      <c r="S193" s="86">
        <f t="shared" si="81"/>
        <v>10</v>
      </c>
      <c r="T193" s="87"/>
      <c r="U193" s="87"/>
      <c r="V193" s="87"/>
      <c r="W193" s="88"/>
      <c r="X193" s="87"/>
      <c r="Y193" s="87"/>
      <c r="Z193" s="87"/>
      <c r="AA193" s="88"/>
      <c r="AB193" s="88">
        <v>39.270000000000003</v>
      </c>
      <c r="AC193" s="88">
        <v>52.462499999999999</v>
      </c>
      <c r="AD193" s="88">
        <v>72.64</v>
      </c>
      <c r="AE193" s="89">
        <f t="shared" si="82"/>
        <v>1119.0999999999999</v>
      </c>
      <c r="AF193" s="90">
        <v>6.5000000000000002E-2</v>
      </c>
      <c r="AG193" s="4">
        <f t="shared" si="87"/>
        <v>72.741500000000002</v>
      </c>
      <c r="AH193" s="49">
        <f t="shared" si="83"/>
        <v>13.744500000000002</v>
      </c>
      <c r="AI193" s="89">
        <f t="shared" si="84"/>
        <v>1046.3584999999998</v>
      </c>
      <c r="AJ193" s="91">
        <v>0.18</v>
      </c>
      <c r="AK193" s="5">
        <f t="shared" si="85"/>
        <v>188.34452999999996</v>
      </c>
      <c r="AL193" s="89">
        <f t="shared" si="86"/>
        <v>1234.7030299999997</v>
      </c>
      <c r="AP193" s="92"/>
    </row>
    <row r="194" spans="1:42" hidden="1" x14ac:dyDescent="0.35">
      <c r="A194" s="85">
        <v>46210</v>
      </c>
      <c r="B194" s="51" t="s">
        <v>85</v>
      </c>
      <c r="C194" s="97">
        <v>85089868.321428597</v>
      </c>
      <c r="D194" s="97">
        <v>121070.2</v>
      </c>
      <c r="E194" s="48" t="s">
        <v>86</v>
      </c>
      <c r="F194" s="86" t="s">
        <v>108</v>
      </c>
      <c r="G194" s="86" t="s">
        <v>267</v>
      </c>
      <c r="H194" s="86" t="s">
        <v>129</v>
      </c>
      <c r="I194" s="48" t="s">
        <v>171</v>
      </c>
      <c r="J194" s="52">
        <v>10</v>
      </c>
      <c r="K194" s="86"/>
      <c r="L194" s="86"/>
      <c r="M194" s="86"/>
      <c r="N194" s="104">
        <f t="shared" si="80"/>
        <v>0</v>
      </c>
      <c r="O194" s="86"/>
      <c r="P194" s="86"/>
      <c r="Q194" s="86"/>
      <c r="R194" s="104">
        <f t="shared" si="79"/>
        <v>0</v>
      </c>
      <c r="S194" s="86">
        <f t="shared" si="81"/>
        <v>10</v>
      </c>
      <c r="T194" s="87"/>
      <c r="U194" s="87"/>
      <c r="V194" s="87"/>
      <c r="W194" s="88"/>
      <c r="X194" s="87"/>
      <c r="Y194" s="87"/>
      <c r="Z194" s="87"/>
      <c r="AA194" s="88"/>
      <c r="AB194" s="88">
        <v>39.270000000000003</v>
      </c>
      <c r="AC194" s="88">
        <v>52.462499999999999</v>
      </c>
      <c r="AD194" s="88">
        <v>72.64</v>
      </c>
      <c r="AE194" s="89">
        <f t="shared" si="82"/>
        <v>1119.0999999999999</v>
      </c>
      <c r="AF194" s="90">
        <v>6.5000000000000002E-2</v>
      </c>
      <c r="AG194" s="4">
        <f t="shared" si="87"/>
        <v>72.741500000000002</v>
      </c>
      <c r="AH194" s="49">
        <f t="shared" si="83"/>
        <v>13.744500000000002</v>
      </c>
      <c r="AI194" s="89">
        <f t="shared" si="84"/>
        <v>1046.3584999999998</v>
      </c>
      <c r="AJ194" s="91">
        <v>0.18</v>
      </c>
      <c r="AK194" s="5">
        <f t="shared" si="85"/>
        <v>188.34452999999996</v>
      </c>
      <c r="AL194" s="89">
        <f t="shared" si="86"/>
        <v>1234.7030299999997</v>
      </c>
      <c r="AP194" s="92"/>
    </row>
    <row r="195" spans="1:42" hidden="1" x14ac:dyDescent="0.35">
      <c r="A195" s="85">
        <v>46210</v>
      </c>
      <c r="B195" s="51" t="s">
        <v>85</v>
      </c>
      <c r="C195" s="97">
        <v>85559787.392857105</v>
      </c>
      <c r="D195" s="97">
        <v>121735.9</v>
      </c>
      <c r="E195" s="48" t="s">
        <v>86</v>
      </c>
      <c r="F195" s="86" t="s">
        <v>109</v>
      </c>
      <c r="G195" s="86" t="s">
        <v>298</v>
      </c>
      <c r="H195" s="86" t="s">
        <v>129</v>
      </c>
      <c r="I195" s="48" t="s">
        <v>171</v>
      </c>
      <c r="J195" s="52">
        <v>10</v>
      </c>
      <c r="K195" s="86"/>
      <c r="L195" s="86"/>
      <c r="M195" s="86"/>
      <c r="N195" s="104">
        <f t="shared" si="80"/>
        <v>0</v>
      </c>
      <c r="O195" s="86"/>
      <c r="P195" s="86"/>
      <c r="Q195" s="86"/>
      <c r="R195" s="104">
        <f t="shared" si="79"/>
        <v>0</v>
      </c>
      <c r="S195" s="86">
        <f t="shared" si="81"/>
        <v>10</v>
      </c>
      <c r="T195" s="87"/>
      <c r="U195" s="87"/>
      <c r="V195" s="87"/>
      <c r="W195" s="88"/>
      <c r="X195" s="87"/>
      <c r="Y195" s="87"/>
      <c r="Z195" s="87"/>
      <c r="AA195" s="88"/>
      <c r="AB195" s="88">
        <v>39.270000000000003</v>
      </c>
      <c r="AC195" s="88">
        <v>52.462499999999999</v>
      </c>
      <c r="AD195" s="88">
        <v>72.64</v>
      </c>
      <c r="AE195" s="89">
        <f t="shared" si="82"/>
        <v>1119.0999999999999</v>
      </c>
      <c r="AF195" s="90">
        <v>6.5000000000000002E-2</v>
      </c>
      <c r="AG195" s="4">
        <f t="shared" si="87"/>
        <v>72.741500000000002</v>
      </c>
      <c r="AH195" s="49">
        <f t="shared" si="83"/>
        <v>13.744500000000002</v>
      </c>
      <c r="AI195" s="89">
        <f t="shared" si="84"/>
        <v>1046.3584999999998</v>
      </c>
      <c r="AJ195" s="91">
        <v>0.18</v>
      </c>
      <c r="AK195" s="5">
        <f t="shared" si="85"/>
        <v>188.34452999999996</v>
      </c>
      <c r="AL195" s="89">
        <f t="shared" si="86"/>
        <v>1234.7030299999997</v>
      </c>
      <c r="AP195" s="92"/>
    </row>
    <row r="196" spans="1:42" hidden="1" x14ac:dyDescent="0.35">
      <c r="A196" s="85">
        <v>46210</v>
      </c>
      <c r="B196" s="51" t="s">
        <v>85</v>
      </c>
      <c r="C196" s="97">
        <v>86029706.464285702</v>
      </c>
      <c r="D196" s="97">
        <v>122401.60000000001</v>
      </c>
      <c r="E196" s="48" t="s">
        <v>86</v>
      </c>
      <c r="F196" s="86" t="s">
        <v>108</v>
      </c>
      <c r="G196" s="86" t="s">
        <v>266</v>
      </c>
      <c r="H196" s="86" t="s">
        <v>129</v>
      </c>
      <c r="I196" s="48" t="s">
        <v>171</v>
      </c>
      <c r="J196" s="52">
        <v>10</v>
      </c>
      <c r="K196" s="105"/>
      <c r="L196" s="105"/>
      <c r="M196" s="105"/>
      <c r="N196" s="104">
        <f t="shared" si="80"/>
        <v>0</v>
      </c>
      <c r="O196" s="86"/>
      <c r="P196" s="86"/>
      <c r="Q196" s="86"/>
      <c r="R196" s="104">
        <f t="shared" ref="R196:R259" si="88">SUM(O196:Q196)</f>
        <v>0</v>
      </c>
      <c r="S196" s="86">
        <f t="shared" si="81"/>
        <v>10</v>
      </c>
      <c r="T196" s="87"/>
      <c r="U196" s="87"/>
      <c r="V196" s="87"/>
      <c r="W196" s="88"/>
      <c r="X196" s="87"/>
      <c r="Y196" s="87"/>
      <c r="Z196" s="87"/>
      <c r="AA196" s="88"/>
      <c r="AB196" s="88">
        <v>39.270000000000003</v>
      </c>
      <c r="AC196" s="88">
        <v>52.462499999999999</v>
      </c>
      <c r="AD196" s="88">
        <v>72.64</v>
      </c>
      <c r="AE196" s="89">
        <f t="shared" si="82"/>
        <v>1119.0999999999999</v>
      </c>
      <c r="AF196" s="90">
        <v>6.5000000000000002E-2</v>
      </c>
      <c r="AG196" s="4">
        <f t="shared" si="87"/>
        <v>72.741500000000002</v>
      </c>
      <c r="AH196" s="49">
        <f t="shared" si="83"/>
        <v>13.744500000000002</v>
      </c>
      <c r="AI196" s="89">
        <f t="shared" si="84"/>
        <v>1046.3584999999998</v>
      </c>
      <c r="AJ196" s="91">
        <v>0.18</v>
      </c>
      <c r="AK196" s="5">
        <f t="shared" si="85"/>
        <v>188.34452999999996</v>
      </c>
      <c r="AL196" s="89">
        <f t="shared" si="86"/>
        <v>1234.7030299999997</v>
      </c>
      <c r="AP196" s="92"/>
    </row>
    <row r="197" spans="1:42" hidden="1" x14ac:dyDescent="0.35">
      <c r="A197" s="85">
        <v>46210</v>
      </c>
      <c r="B197" s="51" t="s">
        <v>85</v>
      </c>
      <c r="C197" s="97">
        <v>86499625.535714298</v>
      </c>
      <c r="D197" s="97">
        <v>123067.3</v>
      </c>
      <c r="E197" s="48" t="s">
        <v>86</v>
      </c>
      <c r="F197" s="86" t="s">
        <v>108</v>
      </c>
      <c r="G197" s="86" t="s">
        <v>299</v>
      </c>
      <c r="H197" s="86" t="s">
        <v>129</v>
      </c>
      <c r="I197" s="48" t="s">
        <v>171</v>
      </c>
      <c r="J197" s="52"/>
      <c r="K197" s="86"/>
      <c r="L197" s="86"/>
      <c r="M197" s="86"/>
      <c r="N197" s="104">
        <f t="shared" ref="N197:N260" si="89">K197+L197+M197</f>
        <v>0</v>
      </c>
      <c r="O197" s="86">
        <v>80</v>
      </c>
      <c r="P197" s="86">
        <v>40</v>
      </c>
      <c r="Q197" s="86">
        <v>40</v>
      </c>
      <c r="R197" s="104">
        <f t="shared" si="88"/>
        <v>160</v>
      </c>
      <c r="S197" s="86">
        <f t="shared" ref="S197:S260" si="90">R197+N197+J197</f>
        <v>160</v>
      </c>
      <c r="T197" s="87"/>
      <c r="U197" s="87"/>
      <c r="V197" s="87"/>
      <c r="W197" s="88"/>
      <c r="X197" s="87"/>
      <c r="Y197" s="87"/>
      <c r="Z197" s="87"/>
      <c r="AA197" s="88"/>
      <c r="AB197" s="88">
        <v>39.270000000000003</v>
      </c>
      <c r="AC197" s="88">
        <v>52.462499999999999</v>
      </c>
      <c r="AD197" s="88">
        <v>72.64</v>
      </c>
      <c r="AE197" s="89">
        <f t="shared" si="82"/>
        <v>11622.4</v>
      </c>
      <c r="AF197" s="90">
        <v>6.5000000000000002E-2</v>
      </c>
      <c r="AG197" s="4">
        <f t="shared" si="87"/>
        <v>755.45600000000002</v>
      </c>
      <c r="AH197" s="49">
        <f t="shared" si="83"/>
        <v>0</v>
      </c>
      <c r="AI197" s="89">
        <f t="shared" si="84"/>
        <v>10866.944</v>
      </c>
      <c r="AJ197" s="91">
        <v>0.18</v>
      </c>
      <c r="AK197" s="5">
        <f t="shared" si="85"/>
        <v>1956.0499199999999</v>
      </c>
      <c r="AL197" s="89">
        <f t="shared" si="86"/>
        <v>12822.993919999999</v>
      </c>
      <c r="AP197" s="92"/>
    </row>
    <row r="198" spans="1:42" hidden="1" x14ac:dyDescent="0.35">
      <c r="A198" s="85">
        <v>46210</v>
      </c>
      <c r="B198" s="51" t="s">
        <v>85</v>
      </c>
      <c r="C198" s="97">
        <v>86969544.607142895</v>
      </c>
      <c r="D198" s="97">
        <v>123733</v>
      </c>
      <c r="E198" s="48" t="s">
        <v>86</v>
      </c>
      <c r="F198" s="86" t="s">
        <v>108</v>
      </c>
      <c r="G198" s="86" t="s">
        <v>169</v>
      </c>
      <c r="H198" s="86" t="s">
        <v>129</v>
      </c>
      <c r="I198" s="48" t="s">
        <v>171</v>
      </c>
      <c r="J198" s="52"/>
      <c r="K198" s="86"/>
      <c r="L198" s="86"/>
      <c r="M198" s="105"/>
      <c r="N198" s="104">
        <f t="shared" si="89"/>
        <v>0</v>
      </c>
      <c r="O198" s="86"/>
      <c r="P198" s="86"/>
      <c r="Q198" s="86">
        <v>10</v>
      </c>
      <c r="R198" s="104">
        <f t="shared" si="88"/>
        <v>10</v>
      </c>
      <c r="S198" s="86">
        <f t="shared" si="90"/>
        <v>10</v>
      </c>
      <c r="T198" s="87"/>
      <c r="U198" s="87"/>
      <c r="V198" s="87"/>
      <c r="W198" s="88"/>
      <c r="X198" s="87"/>
      <c r="Y198" s="87"/>
      <c r="Z198" s="87"/>
      <c r="AA198" s="88"/>
      <c r="AB198" s="88">
        <v>39.270000000000003</v>
      </c>
      <c r="AC198" s="88">
        <v>52.462499999999999</v>
      </c>
      <c r="AD198" s="88">
        <v>72.64</v>
      </c>
      <c r="AE198" s="89">
        <f t="shared" si="82"/>
        <v>726.4</v>
      </c>
      <c r="AF198" s="90">
        <v>6.5000000000000002E-2</v>
      </c>
      <c r="AG198" s="4">
        <f t="shared" si="87"/>
        <v>47.216000000000001</v>
      </c>
      <c r="AH198" s="49">
        <f t="shared" si="83"/>
        <v>0</v>
      </c>
      <c r="AI198" s="89">
        <f t="shared" si="84"/>
        <v>679.18399999999997</v>
      </c>
      <c r="AJ198" s="91">
        <v>0.18</v>
      </c>
      <c r="AK198" s="5">
        <f t="shared" si="85"/>
        <v>122.25312</v>
      </c>
      <c r="AL198" s="89">
        <f t="shared" si="86"/>
        <v>801.43711999999994</v>
      </c>
      <c r="AP198" s="92"/>
    </row>
    <row r="199" spans="1:42" hidden="1" x14ac:dyDescent="0.35">
      <c r="A199" s="85">
        <v>46210</v>
      </c>
      <c r="B199" s="51" t="s">
        <v>85</v>
      </c>
      <c r="C199" s="97">
        <v>87439463.678571403</v>
      </c>
      <c r="D199" s="97">
        <v>124398.7</v>
      </c>
      <c r="E199" s="48" t="s">
        <v>86</v>
      </c>
      <c r="F199" s="86" t="s">
        <v>108</v>
      </c>
      <c r="G199" s="86" t="s">
        <v>300</v>
      </c>
      <c r="H199" s="86" t="s">
        <v>129</v>
      </c>
      <c r="I199" s="48" t="s">
        <v>171</v>
      </c>
      <c r="J199" s="52"/>
      <c r="K199" s="105"/>
      <c r="L199" s="105"/>
      <c r="M199" s="105"/>
      <c r="N199" s="104">
        <f t="shared" si="89"/>
        <v>0</v>
      </c>
      <c r="O199" s="86"/>
      <c r="P199" s="86"/>
      <c r="Q199" s="86">
        <v>10</v>
      </c>
      <c r="R199" s="104">
        <f t="shared" si="88"/>
        <v>10</v>
      </c>
      <c r="S199" s="86">
        <f t="shared" si="90"/>
        <v>10</v>
      </c>
      <c r="T199" s="87"/>
      <c r="U199" s="87"/>
      <c r="V199" s="87"/>
      <c r="W199" s="88"/>
      <c r="X199" s="87"/>
      <c r="Y199" s="87"/>
      <c r="Z199" s="87"/>
      <c r="AA199" s="88"/>
      <c r="AB199" s="88">
        <v>39.270000000000003</v>
      </c>
      <c r="AC199" s="88">
        <v>52.462499999999999</v>
      </c>
      <c r="AD199" s="88">
        <v>72.64</v>
      </c>
      <c r="AE199" s="89">
        <f t="shared" si="82"/>
        <v>726.4</v>
      </c>
      <c r="AF199" s="90">
        <v>6.5000000000000002E-2</v>
      </c>
      <c r="AG199" s="4">
        <f t="shared" si="87"/>
        <v>47.216000000000001</v>
      </c>
      <c r="AH199" s="49">
        <f t="shared" si="83"/>
        <v>0</v>
      </c>
      <c r="AI199" s="89">
        <f t="shared" si="84"/>
        <v>679.18399999999997</v>
      </c>
      <c r="AJ199" s="91">
        <v>0.18</v>
      </c>
      <c r="AK199" s="5">
        <f t="shared" si="85"/>
        <v>122.25312</v>
      </c>
      <c r="AL199" s="89">
        <f t="shared" si="86"/>
        <v>801.43711999999994</v>
      </c>
      <c r="AP199" s="92"/>
    </row>
    <row r="200" spans="1:42" hidden="1" x14ac:dyDescent="0.35">
      <c r="A200" s="85">
        <v>46210</v>
      </c>
      <c r="B200" s="51" t="s">
        <v>85</v>
      </c>
      <c r="C200" s="97">
        <v>87909382.75</v>
      </c>
      <c r="D200" s="97">
        <v>125064.4</v>
      </c>
      <c r="E200" s="48" t="s">
        <v>86</v>
      </c>
      <c r="F200" s="86" t="s">
        <v>108</v>
      </c>
      <c r="G200" s="86" t="s">
        <v>301</v>
      </c>
      <c r="H200" s="86" t="s">
        <v>129</v>
      </c>
      <c r="I200" s="48" t="s">
        <v>171</v>
      </c>
      <c r="J200" s="52"/>
      <c r="K200" s="86"/>
      <c r="L200" s="86"/>
      <c r="M200" s="86"/>
      <c r="N200" s="104">
        <f t="shared" si="89"/>
        <v>0</v>
      </c>
      <c r="O200" s="105"/>
      <c r="P200" s="105"/>
      <c r="Q200" s="105">
        <v>10</v>
      </c>
      <c r="R200" s="104">
        <f t="shared" si="88"/>
        <v>10</v>
      </c>
      <c r="S200" s="86">
        <f t="shared" si="90"/>
        <v>10</v>
      </c>
      <c r="T200" s="87"/>
      <c r="U200" s="87"/>
      <c r="V200" s="87"/>
      <c r="W200" s="88"/>
      <c r="X200" s="87"/>
      <c r="Y200" s="87"/>
      <c r="Z200" s="87"/>
      <c r="AA200" s="88"/>
      <c r="AB200" s="88">
        <v>39.270000000000003</v>
      </c>
      <c r="AC200" s="88">
        <v>52.462499999999999</v>
      </c>
      <c r="AD200" s="88">
        <v>72.64</v>
      </c>
      <c r="AE200" s="89">
        <f t="shared" si="82"/>
        <v>726.4</v>
      </c>
      <c r="AF200" s="90">
        <v>6.5000000000000002E-2</v>
      </c>
      <c r="AG200" s="4">
        <f t="shared" si="87"/>
        <v>47.216000000000001</v>
      </c>
      <c r="AH200" s="49">
        <f t="shared" si="83"/>
        <v>0</v>
      </c>
      <c r="AI200" s="89">
        <f t="shared" si="84"/>
        <v>679.18399999999997</v>
      </c>
      <c r="AJ200" s="91">
        <v>0.18</v>
      </c>
      <c r="AK200" s="5">
        <f t="shared" si="85"/>
        <v>122.25312</v>
      </c>
      <c r="AL200" s="89">
        <f t="shared" si="86"/>
        <v>801.43711999999994</v>
      </c>
      <c r="AP200" s="92"/>
    </row>
    <row r="201" spans="1:42" hidden="1" x14ac:dyDescent="0.35">
      <c r="A201" s="85">
        <v>46210</v>
      </c>
      <c r="B201" s="51" t="s">
        <v>85</v>
      </c>
      <c r="C201" s="97">
        <v>88379301.821428597</v>
      </c>
      <c r="D201" s="97">
        <v>125730.1</v>
      </c>
      <c r="E201" s="48" t="s">
        <v>86</v>
      </c>
      <c r="F201" s="86" t="s">
        <v>108</v>
      </c>
      <c r="G201" s="86" t="s">
        <v>302</v>
      </c>
      <c r="H201" s="86" t="s">
        <v>129</v>
      </c>
      <c r="I201" s="48" t="s">
        <v>171</v>
      </c>
      <c r="J201" s="52"/>
      <c r="K201" s="86"/>
      <c r="L201" s="86"/>
      <c r="M201" s="86"/>
      <c r="N201" s="104">
        <f t="shared" si="89"/>
        <v>0</v>
      </c>
      <c r="O201" s="105"/>
      <c r="P201" s="105"/>
      <c r="Q201" s="105">
        <v>10</v>
      </c>
      <c r="R201" s="104">
        <f t="shared" si="88"/>
        <v>10</v>
      </c>
      <c r="S201" s="86">
        <f t="shared" si="90"/>
        <v>10</v>
      </c>
      <c r="T201" s="87"/>
      <c r="U201" s="87"/>
      <c r="V201" s="87"/>
      <c r="W201" s="88"/>
      <c r="X201" s="87"/>
      <c r="Y201" s="87"/>
      <c r="Z201" s="87"/>
      <c r="AA201" s="88"/>
      <c r="AB201" s="88">
        <v>39.270000000000003</v>
      </c>
      <c r="AC201" s="88">
        <v>52.462499999999999</v>
      </c>
      <c r="AD201" s="88">
        <v>72.64</v>
      </c>
      <c r="AE201" s="89">
        <f t="shared" si="82"/>
        <v>726.4</v>
      </c>
      <c r="AF201" s="90">
        <v>6.5000000000000002E-2</v>
      </c>
      <c r="AG201" s="4">
        <f t="shared" si="87"/>
        <v>47.216000000000001</v>
      </c>
      <c r="AH201" s="49">
        <f t="shared" si="83"/>
        <v>0</v>
      </c>
      <c r="AI201" s="89">
        <f t="shared" si="84"/>
        <v>679.18399999999997</v>
      </c>
      <c r="AJ201" s="91">
        <v>0.18</v>
      </c>
      <c r="AK201" s="5">
        <f t="shared" si="85"/>
        <v>122.25312</v>
      </c>
      <c r="AL201" s="89">
        <f t="shared" si="86"/>
        <v>801.43711999999994</v>
      </c>
      <c r="AP201" s="92"/>
    </row>
    <row r="202" spans="1:42" hidden="1" x14ac:dyDescent="0.35">
      <c r="A202" s="85">
        <v>46211</v>
      </c>
      <c r="B202" s="51" t="s">
        <v>85</v>
      </c>
      <c r="C202" s="97">
        <v>88849220.892857105</v>
      </c>
      <c r="D202" s="97">
        <v>126395.8</v>
      </c>
      <c r="E202" s="48" t="s">
        <v>86</v>
      </c>
      <c r="F202" s="86" t="s">
        <v>108</v>
      </c>
      <c r="G202" s="86" t="s">
        <v>303</v>
      </c>
      <c r="H202" s="86" t="s">
        <v>110</v>
      </c>
      <c r="I202" s="48" t="s">
        <v>306</v>
      </c>
      <c r="J202" s="52">
        <v>12</v>
      </c>
      <c r="K202" s="86"/>
      <c r="L202" s="86"/>
      <c r="M202" s="86"/>
      <c r="N202" s="104">
        <f t="shared" si="89"/>
        <v>0</v>
      </c>
      <c r="O202" s="105"/>
      <c r="P202" s="105"/>
      <c r="Q202" s="105"/>
      <c r="R202" s="104">
        <f t="shared" si="88"/>
        <v>0</v>
      </c>
      <c r="S202" s="86">
        <f t="shared" si="90"/>
        <v>12</v>
      </c>
      <c r="T202" s="87"/>
      <c r="U202" s="87"/>
      <c r="V202" s="87"/>
      <c r="W202" s="88"/>
      <c r="X202" s="87"/>
      <c r="Y202" s="87"/>
      <c r="Z202" s="87"/>
      <c r="AA202" s="88"/>
      <c r="AB202" s="88">
        <v>39.270000000000003</v>
      </c>
      <c r="AC202" s="88">
        <v>52.462499999999999</v>
      </c>
      <c r="AD202" s="88">
        <v>72.64</v>
      </c>
      <c r="AE202" s="89">
        <f t="shared" si="82"/>
        <v>1342.92</v>
      </c>
      <c r="AF202" s="90">
        <v>6.5000000000000002E-2</v>
      </c>
      <c r="AG202" s="4">
        <f t="shared" si="87"/>
        <v>87.289800000000014</v>
      </c>
      <c r="AH202" s="49">
        <f t="shared" si="83"/>
        <v>16.493400000000001</v>
      </c>
      <c r="AI202" s="89">
        <f t="shared" si="84"/>
        <v>1255.6302000000001</v>
      </c>
      <c r="AJ202" s="91">
        <v>0.18</v>
      </c>
      <c r="AK202" s="5">
        <f t="shared" si="85"/>
        <v>226.01343600000001</v>
      </c>
      <c r="AL202" s="89">
        <f t="shared" si="86"/>
        <v>1481.643636</v>
      </c>
      <c r="AP202" s="92"/>
    </row>
    <row r="203" spans="1:42" hidden="1" x14ac:dyDescent="0.35">
      <c r="A203" s="85">
        <v>46211</v>
      </c>
      <c r="B203" s="51" t="s">
        <v>85</v>
      </c>
      <c r="C203" s="97">
        <v>89319139.964285702</v>
      </c>
      <c r="D203" s="97">
        <v>127061.5</v>
      </c>
      <c r="E203" s="48" t="s">
        <v>86</v>
      </c>
      <c r="F203" s="86" t="s">
        <v>108</v>
      </c>
      <c r="G203" s="86" t="s">
        <v>304</v>
      </c>
      <c r="H203" s="86" t="s">
        <v>110</v>
      </c>
      <c r="I203" s="48" t="s">
        <v>306</v>
      </c>
      <c r="J203" s="52">
        <v>80</v>
      </c>
      <c r="K203" s="86"/>
      <c r="L203" s="86"/>
      <c r="M203" s="86"/>
      <c r="N203" s="104">
        <f t="shared" si="89"/>
        <v>0</v>
      </c>
      <c r="O203" s="105"/>
      <c r="P203" s="105"/>
      <c r="Q203" s="105"/>
      <c r="R203" s="104">
        <f t="shared" si="88"/>
        <v>0</v>
      </c>
      <c r="S203" s="86">
        <f t="shared" si="90"/>
        <v>80</v>
      </c>
      <c r="T203" s="87"/>
      <c r="U203" s="87"/>
      <c r="V203" s="87"/>
      <c r="W203" s="88"/>
      <c r="X203" s="87"/>
      <c r="Y203" s="87"/>
      <c r="Z203" s="87"/>
      <c r="AA203" s="88"/>
      <c r="AB203" s="88">
        <v>39.270000000000003</v>
      </c>
      <c r="AC203" s="88">
        <v>52.462499999999999</v>
      </c>
      <c r="AD203" s="88">
        <v>72.64</v>
      </c>
      <c r="AE203" s="89">
        <f t="shared" si="82"/>
        <v>8952.7999999999993</v>
      </c>
      <c r="AF203" s="90">
        <v>6.5000000000000002E-2</v>
      </c>
      <c r="AG203" s="4">
        <f t="shared" si="87"/>
        <v>581.93200000000002</v>
      </c>
      <c r="AH203" s="49">
        <f t="shared" si="83"/>
        <v>109.95600000000002</v>
      </c>
      <c r="AI203" s="89">
        <f t="shared" si="84"/>
        <v>8370.8679999999986</v>
      </c>
      <c r="AJ203" s="91">
        <v>0.18</v>
      </c>
      <c r="AK203" s="5">
        <f t="shared" si="85"/>
        <v>1506.7562399999997</v>
      </c>
      <c r="AL203" s="89">
        <f t="shared" si="86"/>
        <v>9877.6242399999974</v>
      </c>
      <c r="AP203" s="92"/>
    </row>
    <row r="204" spans="1:42" hidden="1" x14ac:dyDescent="0.35">
      <c r="A204" s="85">
        <v>46211</v>
      </c>
      <c r="B204" s="51" t="s">
        <v>85</v>
      </c>
      <c r="C204" s="97">
        <v>89789059.035714298</v>
      </c>
      <c r="D204" s="97">
        <v>127727.2</v>
      </c>
      <c r="E204" s="48" t="s">
        <v>86</v>
      </c>
      <c r="F204" s="86" t="s">
        <v>108</v>
      </c>
      <c r="G204" s="86" t="s">
        <v>305</v>
      </c>
      <c r="H204" s="86" t="s">
        <v>110</v>
      </c>
      <c r="I204" s="48" t="s">
        <v>306</v>
      </c>
      <c r="J204" s="52"/>
      <c r="K204" s="86"/>
      <c r="L204" s="86"/>
      <c r="M204" s="86"/>
      <c r="N204" s="104">
        <f t="shared" si="89"/>
        <v>0</v>
      </c>
      <c r="O204" s="105">
        <v>80</v>
      </c>
      <c r="P204" s="105"/>
      <c r="Q204" s="105">
        <v>40</v>
      </c>
      <c r="R204" s="104">
        <f t="shared" si="88"/>
        <v>120</v>
      </c>
      <c r="S204" s="86">
        <f t="shared" si="90"/>
        <v>120</v>
      </c>
      <c r="T204" s="87"/>
      <c r="U204" s="87"/>
      <c r="V204" s="87"/>
      <c r="W204" s="88"/>
      <c r="X204" s="87"/>
      <c r="Y204" s="87"/>
      <c r="Z204" s="87"/>
      <c r="AA204" s="88"/>
      <c r="AB204" s="88">
        <v>39.270000000000003</v>
      </c>
      <c r="AC204" s="88">
        <v>52.462499999999999</v>
      </c>
      <c r="AD204" s="88">
        <v>72.64</v>
      </c>
      <c r="AE204" s="89">
        <f t="shared" si="82"/>
        <v>8716.7999999999993</v>
      </c>
      <c r="AF204" s="90">
        <v>6.5000000000000002E-2</v>
      </c>
      <c r="AG204" s="4">
        <f t="shared" si="87"/>
        <v>566.59199999999998</v>
      </c>
      <c r="AH204" s="49">
        <f t="shared" si="83"/>
        <v>0</v>
      </c>
      <c r="AI204" s="89">
        <f t="shared" si="84"/>
        <v>8150.2079999999996</v>
      </c>
      <c r="AJ204" s="91">
        <v>0.18</v>
      </c>
      <c r="AK204" s="5">
        <f t="shared" si="85"/>
        <v>1467.0374399999998</v>
      </c>
      <c r="AL204" s="89">
        <f t="shared" si="86"/>
        <v>9617.2454399999988</v>
      </c>
      <c r="AP204" s="92"/>
    </row>
    <row r="205" spans="1:42" hidden="1" x14ac:dyDescent="0.35">
      <c r="A205" s="85">
        <v>46211</v>
      </c>
      <c r="B205" s="51" t="s">
        <v>85</v>
      </c>
      <c r="C205" s="97">
        <v>90258978.107142895</v>
      </c>
      <c r="D205" s="97">
        <v>128392.9</v>
      </c>
      <c r="E205" s="48" t="s">
        <v>86</v>
      </c>
      <c r="F205" s="86" t="s">
        <v>108</v>
      </c>
      <c r="G205" s="86" t="s">
        <v>106</v>
      </c>
      <c r="H205" s="86" t="s">
        <v>110</v>
      </c>
      <c r="I205" s="48" t="s">
        <v>306</v>
      </c>
      <c r="J205" s="52"/>
      <c r="K205" s="86"/>
      <c r="L205" s="86"/>
      <c r="M205" s="86"/>
      <c r="N205" s="104">
        <f t="shared" si="89"/>
        <v>0</v>
      </c>
      <c r="O205" s="105">
        <v>7</v>
      </c>
      <c r="P205" s="105">
        <v>7</v>
      </c>
      <c r="Q205" s="105">
        <v>6</v>
      </c>
      <c r="R205" s="104">
        <f t="shared" si="88"/>
        <v>20</v>
      </c>
      <c r="S205" s="86">
        <f t="shared" si="90"/>
        <v>20</v>
      </c>
      <c r="T205" s="87"/>
      <c r="U205" s="87"/>
      <c r="V205" s="87"/>
      <c r="W205" s="88"/>
      <c r="X205" s="87"/>
      <c r="Y205" s="87"/>
      <c r="Z205" s="87"/>
      <c r="AA205" s="88"/>
      <c r="AB205" s="88">
        <v>39.270000000000003</v>
      </c>
      <c r="AC205" s="88">
        <v>52.462499999999999</v>
      </c>
      <c r="AD205" s="88">
        <v>72.64</v>
      </c>
      <c r="AE205" s="89">
        <f t="shared" si="82"/>
        <v>1452.8</v>
      </c>
      <c r="AF205" s="90">
        <v>6.5000000000000002E-2</v>
      </c>
      <c r="AG205" s="4">
        <f t="shared" si="87"/>
        <v>94.432000000000002</v>
      </c>
      <c r="AH205" s="49">
        <f t="shared" si="83"/>
        <v>0</v>
      </c>
      <c r="AI205" s="89">
        <f t="shared" si="84"/>
        <v>1358.3679999999999</v>
      </c>
      <c r="AJ205" s="91">
        <v>0.18</v>
      </c>
      <c r="AK205" s="5">
        <f t="shared" si="85"/>
        <v>244.50623999999999</v>
      </c>
      <c r="AL205" s="89">
        <f t="shared" si="86"/>
        <v>1602.8742399999999</v>
      </c>
      <c r="AP205" s="92"/>
    </row>
    <row r="206" spans="1:42" hidden="1" x14ac:dyDescent="0.35">
      <c r="A206" s="85">
        <v>46211</v>
      </c>
      <c r="B206" s="51" t="s">
        <v>85</v>
      </c>
      <c r="C206" s="97">
        <v>90728897.178571403</v>
      </c>
      <c r="D206" s="97">
        <v>129058.6</v>
      </c>
      <c r="E206" s="48" t="s">
        <v>86</v>
      </c>
      <c r="F206" s="86" t="s">
        <v>108</v>
      </c>
      <c r="G206" s="86" t="s">
        <v>307</v>
      </c>
      <c r="H206" s="86" t="s">
        <v>112</v>
      </c>
      <c r="I206" s="48" t="s">
        <v>308</v>
      </c>
      <c r="J206" s="52">
        <v>40</v>
      </c>
      <c r="K206" s="86">
        <v>40</v>
      </c>
      <c r="L206" s="86">
        <v>40</v>
      </c>
      <c r="M206" s="86"/>
      <c r="N206" s="104">
        <f t="shared" si="89"/>
        <v>80</v>
      </c>
      <c r="O206" s="105"/>
      <c r="P206" s="105"/>
      <c r="Q206" s="105"/>
      <c r="R206" s="104">
        <f t="shared" si="88"/>
        <v>0</v>
      </c>
      <c r="S206" s="86">
        <f t="shared" si="90"/>
        <v>120</v>
      </c>
      <c r="T206" s="87"/>
      <c r="U206" s="87"/>
      <c r="V206" s="87"/>
      <c r="W206" s="88"/>
      <c r="X206" s="87"/>
      <c r="Y206" s="87"/>
      <c r="Z206" s="87"/>
      <c r="AA206" s="88"/>
      <c r="AB206" s="88">
        <v>39.270000000000003</v>
      </c>
      <c r="AC206" s="88">
        <v>52.462499999999999</v>
      </c>
      <c r="AD206" s="88">
        <v>72.64</v>
      </c>
      <c r="AE206" s="89">
        <f t="shared" si="82"/>
        <v>14484.599999999999</v>
      </c>
      <c r="AF206" s="90">
        <v>6.5000000000000002E-2</v>
      </c>
      <c r="AG206" s="4">
        <f t="shared" si="87"/>
        <v>941.49899999999991</v>
      </c>
      <c r="AH206" s="49">
        <f t="shared" si="83"/>
        <v>54.978000000000009</v>
      </c>
      <c r="AI206" s="89">
        <f t="shared" si="84"/>
        <v>13543.100999999999</v>
      </c>
      <c r="AJ206" s="91">
        <v>0.18</v>
      </c>
      <c r="AK206" s="5">
        <f t="shared" si="85"/>
        <v>2437.7581799999998</v>
      </c>
      <c r="AL206" s="89">
        <f t="shared" si="86"/>
        <v>15980.859179999999</v>
      </c>
      <c r="AP206" s="92"/>
    </row>
    <row r="207" spans="1:42" hidden="1" x14ac:dyDescent="0.35">
      <c r="A207" s="85">
        <v>46211</v>
      </c>
      <c r="B207" s="51" t="s">
        <v>85</v>
      </c>
      <c r="C207" s="97">
        <v>91198816.25</v>
      </c>
      <c r="D207" s="97">
        <v>129724.3</v>
      </c>
      <c r="E207" s="48" t="s">
        <v>86</v>
      </c>
      <c r="F207" s="86" t="s">
        <v>108</v>
      </c>
      <c r="G207" s="86" t="s">
        <v>142</v>
      </c>
      <c r="H207" s="86" t="s">
        <v>112</v>
      </c>
      <c r="I207" s="48" t="s">
        <v>308</v>
      </c>
      <c r="J207" s="52"/>
      <c r="K207" s="86">
        <v>10</v>
      </c>
      <c r="L207" s="86">
        <v>10</v>
      </c>
      <c r="M207" s="86"/>
      <c r="N207" s="104">
        <f t="shared" si="89"/>
        <v>20</v>
      </c>
      <c r="O207" s="105">
        <v>10</v>
      </c>
      <c r="P207" s="105"/>
      <c r="Q207" s="105">
        <v>10</v>
      </c>
      <c r="R207" s="104">
        <f t="shared" si="88"/>
        <v>20</v>
      </c>
      <c r="S207" s="86">
        <f t="shared" si="90"/>
        <v>40</v>
      </c>
      <c r="T207" s="87"/>
      <c r="U207" s="87"/>
      <c r="V207" s="87"/>
      <c r="W207" s="88"/>
      <c r="X207" s="87"/>
      <c r="Y207" s="87"/>
      <c r="Z207" s="87"/>
      <c r="AA207" s="88"/>
      <c r="AB207" s="88">
        <v>39.270000000000003</v>
      </c>
      <c r="AC207" s="88">
        <v>52.462499999999999</v>
      </c>
      <c r="AD207" s="88">
        <v>72.64</v>
      </c>
      <c r="AE207" s="89">
        <f t="shared" si="82"/>
        <v>3954.85</v>
      </c>
      <c r="AF207" s="90">
        <v>6.5000000000000002E-2</v>
      </c>
      <c r="AG207" s="4">
        <f t="shared" si="87"/>
        <v>257.06524999999999</v>
      </c>
      <c r="AH207" s="49">
        <f t="shared" si="83"/>
        <v>0</v>
      </c>
      <c r="AI207" s="89">
        <f t="shared" si="84"/>
        <v>3697.7847499999998</v>
      </c>
      <c r="AJ207" s="91">
        <v>0.18</v>
      </c>
      <c r="AK207" s="5">
        <f t="shared" si="85"/>
        <v>665.60125499999992</v>
      </c>
      <c r="AL207" s="89">
        <f t="shared" si="86"/>
        <v>4363.3860049999994</v>
      </c>
      <c r="AP207" s="92"/>
    </row>
    <row r="208" spans="1:42" hidden="1" x14ac:dyDescent="0.35">
      <c r="A208" s="85">
        <v>46211</v>
      </c>
      <c r="B208" s="51" t="s">
        <v>85</v>
      </c>
      <c r="C208" s="97">
        <v>91668735.321428597</v>
      </c>
      <c r="D208" s="97">
        <v>130390</v>
      </c>
      <c r="E208" s="48" t="s">
        <v>86</v>
      </c>
      <c r="F208" s="86" t="s">
        <v>108</v>
      </c>
      <c r="G208" s="86" t="s">
        <v>309</v>
      </c>
      <c r="H208" s="86" t="s">
        <v>127</v>
      </c>
      <c r="I208" s="48" t="s">
        <v>128</v>
      </c>
      <c r="J208" s="52">
        <v>40</v>
      </c>
      <c r="K208" s="86"/>
      <c r="L208" s="86"/>
      <c r="M208" s="86"/>
      <c r="N208" s="104">
        <f t="shared" si="89"/>
        <v>0</v>
      </c>
      <c r="O208" s="105"/>
      <c r="P208" s="105"/>
      <c r="Q208" s="105"/>
      <c r="R208" s="104">
        <f t="shared" si="88"/>
        <v>0</v>
      </c>
      <c r="S208" s="86">
        <f t="shared" si="90"/>
        <v>40</v>
      </c>
      <c r="T208" s="87"/>
      <c r="U208" s="87"/>
      <c r="V208" s="87"/>
      <c r="W208" s="88"/>
      <c r="X208" s="87"/>
      <c r="Y208" s="87"/>
      <c r="Z208" s="87"/>
      <c r="AA208" s="88"/>
      <c r="AB208" s="88">
        <v>39.270000000000003</v>
      </c>
      <c r="AC208" s="88">
        <v>52.462499999999999</v>
      </c>
      <c r="AD208" s="88">
        <v>72.64</v>
      </c>
      <c r="AE208" s="89">
        <f t="shared" si="82"/>
        <v>4476.3999999999996</v>
      </c>
      <c r="AF208" s="90">
        <v>6.5000000000000002E-2</v>
      </c>
      <c r="AG208" s="4">
        <f t="shared" si="87"/>
        <v>290.96600000000001</v>
      </c>
      <c r="AH208" s="49">
        <f t="shared" si="83"/>
        <v>54.978000000000009</v>
      </c>
      <c r="AI208" s="89">
        <f t="shared" si="84"/>
        <v>4185.4339999999993</v>
      </c>
      <c r="AJ208" s="91">
        <v>0.18</v>
      </c>
      <c r="AK208" s="5">
        <f t="shared" si="85"/>
        <v>753.37811999999985</v>
      </c>
      <c r="AL208" s="89">
        <f t="shared" si="86"/>
        <v>4938.8121199999987</v>
      </c>
      <c r="AP208" s="92"/>
    </row>
    <row r="209" spans="1:42" hidden="1" x14ac:dyDescent="0.35">
      <c r="A209" s="85">
        <v>46211</v>
      </c>
      <c r="B209" s="51" t="s">
        <v>85</v>
      </c>
      <c r="C209" s="97">
        <v>92138654.392857105</v>
      </c>
      <c r="D209" s="97">
        <v>131055.7</v>
      </c>
      <c r="E209" s="48" t="s">
        <v>86</v>
      </c>
      <c r="F209" s="86" t="s">
        <v>108</v>
      </c>
      <c r="G209" s="86" t="s">
        <v>310</v>
      </c>
      <c r="H209" s="86" t="s">
        <v>127</v>
      </c>
      <c r="I209" s="48" t="s">
        <v>128</v>
      </c>
      <c r="J209" s="52">
        <v>12</v>
      </c>
      <c r="K209" s="86"/>
      <c r="L209" s="86"/>
      <c r="M209" s="86"/>
      <c r="N209" s="104">
        <f t="shared" si="89"/>
        <v>0</v>
      </c>
      <c r="O209" s="105"/>
      <c r="P209" s="105"/>
      <c r="Q209" s="105"/>
      <c r="R209" s="104">
        <f t="shared" si="88"/>
        <v>0</v>
      </c>
      <c r="S209" s="86">
        <f t="shared" si="90"/>
        <v>12</v>
      </c>
      <c r="T209" s="87"/>
      <c r="U209" s="87"/>
      <c r="V209" s="87"/>
      <c r="W209" s="88"/>
      <c r="X209" s="87"/>
      <c r="Y209" s="87"/>
      <c r="Z209" s="87"/>
      <c r="AA209" s="88"/>
      <c r="AB209" s="88">
        <v>39.270000000000003</v>
      </c>
      <c r="AC209" s="88">
        <v>52.462499999999999</v>
      </c>
      <c r="AD209" s="88">
        <v>72.64</v>
      </c>
      <c r="AE209" s="89">
        <f t="shared" si="82"/>
        <v>1342.92</v>
      </c>
      <c r="AF209" s="90">
        <v>6.5000000000000002E-2</v>
      </c>
      <c r="AG209" s="4">
        <f t="shared" si="87"/>
        <v>87.289800000000014</v>
      </c>
      <c r="AH209" s="49">
        <f t="shared" si="83"/>
        <v>16.493400000000001</v>
      </c>
      <c r="AI209" s="89">
        <f t="shared" si="84"/>
        <v>1255.6302000000001</v>
      </c>
      <c r="AJ209" s="91">
        <v>0.18</v>
      </c>
      <c r="AK209" s="5">
        <f t="shared" si="85"/>
        <v>226.01343600000001</v>
      </c>
      <c r="AL209" s="89">
        <f t="shared" si="86"/>
        <v>1481.643636</v>
      </c>
      <c r="AP209" s="92"/>
    </row>
    <row r="210" spans="1:42" hidden="1" x14ac:dyDescent="0.35">
      <c r="A210" s="85">
        <v>46211</v>
      </c>
      <c r="B210" s="51" t="s">
        <v>85</v>
      </c>
      <c r="C210" s="97">
        <v>92608573.464285702</v>
      </c>
      <c r="D210" s="97">
        <v>131721.4</v>
      </c>
      <c r="E210" s="48" t="s">
        <v>86</v>
      </c>
      <c r="F210" s="86" t="s">
        <v>108</v>
      </c>
      <c r="G210" s="86" t="s">
        <v>311</v>
      </c>
      <c r="H210" s="86" t="s">
        <v>127</v>
      </c>
      <c r="I210" s="48" t="s">
        <v>128</v>
      </c>
      <c r="J210" s="52">
        <v>10</v>
      </c>
      <c r="K210" s="86"/>
      <c r="L210" s="86"/>
      <c r="M210" s="86"/>
      <c r="N210" s="104">
        <f t="shared" si="89"/>
        <v>0</v>
      </c>
      <c r="O210" s="105"/>
      <c r="P210" s="105"/>
      <c r="Q210" s="105"/>
      <c r="R210" s="104">
        <f t="shared" si="88"/>
        <v>0</v>
      </c>
      <c r="S210" s="86">
        <f t="shared" si="90"/>
        <v>10</v>
      </c>
      <c r="T210" s="87"/>
      <c r="U210" s="87"/>
      <c r="V210" s="87"/>
      <c r="W210" s="88"/>
      <c r="X210" s="87"/>
      <c r="Y210" s="87"/>
      <c r="Z210" s="87"/>
      <c r="AA210" s="88"/>
      <c r="AB210" s="88">
        <v>39.270000000000003</v>
      </c>
      <c r="AC210" s="88">
        <v>52.462499999999999</v>
      </c>
      <c r="AD210" s="88">
        <v>72.64</v>
      </c>
      <c r="AE210" s="89">
        <f t="shared" si="82"/>
        <v>1119.0999999999999</v>
      </c>
      <c r="AF210" s="90">
        <v>6.5000000000000002E-2</v>
      </c>
      <c r="AG210" s="4">
        <f t="shared" si="87"/>
        <v>72.741500000000002</v>
      </c>
      <c r="AH210" s="49">
        <f t="shared" si="83"/>
        <v>13.744500000000002</v>
      </c>
      <c r="AI210" s="89">
        <f t="shared" si="84"/>
        <v>1046.3584999999998</v>
      </c>
      <c r="AJ210" s="91">
        <v>0.18</v>
      </c>
      <c r="AK210" s="5">
        <f t="shared" si="85"/>
        <v>188.34452999999996</v>
      </c>
      <c r="AL210" s="89">
        <f t="shared" si="86"/>
        <v>1234.7030299999997</v>
      </c>
      <c r="AP210" s="92"/>
    </row>
    <row r="211" spans="1:42" hidden="1" x14ac:dyDescent="0.35">
      <c r="A211" s="85">
        <v>46211</v>
      </c>
      <c r="B211" s="51" t="s">
        <v>85</v>
      </c>
      <c r="C211" s="97">
        <v>93078492.535714298</v>
      </c>
      <c r="D211" s="97">
        <v>132387.1</v>
      </c>
      <c r="E211" s="48" t="s">
        <v>86</v>
      </c>
      <c r="F211" s="86" t="s">
        <v>108</v>
      </c>
      <c r="G211" s="86" t="s">
        <v>312</v>
      </c>
      <c r="H211" s="86" t="s">
        <v>127</v>
      </c>
      <c r="I211" s="48" t="s">
        <v>128</v>
      </c>
      <c r="J211" s="52">
        <v>12</v>
      </c>
      <c r="K211" s="86"/>
      <c r="L211" s="86"/>
      <c r="M211" s="86"/>
      <c r="N211" s="104">
        <f t="shared" si="89"/>
        <v>0</v>
      </c>
      <c r="O211" s="105"/>
      <c r="P211" s="105"/>
      <c r="Q211" s="105"/>
      <c r="R211" s="104">
        <f t="shared" si="88"/>
        <v>0</v>
      </c>
      <c r="S211" s="86">
        <f t="shared" si="90"/>
        <v>12</v>
      </c>
      <c r="T211" s="87"/>
      <c r="U211" s="87"/>
      <c r="V211" s="87"/>
      <c r="W211" s="88"/>
      <c r="X211" s="87"/>
      <c r="Y211" s="87"/>
      <c r="Z211" s="87"/>
      <c r="AA211" s="88"/>
      <c r="AB211" s="88">
        <v>39.270000000000003</v>
      </c>
      <c r="AC211" s="88">
        <v>52.462499999999999</v>
      </c>
      <c r="AD211" s="88">
        <v>72.64</v>
      </c>
      <c r="AE211" s="89">
        <f t="shared" si="82"/>
        <v>1342.92</v>
      </c>
      <c r="AF211" s="90">
        <v>6.5000000000000002E-2</v>
      </c>
      <c r="AG211" s="4">
        <f t="shared" si="87"/>
        <v>87.289800000000014</v>
      </c>
      <c r="AH211" s="49">
        <f t="shared" si="83"/>
        <v>16.493400000000001</v>
      </c>
      <c r="AI211" s="89">
        <f t="shared" si="84"/>
        <v>1255.6302000000001</v>
      </c>
      <c r="AJ211" s="91">
        <v>0.18</v>
      </c>
      <c r="AK211" s="5">
        <f t="shared" si="85"/>
        <v>226.01343600000001</v>
      </c>
      <c r="AL211" s="89">
        <f t="shared" si="86"/>
        <v>1481.643636</v>
      </c>
      <c r="AP211" s="92"/>
    </row>
    <row r="212" spans="1:42" hidden="1" x14ac:dyDescent="0.35">
      <c r="A212" s="85">
        <v>46211</v>
      </c>
      <c r="B212" s="51" t="s">
        <v>85</v>
      </c>
      <c r="C212" s="97">
        <v>93548411.607142806</v>
      </c>
      <c r="D212" s="97">
        <v>133052.79999999999</v>
      </c>
      <c r="E212" s="48" t="s">
        <v>86</v>
      </c>
      <c r="F212" s="86" t="s">
        <v>108</v>
      </c>
      <c r="G212" s="86" t="s">
        <v>313</v>
      </c>
      <c r="H212" s="86" t="s">
        <v>127</v>
      </c>
      <c r="I212" s="48" t="s">
        <v>128</v>
      </c>
      <c r="J212" s="52"/>
      <c r="K212" s="86"/>
      <c r="L212" s="86"/>
      <c r="M212" s="86"/>
      <c r="N212" s="104">
        <f t="shared" si="89"/>
        <v>0</v>
      </c>
      <c r="O212" s="105">
        <v>40</v>
      </c>
      <c r="P212" s="105">
        <v>40</v>
      </c>
      <c r="Q212" s="105">
        <v>40</v>
      </c>
      <c r="R212" s="104">
        <f t="shared" si="88"/>
        <v>120</v>
      </c>
      <c r="S212" s="86">
        <f t="shared" si="90"/>
        <v>120</v>
      </c>
      <c r="T212" s="87"/>
      <c r="U212" s="87"/>
      <c r="V212" s="87"/>
      <c r="W212" s="88"/>
      <c r="X212" s="87"/>
      <c r="Y212" s="87"/>
      <c r="Z212" s="87"/>
      <c r="AA212" s="88"/>
      <c r="AB212" s="88">
        <v>39.270000000000003</v>
      </c>
      <c r="AC212" s="88">
        <v>52.462499999999999</v>
      </c>
      <c r="AD212" s="88">
        <v>72.64</v>
      </c>
      <c r="AE212" s="89">
        <f t="shared" si="82"/>
        <v>8716.7999999999993</v>
      </c>
      <c r="AF212" s="90">
        <v>6.5000000000000002E-2</v>
      </c>
      <c r="AG212" s="4">
        <f t="shared" si="87"/>
        <v>566.59199999999998</v>
      </c>
      <c r="AH212" s="49">
        <f t="shared" si="83"/>
        <v>0</v>
      </c>
      <c r="AI212" s="89">
        <f t="shared" si="84"/>
        <v>8150.2079999999996</v>
      </c>
      <c r="AJ212" s="91">
        <v>0.18</v>
      </c>
      <c r="AK212" s="5">
        <f t="shared" si="85"/>
        <v>1467.0374399999998</v>
      </c>
      <c r="AL212" s="89">
        <f t="shared" si="86"/>
        <v>9617.2454399999988</v>
      </c>
      <c r="AP212" s="92"/>
    </row>
    <row r="213" spans="1:42" hidden="1" x14ac:dyDescent="0.35">
      <c r="A213" s="85">
        <v>46211</v>
      </c>
      <c r="B213" s="51" t="s">
        <v>85</v>
      </c>
      <c r="C213" s="97">
        <v>94018330.678571403</v>
      </c>
      <c r="D213" s="97">
        <v>133718.5</v>
      </c>
      <c r="E213" s="48" t="s">
        <v>86</v>
      </c>
      <c r="F213" s="86" t="s">
        <v>108</v>
      </c>
      <c r="G213" s="86" t="s">
        <v>314</v>
      </c>
      <c r="H213" s="86" t="s">
        <v>127</v>
      </c>
      <c r="I213" s="48" t="s">
        <v>128</v>
      </c>
      <c r="J213" s="52">
        <v>40</v>
      </c>
      <c r="K213" s="86"/>
      <c r="L213" s="86"/>
      <c r="M213" s="86"/>
      <c r="N213" s="104">
        <f t="shared" si="89"/>
        <v>0</v>
      </c>
      <c r="O213" s="105">
        <v>15</v>
      </c>
      <c r="P213" s="105">
        <v>15</v>
      </c>
      <c r="Q213" s="105">
        <v>10</v>
      </c>
      <c r="R213" s="104">
        <f t="shared" si="88"/>
        <v>40</v>
      </c>
      <c r="S213" s="86">
        <f t="shared" si="90"/>
        <v>80</v>
      </c>
      <c r="T213" s="87"/>
      <c r="U213" s="87"/>
      <c r="V213" s="87"/>
      <c r="W213" s="88"/>
      <c r="X213" s="87"/>
      <c r="Y213" s="87"/>
      <c r="Z213" s="87"/>
      <c r="AA213" s="88"/>
      <c r="AB213" s="88">
        <v>39.270000000000003</v>
      </c>
      <c r="AC213" s="88">
        <v>52.462499999999999</v>
      </c>
      <c r="AD213" s="88">
        <v>72.64</v>
      </c>
      <c r="AE213" s="89">
        <f t="shared" si="82"/>
        <v>7382</v>
      </c>
      <c r="AF213" s="90">
        <v>6.5000000000000002E-2</v>
      </c>
      <c r="AG213" s="4">
        <f t="shared" si="87"/>
        <v>479.83000000000004</v>
      </c>
      <c r="AH213" s="49">
        <f t="shared" si="83"/>
        <v>54.978000000000009</v>
      </c>
      <c r="AI213" s="89">
        <f t="shared" si="84"/>
        <v>6902.17</v>
      </c>
      <c r="AJ213" s="91">
        <v>0.18</v>
      </c>
      <c r="AK213" s="5">
        <f t="shared" si="85"/>
        <v>1242.3905999999999</v>
      </c>
      <c r="AL213" s="89">
        <f t="shared" si="86"/>
        <v>8144.5605999999998</v>
      </c>
      <c r="AP213" s="92"/>
    </row>
    <row r="214" spans="1:42" hidden="1" x14ac:dyDescent="0.35">
      <c r="A214" s="85">
        <v>46211</v>
      </c>
      <c r="B214" s="51" t="s">
        <v>85</v>
      </c>
      <c r="C214" s="97">
        <v>94488249.75</v>
      </c>
      <c r="D214" s="97">
        <v>134384.20000000001</v>
      </c>
      <c r="E214" s="48" t="s">
        <v>86</v>
      </c>
      <c r="F214" s="86" t="s">
        <v>108</v>
      </c>
      <c r="G214" s="86" t="s">
        <v>315</v>
      </c>
      <c r="H214" s="86" t="s">
        <v>127</v>
      </c>
      <c r="I214" s="48" t="s">
        <v>128</v>
      </c>
      <c r="J214" s="52">
        <v>40</v>
      </c>
      <c r="K214" s="86"/>
      <c r="L214" s="86"/>
      <c r="M214" s="86"/>
      <c r="N214" s="104">
        <f t="shared" si="89"/>
        <v>0</v>
      </c>
      <c r="O214" s="105">
        <v>15</v>
      </c>
      <c r="P214" s="105">
        <v>15</v>
      </c>
      <c r="Q214" s="105">
        <v>10</v>
      </c>
      <c r="R214" s="104">
        <f t="shared" si="88"/>
        <v>40</v>
      </c>
      <c r="S214" s="86">
        <f t="shared" si="90"/>
        <v>80</v>
      </c>
      <c r="T214" s="87"/>
      <c r="U214" s="87"/>
      <c r="V214" s="87"/>
      <c r="W214" s="88"/>
      <c r="X214" s="87"/>
      <c r="Y214" s="87"/>
      <c r="Z214" s="87"/>
      <c r="AA214" s="88"/>
      <c r="AB214" s="88">
        <v>39.270000000000003</v>
      </c>
      <c r="AC214" s="88">
        <v>52.462499999999999</v>
      </c>
      <c r="AD214" s="88">
        <v>72.64</v>
      </c>
      <c r="AE214" s="89">
        <f t="shared" ref="AE214:AE274" si="91">(J214*AB214)+(N214*AC214)+(AD214*S214)</f>
        <v>7382</v>
      </c>
      <c r="AF214" s="90">
        <v>0.1</v>
      </c>
      <c r="AG214" s="4">
        <f t="shared" si="87"/>
        <v>738.2</v>
      </c>
      <c r="AH214" s="49">
        <f t="shared" ref="AH214:AH274" si="92">(AB214*J214)*$AH$1</f>
        <v>54.978000000000009</v>
      </c>
      <c r="AI214" s="89">
        <f t="shared" ref="AI214:AI274" si="93">AE214-AG214</f>
        <v>6643.8</v>
      </c>
      <c r="AJ214" s="91">
        <v>0.18</v>
      </c>
      <c r="AK214" s="5">
        <f t="shared" ref="AK214:AK274" si="94">AI214*AJ214</f>
        <v>1195.884</v>
      </c>
      <c r="AL214" s="89">
        <f t="shared" ref="AL214:AL274" si="95">AI214+AK214</f>
        <v>7839.6840000000002</v>
      </c>
      <c r="AP214" s="92"/>
    </row>
    <row r="215" spans="1:42" hidden="1" x14ac:dyDescent="0.35">
      <c r="A215" s="85">
        <v>46211</v>
      </c>
      <c r="B215" s="51" t="s">
        <v>85</v>
      </c>
      <c r="C215" s="97">
        <v>94958168.821428597</v>
      </c>
      <c r="D215" s="97">
        <v>135049.9</v>
      </c>
      <c r="E215" s="48" t="s">
        <v>86</v>
      </c>
      <c r="F215" s="86" t="s">
        <v>108</v>
      </c>
      <c r="G215" s="86" t="s">
        <v>316</v>
      </c>
      <c r="H215" s="86" t="s">
        <v>127</v>
      </c>
      <c r="I215" s="48" t="s">
        <v>128</v>
      </c>
      <c r="J215" s="52">
        <v>20</v>
      </c>
      <c r="K215" s="86"/>
      <c r="L215" s="86"/>
      <c r="M215" s="86"/>
      <c r="N215" s="104">
        <f t="shared" si="89"/>
        <v>0</v>
      </c>
      <c r="O215" s="86"/>
      <c r="P215" s="86"/>
      <c r="Q215" s="86"/>
      <c r="R215" s="104">
        <f t="shared" si="88"/>
        <v>0</v>
      </c>
      <c r="S215" s="86">
        <f t="shared" si="90"/>
        <v>20</v>
      </c>
      <c r="T215" s="87"/>
      <c r="U215" s="87"/>
      <c r="V215" s="87"/>
      <c r="W215" s="88"/>
      <c r="X215" s="87"/>
      <c r="Y215" s="87"/>
      <c r="Z215" s="87"/>
      <c r="AA215" s="88"/>
      <c r="AB215" s="88">
        <v>39.270000000000003</v>
      </c>
      <c r="AC215" s="88">
        <v>52.462499999999999</v>
      </c>
      <c r="AD215" s="88">
        <v>72.64</v>
      </c>
      <c r="AE215" s="89">
        <f t="shared" si="91"/>
        <v>2238.1999999999998</v>
      </c>
      <c r="AF215" s="90">
        <v>0.1</v>
      </c>
      <c r="AG215" s="4">
        <f t="shared" si="87"/>
        <v>223.82</v>
      </c>
      <c r="AH215" s="49">
        <f t="shared" si="92"/>
        <v>27.489000000000004</v>
      </c>
      <c r="AI215" s="89">
        <f t="shared" si="93"/>
        <v>2014.3799999999999</v>
      </c>
      <c r="AJ215" s="91">
        <v>0.18</v>
      </c>
      <c r="AK215" s="5">
        <f t="shared" si="94"/>
        <v>362.58839999999998</v>
      </c>
      <c r="AL215" s="89">
        <f t="shared" si="95"/>
        <v>2376.9683999999997</v>
      </c>
      <c r="AP215" s="92"/>
    </row>
    <row r="216" spans="1:42" hidden="1" x14ac:dyDescent="0.35">
      <c r="A216" s="85">
        <v>46211</v>
      </c>
      <c r="B216" s="51" t="s">
        <v>85</v>
      </c>
      <c r="C216" s="97">
        <v>95428087.892857105</v>
      </c>
      <c r="D216" s="97">
        <v>135715.6</v>
      </c>
      <c r="E216" s="48" t="s">
        <v>86</v>
      </c>
      <c r="F216" s="86" t="s">
        <v>108</v>
      </c>
      <c r="G216" s="86" t="s">
        <v>317</v>
      </c>
      <c r="H216" s="86" t="s">
        <v>127</v>
      </c>
      <c r="I216" s="48" t="s">
        <v>128</v>
      </c>
      <c r="J216" s="52">
        <v>40</v>
      </c>
      <c r="K216" s="105"/>
      <c r="L216" s="105"/>
      <c r="M216" s="105"/>
      <c r="N216" s="104">
        <f t="shared" si="89"/>
        <v>0</v>
      </c>
      <c r="O216" s="86"/>
      <c r="P216" s="86"/>
      <c r="Q216" s="105"/>
      <c r="R216" s="104">
        <f t="shared" si="88"/>
        <v>0</v>
      </c>
      <c r="S216" s="86">
        <f t="shared" si="90"/>
        <v>40</v>
      </c>
      <c r="T216" s="87"/>
      <c r="U216" s="87"/>
      <c r="V216" s="87"/>
      <c r="W216" s="88"/>
      <c r="X216" s="87"/>
      <c r="Y216" s="87"/>
      <c r="Z216" s="87"/>
      <c r="AA216" s="88"/>
      <c r="AB216" s="88">
        <v>39.270000000000003</v>
      </c>
      <c r="AC216" s="88">
        <v>52.462499999999999</v>
      </c>
      <c r="AD216" s="88">
        <v>72.64</v>
      </c>
      <c r="AE216" s="89">
        <f t="shared" si="91"/>
        <v>4476.3999999999996</v>
      </c>
      <c r="AF216" s="90">
        <v>6.5000000000000002E-2</v>
      </c>
      <c r="AG216" s="4">
        <f t="shared" si="87"/>
        <v>290.96600000000001</v>
      </c>
      <c r="AH216" s="49">
        <f t="shared" si="92"/>
        <v>54.978000000000009</v>
      </c>
      <c r="AI216" s="89">
        <f t="shared" si="93"/>
        <v>4185.4339999999993</v>
      </c>
      <c r="AJ216" s="91">
        <v>0.18</v>
      </c>
      <c r="AK216" s="5">
        <f t="shared" si="94"/>
        <v>753.37811999999985</v>
      </c>
      <c r="AL216" s="89">
        <f t="shared" si="95"/>
        <v>4938.8121199999987</v>
      </c>
      <c r="AP216" s="92"/>
    </row>
    <row r="217" spans="1:42" hidden="1" x14ac:dyDescent="0.35">
      <c r="A217" s="85">
        <v>46211</v>
      </c>
      <c r="B217" s="51" t="s">
        <v>85</v>
      </c>
      <c r="C217" s="97">
        <v>95898006.964286</v>
      </c>
      <c r="D217" s="97">
        <v>136381.29999999999</v>
      </c>
      <c r="E217" s="48" t="s">
        <v>86</v>
      </c>
      <c r="F217" s="86" t="s">
        <v>108</v>
      </c>
      <c r="G217" s="86" t="s">
        <v>318</v>
      </c>
      <c r="H217" s="86" t="s">
        <v>127</v>
      </c>
      <c r="I217" s="48" t="s">
        <v>128</v>
      </c>
      <c r="J217" s="52"/>
      <c r="K217" s="105"/>
      <c r="L217" s="105"/>
      <c r="M217" s="105"/>
      <c r="N217" s="104">
        <f t="shared" si="89"/>
        <v>0</v>
      </c>
      <c r="O217" s="86">
        <v>15</v>
      </c>
      <c r="P217" s="86">
        <v>15</v>
      </c>
      <c r="Q217" s="86">
        <v>10</v>
      </c>
      <c r="R217" s="104">
        <f t="shared" si="88"/>
        <v>40</v>
      </c>
      <c r="S217" s="86">
        <f t="shared" si="90"/>
        <v>40</v>
      </c>
      <c r="T217" s="87"/>
      <c r="U217" s="87"/>
      <c r="V217" s="87"/>
      <c r="W217" s="88"/>
      <c r="X217" s="87"/>
      <c r="Y217" s="87"/>
      <c r="Z217" s="87"/>
      <c r="AA217" s="88"/>
      <c r="AB217" s="88">
        <v>39.270000000000003</v>
      </c>
      <c r="AC217" s="88">
        <v>52.462499999999999</v>
      </c>
      <c r="AD217" s="88">
        <v>72.64</v>
      </c>
      <c r="AE217" s="89">
        <f t="shared" si="91"/>
        <v>2905.6</v>
      </c>
      <c r="AF217" s="90">
        <v>6.5000000000000002E-2</v>
      </c>
      <c r="AG217" s="4">
        <f t="shared" si="87"/>
        <v>188.864</v>
      </c>
      <c r="AH217" s="49">
        <f t="shared" si="92"/>
        <v>0</v>
      </c>
      <c r="AI217" s="89">
        <f t="shared" si="93"/>
        <v>2716.7359999999999</v>
      </c>
      <c r="AJ217" s="91">
        <v>0.18</v>
      </c>
      <c r="AK217" s="5">
        <f t="shared" si="94"/>
        <v>489.01247999999998</v>
      </c>
      <c r="AL217" s="89">
        <f t="shared" si="95"/>
        <v>3205.7484799999997</v>
      </c>
      <c r="AP217" s="92"/>
    </row>
    <row r="218" spans="1:42" hidden="1" x14ac:dyDescent="0.35">
      <c r="A218" s="85">
        <v>46211</v>
      </c>
      <c r="B218" s="51" t="s">
        <v>85</v>
      </c>
      <c r="C218" s="97">
        <v>96367926.035714</v>
      </c>
      <c r="D218" s="97">
        <v>137047</v>
      </c>
      <c r="E218" s="48" t="s">
        <v>86</v>
      </c>
      <c r="F218" s="86" t="s">
        <v>108</v>
      </c>
      <c r="G218" s="86" t="s">
        <v>319</v>
      </c>
      <c r="H218" s="86" t="s">
        <v>127</v>
      </c>
      <c r="I218" s="48" t="s">
        <v>128</v>
      </c>
      <c r="J218" s="52">
        <v>40</v>
      </c>
      <c r="K218" s="105"/>
      <c r="L218" s="105"/>
      <c r="M218" s="105"/>
      <c r="N218" s="104">
        <f t="shared" si="89"/>
        <v>0</v>
      </c>
      <c r="O218" s="86"/>
      <c r="P218" s="105"/>
      <c r="Q218" s="105"/>
      <c r="R218" s="104">
        <f t="shared" si="88"/>
        <v>0</v>
      </c>
      <c r="S218" s="86">
        <f t="shared" si="90"/>
        <v>40</v>
      </c>
      <c r="T218" s="87"/>
      <c r="U218" s="87"/>
      <c r="V218" s="87"/>
      <c r="W218" s="88"/>
      <c r="X218" s="87"/>
      <c r="Y218" s="87"/>
      <c r="Z218" s="87"/>
      <c r="AA218" s="88"/>
      <c r="AB218" s="88">
        <v>39.270000000000003</v>
      </c>
      <c r="AC218" s="88">
        <v>52.462499999999999</v>
      </c>
      <c r="AD218" s="88">
        <v>72.64</v>
      </c>
      <c r="AE218" s="89">
        <f t="shared" si="91"/>
        <v>4476.3999999999996</v>
      </c>
      <c r="AF218" s="90">
        <v>6.5000000000000002E-2</v>
      </c>
      <c r="AG218" s="4">
        <f t="shared" si="87"/>
        <v>290.96600000000001</v>
      </c>
      <c r="AH218" s="49">
        <f t="shared" si="92"/>
        <v>54.978000000000009</v>
      </c>
      <c r="AI218" s="89">
        <f t="shared" si="93"/>
        <v>4185.4339999999993</v>
      </c>
      <c r="AJ218" s="91">
        <v>0.18</v>
      </c>
      <c r="AK218" s="5">
        <f t="shared" si="94"/>
        <v>753.37811999999985</v>
      </c>
      <c r="AL218" s="89">
        <f t="shared" si="95"/>
        <v>4938.8121199999987</v>
      </c>
      <c r="AP218" s="92"/>
    </row>
    <row r="219" spans="1:42" hidden="1" x14ac:dyDescent="0.35">
      <c r="A219" s="85">
        <v>46211</v>
      </c>
      <c r="B219" s="51" t="s">
        <v>85</v>
      </c>
      <c r="C219" s="97">
        <v>96837845.107143</v>
      </c>
      <c r="D219" s="97">
        <v>137712.70000000001</v>
      </c>
      <c r="E219" s="48" t="s">
        <v>86</v>
      </c>
      <c r="F219" s="86" t="s">
        <v>108</v>
      </c>
      <c r="G219" s="86" t="s">
        <v>167</v>
      </c>
      <c r="H219" s="86" t="s">
        <v>129</v>
      </c>
      <c r="I219" s="48" t="s">
        <v>171</v>
      </c>
      <c r="J219" s="52"/>
      <c r="K219" s="105"/>
      <c r="L219" s="105"/>
      <c r="M219" s="105"/>
      <c r="N219" s="104">
        <f t="shared" si="89"/>
        <v>0</v>
      </c>
      <c r="O219" s="86">
        <v>15</v>
      </c>
      <c r="P219" s="86">
        <v>10</v>
      </c>
      <c r="Q219" s="86">
        <v>15</v>
      </c>
      <c r="R219" s="104">
        <f t="shared" si="88"/>
        <v>40</v>
      </c>
      <c r="S219" s="86">
        <f t="shared" si="90"/>
        <v>40</v>
      </c>
      <c r="T219" s="87"/>
      <c r="U219" s="87"/>
      <c r="V219" s="87"/>
      <c r="W219" s="88"/>
      <c r="X219" s="87"/>
      <c r="Y219" s="87"/>
      <c r="Z219" s="87"/>
      <c r="AA219" s="88"/>
      <c r="AB219" s="88">
        <v>39.270000000000003</v>
      </c>
      <c r="AC219" s="88">
        <v>52.462499999999999</v>
      </c>
      <c r="AD219" s="88">
        <v>72.64</v>
      </c>
      <c r="AE219" s="89">
        <f t="shared" si="91"/>
        <v>2905.6</v>
      </c>
      <c r="AF219" s="90">
        <v>6.5000000000000002E-2</v>
      </c>
      <c r="AG219" s="4">
        <f t="shared" si="87"/>
        <v>188.864</v>
      </c>
      <c r="AH219" s="49">
        <f t="shared" si="92"/>
        <v>0</v>
      </c>
      <c r="AI219" s="89">
        <f t="shared" si="93"/>
        <v>2716.7359999999999</v>
      </c>
      <c r="AJ219" s="91">
        <v>0.18</v>
      </c>
      <c r="AK219" s="5">
        <f t="shared" si="94"/>
        <v>489.01247999999998</v>
      </c>
      <c r="AL219" s="89">
        <f t="shared" si="95"/>
        <v>3205.7484799999997</v>
      </c>
      <c r="AP219" s="92"/>
    </row>
    <row r="220" spans="1:42" hidden="1" x14ac:dyDescent="0.35">
      <c r="A220" s="85">
        <v>46211</v>
      </c>
      <c r="B220" s="51" t="s">
        <v>85</v>
      </c>
      <c r="C220" s="97">
        <v>97307764.178571001</v>
      </c>
      <c r="D220" s="97">
        <v>138378.4</v>
      </c>
      <c r="E220" s="48" t="s">
        <v>86</v>
      </c>
      <c r="F220" s="86" t="s">
        <v>108</v>
      </c>
      <c r="G220" s="86" t="s">
        <v>299</v>
      </c>
      <c r="H220" s="86" t="s">
        <v>129</v>
      </c>
      <c r="I220" s="48" t="s">
        <v>171</v>
      </c>
      <c r="J220" s="52"/>
      <c r="K220" s="86">
        <v>40</v>
      </c>
      <c r="L220" s="86">
        <v>80</v>
      </c>
      <c r="M220" s="105"/>
      <c r="N220" s="104">
        <f t="shared" si="89"/>
        <v>120</v>
      </c>
      <c r="O220" s="105">
        <v>80</v>
      </c>
      <c r="P220" s="105"/>
      <c r="Q220" s="105">
        <v>40</v>
      </c>
      <c r="R220" s="104">
        <f t="shared" si="88"/>
        <v>120</v>
      </c>
      <c r="S220" s="86">
        <f t="shared" si="90"/>
        <v>240</v>
      </c>
      <c r="T220" s="87"/>
      <c r="U220" s="87"/>
      <c r="V220" s="87"/>
      <c r="W220" s="88"/>
      <c r="X220" s="87"/>
      <c r="Y220" s="87"/>
      <c r="Z220" s="87"/>
      <c r="AA220" s="88"/>
      <c r="AB220" s="88">
        <v>39.270000000000003</v>
      </c>
      <c r="AC220" s="88">
        <v>52.462499999999999</v>
      </c>
      <c r="AD220" s="88">
        <v>72.64</v>
      </c>
      <c r="AE220" s="89">
        <f t="shared" si="91"/>
        <v>23729.1</v>
      </c>
      <c r="AF220" s="90">
        <v>6.5000000000000002E-2</v>
      </c>
      <c r="AG220" s="4">
        <f t="shared" si="87"/>
        <v>1542.3915</v>
      </c>
      <c r="AH220" s="49">
        <f t="shared" si="92"/>
        <v>0</v>
      </c>
      <c r="AI220" s="89">
        <f t="shared" si="93"/>
        <v>22186.708499999997</v>
      </c>
      <c r="AJ220" s="91">
        <v>0.18</v>
      </c>
      <c r="AK220" s="5">
        <f t="shared" si="94"/>
        <v>3993.6075299999993</v>
      </c>
      <c r="AL220" s="89">
        <f t="shared" si="95"/>
        <v>26180.316029999994</v>
      </c>
      <c r="AP220" s="92"/>
    </row>
    <row r="221" spans="1:42" hidden="1" x14ac:dyDescent="0.35">
      <c r="A221" s="85">
        <v>46211</v>
      </c>
      <c r="B221" s="51" t="s">
        <v>85</v>
      </c>
      <c r="C221" s="97">
        <v>97777683.25</v>
      </c>
      <c r="D221" s="97">
        <v>139044.1</v>
      </c>
      <c r="E221" s="48" t="s">
        <v>86</v>
      </c>
      <c r="F221" s="86" t="s">
        <v>108</v>
      </c>
      <c r="G221" s="86" t="s">
        <v>320</v>
      </c>
      <c r="H221" s="86" t="s">
        <v>129</v>
      </c>
      <c r="I221" s="48" t="s">
        <v>171</v>
      </c>
      <c r="J221" s="52">
        <v>10</v>
      </c>
      <c r="K221" s="105"/>
      <c r="L221" s="86"/>
      <c r="M221" s="86"/>
      <c r="N221" s="104">
        <f t="shared" si="89"/>
        <v>0</v>
      </c>
      <c r="O221" s="105"/>
      <c r="P221" s="105"/>
      <c r="Q221" s="105"/>
      <c r="R221" s="104">
        <f t="shared" si="88"/>
        <v>0</v>
      </c>
      <c r="S221" s="86">
        <f t="shared" si="90"/>
        <v>10</v>
      </c>
      <c r="T221" s="87"/>
      <c r="U221" s="87"/>
      <c r="V221" s="87"/>
      <c r="W221" s="88"/>
      <c r="X221" s="87"/>
      <c r="Y221" s="87"/>
      <c r="Z221" s="87"/>
      <c r="AA221" s="88"/>
      <c r="AB221" s="88">
        <v>39.270000000000003</v>
      </c>
      <c r="AC221" s="88">
        <v>52.462499999999999</v>
      </c>
      <c r="AD221" s="88">
        <v>72.64</v>
      </c>
      <c r="AE221" s="89">
        <f t="shared" si="91"/>
        <v>1119.0999999999999</v>
      </c>
      <c r="AF221" s="90">
        <v>6.5000000000000002E-2</v>
      </c>
      <c r="AG221" s="4">
        <f t="shared" si="87"/>
        <v>72.741500000000002</v>
      </c>
      <c r="AH221" s="49">
        <f t="shared" si="92"/>
        <v>13.744500000000002</v>
      </c>
      <c r="AI221" s="89">
        <f t="shared" si="93"/>
        <v>1046.3584999999998</v>
      </c>
      <c r="AJ221" s="91">
        <v>0.18</v>
      </c>
      <c r="AK221" s="5">
        <f t="shared" si="94"/>
        <v>188.34452999999996</v>
      </c>
      <c r="AL221" s="89">
        <f t="shared" si="95"/>
        <v>1234.7030299999997</v>
      </c>
      <c r="AP221" s="92"/>
    </row>
    <row r="222" spans="1:42" hidden="1" x14ac:dyDescent="0.35">
      <c r="A222" s="85">
        <v>46211</v>
      </c>
      <c r="B222" s="51" t="s">
        <v>85</v>
      </c>
      <c r="C222" s="97">
        <v>98247602.321428999</v>
      </c>
      <c r="D222" s="97">
        <v>139709.79999999999</v>
      </c>
      <c r="E222" s="48" t="s">
        <v>86</v>
      </c>
      <c r="F222" s="86" t="s">
        <v>108</v>
      </c>
      <c r="G222" s="86" t="s">
        <v>169</v>
      </c>
      <c r="H222" s="86" t="s">
        <v>129</v>
      </c>
      <c r="I222" s="48" t="s">
        <v>171</v>
      </c>
      <c r="J222" s="52">
        <v>10</v>
      </c>
      <c r="K222" s="86"/>
      <c r="L222" s="86"/>
      <c r="M222" s="86"/>
      <c r="N222" s="104">
        <f t="shared" si="89"/>
        <v>0</v>
      </c>
      <c r="O222" s="105"/>
      <c r="P222" s="105"/>
      <c r="Q222" s="105"/>
      <c r="R222" s="104">
        <f t="shared" si="88"/>
        <v>0</v>
      </c>
      <c r="S222" s="86">
        <f t="shared" si="90"/>
        <v>10</v>
      </c>
      <c r="T222" s="87"/>
      <c r="U222" s="87"/>
      <c r="V222" s="87"/>
      <c r="W222" s="88"/>
      <c r="X222" s="87"/>
      <c r="Y222" s="87"/>
      <c r="Z222" s="87"/>
      <c r="AA222" s="88"/>
      <c r="AB222" s="88">
        <v>39.270000000000003</v>
      </c>
      <c r="AC222" s="88">
        <v>52.462499999999999</v>
      </c>
      <c r="AD222" s="88">
        <v>72.64</v>
      </c>
      <c r="AE222" s="89">
        <f t="shared" si="91"/>
        <v>1119.0999999999999</v>
      </c>
      <c r="AF222" s="90">
        <v>6.5000000000000002E-2</v>
      </c>
      <c r="AG222" s="4">
        <f t="shared" si="87"/>
        <v>72.741500000000002</v>
      </c>
      <c r="AH222" s="49">
        <f t="shared" si="92"/>
        <v>13.744500000000002</v>
      </c>
      <c r="AI222" s="89">
        <f t="shared" si="93"/>
        <v>1046.3584999999998</v>
      </c>
      <c r="AJ222" s="91">
        <v>0.18</v>
      </c>
      <c r="AK222" s="5">
        <f t="shared" si="94"/>
        <v>188.34452999999996</v>
      </c>
      <c r="AL222" s="89">
        <f t="shared" si="95"/>
        <v>1234.7030299999997</v>
      </c>
      <c r="AP222" s="92"/>
    </row>
    <row r="223" spans="1:42" hidden="1" x14ac:dyDescent="0.35">
      <c r="A223" s="85">
        <v>46211</v>
      </c>
      <c r="B223" s="51" t="s">
        <v>85</v>
      </c>
      <c r="C223" s="97">
        <v>98717521.392857</v>
      </c>
      <c r="D223" s="97">
        <v>140375.5</v>
      </c>
      <c r="E223" s="48" t="s">
        <v>86</v>
      </c>
      <c r="F223" s="86" t="s">
        <v>108</v>
      </c>
      <c r="G223" s="86" t="s">
        <v>321</v>
      </c>
      <c r="H223" s="86" t="s">
        <v>129</v>
      </c>
      <c r="I223" s="48" t="s">
        <v>171</v>
      </c>
      <c r="J223" s="52">
        <v>10</v>
      </c>
      <c r="K223" s="105"/>
      <c r="L223" s="105"/>
      <c r="M223" s="105"/>
      <c r="N223" s="104">
        <f t="shared" si="89"/>
        <v>0</v>
      </c>
      <c r="O223" s="86"/>
      <c r="P223" s="86"/>
      <c r="Q223" s="86"/>
      <c r="R223" s="104">
        <f t="shared" si="88"/>
        <v>0</v>
      </c>
      <c r="S223" s="86">
        <f t="shared" si="90"/>
        <v>10</v>
      </c>
      <c r="T223" s="87"/>
      <c r="U223" s="87"/>
      <c r="V223" s="87"/>
      <c r="W223" s="88"/>
      <c r="X223" s="87"/>
      <c r="Y223" s="87"/>
      <c r="Z223" s="87"/>
      <c r="AA223" s="88"/>
      <c r="AB223" s="88">
        <v>39.270000000000003</v>
      </c>
      <c r="AC223" s="88">
        <v>52.462499999999999</v>
      </c>
      <c r="AD223" s="88">
        <v>72.64</v>
      </c>
      <c r="AE223" s="89">
        <f t="shared" si="91"/>
        <v>1119.0999999999999</v>
      </c>
      <c r="AF223" s="90">
        <v>0.1</v>
      </c>
      <c r="AG223" s="4">
        <f t="shared" ref="AG223:AG269" si="96">AE223*AF223</f>
        <v>111.91</v>
      </c>
      <c r="AH223" s="49">
        <f t="shared" si="92"/>
        <v>13.744500000000002</v>
      </c>
      <c r="AI223" s="89">
        <f t="shared" si="93"/>
        <v>1007.1899999999999</v>
      </c>
      <c r="AJ223" s="91">
        <v>0.18</v>
      </c>
      <c r="AK223" s="5">
        <f t="shared" si="94"/>
        <v>181.29419999999999</v>
      </c>
      <c r="AL223" s="89">
        <f t="shared" si="95"/>
        <v>1188.4841999999999</v>
      </c>
      <c r="AP223" s="92"/>
    </row>
    <row r="224" spans="1:42" hidden="1" x14ac:dyDescent="0.35">
      <c r="A224" s="85">
        <v>46211</v>
      </c>
      <c r="B224" s="51" t="s">
        <v>85</v>
      </c>
      <c r="C224" s="97">
        <v>99187440.464286</v>
      </c>
      <c r="D224" s="97">
        <v>141041.20000000001</v>
      </c>
      <c r="E224" s="48" t="s">
        <v>86</v>
      </c>
      <c r="F224" s="86" t="s">
        <v>108</v>
      </c>
      <c r="G224" s="86" t="s">
        <v>322</v>
      </c>
      <c r="H224" s="86" t="s">
        <v>129</v>
      </c>
      <c r="I224" s="48" t="s">
        <v>171</v>
      </c>
      <c r="J224" s="52">
        <v>10</v>
      </c>
      <c r="K224" s="86"/>
      <c r="L224" s="86"/>
      <c r="M224" s="86"/>
      <c r="N224" s="104">
        <f t="shared" si="89"/>
        <v>0</v>
      </c>
      <c r="O224" s="105"/>
      <c r="P224" s="105"/>
      <c r="Q224" s="105"/>
      <c r="R224" s="104">
        <f t="shared" si="88"/>
        <v>0</v>
      </c>
      <c r="S224" s="86">
        <f t="shared" si="90"/>
        <v>10</v>
      </c>
      <c r="T224" s="87"/>
      <c r="U224" s="87"/>
      <c r="V224" s="87"/>
      <c r="W224" s="88"/>
      <c r="X224" s="87"/>
      <c r="Y224" s="87"/>
      <c r="Z224" s="87"/>
      <c r="AA224" s="88"/>
      <c r="AB224" s="88">
        <v>39.270000000000003</v>
      </c>
      <c r="AC224" s="88">
        <v>52.462499999999999</v>
      </c>
      <c r="AD224" s="88">
        <v>72.64</v>
      </c>
      <c r="AE224" s="89">
        <f t="shared" si="91"/>
        <v>1119.0999999999999</v>
      </c>
      <c r="AF224" s="90">
        <v>6.5000000000000002E-2</v>
      </c>
      <c r="AG224" s="4">
        <f t="shared" si="96"/>
        <v>72.741500000000002</v>
      </c>
      <c r="AH224" s="49">
        <f t="shared" si="92"/>
        <v>13.744500000000002</v>
      </c>
      <c r="AI224" s="89">
        <f t="shared" si="93"/>
        <v>1046.3584999999998</v>
      </c>
      <c r="AJ224" s="91">
        <v>0.18</v>
      </c>
      <c r="AK224" s="5">
        <f t="shared" si="94"/>
        <v>188.34452999999996</v>
      </c>
      <c r="AL224" s="89">
        <f t="shared" si="95"/>
        <v>1234.7030299999997</v>
      </c>
      <c r="AP224" s="92"/>
    </row>
    <row r="225" spans="1:42" hidden="1" x14ac:dyDescent="0.35">
      <c r="A225" s="85">
        <v>46211</v>
      </c>
      <c r="B225" s="51" t="s">
        <v>85</v>
      </c>
      <c r="C225" s="97">
        <v>99657359.535714</v>
      </c>
      <c r="D225" s="97">
        <v>141706.9</v>
      </c>
      <c r="E225" s="48" t="s">
        <v>86</v>
      </c>
      <c r="F225" s="86" t="s">
        <v>108</v>
      </c>
      <c r="G225" s="86" t="s">
        <v>303</v>
      </c>
      <c r="H225" s="86" t="s">
        <v>129</v>
      </c>
      <c r="I225" s="48" t="s">
        <v>171</v>
      </c>
      <c r="J225" s="52"/>
      <c r="K225" s="105">
        <v>10</v>
      </c>
      <c r="L225" s="105"/>
      <c r="M225" s="105"/>
      <c r="N225" s="104">
        <f t="shared" si="89"/>
        <v>10</v>
      </c>
      <c r="O225" s="86"/>
      <c r="P225" s="86"/>
      <c r="Q225" s="105"/>
      <c r="R225" s="104">
        <f t="shared" si="88"/>
        <v>0</v>
      </c>
      <c r="S225" s="86">
        <f t="shared" si="90"/>
        <v>10</v>
      </c>
      <c r="T225" s="87"/>
      <c r="U225" s="87"/>
      <c r="V225" s="87"/>
      <c r="W225" s="88"/>
      <c r="X225" s="87"/>
      <c r="Y225" s="87"/>
      <c r="Z225" s="87"/>
      <c r="AA225" s="88"/>
      <c r="AB225" s="88">
        <v>39.270000000000003</v>
      </c>
      <c r="AC225" s="88">
        <v>52.462499999999999</v>
      </c>
      <c r="AD225" s="88">
        <v>72.64</v>
      </c>
      <c r="AE225" s="89">
        <f t="shared" si="91"/>
        <v>1251.0250000000001</v>
      </c>
      <c r="AF225" s="90">
        <v>6.5000000000000002E-2</v>
      </c>
      <c r="AG225" s="4">
        <f t="shared" si="96"/>
        <v>81.316625000000002</v>
      </c>
      <c r="AH225" s="49">
        <f t="shared" si="92"/>
        <v>0</v>
      </c>
      <c r="AI225" s="89">
        <f t="shared" si="93"/>
        <v>1169.7083750000002</v>
      </c>
      <c r="AJ225" s="91">
        <v>0.18</v>
      </c>
      <c r="AK225" s="5">
        <f t="shared" si="94"/>
        <v>210.54750750000002</v>
      </c>
      <c r="AL225" s="89">
        <f t="shared" si="95"/>
        <v>1380.2558825000001</v>
      </c>
      <c r="AP225" s="92"/>
    </row>
    <row r="226" spans="1:42" hidden="1" x14ac:dyDescent="0.35">
      <c r="A226" s="85">
        <v>46211</v>
      </c>
      <c r="B226" s="51" t="s">
        <v>85</v>
      </c>
      <c r="C226" s="97">
        <v>100127278.607143</v>
      </c>
      <c r="D226" s="97">
        <v>142372.6</v>
      </c>
      <c r="E226" s="48" t="s">
        <v>86</v>
      </c>
      <c r="F226" s="86" t="s">
        <v>108</v>
      </c>
      <c r="G226" s="86" t="s">
        <v>323</v>
      </c>
      <c r="H226" s="86" t="s">
        <v>129</v>
      </c>
      <c r="I226" s="48" t="s">
        <v>171</v>
      </c>
      <c r="J226" s="52"/>
      <c r="K226" s="86"/>
      <c r="L226" s="86">
        <v>10</v>
      </c>
      <c r="M226" s="86"/>
      <c r="N226" s="104">
        <f t="shared" si="89"/>
        <v>10</v>
      </c>
      <c r="O226" s="86"/>
      <c r="P226" s="86"/>
      <c r="Q226" s="86"/>
      <c r="R226" s="104">
        <f t="shared" si="88"/>
        <v>0</v>
      </c>
      <c r="S226" s="86">
        <f t="shared" si="90"/>
        <v>10</v>
      </c>
      <c r="T226" s="87"/>
      <c r="U226" s="87"/>
      <c r="V226" s="87"/>
      <c r="W226" s="88"/>
      <c r="X226" s="87"/>
      <c r="Y226" s="87"/>
      <c r="Z226" s="87"/>
      <c r="AA226" s="88"/>
      <c r="AB226" s="88">
        <v>39.270000000000003</v>
      </c>
      <c r="AC226" s="88">
        <v>52.462499999999999</v>
      </c>
      <c r="AD226" s="88">
        <v>72.64</v>
      </c>
      <c r="AE226" s="89">
        <f t="shared" si="91"/>
        <v>1251.0250000000001</v>
      </c>
      <c r="AF226" s="90">
        <v>6.5000000000000002E-2</v>
      </c>
      <c r="AG226" s="4">
        <f t="shared" si="96"/>
        <v>81.316625000000002</v>
      </c>
      <c r="AH226" s="49">
        <f t="shared" si="92"/>
        <v>0</v>
      </c>
      <c r="AI226" s="89">
        <f t="shared" si="93"/>
        <v>1169.7083750000002</v>
      </c>
      <c r="AJ226" s="91">
        <v>0.18</v>
      </c>
      <c r="AK226" s="5">
        <f t="shared" si="94"/>
        <v>210.54750750000002</v>
      </c>
      <c r="AL226" s="89">
        <f t="shared" si="95"/>
        <v>1380.2558825000001</v>
      </c>
      <c r="AP226" s="92"/>
    </row>
    <row r="227" spans="1:42" hidden="1" x14ac:dyDescent="0.35">
      <c r="A227" s="85">
        <v>46211</v>
      </c>
      <c r="B227" s="51" t="s">
        <v>85</v>
      </c>
      <c r="C227" s="97">
        <v>100597197.678571</v>
      </c>
      <c r="D227" s="97">
        <v>143038.29999999999</v>
      </c>
      <c r="E227" s="48" t="s">
        <v>86</v>
      </c>
      <c r="F227" s="86" t="s">
        <v>108</v>
      </c>
      <c r="G227" s="86" t="s">
        <v>133</v>
      </c>
      <c r="H227" s="86" t="s">
        <v>129</v>
      </c>
      <c r="I227" s="48" t="s">
        <v>171</v>
      </c>
      <c r="J227" s="52"/>
      <c r="K227" s="105">
        <v>20</v>
      </c>
      <c r="L227" s="105">
        <v>20</v>
      </c>
      <c r="M227" s="105"/>
      <c r="N227" s="104">
        <f t="shared" si="89"/>
        <v>40</v>
      </c>
      <c r="O227" s="86">
        <v>20</v>
      </c>
      <c r="P227" s="86"/>
      <c r="Q227" s="86">
        <v>20</v>
      </c>
      <c r="R227" s="104">
        <f t="shared" si="88"/>
        <v>40</v>
      </c>
      <c r="S227" s="86">
        <f t="shared" si="90"/>
        <v>80</v>
      </c>
      <c r="T227" s="87"/>
      <c r="U227" s="87"/>
      <c r="V227" s="87"/>
      <c r="W227" s="88"/>
      <c r="X227" s="87"/>
      <c r="Y227" s="87"/>
      <c r="Z227" s="87"/>
      <c r="AA227" s="88"/>
      <c r="AB227" s="88">
        <v>39.270000000000003</v>
      </c>
      <c r="AC227" s="88">
        <v>52.462499999999999</v>
      </c>
      <c r="AD227" s="88">
        <v>72.64</v>
      </c>
      <c r="AE227" s="89">
        <f t="shared" si="91"/>
        <v>7909.7</v>
      </c>
      <c r="AF227" s="90">
        <v>6.5000000000000002E-2</v>
      </c>
      <c r="AG227" s="4">
        <f t="shared" si="96"/>
        <v>514.13049999999998</v>
      </c>
      <c r="AH227" s="49">
        <f t="shared" si="92"/>
        <v>0</v>
      </c>
      <c r="AI227" s="89">
        <f t="shared" si="93"/>
        <v>7395.5694999999996</v>
      </c>
      <c r="AJ227" s="91">
        <v>0.18</v>
      </c>
      <c r="AK227" s="5">
        <f t="shared" si="94"/>
        <v>1331.2025099999998</v>
      </c>
      <c r="AL227" s="89">
        <f t="shared" si="95"/>
        <v>8726.7720099999988</v>
      </c>
      <c r="AP227" s="92"/>
    </row>
    <row r="228" spans="1:42" hidden="1" x14ac:dyDescent="0.35">
      <c r="A228" s="85">
        <v>46211</v>
      </c>
      <c r="B228" s="51" t="s">
        <v>85</v>
      </c>
      <c r="C228" s="97">
        <v>101067116.75</v>
      </c>
      <c r="D228" s="97">
        <v>143704</v>
      </c>
      <c r="E228" s="48" t="s">
        <v>86</v>
      </c>
      <c r="F228" s="86" t="s">
        <v>108</v>
      </c>
      <c r="G228" s="86" t="s">
        <v>139</v>
      </c>
      <c r="H228" s="86" t="s">
        <v>129</v>
      </c>
      <c r="I228" s="48" t="s">
        <v>171</v>
      </c>
      <c r="J228" s="52"/>
      <c r="K228" s="105">
        <v>20</v>
      </c>
      <c r="L228" s="105">
        <v>20</v>
      </c>
      <c r="M228" s="105"/>
      <c r="N228" s="104">
        <f t="shared" si="89"/>
        <v>40</v>
      </c>
      <c r="O228" s="86"/>
      <c r="P228" s="86"/>
      <c r="Q228" s="105"/>
      <c r="R228" s="104">
        <f t="shared" si="88"/>
        <v>0</v>
      </c>
      <c r="S228" s="86">
        <f t="shared" si="90"/>
        <v>40</v>
      </c>
      <c r="T228" s="87"/>
      <c r="U228" s="87"/>
      <c r="V228" s="87"/>
      <c r="W228" s="88"/>
      <c r="X228" s="87"/>
      <c r="Y228" s="87"/>
      <c r="Z228" s="87"/>
      <c r="AA228" s="88"/>
      <c r="AB228" s="88">
        <v>39.270000000000003</v>
      </c>
      <c r="AC228" s="88">
        <v>52.462499999999999</v>
      </c>
      <c r="AD228" s="88">
        <v>72.64</v>
      </c>
      <c r="AE228" s="89">
        <f t="shared" si="91"/>
        <v>5004.1000000000004</v>
      </c>
      <c r="AF228" s="90">
        <v>6.5000000000000002E-2</v>
      </c>
      <c r="AG228" s="4">
        <f t="shared" si="96"/>
        <v>325.26650000000001</v>
      </c>
      <c r="AH228" s="49">
        <f t="shared" si="92"/>
        <v>0</v>
      </c>
      <c r="AI228" s="89">
        <f t="shared" si="93"/>
        <v>4678.8335000000006</v>
      </c>
      <c r="AJ228" s="91">
        <v>0.18</v>
      </c>
      <c r="AK228" s="5">
        <f t="shared" si="94"/>
        <v>842.19003000000009</v>
      </c>
      <c r="AL228" s="89">
        <f t="shared" si="95"/>
        <v>5521.0235300000004</v>
      </c>
      <c r="AP228" s="92"/>
    </row>
    <row r="229" spans="1:42" x14ac:dyDescent="0.35">
      <c r="A229" s="85">
        <v>46212</v>
      </c>
      <c r="B229" s="51" t="s">
        <v>85</v>
      </c>
      <c r="C229" s="97">
        <v>101537035.821429</v>
      </c>
      <c r="D229" s="97">
        <v>144369.70000000001</v>
      </c>
      <c r="E229" s="48" t="s">
        <v>86</v>
      </c>
      <c r="F229" s="86" t="s">
        <v>87</v>
      </c>
      <c r="G229" s="86" t="s">
        <v>324</v>
      </c>
      <c r="H229" s="86" t="s">
        <v>89</v>
      </c>
      <c r="I229" s="48" t="s">
        <v>417</v>
      </c>
      <c r="J229" s="52"/>
      <c r="K229" s="105"/>
      <c r="L229" s="105"/>
      <c r="M229" s="105"/>
      <c r="N229" s="104">
        <f t="shared" si="89"/>
        <v>0</v>
      </c>
      <c r="O229" s="86">
        <v>40</v>
      </c>
      <c r="P229" s="86">
        <v>80</v>
      </c>
      <c r="Q229" s="86">
        <v>80</v>
      </c>
      <c r="R229" s="104">
        <f t="shared" si="88"/>
        <v>200</v>
      </c>
      <c r="S229" s="86">
        <f t="shared" si="90"/>
        <v>200</v>
      </c>
      <c r="T229" s="87"/>
      <c r="U229" s="87"/>
      <c r="V229" s="87"/>
      <c r="W229" s="88"/>
      <c r="X229" s="87"/>
      <c r="Y229" s="87"/>
      <c r="Z229" s="87"/>
      <c r="AA229" s="88"/>
      <c r="AB229" s="88">
        <v>39.270000000000003</v>
      </c>
      <c r="AC229" s="88">
        <v>52.462499999999999</v>
      </c>
      <c r="AD229" s="88">
        <v>72.64</v>
      </c>
      <c r="AE229" s="89">
        <f t="shared" si="91"/>
        <v>14528</v>
      </c>
      <c r="AF229" s="90">
        <v>6.5000000000000002E-2</v>
      </c>
      <c r="AG229" s="4">
        <f t="shared" si="96"/>
        <v>944.32</v>
      </c>
      <c r="AH229" s="49">
        <f t="shared" si="92"/>
        <v>0</v>
      </c>
      <c r="AI229" s="89">
        <f t="shared" si="93"/>
        <v>13583.68</v>
      </c>
      <c r="AJ229" s="91">
        <v>0.18</v>
      </c>
      <c r="AK229" s="5">
        <f t="shared" si="94"/>
        <v>2445.0623999999998</v>
      </c>
      <c r="AL229" s="89">
        <f t="shared" si="95"/>
        <v>16028.742399999999</v>
      </c>
      <c r="AP229" s="92"/>
    </row>
    <row r="230" spans="1:42" x14ac:dyDescent="0.35">
      <c r="A230" s="85">
        <v>46212</v>
      </c>
      <c r="B230" s="51" t="s">
        <v>85</v>
      </c>
      <c r="C230" s="97">
        <v>102006954.892857</v>
      </c>
      <c r="D230" s="97">
        <v>145035.4</v>
      </c>
      <c r="E230" s="48" t="s">
        <v>86</v>
      </c>
      <c r="F230" s="86" t="s">
        <v>87</v>
      </c>
      <c r="G230" s="86" t="s">
        <v>88</v>
      </c>
      <c r="H230" s="86" t="s">
        <v>89</v>
      </c>
      <c r="I230" s="48"/>
      <c r="J230" s="52"/>
      <c r="K230" s="105">
        <v>80</v>
      </c>
      <c r="L230" s="105">
        <v>80</v>
      </c>
      <c r="M230" s="105"/>
      <c r="N230" s="104">
        <f t="shared" si="89"/>
        <v>160</v>
      </c>
      <c r="O230" s="86">
        <v>160</v>
      </c>
      <c r="P230" s="86">
        <v>160</v>
      </c>
      <c r="Q230" s="105">
        <v>160</v>
      </c>
      <c r="R230" s="104">
        <f t="shared" si="88"/>
        <v>480</v>
      </c>
      <c r="S230" s="86">
        <f t="shared" si="90"/>
        <v>640</v>
      </c>
      <c r="T230" s="87"/>
      <c r="U230" s="87"/>
      <c r="V230" s="87"/>
      <c r="W230" s="88"/>
      <c r="X230" s="87"/>
      <c r="Y230" s="87"/>
      <c r="Z230" s="87"/>
      <c r="AA230" s="88"/>
      <c r="AB230" s="88">
        <v>39.270000000000003</v>
      </c>
      <c r="AC230" s="88">
        <v>52.462499999999999</v>
      </c>
      <c r="AD230" s="88">
        <v>72.64</v>
      </c>
      <c r="AE230" s="89">
        <f t="shared" si="91"/>
        <v>54883.6</v>
      </c>
      <c r="AF230" s="90">
        <v>6.5000000000000002E-2</v>
      </c>
      <c r="AG230" s="4">
        <f t="shared" si="96"/>
        <v>3567.4340000000002</v>
      </c>
      <c r="AH230" s="49">
        <f t="shared" si="92"/>
        <v>0</v>
      </c>
      <c r="AI230" s="89">
        <f t="shared" si="93"/>
        <v>51316.165999999997</v>
      </c>
      <c r="AJ230" s="91">
        <v>0.18</v>
      </c>
      <c r="AK230" s="5">
        <f t="shared" si="94"/>
        <v>9236.9098799999992</v>
      </c>
      <c r="AL230" s="89">
        <f t="shared" si="95"/>
        <v>60553.075879999997</v>
      </c>
      <c r="AP230" s="92"/>
    </row>
    <row r="231" spans="1:42" x14ac:dyDescent="0.35">
      <c r="A231" s="85">
        <v>46212</v>
      </c>
      <c r="B231" s="51" t="s">
        <v>85</v>
      </c>
      <c r="C231" s="97">
        <v>102476873.964286</v>
      </c>
      <c r="D231" s="97">
        <v>145701.1</v>
      </c>
      <c r="E231" s="48" t="s">
        <v>86</v>
      </c>
      <c r="F231" s="86" t="s">
        <v>87</v>
      </c>
      <c r="G231" s="86" t="s">
        <v>325</v>
      </c>
      <c r="H231" s="86" t="s">
        <v>89</v>
      </c>
      <c r="I231" s="48" t="s">
        <v>418</v>
      </c>
      <c r="J231" s="52"/>
      <c r="K231" s="86"/>
      <c r="L231" s="86"/>
      <c r="M231" s="86"/>
      <c r="N231" s="104">
        <f t="shared" si="89"/>
        <v>0</v>
      </c>
      <c r="O231" s="86">
        <v>40</v>
      </c>
      <c r="P231" s="86">
        <v>120</v>
      </c>
      <c r="Q231" s="86">
        <v>160</v>
      </c>
      <c r="R231" s="104">
        <f t="shared" si="88"/>
        <v>320</v>
      </c>
      <c r="S231" s="86">
        <f t="shared" si="90"/>
        <v>320</v>
      </c>
      <c r="T231" s="87"/>
      <c r="U231" s="87"/>
      <c r="V231" s="87"/>
      <c r="W231" s="88"/>
      <c r="X231" s="87"/>
      <c r="Y231" s="87"/>
      <c r="Z231" s="87"/>
      <c r="AA231" s="88"/>
      <c r="AB231" s="88">
        <v>39.270000000000003</v>
      </c>
      <c r="AC231" s="88">
        <v>52.462499999999999</v>
      </c>
      <c r="AD231" s="88">
        <v>72.64</v>
      </c>
      <c r="AE231" s="89">
        <f t="shared" si="91"/>
        <v>23244.799999999999</v>
      </c>
      <c r="AF231" s="90">
        <v>6.5000000000000002E-2</v>
      </c>
      <c r="AG231" s="4">
        <f t="shared" si="96"/>
        <v>1510.912</v>
      </c>
      <c r="AH231" s="49">
        <f t="shared" si="92"/>
        <v>0</v>
      </c>
      <c r="AI231" s="89">
        <f t="shared" si="93"/>
        <v>21733.887999999999</v>
      </c>
      <c r="AJ231" s="91">
        <v>0.18</v>
      </c>
      <c r="AK231" s="5">
        <f t="shared" si="94"/>
        <v>3912.0998399999999</v>
      </c>
      <c r="AL231" s="89">
        <f t="shared" si="95"/>
        <v>25645.987839999998</v>
      </c>
      <c r="AP231" s="92"/>
    </row>
    <row r="232" spans="1:42" hidden="1" x14ac:dyDescent="0.35">
      <c r="A232" s="85">
        <v>46212</v>
      </c>
      <c r="B232" s="51" t="s">
        <v>85</v>
      </c>
      <c r="C232" s="97">
        <v>102946793.035714</v>
      </c>
      <c r="D232" s="97">
        <v>146366.79999999999</v>
      </c>
      <c r="E232" s="48" t="s">
        <v>86</v>
      </c>
      <c r="F232" s="86" t="s">
        <v>108</v>
      </c>
      <c r="G232" s="86" t="s">
        <v>326</v>
      </c>
      <c r="H232" s="86" t="s">
        <v>112</v>
      </c>
      <c r="I232" s="48" t="s">
        <v>330</v>
      </c>
      <c r="J232" s="52">
        <v>40</v>
      </c>
      <c r="K232" s="105"/>
      <c r="L232" s="105"/>
      <c r="M232" s="105"/>
      <c r="N232" s="104">
        <f t="shared" si="89"/>
        <v>0</v>
      </c>
      <c r="O232" s="86"/>
      <c r="P232" s="105"/>
      <c r="Q232" s="105"/>
      <c r="R232" s="104">
        <f t="shared" si="88"/>
        <v>0</v>
      </c>
      <c r="S232" s="86">
        <f t="shared" si="90"/>
        <v>40</v>
      </c>
      <c r="T232" s="87"/>
      <c r="U232" s="87"/>
      <c r="V232" s="87"/>
      <c r="W232" s="88"/>
      <c r="X232" s="87"/>
      <c r="Y232" s="87"/>
      <c r="Z232" s="87"/>
      <c r="AA232" s="88"/>
      <c r="AB232" s="88">
        <v>39.270000000000003</v>
      </c>
      <c r="AC232" s="88">
        <v>52.462499999999999</v>
      </c>
      <c r="AD232" s="88">
        <v>72.64</v>
      </c>
      <c r="AE232" s="89">
        <f t="shared" si="91"/>
        <v>4476.3999999999996</v>
      </c>
      <c r="AF232" s="90">
        <v>6.5000000000000002E-2</v>
      </c>
      <c r="AG232" s="4">
        <f t="shared" si="96"/>
        <v>290.96600000000001</v>
      </c>
      <c r="AH232" s="49">
        <f t="shared" si="92"/>
        <v>54.978000000000009</v>
      </c>
      <c r="AI232" s="89">
        <f t="shared" si="93"/>
        <v>4185.4339999999993</v>
      </c>
      <c r="AJ232" s="91">
        <v>0.18</v>
      </c>
      <c r="AK232" s="5">
        <f t="shared" si="94"/>
        <v>753.37811999999985</v>
      </c>
      <c r="AL232" s="89">
        <f t="shared" si="95"/>
        <v>4938.8121199999987</v>
      </c>
      <c r="AP232" s="92"/>
    </row>
    <row r="233" spans="1:42" hidden="1" x14ac:dyDescent="0.35">
      <c r="A233" s="85">
        <v>46212</v>
      </c>
      <c r="B233" s="51" t="s">
        <v>85</v>
      </c>
      <c r="C233" s="97">
        <v>103416712.107143</v>
      </c>
      <c r="D233" s="97">
        <v>147032.5</v>
      </c>
      <c r="E233" s="48" t="s">
        <v>86</v>
      </c>
      <c r="F233" s="86" t="s">
        <v>108</v>
      </c>
      <c r="G233" s="86" t="s">
        <v>275</v>
      </c>
      <c r="H233" s="86" t="s">
        <v>112</v>
      </c>
      <c r="I233" s="48" t="s">
        <v>330</v>
      </c>
      <c r="J233" s="52">
        <v>12</v>
      </c>
      <c r="K233" s="86">
        <v>12</v>
      </c>
      <c r="L233" s="105">
        <v>12</v>
      </c>
      <c r="M233" s="86"/>
      <c r="N233" s="104">
        <f t="shared" si="89"/>
        <v>24</v>
      </c>
      <c r="O233" s="86"/>
      <c r="P233" s="86"/>
      <c r="Q233" s="86"/>
      <c r="R233" s="104">
        <f t="shared" si="88"/>
        <v>0</v>
      </c>
      <c r="S233" s="86">
        <f t="shared" si="90"/>
        <v>36</v>
      </c>
      <c r="T233" s="87"/>
      <c r="U233" s="87"/>
      <c r="V233" s="87"/>
      <c r="W233" s="88"/>
      <c r="X233" s="87"/>
      <c r="Y233" s="87"/>
      <c r="Z233" s="87"/>
      <c r="AA233" s="88"/>
      <c r="AB233" s="88">
        <v>39.270000000000003</v>
      </c>
      <c r="AC233" s="88">
        <v>52.462499999999999</v>
      </c>
      <c r="AD233" s="88">
        <v>72.64</v>
      </c>
      <c r="AE233" s="89">
        <f t="shared" si="91"/>
        <v>4345.38</v>
      </c>
      <c r="AF233" s="90">
        <v>0.14000000000000001</v>
      </c>
      <c r="AG233" s="4">
        <f t="shared" si="96"/>
        <v>608.35320000000013</v>
      </c>
      <c r="AH233" s="49">
        <f t="shared" si="92"/>
        <v>16.493400000000001</v>
      </c>
      <c r="AI233" s="89">
        <f t="shared" si="93"/>
        <v>3737.0268000000001</v>
      </c>
      <c r="AJ233" s="91">
        <v>0.18</v>
      </c>
      <c r="AK233" s="5">
        <f t="shared" si="94"/>
        <v>672.66482399999995</v>
      </c>
      <c r="AL233" s="89">
        <f t="shared" si="95"/>
        <v>4409.691624</v>
      </c>
      <c r="AP233" s="92"/>
    </row>
    <row r="234" spans="1:42" hidden="1" x14ac:dyDescent="0.35">
      <c r="A234" s="85">
        <v>46212</v>
      </c>
      <c r="B234" s="51" t="s">
        <v>85</v>
      </c>
      <c r="C234" s="97">
        <v>103886631.178571</v>
      </c>
      <c r="D234" s="97">
        <v>147698.20000000001</v>
      </c>
      <c r="E234" s="48" t="s">
        <v>86</v>
      </c>
      <c r="F234" s="86" t="s">
        <v>108</v>
      </c>
      <c r="G234" s="86" t="s">
        <v>327</v>
      </c>
      <c r="H234" s="86" t="s">
        <v>112</v>
      </c>
      <c r="I234" s="48" t="s">
        <v>330</v>
      </c>
      <c r="J234" s="52">
        <v>24</v>
      </c>
      <c r="K234" s="105">
        <v>15</v>
      </c>
      <c r="L234" s="105"/>
      <c r="M234" s="105"/>
      <c r="N234" s="104">
        <f t="shared" si="89"/>
        <v>15</v>
      </c>
      <c r="O234" s="105"/>
      <c r="P234" s="105"/>
      <c r="Q234" s="86"/>
      <c r="R234" s="104">
        <f t="shared" si="88"/>
        <v>0</v>
      </c>
      <c r="S234" s="86">
        <f t="shared" si="90"/>
        <v>39</v>
      </c>
      <c r="T234" s="87"/>
      <c r="U234" s="87"/>
      <c r="V234" s="87"/>
      <c r="W234" s="88"/>
      <c r="X234" s="87"/>
      <c r="Y234" s="87"/>
      <c r="Z234" s="87"/>
      <c r="AA234" s="88"/>
      <c r="AB234" s="88">
        <v>39.270000000000003</v>
      </c>
      <c r="AC234" s="88">
        <v>52.462499999999999</v>
      </c>
      <c r="AD234" s="88">
        <v>72.64</v>
      </c>
      <c r="AE234" s="89">
        <f t="shared" si="91"/>
        <v>4562.3775000000005</v>
      </c>
      <c r="AF234" s="90">
        <v>0.14000000000000001</v>
      </c>
      <c r="AG234" s="4">
        <f t="shared" si="96"/>
        <v>638.7328500000001</v>
      </c>
      <c r="AH234" s="49">
        <f t="shared" si="92"/>
        <v>32.986800000000002</v>
      </c>
      <c r="AI234" s="89">
        <f t="shared" si="93"/>
        <v>3923.6446500000002</v>
      </c>
      <c r="AJ234" s="91">
        <v>0.18</v>
      </c>
      <c r="AK234" s="5">
        <f t="shared" si="94"/>
        <v>706.25603699999999</v>
      </c>
      <c r="AL234" s="89">
        <f t="shared" si="95"/>
        <v>4629.9006870000003</v>
      </c>
      <c r="AP234" s="92"/>
    </row>
    <row r="235" spans="1:42" hidden="1" x14ac:dyDescent="0.35">
      <c r="A235" s="85">
        <v>46212</v>
      </c>
      <c r="B235" s="51" t="s">
        <v>85</v>
      </c>
      <c r="C235" s="97">
        <v>104356550.25</v>
      </c>
      <c r="D235" s="97">
        <v>148363.9</v>
      </c>
      <c r="E235" s="48" t="s">
        <v>86</v>
      </c>
      <c r="F235" s="86" t="s">
        <v>108</v>
      </c>
      <c r="G235" s="86" t="s">
        <v>328</v>
      </c>
      <c r="H235" s="86" t="s">
        <v>112</v>
      </c>
      <c r="I235" s="48" t="s">
        <v>330</v>
      </c>
      <c r="J235" s="52">
        <v>10</v>
      </c>
      <c r="K235" s="105">
        <v>10</v>
      </c>
      <c r="L235" s="105">
        <v>10</v>
      </c>
      <c r="M235" s="105"/>
      <c r="N235" s="104">
        <f t="shared" si="89"/>
        <v>20</v>
      </c>
      <c r="O235" s="86">
        <v>10</v>
      </c>
      <c r="P235" s="86">
        <v>10</v>
      </c>
      <c r="Q235" s="86">
        <v>10</v>
      </c>
      <c r="R235" s="104">
        <f t="shared" si="88"/>
        <v>30</v>
      </c>
      <c r="S235" s="86">
        <f t="shared" si="90"/>
        <v>60</v>
      </c>
      <c r="T235" s="87"/>
      <c r="U235" s="87"/>
      <c r="V235" s="87"/>
      <c r="W235" s="88"/>
      <c r="X235" s="87"/>
      <c r="Y235" s="87"/>
      <c r="Z235" s="87"/>
      <c r="AA235" s="88"/>
      <c r="AB235" s="88">
        <v>39.270000000000003</v>
      </c>
      <c r="AC235" s="88">
        <v>52.462499999999999</v>
      </c>
      <c r="AD235" s="88">
        <v>72.64</v>
      </c>
      <c r="AE235" s="89">
        <f t="shared" si="91"/>
        <v>5800.3499999999995</v>
      </c>
      <c r="AF235" s="90">
        <v>6.5000000000000002E-2</v>
      </c>
      <c r="AG235" s="4">
        <f t="shared" si="96"/>
        <v>377.02274999999997</v>
      </c>
      <c r="AH235" s="49">
        <f t="shared" si="92"/>
        <v>13.744500000000002</v>
      </c>
      <c r="AI235" s="89">
        <f t="shared" si="93"/>
        <v>5423.3272499999994</v>
      </c>
      <c r="AJ235" s="91">
        <v>0.18</v>
      </c>
      <c r="AK235" s="5">
        <f t="shared" si="94"/>
        <v>976.19890499999985</v>
      </c>
      <c r="AL235" s="89">
        <f t="shared" si="95"/>
        <v>6399.5261549999996</v>
      </c>
      <c r="AP235" s="92"/>
    </row>
    <row r="236" spans="1:42" hidden="1" x14ac:dyDescent="0.35">
      <c r="A236" s="85">
        <v>46212</v>
      </c>
      <c r="B236" s="51" t="s">
        <v>85</v>
      </c>
      <c r="C236" s="97">
        <v>104826469.321429</v>
      </c>
      <c r="D236" s="97">
        <v>149029.6</v>
      </c>
      <c r="E236" s="48" t="s">
        <v>86</v>
      </c>
      <c r="F236" s="86" t="s">
        <v>108</v>
      </c>
      <c r="G236" s="86" t="s">
        <v>329</v>
      </c>
      <c r="H236" s="86" t="s">
        <v>112</v>
      </c>
      <c r="I236" s="48" t="s">
        <v>330</v>
      </c>
      <c r="J236" s="52">
        <v>40</v>
      </c>
      <c r="K236" s="105"/>
      <c r="L236" s="105"/>
      <c r="M236" s="105"/>
      <c r="N236" s="104">
        <f t="shared" si="89"/>
        <v>0</v>
      </c>
      <c r="O236" s="105">
        <v>10</v>
      </c>
      <c r="P236" s="86">
        <v>10</v>
      </c>
      <c r="Q236" s="105">
        <v>20</v>
      </c>
      <c r="R236" s="104">
        <f t="shared" si="88"/>
        <v>40</v>
      </c>
      <c r="S236" s="86">
        <f t="shared" si="90"/>
        <v>80</v>
      </c>
      <c r="T236" s="87"/>
      <c r="U236" s="87"/>
      <c r="V236" s="87"/>
      <c r="W236" s="88"/>
      <c r="X236" s="87"/>
      <c r="Y236" s="87"/>
      <c r="Z236" s="87"/>
      <c r="AA236" s="88"/>
      <c r="AB236" s="88">
        <v>39.270000000000003</v>
      </c>
      <c r="AC236" s="88">
        <v>52.462499999999999</v>
      </c>
      <c r="AD236" s="88">
        <v>72.64</v>
      </c>
      <c r="AE236" s="89">
        <f t="shared" si="91"/>
        <v>7382</v>
      </c>
      <c r="AF236" s="90">
        <v>6.5000000000000002E-2</v>
      </c>
      <c r="AG236" s="4">
        <f t="shared" si="96"/>
        <v>479.83000000000004</v>
      </c>
      <c r="AH236" s="49">
        <f t="shared" si="92"/>
        <v>54.978000000000009</v>
      </c>
      <c r="AI236" s="89">
        <f t="shared" si="93"/>
        <v>6902.17</v>
      </c>
      <c r="AJ236" s="91">
        <v>0.18</v>
      </c>
      <c r="AK236" s="5">
        <f t="shared" si="94"/>
        <v>1242.3905999999999</v>
      </c>
      <c r="AL236" s="89">
        <f t="shared" si="95"/>
        <v>8144.5605999999998</v>
      </c>
      <c r="AP236" s="92"/>
    </row>
    <row r="237" spans="1:42" hidden="1" x14ac:dyDescent="0.35">
      <c r="A237" s="85">
        <v>46212</v>
      </c>
      <c r="B237" s="51" t="s">
        <v>85</v>
      </c>
      <c r="C237" s="97">
        <v>105296388.392857</v>
      </c>
      <c r="D237" s="97">
        <v>149695.29999999999</v>
      </c>
      <c r="E237" s="48" t="s">
        <v>86</v>
      </c>
      <c r="F237" s="86" t="s">
        <v>109</v>
      </c>
      <c r="G237" s="86" t="s">
        <v>331</v>
      </c>
      <c r="H237" s="86" t="s">
        <v>127</v>
      </c>
      <c r="I237" s="48" t="s">
        <v>341</v>
      </c>
      <c r="J237" s="52">
        <v>40</v>
      </c>
      <c r="K237" s="105"/>
      <c r="L237" s="105"/>
      <c r="M237" s="105"/>
      <c r="N237" s="104">
        <f t="shared" si="89"/>
        <v>0</v>
      </c>
      <c r="O237" s="86"/>
      <c r="P237" s="86"/>
      <c r="Q237" s="86">
        <v>40</v>
      </c>
      <c r="R237" s="104">
        <f t="shared" si="88"/>
        <v>40</v>
      </c>
      <c r="S237" s="86">
        <f t="shared" si="90"/>
        <v>80</v>
      </c>
      <c r="T237" s="87"/>
      <c r="U237" s="87"/>
      <c r="V237" s="87"/>
      <c r="W237" s="88"/>
      <c r="X237" s="87"/>
      <c r="Y237" s="87"/>
      <c r="Z237" s="87"/>
      <c r="AA237" s="88"/>
      <c r="AB237" s="88">
        <v>39.270000000000003</v>
      </c>
      <c r="AC237" s="88">
        <v>52.462499999999999</v>
      </c>
      <c r="AD237" s="88">
        <v>72.64</v>
      </c>
      <c r="AE237" s="89">
        <f t="shared" si="91"/>
        <v>7382</v>
      </c>
      <c r="AF237" s="90">
        <v>6.5000000000000002E-2</v>
      </c>
      <c r="AG237" s="4">
        <f t="shared" si="96"/>
        <v>479.83000000000004</v>
      </c>
      <c r="AH237" s="49">
        <f t="shared" si="92"/>
        <v>54.978000000000009</v>
      </c>
      <c r="AI237" s="89">
        <f t="shared" si="93"/>
        <v>6902.17</v>
      </c>
      <c r="AJ237" s="91">
        <v>0.18</v>
      </c>
      <c r="AK237" s="5">
        <f t="shared" si="94"/>
        <v>1242.3905999999999</v>
      </c>
      <c r="AL237" s="89">
        <f t="shared" si="95"/>
        <v>8144.5605999999998</v>
      </c>
      <c r="AP237" s="92"/>
    </row>
    <row r="238" spans="1:42" hidden="1" x14ac:dyDescent="0.35">
      <c r="A238" s="85">
        <v>46212</v>
      </c>
      <c r="B238" s="51" t="s">
        <v>85</v>
      </c>
      <c r="C238" s="97">
        <v>105766307.464286</v>
      </c>
      <c r="D238" s="97">
        <v>150361</v>
      </c>
      <c r="E238" s="48" t="s">
        <v>86</v>
      </c>
      <c r="F238" s="86" t="s">
        <v>109</v>
      </c>
      <c r="G238" s="86" t="s">
        <v>332</v>
      </c>
      <c r="H238" s="86" t="s">
        <v>127</v>
      </c>
      <c r="I238" s="48" t="s">
        <v>341</v>
      </c>
      <c r="J238" s="52"/>
      <c r="K238" s="105"/>
      <c r="L238" s="105"/>
      <c r="M238" s="105"/>
      <c r="N238" s="104">
        <f t="shared" si="89"/>
        <v>0</v>
      </c>
      <c r="O238" s="86">
        <v>40</v>
      </c>
      <c r="P238" s="86">
        <v>40</v>
      </c>
      <c r="Q238" s="86">
        <v>40</v>
      </c>
      <c r="R238" s="104">
        <f t="shared" si="88"/>
        <v>120</v>
      </c>
      <c r="S238" s="86">
        <f t="shared" si="90"/>
        <v>120</v>
      </c>
      <c r="T238" s="87"/>
      <c r="U238" s="87"/>
      <c r="V238" s="87"/>
      <c r="W238" s="88"/>
      <c r="X238" s="87"/>
      <c r="Y238" s="87"/>
      <c r="Z238" s="87"/>
      <c r="AA238" s="88"/>
      <c r="AB238" s="88">
        <v>39.270000000000003</v>
      </c>
      <c r="AC238" s="88">
        <v>52.462499999999999</v>
      </c>
      <c r="AD238" s="88">
        <v>72.64</v>
      </c>
      <c r="AE238" s="89">
        <f t="shared" si="91"/>
        <v>8716.7999999999993</v>
      </c>
      <c r="AF238" s="90">
        <v>0.1</v>
      </c>
      <c r="AG238" s="4">
        <f t="shared" si="96"/>
        <v>871.68</v>
      </c>
      <c r="AH238" s="49">
        <f t="shared" si="92"/>
        <v>0</v>
      </c>
      <c r="AI238" s="89">
        <f t="shared" si="93"/>
        <v>7845.119999999999</v>
      </c>
      <c r="AJ238" s="91">
        <v>0.18</v>
      </c>
      <c r="AK238" s="5">
        <f t="shared" si="94"/>
        <v>1412.1215999999997</v>
      </c>
      <c r="AL238" s="89">
        <f t="shared" si="95"/>
        <v>9257.2415999999994</v>
      </c>
      <c r="AP238" s="92"/>
    </row>
    <row r="239" spans="1:42" hidden="1" x14ac:dyDescent="0.35">
      <c r="A239" s="85">
        <v>46212</v>
      </c>
      <c r="B239" s="51" t="s">
        <v>85</v>
      </c>
      <c r="C239" s="97">
        <v>106236226.535714</v>
      </c>
      <c r="D239" s="97">
        <v>151026.70000000001</v>
      </c>
      <c r="E239" s="48" t="s">
        <v>86</v>
      </c>
      <c r="F239" s="86" t="s">
        <v>109</v>
      </c>
      <c r="G239" s="86" t="s">
        <v>333</v>
      </c>
      <c r="H239" s="86" t="s">
        <v>127</v>
      </c>
      <c r="I239" s="48" t="s">
        <v>341</v>
      </c>
      <c r="J239" s="52"/>
      <c r="K239" s="105"/>
      <c r="L239" s="105"/>
      <c r="M239" s="105"/>
      <c r="N239" s="104">
        <f t="shared" si="89"/>
        <v>0</v>
      </c>
      <c r="O239" s="86">
        <v>15</v>
      </c>
      <c r="P239" s="86">
        <v>15</v>
      </c>
      <c r="Q239" s="86">
        <v>10</v>
      </c>
      <c r="R239" s="104">
        <f t="shared" si="88"/>
        <v>40</v>
      </c>
      <c r="S239" s="86">
        <f t="shared" si="90"/>
        <v>40</v>
      </c>
      <c r="T239" s="87"/>
      <c r="U239" s="87"/>
      <c r="V239" s="87"/>
      <c r="W239" s="88"/>
      <c r="X239" s="87"/>
      <c r="Y239" s="87"/>
      <c r="Z239" s="87"/>
      <c r="AA239" s="88"/>
      <c r="AB239" s="88">
        <v>39.270000000000003</v>
      </c>
      <c r="AC239" s="88">
        <v>52.462499999999999</v>
      </c>
      <c r="AD239" s="88">
        <v>72.64</v>
      </c>
      <c r="AE239" s="89">
        <f t="shared" si="91"/>
        <v>2905.6</v>
      </c>
      <c r="AF239" s="90">
        <v>6.5000000000000002E-2</v>
      </c>
      <c r="AG239" s="4">
        <f t="shared" si="96"/>
        <v>188.864</v>
      </c>
      <c r="AH239" s="49">
        <f t="shared" si="92"/>
        <v>0</v>
      </c>
      <c r="AI239" s="89">
        <f t="shared" si="93"/>
        <v>2716.7359999999999</v>
      </c>
      <c r="AJ239" s="91">
        <v>0.18</v>
      </c>
      <c r="AK239" s="5">
        <f t="shared" si="94"/>
        <v>489.01247999999998</v>
      </c>
      <c r="AL239" s="89">
        <f t="shared" si="95"/>
        <v>3205.7484799999997</v>
      </c>
      <c r="AP239" s="92"/>
    </row>
    <row r="240" spans="1:42" hidden="1" x14ac:dyDescent="0.35">
      <c r="A240" s="85">
        <v>46212</v>
      </c>
      <c r="B240" s="51" t="s">
        <v>85</v>
      </c>
      <c r="C240" s="97">
        <v>106706145.607143</v>
      </c>
      <c r="D240" s="97">
        <v>151692.4</v>
      </c>
      <c r="E240" s="48" t="s">
        <v>86</v>
      </c>
      <c r="F240" s="86" t="s">
        <v>108</v>
      </c>
      <c r="G240" s="86" t="s">
        <v>334</v>
      </c>
      <c r="H240" s="86" t="s">
        <v>127</v>
      </c>
      <c r="I240" s="48" t="s">
        <v>341</v>
      </c>
      <c r="J240" s="52"/>
      <c r="K240" s="86">
        <v>20</v>
      </c>
      <c r="L240" s="105">
        <v>20</v>
      </c>
      <c r="M240" s="105"/>
      <c r="N240" s="104">
        <f t="shared" si="89"/>
        <v>40</v>
      </c>
      <c r="O240" s="105"/>
      <c r="P240" s="105"/>
      <c r="Q240" s="86"/>
      <c r="R240" s="104">
        <f t="shared" si="88"/>
        <v>0</v>
      </c>
      <c r="S240" s="86">
        <f t="shared" si="90"/>
        <v>40</v>
      </c>
      <c r="T240" s="87"/>
      <c r="U240" s="87"/>
      <c r="V240" s="87"/>
      <c r="W240" s="88"/>
      <c r="X240" s="87"/>
      <c r="Y240" s="87"/>
      <c r="Z240" s="87"/>
      <c r="AA240" s="88"/>
      <c r="AB240" s="88">
        <v>39.270000000000003</v>
      </c>
      <c r="AC240" s="88">
        <v>52.462499999999999</v>
      </c>
      <c r="AD240" s="88">
        <v>72.64</v>
      </c>
      <c r="AE240" s="89">
        <f t="shared" si="91"/>
        <v>5004.1000000000004</v>
      </c>
      <c r="AF240" s="90">
        <v>0.1</v>
      </c>
      <c r="AG240" s="4">
        <f t="shared" si="96"/>
        <v>500.41000000000008</v>
      </c>
      <c r="AH240" s="49">
        <f t="shared" si="92"/>
        <v>0</v>
      </c>
      <c r="AI240" s="89">
        <f t="shared" si="93"/>
        <v>4503.6900000000005</v>
      </c>
      <c r="AJ240" s="91">
        <v>0.18</v>
      </c>
      <c r="AK240" s="5">
        <f t="shared" si="94"/>
        <v>810.66420000000005</v>
      </c>
      <c r="AL240" s="89">
        <f t="shared" si="95"/>
        <v>5314.3542000000007</v>
      </c>
      <c r="AP240" s="92"/>
    </row>
    <row r="241" spans="1:42" hidden="1" x14ac:dyDescent="0.35">
      <c r="A241" s="85">
        <v>46212</v>
      </c>
      <c r="B241" s="51" t="s">
        <v>85</v>
      </c>
      <c r="C241" s="97">
        <v>107176064.678571</v>
      </c>
      <c r="D241" s="97">
        <v>152358.1</v>
      </c>
      <c r="E241" s="48" t="s">
        <v>86</v>
      </c>
      <c r="F241" s="86" t="s">
        <v>108</v>
      </c>
      <c r="G241" s="86" t="s">
        <v>335</v>
      </c>
      <c r="H241" s="86" t="s">
        <v>127</v>
      </c>
      <c r="I241" s="48" t="s">
        <v>341</v>
      </c>
      <c r="J241" s="52"/>
      <c r="K241" s="86"/>
      <c r="L241" s="86"/>
      <c r="M241" s="105"/>
      <c r="N241" s="104">
        <f t="shared" si="89"/>
        <v>0</v>
      </c>
      <c r="O241" s="86">
        <v>40</v>
      </c>
      <c r="P241" s="86">
        <v>40</v>
      </c>
      <c r="Q241" s="86">
        <v>40</v>
      </c>
      <c r="R241" s="104">
        <f t="shared" si="88"/>
        <v>120</v>
      </c>
      <c r="S241" s="86">
        <f t="shared" si="90"/>
        <v>120</v>
      </c>
      <c r="T241" s="87"/>
      <c r="U241" s="87"/>
      <c r="V241" s="87"/>
      <c r="W241" s="88"/>
      <c r="X241" s="87"/>
      <c r="Y241" s="87"/>
      <c r="Z241" s="87"/>
      <c r="AA241" s="88"/>
      <c r="AB241" s="88">
        <v>39.270000000000003</v>
      </c>
      <c r="AC241" s="88">
        <v>52.462499999999999</v>
      </c>
      <c r="AD241" s="88">
        <v>72.64</v>
      </c>
      <c r="AE241" s="89">
        <f t="shared" si="91"/>
        <v>8716.7999999999993</v>
      </c>
      <c r="AF241" s="90">
        <v>6.5000000000000002E-2</v>
      </c>
      <c r="AG241" s="4">
        <f t="shared" si="96"/>
        <v>566.59199999999998</v>
      </c>
      <c r="AH241" s="49">
        <f t="shared" si="92"/>
        <v>0</v>
      </c>
      <c r="AI241" s="89">
        <f t="shared" si="93"/>
        <v>8150.2079999999996</v>
      </c>
      <c r="AJ241" s="91">
        <v>0.18</v>
      </c>
      <c r="AK241" s="5">
        <f t="shared" si="94"/>
        <v>1467.0374399999998</v>
      </c>
      <c r="AL241" s="89">
        <f t="shared" si="95"/>
        <v>9617.2454399999988</v>
      </c>
      <c r="AP241" s="92"/>
    </row>
    <row r="242" spans="1:42" hidden="1" x14ac:dyDescent="0.35">
      <c r="A242" s="85">
        <v>46212</v>
      </c>
      <c r="B242" s="51" t="s">
        <v>85</v>
      </c>
      <c r="C242" s="97">
        <v>107645983.75</v>
      </c>
      <c r="D242" s="97">
        <v>153023.79999999999</v>
      </c>
      <c r="E242" s="48" t="s">
        <v>86</v>
      </c>
      <c r="F242" s="86" t="s">
        <v>108</v>
      </c>
      <c r="G242" s="86" t="s">
        <v>194</v>
      </c>
      <c r="H242" s="86" t="s">
        <v>127</v>
      </c>
      <c r="I242" s="48" t="s">
        <v>341</v>
      </c>
      <c r="J242" s="52">
        <v>40</v>
      </c>
      <c r="K242" s="86"/>
      <c r="L242" s="105"/>
      <c r="M242" s="105"/>
      <c r="N242" s="104">
        <f t="shared" si="89"/>
        <v>0</v>
      </c>
      <c r="O242" s="86"/>
      <c r="P242" s="86"/>
      <c r="Q242" s="86"/>
      <c r="R242" s="104">
        <f t="shared" si="88"/>
        <v>0</v>
      </c>
      <c r="S242" s="86">
        <f t="shared" si="90"/>
        <v>40</v>
      </c>
      <c r="T242" s="87"/>
      <c r="U242" s="87"/>
      <c r="V242" s="87"/>
      <c r="W242" s="88"/>
      <c r="X242" s="87"/>
      <c r="Y242" s="87"/>
      <c r="Z242" s="87"/>
      <c r="AA242" s="88"/>
      <c r="AB242" s="88">
        <v>39.270000000000003</v>
      </c>
      <c r="AC242" s="88">
        <v>52.462499999999999</v>
      </c>
      <c r="AD242" s="88">
        <v>72.64</v>
      </c>
      <c r="AE242" s="89">
        <f t="shared" si="91"/>
        <v>4476.3999999999996</v>
      </c>
      <c r="AF242" s="90">
        <v>6.5000000000000002E-2</v>
      </c>
      <c r="AG242" s="4">
        <f t="shared" si="96"/>
        <v>290.96600000000001</v>
      </c>
      <c r="AH242" s="49">
        <f t="shared" si="92"/>
        <v>54.978000000000009</v>
      </c>
      <c r="AI242" s="89">
        <f t="shared" si="93"/>
        <v>4185.4339999999993</v>
      </c>
      <c r="AJ242" s="91">
        <v>0.18</v>
      </c>
      <c r="AK242" s="5">
        <f t="shared" si="94"/>
        <v>753.37811999999985</v>
      </c>
      <c r="AL242" s="89">
        <f t="shared" si="95"/>
        <v>4938.8121199999987</v>
      </c>
      <c r="AP242" s="92"/>
    </row>
    <row r="243" spans="1:42" hidden="1" x14ac:dyDescent="0.35">
      <c r="A243" s="85">
        <v>46212</v>
      </c>
      <c r="B243" s="51" t="s">
        <v>85</v>
      </c>
      <c r="C243" s="97">
        <v>108115902.821429</v>
      </c>
      <c r="D243" s="97">
        <v>153689.5</v>
      </c>
      <c r="E243" s="48" t="s">
        <v>86</v>
      </c>
      <c r="F243" s="86" t="s">
        <v>108</v>
      </c>
      <c r="G243" s="86" t="s">
        <v>336</v>
      </c>
      <c r="H243" s="86" t="s">
        <v>127</v>
      </c>
      <c r="I243" s="48" t="s">
        <v>341</v>
      </c>
      <c r="J243" s="52"/>
      <c r="K243" s="105"/>
      <c r="L243" s="105"/>
      <c r="M243" s="105"/>
      <c r="N243" s="104">
        <f t="shared" si="89"/>
        <v>0</v>
      </c>
      <c r="O243" s="86">
        <v>13</v>
      </c>
      <c r="P243" s="86">
        <v>13</v>
      </c>
      <c r="Q243" s="105">
        <v>14</v>
      </c>
      <c r="R243" s="104">
        <f t="shared" si="88"/>
        <v>40</v>
      </c>
      <c r="S243" s="86">
        <f t="shared" si="90"/>
        <v>40</v>
      </c>
      <c r="T243" s="87"/>
      <c r="U243" s="87"/>
      <c r="V243" s="87"/>
      <c r="W243" s="88"/>
      <c r="X243" s="87"/>
      <c r="Y243" s="87"/>
      <c r="Z243" s="87"/>
      <c r="AA243" s="88"/>
      <c r="AB243" s="88">
        <v>39.270000000000003</v>
      </c>
      <c r="AC243" s="88">
        <v>52.462499999999999</v>
      </c>
      <c r="AD243" s="88">
        <v>72.64</v>
      </c>
      <c r="AE243" s="89">
        <f t="shared" si="91"/>
        <v>2905.6</v>
      </c>
      <c r="AF243" s="90">
        <v>0.1</v>
      </c>
      <c r="AG243" s="4">
        <f t="shared" si="96"/>
        <v>290.56</v>
      </c>
      <c r="AH243" s="49">
        <f t="shared" si="92"/>
        <v>0</v>
      </c>
      <c r="AI243" s="89">
        <f t="shared" si="93"/>
        <v>2615.04</v>
      </c>
      <c r="AJ243" s="91">
        <v>0.18</v>
      </c>
      <c r="AK243" s="5">
        <f t="shared" si="94"/>
        <v>470.7072</v>
      </c>
      <c r="AL243" s="89">
        <f t="shared" si="95"/>
        <v>3085.7471999999998</v>
      </c>
      <c r="AP243" s="92"/>
    </row>
    <row r="244" spans="1:42" hidden="1" x14ac:dyDescent="0.35">
      <c r="A244" s="85">
        <v>46212</v>
      </c>
      <c r="B244" s="51" t="s">
        <v>85</v>
      </c>
      <c r="C244" s="97">
        <v>108585821.892857</v>
      </c>
      <c r="D244" s="97">
        <v>154355.20000000001</v>
      </c>
      <c r="E244" s="48" t="s">
        <v>86</v>
      </c>
      <c r="F244" s="86" t="s">
        <v>108</v>
      </c>
      <c r="G244" s="86" t="s">
        <v>337</v>
      </c>
      <c r="H244" s="86" t="s">
        <v>127</v>
      </c>
      <c r="I244" s="48" t="s">
        <v>341</v>
      </c>
      <c r="J244" s="52"/>
      <c r="K244" s="105"/>
      <c r="L244" s="105"/>
      <c r="M244" s="105"/>
      <c r="N244" s="104">
        <f t="shared" si="89"/>
        <v>0</v>
      </c>
      <c r="O244" s="86"/>
      <c r="P244" s="86">
        <v>20</v>
      </c>
      <c r="Q244" s="105">
        <v>20</v>
      </c>
      <c r="R244" s="104">
        <f t="shared" si="88"/>
        <v>40</v>
      </c>
      <c r="S244" s="86">
        <f t="shared" si="90"/>
        <v>40</v>
      </c>
      <c r="T244" s="87"/>
      <c r="U244" s="87"/>
      <c r="V244" s="87"/>
      <c r="W244" s="88"/>
      <c r="X244" s="87"/>
      <c r="Y244" s="87"/>
      <c r="Z244" s="87"/>
      <c r="AA244" s="88"/>
      <c r="AB244" s="88">
        <v>39.270000000000003</v>
      </c>
      <c r="AC244" s="88">
        <v>52.462499999999999</v>
      </c>
      <c r="AD244" s="88">
        <v>72.64</v>
      </c>
      <c r="AE244" s="89">
        <f t="shared" si="91"/>
        <v>2905.6</v>
      </c>
      <c r="AF244" s="90">
        <v>6.5000000000000002E-2</v>
      </c>
      <c r="AG244" s="4">
        <f t="shared" si="96"/>
        <v>188.864</v>
      </c>
      <c r="AH244" s="49">
        <f t="shared" si="92"/>
        <v>0</v>
      </c>
      <c r="AI244" s="89">
        <f t="shared" si="93"/>
        <v>2716.7359999999999</v>
      </c>
      <c r="AJ244" s="91">
        <v>0.18</v>
      </c>
      <c r="AK244" s="5">
        <f t="shared" si="94"/>
        <v>489.01247999999998</v>
      </c>
      <c r="AL244" s="89">
        <f t="shared" si="95"/>
        <v>3205.7484799999997</v>
      </c>
      <c r="AP244" s="92"/>
    </row>
    <row r="245" spans="1:42" hidden="1" x14ac:dyDescent="0.35">
      <c r="A245" s="85">
        <v>46212</v>
      </c>
      <c r="B245" s="51" t="s">
        <v>85</v>
      </c>
      <c r="C245" s="97">
        <v>109055740.964286</v>
      </c>
      <c r="D245" s="97">
        <v>155020.9</v>
      </c>
      <c r="E245" s="48" t="s">
        <v>86</v>
      </c>
      <c r="F245" s="86" t="s">
        <v>109</v>
      </c>
      <c r="G245" s="86" t="s">
        <v>338</v>
      </c>
      <c r="H245" s="86" t="s">
        <v>127</v>
      </c>
      <c r="I245" s="48" t="s">
        <v>341</v>
      </c>
      <c r="J245" s="52">
        <v>12</v>
      </c>
      <c r="K245" s="105"/>
      <c r="L245" s="105"/>
      <c r="M245" s="105"/>
      <c r="N245" s="104">
        <f t="shared" si="89"/>
        <v>0</v>
      </c>
      <c r="O245" s="86"/>
      <c r="P245" s="86"/>
      <c r="Q245" s="105"/>
      <c r="R245" s="104">
        <f t="shared" si="88"/>
        <v>0</v>
      </c>
      <c r="S245" s="86">
        <f t="shared" si="90"/>
        <v>12</v>
      </c>
      <c r="T245" s="87"/>
      <c r="U245" s="87"/>
      <c r="V245" s="87"/>
      <c r="W245" s="88"/>
      <c r="X245" s="87"/>
      <c r="Y245" s="87"/>
      <c r="Z245" s="87"/>
      <c r="AA245" s="88"/>
      <c r="AB245" s="88">
        <v>39.270000000000003</v>
      </c>
      <c r="AC245" s="88">
        <v>52.462499999999999</v>
      </c>
      <c r="AD245" s="88">
        <v>72.64</v>
      </c>
      <c r="AE245" s="89">
        <f t="shared" si="91"/>
        <v>1342.92</v>
      </c>
      <c r="AF245" s="90">
        <v>6.5000000000000002E-2</v>
      </c>
      <c r="AG245" s="4">
        <f t="shared" si="96"/>
        <v>87.289800000000014</v>
      </c>
      <c r="AH245" s="49">
        <f t="shared" si="92"/>
        <v>16.493400000000001</v>
      </c>
      <c r="AI245" s="89">
        <f t="shared" si="93"/>
        <v>1255.6302000000001</v>
      </c>
      <c r="AJ245" s="91">
        <v>0.18</v>
      </c>
      <c r="AK245" s="5">
        <f t="shared" si="94"/>
        <v>226.01343600000001</v>
      </c>
      <c r="AL245" s="89">
        <f t="shared" si="95"/>
        <v>1481.643636</v>
      </c>
      <c r="AP245" s="92"/>
    </row>
    <row r="246" spans="1:42" hidden="1" x14ac:dyDescent="0.35">
      <c r="A246" s="85">
        <v>46212</v>
      </c>
      <c r="B246" s="51" t="s">
        <v>85</v>
      </c>
      <c r="C246" s="97">
        <v>109525660.035714</v>
      </c>
      <c r="D246" s="97">
        <v>155686.6</v>
      </c>
      <c r="E246" s="48" t="s">
        <v>86</v>
      </c>
      <c r="F246" s="86" t="s">
        <v>108</v>
      </c>
      <c r="G246" s="86" t="s">
        <v>339</v>
      </c>
      <c r="H246" s="86" t="s">
        <v>127</v>
      </c>
      <c r="I246" s="48" t="s">
        <v>341</v>
      </c>
      <c r="J246" s="52">
        <v>40</v>
      </c>
      <c r="K246" s="86"/>
      <c r="L246" s="86"/>
      <c r="M246" s="86"/>
      <c r="N246" s="104">
        <f t="shared" si="89"/>
        <v>0</v>
      </c>
      <c r="O246" s="86"/>
      <c r="P246" s="86">
        <v>40</v>
      </c>
      <c r="Q246" s="86">
        <v>40</v>
      </c>
      <c r="R246" s="104">
        <f t="shared" si="88"/>
        <v>80</v>
      </c>
      <c r="S246" s="86">
        <f t="shared" si="90"/>
        <v>120</v>
      </c>
      <c r="T246" s="87"/>
      <c r="U246" s="87"/>
      <c r="V246" s="87"/>
      <c r="W246" s="88"/>
      <c r="X246" s="87"/>
      <c r="Y246" s="87"/>
      <c r="Z246" s="87"/>
      <c r="AA246" s="88"/>
      <c r="AB246" s="88">
        <v>39.270000000000003</v>
      </c>
      <c r="AC246" s="88">
        <v>52.462499999999999</v>
      </c>
      <c r="AD246" s="88">
        <v>72.64</v>
      </c>
      <c r="AE246" s="89">
        <f t="shared" si="91"/>
        <v>10287.599999999999</v>
      </c>
      <c r="AF246" s="90">
        <v>6.5000000000000002E-2</v>
      </c>
      <c r="AG246" s="4">
        <f t="shared" si="96"/>
        <v>668.69399999999996</v>
      </c>
      <c r="AH246" s="49">
        <f t="shared" si="92"/>
        <v>54.978000000000009</v>
      </c>
      <c r="AI246" s="89">
        <f t="shared" si="93"/>
        <v>9618.905999999999</v>
      </c>
      <c r="AJ246" s="91">
        <v>0.18</v>
      </c>
      <c r="AK246" s="5">
        <f t="shared" si="94"/>
        <v>1731.4030799999998</v>
      </c>
      <c r="AL246" s="89">
        <f t="shared" si="95"/>
        <v>11350.309079999999</v>
      </c>
      <c r="AP246" s="92"/>
    </row>
    <row r="247" spans="1:42" hidden="1" x14ac:dyDescent="0.35">
      <c r="A247" s="85">
        <v>46212</v>
      </c>
      <c r="B247" s="51" t="s">
        <v>85</v>
      </c>
      <c r="C247" s="97">
        <v>109995579.107143</v>
      </c>
      <c r="D247" s="97">
        <v>156352.29999999999</v>
      </c>
      <c r="E247" s="48" t="s">
        <v>86</v>
      </c>
      <c r="F247" s="86" t="s">
        <v>109</v>
      </c>
      <c r="G247" s="86" t="s">
        <v>340</v>
      </c>
      <c r="H247" s="86" t="s">
        <v>127</v>
      </c>
      <c r="I247" s="48" t="s">
        <v>341</v>
      </c>
      <c r="J247" s="52"/>
      <c r="K247" s="86"/>
      <c r="L247" s="86"/>
      <c r="M247" s="86"/>
      <c r="N247" s="104">
        <f t="shared" si="89"/>
        <v>0</v>
      </c>
      <c r="O247" s="86">
        <v>40</v>
      </c>
      <c r="P247" s="86">
        <v>40</v>
      </c>
      <c r="Q247" s="105">
        <v>80</v>
      </c>
      <c r="R247" s="104">
        <f t="shared" si="88"/>
        <v>160</v>
      </c>
      <c r="S247" s="86">
        <f t="shared" si="90"/>
        <v>160</v>
      </c>
      <c r="T247" s="87"/>
      <c r="U247" s="87"/>
      <c r="V247" s="87"/>
      <c r="W247" s="88"/>
      <c r="X247" s="87"/>
      <c r="Y247" s="87"/>
      <c r="Z247" s="87"/>
      <c r="AA247" s="88"/>
      <c r="AB247" s="88">
        <v>39.270000000000003</v>
      </c>
      <c r="AC247" s="88">
        <v>52.462499999999999</v>
      </c>
      <c r="AD247" s="88">
        <v>72.64</v>
      </c>
      <c r="AE247" s="89">
        <f t="shared" si="91"/>
        <v>11622.4</v>
      </c>
      <c r="AF247" s="90">
        <v>6.5000000000000002E-2</v>
      </c>
      <c r="AG247" s="4">
        <f t="shared" si="96"/>
        <v>755.45600000000002</v>
      </c>
      <c r="AH247" s="49">
        <f t="shared" si="92"/>
        <v>0</v>
      </c>
      <c r="AI247" s="89">
        <f t="shared" si="93"/>
        <v>10866.944</v>
      </c>
      <c r="AJ247" s="91">
        <v>0.18</v>
      </c>
      <c r="AK247" s="5">
        <f t="shared" si="94"/>
        <v>1956.0499199999999</v>
      </c>
      <c r="AL247" s="89">
        <f t="shared" si="95"/>
        <v>12822.993919999999</v>
      </c>
      <c r="AP247" s="92"/>
    </row>
    <row r="248" spans="1:42" hidden="1" x14ac:dyDescent="0.35">
      <c r="A248" s="85">
        <v>46212</v>
      </c>
      <c r="B248" s="51" t="s">
        <v>85</v>
      </c>
      <c r="C248" s="97">
        <v>110465498.178571</v>
      </c>
      <c r="D248" s="97">
        <v>157018</v>
      </c>
      <c r="E248" s="48" t="s">
        <v>86</v>
      </c>
      <c r="F248" s="86" t="s">
        <v>108</v>
      </c>
      <c r="G248" s="86" t="s">
        <v>299</v>
      </c>
      <c r="H248" s="86" t="s">
        <v>129</v>
      </c>
      <c r="I248" s="48" t="s">
        <v>346</v>
      </c>
      <c r="J248" s="52"/>
      <c r="K248" s="105"/>
      <c r="L248" s="105"/>
      <c r="M248" s="105"/>
      <c r="N248" s="104">
        <f t="shared" si="89"/>
        <v>0</v>
      </c>
      <c r="O248" s="86">
        <v>40</v>
      </c>
      <c r="P248" s="86">
        <v>40</v>
      </c>
      <c r="Q248" s="86">
        <v>40</v>
      </c>
      <c r="R248" s="104">
        <f t="shared" si="88"/>
        <v>120</v>
      </c>
      <c r="S248" s="86">
        <f t="shared" si="90"/>
        <v>120</v>
      </c>
      <c r="T248" s="87"/>
      <c r="U248" s="87"/>
      <c r="V248" s="87"/>
      <c r="W248" s="88"/>
      <c r="X248" s="87"/>
      <c r="Y248" s="87"/>
      <c r="Z248" s="87"/>
      <c r="AA248" s="88"/>
      <c r="AB248" s="88">
        <v>39.270000000000003</v>
      </c>
      <c r="AC248" s="88">
        <v>52.462499999999999</v>
      </c>
      <c r="AD248" s="88">
        <v>72.64</v>
      </c>
      <c r="AE248" s="89">
        <f t="shared" si="91"/>
        <v>8716.7999999999993</v>
      </c>
      <c r="AF248" s="90">
        <v>6.5000000000000002E-2</v>
      </c>
      <c r="AG248" s="4">
        <f t="shared" si="96"/>
        <v>566.59199999999998</v>
      </c>
      <c r="AH248" s="49">
        <f t="shared" si="92"/>
        <v>0</v>
      </c>
      <c r="AI248" s="89">
        <f t="shared" si="93"/>
        <v>8150.2079999999996</v>
      </c>
      <c r="AJ248" s="91">
        <v>0.18</v>
      </c>
      <c r="AK248" s="5">
        <f t="shared" si="94"/>
        <v>1467.0374399999998</v>
      </c>
      <c r="AL248" s="89">
        <f t="shared" si="95"/>
        <v>9617.2454399999988</v>
      </c>
      <c r="AP248" s="92"/>
    </row>
    <row r="249" spans="1:42" hidden="1" x14ac:dyDescent="0.35">
      <c r="A249" s="85">
        <v>46212</v>
      </c>
      <c r="B249" s="51" t="s">
        <v>85</v>
      </c>
      <c r="C249" s="97">
        <v>110935417.25</v>
      </c>
      <c r="D249" s="97">
        <v>157683.70000000001</v>
      </c>
      <c r="E249" s="48" t="s">
        <v>86</v>
      </c>
      <c r="F249" s="86" t="s">
        <v>108</v>
      </c>
      <c r="G249" s="86" t="s">
        <v>342</v>
      </c>
      <c r="H249" s="86" t="s">
        <v>129</v>
      </c>
      <c r="I249" s="48" t="s">
        <v>346</v>
      </c>
      <c r="J249" s="52">
        <v>10</v>
      </c>
      <c r="K249" s="86">
        <v>10</v>
      </c>
      <c r="L249" s="105">
        <v>10</v>
      </c>
      <c r="M249" s="86"/>
      <c r="N249" s="104">
        <f t="shared" si="89"/>
        <v>20</v>
      </c>
      <c r="O249" s="86"/>
      <c r="P249" s="86"/>
      <c r="Q249" s="86"/>
      <c r="R249" s="104">
        <f t="shared" si="88"/>
        <v>0</v>
      </c>
      <c r="S249" s="86">
        <f t="shared" si="90"/>
        <v>30</v>
      </c>
      <c r="T249" s="87"/>
      <c r="U249" s="87"/>
      <c r="V249" s="87"/>
      <c r="W249" s="88"/>
      <c r="X249" s="87"/>
      <c r="Y249" s="87"/>
      <c r="Z249" s="87"/>
      <c r="AA249" s="88"/>
      <c r="AB249" s="88">
        <v>39.270000000000003</v>
      </c>
      <c r="AC249" s="88">
        <v>52.462499999999999</v>
      </c>
      <c r="AD249" s="88">
        <v>72.64</v>
      </c>
      <c r="AE249" s="89">
        <f t="shared" si="91"/>
        <v>3621.1499999999996</v>
      </c>
      <c r="AF249" s="90">
        <v>6.5000000000000002E-2</v>
      </c>
      <c r="AG249" s="4">
        <f t="shared" si="96"/>
        <v>235.37474999999998</v>
      </c>
      <c r="AH249" s="49">
        <f t="shared" si="92"/>
        <v>13.744500000000002</v>
      </c>
      <c r="AI249" s="89">
        <f t="shared" si="93"/>
        <v>3385.7752499999997</v>
      </c>
      <c r="AJ249" s="91">
        <v>0.18</v>
      </c>
      <c r="AK249" s="5">
        <f t="shared" si="94"/>
        <v>609.43954499999995</v>
      </c>
      <c r="AL249" s="89">
        <f t="shared" si="95"/>
        <v>3995.2147949999999</v>
      </c>
      <c r="AP249" s="92"/>
    </row>
    <row r="250" spans="1:42" hidden="1" x14ac:dyDescent="0.35">
      <c r="A250" s="85">
        <v>46212</v>
      </c>
      <c r="B250" s="51" t="s">
        <v>85</v>
      </c>
      <c r="C250" s="97">
        <v>111405336.321429</v>
      </c>
      <c r="D250" s="97">
        <v>158349.4</v>
      </c>
      <c r="E250" s="48" t="s">
        <v>86</v>
      </c>
      <c r="F250" s="86" t="s">
        <v>108</v>
      </c>
      <c r="G250" s="86" t="s">
        <v>193</v>
      </c>
      <c r="H250" s="86" t="s">
        <v>129</v>
      </c>
      <c r="I250" s="48" t="s">
        <v>346</v>
      </c>
      <c r="J250" s="52"/>
      <c r="K250" s="86">
        <v>30</v>
      </c>
      <c r="L250" s="86">
        <v>10</v>
      </c>
      <c r="M250" s="86"/>
      <c r="N250" s="104">
        <f t="shared" si="89"/>
        <v>40</v>
      </c>
      <c r="O250" s="86"/>
      <c r="P250" s="86"/>
      <c r="Q250" s="86"/>
      <c r="R250" s="104">
        <f t="shared" si="88"/>
        <v>0</v>
      </c>
      <c r="S250" s="86">
        <f t="shared" si="90"/>
        <v>40</v>
      </c>
      <c r="T250" s="87"/>
      <c r="U250" s="87"/>
      <c r="V250" s="87"/>
      <c r="W250" s="88"/>
      <c r="X250" s="87"/>
      <c r="Y250" s="87"/>
      <c r="Z250" s="87"/>
      <c r="AA250" s="88"/>
      <c r="AB250" s="88">
        <v>39.270000000000003</v>
      </c>
      <c r="AC250" s="88">
        <v>52.462499999999999</v>
      </c>
      <c r="AD250" s="88">
        <v>72.64</v>
      </c>
      <c r="AE250" s="89">
        <f t="shared" si="91"/>
        <v>5004.1000000000004</v>
      </c>
      <c r="AF250" s="90">
        <v>0.14000000000000001</v>
      </c>
      <c r="AG250" s="4">
        <f t="shared" si="96"/>
        <v>700.57400000000007</v>
      </c>
      <c r="AH250" s="49">
        <f t="shared" si="92"/>
        <v>0</v>
      </c>
      <c r="AI250" s="89">
        <f t="shared" si="93"/>
        <v>4303.5259999999998</v>
      </c>
      <c r="AJ250" s="91">
        <v>0.18</v>
      </c>
      <c r="AK250" s="5">
        <f t="shared" si="94"/>
        <v>774.63467999999989</v>
      </c>
      <c r="AL250" s="89">
        <f t="shared" si="95"/>
        <v>5078.16068</v>
      </c>
      <c r="AP250" s="92"/>
    </row>
    <row r="251" spans="1:42" hidden="1" x14ac:dyDescent="0.35">
      <c r="A251" s="85">
        <v>46212</v>
      </c>
      <c r="B251" s="51" t="s">
        <v>85</v>
      </c>
      <c r="C251" s="97">
        <v>111875255.392857</v>
      </c>
      <c r="D251" s="97">
        <v>159015.1</v>
      </c>
      <c r="E251" s="48" t="s">
        <v>86</v>
      </c>
      <c r="F251" s="86" t="s">
        <v>108</v>
      </c>
      <c r="G251" s="86" t="s">
        <v>323</v>
      </c>
      <c r="H251" s="86" t="s">
        <v>129</v>
      </c>
      <c r="I251" s="48" t="s">
        <v>346</v>
      </c>
      <c r="J251" s="52"/>
      <c r="K251" s="86"/>
      <c r="L251" s="86"/>
      <c r="M251" s="86"/>
      <c r="N251" s="104">
        <f t="shared" si="89"/>
        <v>0</v>
      </c>
      <c r="O251" s="105">
        <v>30</v>
      </c>
      <c r="P251" s="105">
        <v>10</v>
      </c>
      <c r="Q251" s="105"/>
      <c r="R251" s="104">
        <f t="shared" si="88"/>
        <v>40</v>
      </c>
      <c r="S251" s="86">
        <f t="shared" si="90"/>
        <v>40</v>
      </c>
      <c r="T251" s="87"/>
      <c r="U251" s="87"/>
      <c r="V251" s="87"/>
      <c r="W251" s="88"/>
      <c r="X251" s="87"/>
      <c r="Y251" s="87"/>
      <c r="Z251" s="87"/>
      <c r="AA251" s="88"/>
      <c r="AB251" s="88">
        <v>39.270000000000003</v>
      </c>
      <c r="AC251" s="88">
        <v>52.462499999999999</v>
      </c>
      <c r="AD251" s="88">
        <v>72.64</v>
      </c>
      <c r="AE251" s="89">
        <f t="shared" si="91"/>
        <v>2905.6</v>
      </c>
      <c r="AF251" s="90">
        <v>6.5000000000000002E-2</v>
      </c>
      <c r="AG251" s="4">
        <f t="shared" si="96"/>
        <v>188.864</v>
      </c>
      <c r="AH251" s="49">
        <f t="shared" si="92"/>
        <v>0</v>
      </c>
      <c r="AI251" s="89">
        <f t="shared" si="93"/>
        <v>2716.7359999999999</v>
      </c>
      <c r="AJ251" s="91">
        <v>0.18</v>
      </c>
      <c r="AK251" s="5">
        <f t="shared" si="94"/>
        <v>489.01247999999998</v>
      </c>
      <c r="AL251" s="89">
        <f t="shared" si="95"/>
        <v>3205.7484799999997</v>
      </c>
      <c r="AP251" s="92"/>
    </row>
    <row r="252" spans="1:42" hidden="1" x14ac:dyDescent="0.35">
      <c r="A252" s="85">
        <v>46212</v>
      </c>
      <c r="B252" s="51" t="s">
        <v>85</v>
      </c>
      <c r="C252" s="97">
        <v>112345174.464286</v>
      </c>
      <c r="D252" s="97">
        <v>159680.79999999999</v>
      </c>
      <c r="E252" s="48" t="s">
        <v>86</v>
      </c>
      <c r="F252" s="86" t="s">
        <v>109</v>
      </c>
      <c r="G252" s="86" t="s">
        <v>343</v>
      </c>
      <c r="H252" s="86" t="s">
        <v>129</v>
      </c>
      <c r="I252" s="48" t="s">
        <v>346</v>
      </c>
      <c r="J252" s="52"/>
      <c r="K252" s="86"/>
      <c r="L252" s="105"/>
      <c r="M252" s="105"/>
      <c r="N252" s="104">
        <f t="shared" si="89"/>
        <v>0</v>
      </c>
      <c r="O252" s="86">
        <v>15</v>
      </c>
      <c r="P252" s="86">
        <v>10</v>
      </c>
      <c r="Q252" s="105">
        <v>15</v>
      </c>
      <c r="R252" s="104">
        <f t="shared" si="88"/>
        <v>40</v>
      </c>
      <c r="S252" s="86">
        <f t="shared" si="90"/>
        <v>40</v>
      </c>
      <c r="T252" s="87"/>
      <c r="U252" s="87"/>
      <c r="V252" s="87"/>
      <c r="W252" s="88"/>
      <c r="X252" s="87"/>
      <c r="Y252" s="87"/>
      <c r="Z252" s="87"/>
      <c r="AA252" s="88"/>
      <c r="AB252" s="88">
        <v>39.270000000000003</v>
      </c>
      <c r="AC252" s="88">
        <v>52.462499999999999</v>
      </c>
      <c r="AD252" s="88">
        <v>72.64</v>
      </c>
      <c r="AE252" s="89">
        <f t="shared" si="91"/>
        <v>2905.6</v>
      </c>
      <c r="AF252" s="90">
        <v>6.5000000000000002E-2</v>
      </c>
      <c r="AG252" s="4">
        <f t="shared" si="96"/>
        <v>188.864</v>
      </c>
      <c r="AH252" s="49">
        <f t="shared" si="92"/>
        <v>0</v>
      </c>
      <c r="AI252" s="89">
        <f t="shared" si="93"/>
        <v>2716.7359999999999</v>
      </c>
      <c r="AJ252" s="91">
        <v>0.18</v>
      </c>
      <c r="AK252" s="5">
        <f t="shared" si="94"/>
        <v>489.01247999999998</v>
      </c>
      <c r="AL252" s="89">
        <f t="shared" si="95"/>
        <v>3205.7484799999997</v>
      </c>
      <c r="AP252" s="92"/>
    </row>
    <row r="253" spans="1:42" hidden="1" x14ac:dyDescent="0.35">
      <c r="A253" s="85">
        <v>46212</v>
      </c>
      <c r="B253" s="51" t="s">
        <v>85</v>
      </c>
      <c r="C253" s="97">
        <v>112815093.535714</v>
      </c>
      <c r="D253" s="97">
        <v>160346.5</v>
      </c>
      <c r="E253" s="48" t="s">
        <v>86</v>
      </c>
      <c r="F253" s="86" t="s">
        <v>109</v>
      </c>
      <c r="G253" s="86" t="s">
        <v>344</v>
      </c>
      <c r="H253" s="86" t="s">
        <v>129</v>
      </c>
      <c r="I253" s="48" t="s">
        <v>346</v>
      </c>
      <c r="J253" s="52">
        <v>40</v>
      </c>
      <c r="K253" s="86"/>
      <c r="L253" s="86"/>
      <c r="M253" s="86"/>
      <c r="N253" s="104">
        <f t="shared" si="89"/>
        <v>0</v>
      </c>
      <c r="O253" s="86">
        <v>40</v>
      </c>
      <c r="P253" s="86">
        <v>40</v>
      </c>
      <c r="Q253" s="86">
        <v>40</v>
      </c>
      <c r="R253" s="104">
        <f t="shared" si="88"/>
        <v>120</v>
      </c>
      <c r="S253" s="86">
        <f t="shared" si="90"/>
        <v>160</v>
      </c>
      <c r="T253" s="87"/>
      <c r="U253" s="87"/>
      <c r="V253" s="87"/>
      <c r="W253" s="88"/>
      <c r="X253" s="87"/>
      <c r="Y253" s="87"/>
      <c r="Z253" s="87"/>
      <c r="AA253" s="88"/>
      <c r="AB253" s="88">
        <v>39.270000000000003</v>
      </c>
      <c r="AC253" s="88">
        <v>52.462499999999999</v>
      </c>
      <c r="AD253" s="88">
        <v>72.64</v>
      </c>
      <c r="AE253" s="89">
        <f t="shared" si="91"/>
        <v>13193.2</v>
      </c>
      <c r="AF253" s="90">
        <v>6.5000000000000002E-2</v>
      </c>
      <c r="AG253" s="4">
        <f t="shared" si="96"/>
        <v>857.55800000000011</v>
      </c>
      <c r="AH253" s="49">
        <f t="shared" si="92"/>
        <v>54.978000000000009</v>
      </c>
      <c r="AI253" s="89">
        <f t="shared" si="93"/>
        <v>12335.642</v>
      </c>
      <c r="AJ253" s="91">
        <v>0.18</v>
      </c>
      <c r="AK253" s="5">
        <f t="shared" si="94"/>
        <v>2220.4155599999999</v>
      </c>
      <c r="AL253" s="89">
        <f t="shared" si="95"/>
        <v>14556.057559999999</v>
      </c>
      <c r="AP253" s="92"/>
    </row>
    <row r="254" spans="1:42" hidden="1" x14ac:dyDescent="0.35">
      <c r="A254" s="85">
        <v>46212</v>
      </c>
      <c r="B254" s="51" t="s">
        <v>85</v>
      </c>
      <c r="C254" s="97">
        <v>113285012.607143</v>
      </c>
      <c r="D254" s="97">
        <v>161012.20000000001</v>
      </c>
      <c r="E254" s="48" t="s">
        <v>86</v>
      </c>
      <c r="F254" s="86" t="s">
        <v>109</v>
      </c>
      <c r="G254" s="86" t="s">
        <v>345</v>
      </c>
      <c r="H254" s="86" t="s">
        <v>129</v>
      </c>
      <c r="I254" s="48" t="s">
        <v>346</v>
      </c>
      <c r="J254" s="52">
        <v>40</v>
      </c>
      <c r="K254" s="105"/>
      <c r="L254" s="86"/>
      <c r="M254" s="86"/>
      <c r="N254" s="104">
        <f t="shared" si="89"/>
        <v>0</v>
      </c>
      <c r="O254" s="105">
        <v>20</v>
      </c>
      <c r="P254" s="105"/>
      <c r="Q254" s="105">
        <v>20</v>
      </c>
      <c r="R254" s="104">
        <f t="shared" si="88"/>
        <v>40</v>
      </c>
      <c r="S254" s="86">
        <f t="shared" si="90"/>
        <v>80</v>
      </c>
      <c r="T254" s="87"/>
      <c r="U254" s="87"/>
      <c r="V254" s="87"/>
      <c r="W254" s="88"/>
      <c r="X254" s="87"/>
      <c r="Y254" s="87"/>
      <c r="Z254" s="87"/>
      <c r="AA254" s="88"/>
      <c r="AB254" s="88">
        <v>39.270000000000003</v>
      </c>
      <c r="AC254" s="88">
        <v>52.462499999999999</v>
      </c>
      <c r="AD254" s="88">
        <v>72.64</v>
      </c>
      <c r="AE254" s="89">
        <f t="shared" si="91"/>
        <v>7382</v>
      </c>
      <c r="AF254" s="90">
        <v>6.5000000000000002E-2</v>
      </c>
      <c r="AG254" s="4">
        <f t="shared" si="96"/>
        <v>479.83000000000004</v>
      </c>
      <c r="AH254" s="49">
        <f t="shared" si="92"/>
        <v>54.978000000000009</v>
      </c>
      <c r="AI254" s="89">
        <f t="shared" si="93"/>
        <v>6902.17</v>
      </c>
      <c r="AJ254" s="91">
        <v>0.18</v>
      </c>
      <c r="AK254" s="5">
        <f t="shared" si="94"/>
        <v>1242.3905999999999</v>
      </c>
      <c r="AL254" s="89">
        <f t="shared" si="95"/>
        <v>8144.5605999999998</v>
      </c>
      <c r="AP254" s="92"/>
    </row>
    <row r="255" spans="1:42" hidden="1" x14ac:dyDescent="0.35">
      <c r="A255" s="85">
        <v>46212</v>
      </c>
      <c r="B255" s="51" t="s">
        <v>85</v>
      </c>
      <c r="C255" s="97">
        <v>113754931.678571</v>
      </c>
      <c r="D255" s="97">
        <v>161677.9</v>
      </c>
      <c r="E255" s="48" t="s">
        <v>86</v>
      </c>
      <c r="F255" s="86" t="s">
        <v>108</v>
      </c>
      <c r="G255" s="86" t="s">
        <v>142</v>
      </c>
      <c r="H255" s="86" t="s">
        <v>129</v>
      </c>
      <c r="I255" s="48" t="s">
        <v>346</v>
      </c>
      <c r="J255" s="52"/>
      <c r="K255" s="105">
        <v>20</v>
      </c>
      <c r="L255" s="86">
        <v>20</v>
      </c>
      <c r="M255" s="86"/>
      <c r="N255" s="104">
        <f t="shared" si="89"/>
        <v>40</v>
      </c>
      <c r="O255" s="86"/>
      <c r="P255" s="86"/>
      <c r="Q255" s="86"/>
      <c r="R255" s="104">
        <f t="shared" si="88"/>
        <v>0</v>
      </c>
      <c r="S255" s="86">
        <f t="shared" si="90"/>
        <v>40</v>
      </c>
      <c r="T255" s="87"/>
      <c r="U255" s="87"/>
      <c r="V255" s="87"/>
      <c r="W255" s="88"/>
      <c r="X255" s="87"/>
      <c r="Y255" s="87"/>
      <c r="Z255" s="87"/>
      <c r="AA255" s="88"/>
      <c r="AB255" s="88">
        <v>39.270000000000003</v>
      </c>
      <c r="AC255" s="88">
        <v>52.462499999999999</v>
      </c>
      <c r="AD255" s="88">
        <v>72.64</v>
      </c>
      <c r="AE255" s="89">
        <f t="shared" si="91"/>
        <v>5004.1000000000004</v>
      </c>
      <c r="AF255" s="90">
        <v>6.5000000000000002E-2</v>
      </c>
      <c r="AG255" s="4">
        <f t="shared" si="96"/>
        <v>325.26650000000001</v>
      </c>
      <c r="AH255" s="49">
        <f t="shared" si="92"/>
        <v>0</v>
      </c>
      <c r="AI255" s="89">
        <f t="shared" si="93"/>
        <v>4678.8335000000006</v>
      </c>
      <c r="AJ255" s="91">
        <v>0.18</v>
      </c>
      <c r="AK255" s="5">
        <f t="shared" si="94"/>
        <v>842.19003000000009</v>
      </c>
      <c r="AL255" s="89">
        <f t="shared" si="95"/>
        <v>5521.0235300000004</v>
      </c>
      <c r="AP255" s="92"/>
    </row>
    <row r="256" spans="1:42" x14ac:dyDescent="0.35">
      <c r="A256" s="85">
        <v>46213</v>
      </c>
      <c r="B256" s="51" t="s">
        <v>85</v>
      </c>
      <c r="C256" s="97">
        <v>114224850.75</v>
      </c>
      <c r="D256" s="97">
        <v>162343.6</v>
      </c>
      <c r="E256" s="48" t="s">
        <v>86</v>
      </c>
      <c r="F256" s="86" t="s">
        <v>87</v>
      </c>
      <c r="G256" s="86" t="s">
        <v>411</v>
      </c>
      <c r="H256" s="86" t="s">
        <v>89</v>
      </c>
      <c r="I256" s="48" t="s">
        <v>410</v>
      </c>
      <c r="J256" s="52"/>
      <c r="K256" s="86">
        <v>40</v>
      </c>
      <c r="L256" s="86">
        <v>40</v>
      </c>
      <c r="M256" s="86"/>
      <c r="N256" s="104">
        <f t="shared" si="89"/>
        <v>80</v>
      </c>
      <c r="O256" s="105">
        <v>40</v>
      </c>
      <c r="P256" s="105">
        <v>40</v>
      </c>
      <c r="Q256" s="105">
        <v>40</v>
      </c>
      <c r="R256" s="104">
        <f t="shared" si="88"/>
        <v>120</v>
      </c>
      <c r="S256" s="86">
        <f t="shared" si="90"/>
        <v>200</v>
      </c>
      <c r="T256" s="87"/>
      <c r="U256" s="87"/>
      <c r="V256" s="87"/>
      <c r="W256" s="88"/>
      <c r="X256" s="87"/>
      <c r="Y256" s="87"/>
      <c r="Z256" s="87"/>
      <c r="AA256" s="88"/>
      <c r="AB256" s="88">
        <v>39.270000000000003</v>
      </c>
      <c r="AC256" s="88">
        <v>52.462499999999999</v>
      </c>
      <c r="AD256" s="88">
        <v>72.64</v>
      </c>
      <c r="AE256" s="89">
        <f t="shared" si="91"/>
        <v>18725</v>
      </c>
      <c r="AF256" s="90">
        <v>6.5000000000000002E-2</v>
      </c>
      <c r="AG256" s="4">
        <f t="shared" si="96"/>
        <v>1217.125</v>
      </c>
      <c r="AH256" s="49">
        <f t="shared" si="92"/>
        <v>0</v>
      </c>
      <c r="AI256" s="89">
        <f t="shared" si="93"/>
        <v>17507.875</v>
      </c>
      <c r="AJ256" s="91">
        <v>0.18</v>
      </c>
      <c r="AK256" s="5">
        <f t="shared" si="94"/>
        <v>3151.4175</v>
      </c>
      <c r="AL256" s="89">
        <f t="shared" si="95"/>
        <v>20659.2925</v>
      </c>
      <c r="AP256" s="92"/>
    </row>
    <row r="257" spans="1:42" x14ac:dyDescent="0.35">
      <c r="A257" s="85">
        <v>46213</v>
      </c>
      <c r="B257" s="51" t="s">
        <v>85</v>
      </c>
      <c r="C257" s="97">
        <v>114694769.821429</v>
      </c>
      <c r="D257" s="97">
        <v>163009.29999999999</v>
      </c>
      <c r="E257" s="48" t="s">
        <v>86</v>
      </c>
      <c r="F257" s="86" t="s">
        <v>87</v>
      </c>
      <c r="G257" s="86" t="s">
        <v>347</v>
      </c>
      <c r="H257" s="86" t="s">
        <v>89</v>
      </c>
      <c r="I257" s="48" t="s">
        <v>412</v>
      </c>
      <c r="J257" s="52"/>
      <c r="K257" s="86">
        <v>80</v>
      </c>
      <c r="L257" s="86">
        <v>120</v>
      </c>
      <c r="M257" s="86"/>
      <c r="N257" s="104">
        <f t="shared" si="89"/>
        <v>200</v>
      </c>
      <c r="O257" s="105">
        <v>120</v>
      </c>
      <c r="P257" s="105">
        <v>200</v>
      </c>
      <c r="Q257" s="105">
        <v>360</v>
      </c>
      <c r="R257" s="104">
        <f t="shared" si="88"/>
        <v>680</v>
      </c>
      <c r="S257" s="86">
        <f t="shared" si="90"/>
        <v>880</v>
      </c>
      <c r="T257" s="87"/>
      <c r="U257" s="87"/>
      <c r="V257" s="87"/>
      <c r="W257" s="88"/>
      <c r="X257" s="87"/>
      <c r="Y257" s="87"/>
      <c r="Z257" s="87"/>
      <c r="AA257" s="88"/>
      <c r="AB257" s="88">
        <v>39.270000000000003</v>
      </c>
      <c r="AC257" s="88">
        <v>52.462499999999999</v>
      </c>
      <c r="AD257" s="88">
        <v>72.64</v>
      </c>
      <c r="AE257" s="89">
        <f t="shared" si="91"/>
        <v>74415.7</v>
      </c>
      <c r="AF257" s="90">
        <v>6.5000000000000002E-2</v>
      </c>
      <c r="AG257" s="4">
        <f t="shared" si="96"/>
        <v>4837.0204999999996</v>
      </c>
      <c r="AH257" s="49">
        <f t="shared" si="92"/>
        <v>0</v>
      </c>
      <c r="AI257" s="89">
        <f t="shared" si="93"/>
        <v>69578.679499999998</v>
      </c>
      <c r="AJ257" s="91">
        <v>0.18</v>
      </c>
      <c r="AK257" s="5">
        <f t="shared" si="94"/>
        <v>12524.16231</v>
      </c>
      <c r="AL257" s="89">
        <f t="shared" si="95"/>
        <v>82102.841809999998</v>
      </c>
      <c r="AP257" s="92"/>
    </row>
    <row r="258" spans="1:42" x14ac:dyDescent="0.35">
      <c r="A258" s="85">
        <v>46213</v>
      </c>
      <c r="B258" s="51" t="s">
        <v>85</v>
      </c>
      <c r="C258" s="97">
        <v>115164688.892857</v>
      </c>
      <c r="D258" s="97">
        <v>163675</v>
      </c>
      <c r="E258" s="48" t="s">
        <v>86</v>
      </c>
      <c r="F258" s="86" t="s">
        <v>87</v>
      </c>
      <c r="G258" s="86" t="s">
        <v>413</v>
      </c>
      <c r="H258" s="86" t="s">
        <v>89</v>
      </c>
      <c r="I258" s="48" t="s">
        <v>414</v>
      </c>
      <c r="J258" s="52"/>
      <c r="K258" s="86"/>
      <c r="L258" s="86"/>
      <c r="M258" s="86"/>
      <c r="N258" s="104">
        <f t="shared" si="89"/>
        <v>0</v>
      </c>
      <c r="O258" s="86">
        <v>40</v>
      </c>
      <c r="P258" s="86">
        <v>40</v>
      </c>
      <c r="Q258" s="86">
        <v>80</v>
      </c>
      <c r="R258" s="104">
        <f t="shared" si="88"/>
        <v>160</v>
      </c>
      <c r="S258" s="86">
        <f t="shared" si="90"/>
        <v>160</v>
      </c>
      <c r="T258" s="87"/>
      <c r="U258" s="87"/>
      <c r="V258" s="87"/>
      <c r="W258" s="88"/>
      <c r="X258" s="87"/>
      <c r="Y258" s="87"/>
      <c r="Z258" s="87"/>
      <c r="AA258" s="88"/>
      <c r="AB258" s="88">
        <v>39.270000000000003</v>
      </c>
      <c r="AC258" s="88">
        <v>52.462499999999999</v>
      </c>
      <c r="AD258" s="88">
        <v>72.64</v>
      </c>
      <c r="AE258" s="89">
        <f t="shared" si="91"/>
        <v>11622.4</v>
      </c>
      <c r="AF258" s="90">
        <v>6.5000000000000002E-2</v>
      </c>
      <c r="AG258" s="4">
        <f t="shared" si="96"/>
        <v>755.45600000000002</v>
      </c>
      <c r="AH258" s="49">
        <f t="shared" si="92"/>
        <v>0</v>
      </c>
      <c r="AI258" s="89">
        <f t="shared" si="93"/>
        <v>10866.944</v>
      </c>
      <c r="AJ258" s="91">
        <v>0.18</v>
      </c>
      <c r="AK258" s="5">
        <f t="shared" si="94"/>
        <v>1956.0499199999999</v>
      </c>
      <c r="AL258" s="89">
        <f t="shared" si="95"/>
        <v>12822.993919999999</v>
      </c>
      <c r="AP258" s="92"/>
    </row>
    <row r="259" spans="1:42" x14ac:dyDescent="0.35">
      <c r="A259" s="85">
        <v>46213</v>
      </c>
      <c r="B259" s="51" t="s">
        <v>85</v>
      </c>
      <c r="C259" s="97">
        <v>115634607.964286</v>
      </c>
      <c r="D259" s="97">
        <v>164340.70000000001</v>
      </c>
      <c r="E259" s="48" t="s">
        <v>86</v>
      </c>
      <c r="F259" s="86" t="s">
        <v>87</v>
      </c>
      <c r="G259" s="86" t="s">
        <v>348</v>
      </c>
      <c r="H259" s="86" t="s">
        <v>89</v>
      </c>
      <c r="I259" s="48" t="s">
        <v>415</v>
      </c>
      <c r="J259" s="52">
        <v>200</v>
      </c>
      <c r="K259" s="86">
        <v>200</v>
      </c>
      <c r="L259" s="86">
        <v>200</v>
      </c>
      <c r="M259" s="86"/>
      <c r="N259" s="104">
        <f t="shared" si="89"/>
        <v>400</v>
      </c>
      <c r="O259" s="86">
        <v>200</v>
      </c>
      <c r="P259" s="86">
        <v>200</v>
      </c>
      <c r="Q259" s="86">
        <v>200</v>
      </c>
      <c r="R259" s="104">
        <f t="shared" si="88"/>
        <v>600</v>
      </c>
      <c r="S259" s="86">
        <f t="shared" si="90"/>
        <v>1200</v>
      </c>
      <c r="T259" s="87"/>
      <c r="U259" s="87"/>
      <c r="V259" s="87"/>
      <c r="W259" s="88"/>
      <c r="X259" s="87"/>
      <c r="Y259" s="87"/>
      <c r="Z259" s="87"/>
      <c r="AA259" s="88"/>
      <c r="AB259" s="88">
        <v>39.270000000000003</v>
      </c>
      <c r="AC259" s="88">
        <v>52.462499999999999</v>
      </c>
      <c r="AD259" s="88">
        <v>72.64</v>
      </c>
      <c r="AE259" s="89">
        <f t="shared" si="91"/>
        <v>116007</v>
      </c>
      <c r="AF259" s="90">
        <v>6.5000000000000002E-2</v>
      </c>
      <c r="AG259" s="4">
        <f t="shared" si="96"/>
        <v>7540.4549999999999</v>
      </c>
      <c r="AH259" s="49">
        <f t="shared" si="92"/>
        <v>274.89000000000004</v>
      </c>
      <c r="AI259" s="89">
        <f t="shared" si="93"/>
        <v>108466.545</v>
      </c>
      <c r="AJ259" s="91">
        <v>0.18</v>
      </c>
      <c r="AK259" s="5">
        <f t="shared" si="94"/>
        <v>19523.9781</v>
      </c>
      <c r="AL259" s="89">
        <f t="shared" si="95"/>
        <v>127990.52309999999</v>
      </c>
      <c r="AP259" s="92"/>
    </row>
    <row r="260" spans="1:42" x14ac:dyDescent="0.35">
      <c r="A260" s="85">
        <v>46213</v>
      </c>
      <c r="B260" s="51" t="s">
        <v>85</v>
      </c>
      <c r="C260" s="97">
        <v>116104527.035714</v>
      </c>
      <c r="D260" s="97">
        <v>165006.39999999999</v>
      </c>
      <c r="E260" s="48" t="s">
        <v>86</v>
      </c>
      <c r="F260" s="86" t="s">
        <v>87</v>
      </c>
      <c r="G260" s="86" t="s">
        <v>349</v>
      </c>
      <c r="H260" s="86" t="s">
        <v>89</v>
      </c>
      <c r="I260" s="48" t="s">
        <v>410</v>
      </c>
      <c r="J260" s="52"/>
      <c r="K260" s="86"/>
      <c r="L260" s="86"/>
      <c r="M260" s="86"/>
      <c r="N260" s="104">
        <f t="shared" si="89"/>
        <v>0</v>
      </c>
      <c r="O260" s="105">
        <v>120</v>
      </c>
      <c r="P260" s="105">
        <v>120</v>
      </c>
      <c r="Q260" s="105">
        <v>120</v>
      </c>
      <c r="R260" s="104">
        <f t="shared" ref="R260:R323" si="97">SUM(O260:Q260)</f>
        <v>360</v>
      </c>
      <c r="S260" s="86">
        <f t="shared" si="90"/>
        <v>360</v>
      </c>
      <c r="T260" s="87"/>
      <c r="U260" s="87"/>
      <c r="V260" s="87"/>
      <c r="W260" s="88"/>
      <c r="X260" s="87"/>
      <c r="Y260" s="87"/>
      <c r="Z260" s="87"/>
      <c r="AA260" s="88"/>
      <c r="AB260" s="88">
        <v>39.270000000000003</v>
      </c>
      <c r="AC260" s="88">
        <v>52.462499999999999</v>
      </c>
      <c r="AD260" s="88">
        <v>72.64</v>
      </c>
      <c r="AE260" s="89">
        <f t="shared" si="91"/>
        <v>26150.400000000001</v>
      </c>
      <c r="AF260" s="90">
        <v>6.5000000000000002E-2</v>
      </c>
      <c r="AG260" s="4">
        <f t="shared" si="96"/>
        <v>1699.7760000000001</v>
      </c>
      <c r="AH260" s="49">
        <f t="shared" si="92"/>
        <v>0</v>
      </c>
      <c r="AI260" s="89">
        <f t="shared" si="93"/>
        <v>24450.624</v>
      </c>
      <c r="AJ260" s="91">
        <v>0.18</v>
      </c>
      <c r="AK260" s="5">
        <f t="shared" si="94"/>
        <v>4401.1123200000002</v>
      </c>
      <c r="AL260" s="89">
        <f t="shared" si="95"/>
        <v>28851.73632</v>
      </c>
      <c r="AP260" s="92"/>
    </row>
    <row r="261" spans="1:42" x14ac:dyDescent="0.35">
      <c r="A261" s="85">
        <v>46213</v>
      </c>
      <c r="B261" s="51" t="s">
        <v>85</v>
      </c>
      <c r="C261" s="97">
        <v>116574446.107143</v>
      </c>
      <c r="D261" s="97">
        <v>165672.1</v>
      </c>
      <c r="E261" s="48" t="s">
        <v>86</v>
      </c>
      <c r="F261" s="86" t="s">
        <v>87</v>
      </c>
      <c r="G261" s="86" t="s">
        <v>350</v>
      </c>
      <c r="H261" s="86" t="s">
        <v>89</v>
      </c>
      <c r="I261" s="48" t="s">
        <v>416</v>
      </c>
      <c r="J261" s="52"/>
      <c r="K261" s="86"/>
      <c r="L261" s="86"/>
      <c r="M261" s="86"/>
      <c r="N261" s="104">
        <f t="shared" ref="N261:N324" si="98">K261+L261+M261</f>
        <v>0</v>
      </c>
      <c r="O261" s="86">
        <v>80</v>
      </c>
      <c r="P261" s="86">
        <v>40</v>
      </c>
      <c r="Q261" s="86">
        <v>40</v>
      </c>
      <c r="R261" s="104">
        <f t="shared" si="97"/>
        <v>160</v>
      </c>
      <c r="S261" s="86">
        <f t="shared" ref="S261:S324" si="99">R261+N261+J261</f>
        <v>160</v>
      </c>
      <c r="T261" s="87"/>
      <c r="U261" s="87"/>
      <c r="V261" s="87"/>
      <c r="W261" s="88"/>
      <c r="X261" s="87"/>
      <c r="Y261" s="87"/>
      <c r="Z261" s="87"/>
      <c r="AA261" s="88"/>
      <c r="AB261" s="88">
        <v>39.270000000000003</v>
      </c>
      <c r="AC261" s="88">
        <v>52.462499999999999</v>
      </c>
      <c r="AD261" s="88">
        <v>72.64</v>
      </c>
      <c r="AE261" s="89">
        <f t="shared" si="91"/>
        <v>11622.4</v>
      </c>
      <c r="AF261" s="90">
        <v>6.5000000000000002E-2</v>
      </c>
      <c r="AG261" s="4">
        <f t="shared" si="96"/>
        <v>755.45600000000002</v>
      </c>
      <c r="AH261" s="49">
        <f t="shared" si="92"/>
        <v>0</v>
      </c>
      <c r="AI261" s="89">
        <f t="shared" si="93"/>
        <v>10866.944</v>
      </c>
      <c r="AJ261" s="91">
        <v>0.18</v>
      </c>
      <c r="AK261" s="5">
        <f t="shared" si="94"/>
        <v>1956.0499199999999</v>
      </c>
      <c r="AL261" s="89">
        <f t="shared" si="95"/>
        <v>12822.993919999999</v>
      </c>
      <c r="AP261" s="92"/>
    </row>
    <row r="262" spans="1:42" hidden="1" x14ac:dyDescent="0.35">
      <c r="A262" s="85">
        <v>46213</v>
      </c>
      <c r="B262" s="51" t="s">
        <v>85</v>
      </c>
      <c r="C262" s="97">
        <v>117044365.178571</v>
      </c>
      <c r="D262" s="97">
        <v>166337.79999999999</v>
      </c>
      <c r="E262" s="48" t="s">
        <v>86</v>
      </c>
      <c r="F262" s="86" t="s">
        <v>108</v>
      </c>
      <c r="G262" s="86" t="s">
        <v>351</v>
      </c>
      <c r="H262" s="86" t="s">
        <v>112</v>
      </c>
      <c r="I262" s="48" t="s">
        <v>357</v>
      </c>
      <c r="J262" s="52"/>
      <c r="K262" s="86"/>
      <c r="L262" s="86"/>
      <c r="M262" s="86"/>
      <c r="N262" s="104">
        <f t="shared" si="98"/>
        <v>0</v>
      </c>
      <c r="O262" s="86">
        <v>6</v>
      </c>
      <c r="P262" s="86">
        <v>6</v>
      </c>
      <c r="Q262" s="86">
        <v>6</v>
      </c>
      <c r="R262" s="104">
        <f t="shared" si="97"/>
        <v>18</v>
      </c>
      <c r="S262" s="86">
        <f t="shared" si="99"/>
        <v>18</v>
      </c>
      <c r="T262" s="87"/>
      <c r="U262" s="87"/>
      <c r="V262" s="87"/>
      <c r="W262" s="88"/>
      <c r="X262" s="87"/>
      <c r="Y262" s="87"/>
      <c r="Z262" s="87"/>
      <c r="AA262" s="88"/>
      <c r="AB262" s="88">
        <v>39.270000000000003</v>
      </c>
      <c r="AC262" s="88">
        <v>52.462499999999999</v>
      </c>
      <c r="AD262" s="88">
        <v>72.64</v>
      </c>
      <c r="AE262" s="89">
        <f t="shared" si="91"/>
        <v>1307.52</v>
      </c>
      <c r="AF262" s="90">
        <v>6.5000000000000002E-2</v>
      </c>
      <c r="AG262" s="4">
        <f t="shared" si="96"/>
        <v>84.988799999999998</v>
      </c>
      <c r="AH262" s="49">
        <f t="shared" si="92"/>
        <v>0</v>
      </c>
      <c r="AI262" s="89">
        <f t="shared" si="93"/>
        <v>1222.5311999999999</v>
      </c>
      <c r="AJ262" s="91">
        <v>0.18</v>
      </c>
      <c r="AK262" s="5">
        <f t="shared" si="94"/>
        <v>220.05561599999999</v>
      </c>
      <c r="AL262" s="89">
        <f t="shared" si="95"/>
        <v>1442.586816</v>
      </c>
      <c r="AP262" s="92"/>
    </row>
    <row r="263" spans="1:42" hidden="1" x14ac:dyDescent="0.35">
      <c r="A263" s="85">
        <v>46213</v>
      </c>
      <c r="B263" s="51" t="s">
        <v>85</v>
      </c>
      <c r="C263" s="97">
        <v>117514284.25</v>
      </c>
      <c r="D263" s="97">
        <v>167003.5</v>
      </c>
      <c r="E263" s="48" t="s">
        <v>86</v>
      </c>
      <c r="F263" s="86" t="s">
        <v>108</v>
      </c>
      <c r="G263" s="86" t="s">
        <v>183</v>
      </c>
      <c r="H263" s="86" t="s">
        <v>112</v>
      </c>
      <c r="I263" s="48" t="s">
        <v>357</v>
      </c>
      <c r="J263" s="52">
        <v>12</v>
      </c>
      <c r="K263" s="86"/>
      <c r="L263" s="86"/>
      <c r="M263" s="86"/>
      <c r="N263" s="104">
        <f t="shared" si="98"/>
        <v>0</v>
      </c>
      <c r="O263" s="105"/>
      <c r="P263" s="86"/>
      <c r="Q263" s="86"/>
      <c r="R263" s="104">
        <f t="shared" si="97"/>
        <v>0</v>
      </c>
      <c r="S263" s="86">
        <f t="shared" si="99"/>
        <v>12</v>
      </c>
      <c r="T263" s="87"/>
      <c r="U263" s="87"/>
      <c r="V263" s="87"/>
      <c r="W263" s="88"/>
      <c r="X263" s="87"/>
      <c r="Y263" s="87"/>
      <c r="Z263" s="87"/>
      <c r="AA263" s="88"/>
      <c r="AB263" s="88">
        <v>39.270000000000003</v>
      </c>
      <c r="AC263" s="88">
        <v>52.462499999999999</v>
      </c>
      <c r="AD263" s="88">
        <v>72.64</v>
      </c>
      <c r="AE263" s="89">
        <f t="shared" si="91"/>
        <v>1342.92</v>
      </c>
      <c r="AF263" s="90">
        <v>6.5000000000000002E-2</v>
      </c>
      <c r="AG263" s="4">
        <f t="shared" si="96"/>
        <v>87.289800000000014</v>
      </c>
      <c r="AH263" s="49">
        <f t="shared" si="92"/>
        <v>16.493400000000001</v>
      </c>
      <c r="AI263" s="89">
        <f t="shared" si="93"/>
        <v>1255.6302000000001</v>
      </c>
      <c r="AJ263" s="91">
        <v>0.18</v>
      </c>
      <c r="AK263" s="5">
        <f t="shared" si="94"/>
        <v>226.01343600000001</v>
      </c>
      <c r="AL263" s="89">
        <f t="shared" si="95"/>
        <v>1481.643636</v>
      </c>
      <c r="AP263" s="92"/>
    </row>
    <row r="264" spans="1:42" hidden="1" x14ac:dyDescent="0.35">
      <c r="A264" s="85">
        <v>46213</v>
      </c>
      <c r="B264" s="51" t="s">
        <v>85</v>
      </c>
      <c r="C264" s="97">
        <v>117984203.321429</v>
      </c>
      <c r="D264" s="97">
        <v>167669.20000000001</v>
      </c>
      <c r="E264" s="48" t="s">
        <v>86</v>
      </c>
      <c r="F264" s="86" t="s">
        <v>108</v>
      </c>
      <c r="G264" s="86" t="s">
        <v>352</v>
      </c>
      <c r="H264" s="86" t="s">
        <v>112</v>
      </c>
      <c r="I264" s="48" t="s">
        <v>358</v>
      </c>
      <c r="J264" s="52">
        <v>10</v>
      </c>
      <c r="K264" s="86">
        <v>10</v>
      </c>
      <c r="L264" s="86"/>
      <c r="M264" s="86"/>
      <c r="N264" s="104">
        <f t="shared" si="98"/>
        <v>10</v>
      </c>
      <c r="O264" s="86"/>
      <c r="P264" s="86"/>
      <c r="Q264" s="86"/>
      <c r="R264" s="104">
        <f t="shared" si="97"/>
        <v>0</v>
      </c>
      <c r="S264" s="86">
        <f t="shared" si="99"/>
        <v>20</v>
      </c>
      <c r="T264" s="87"/>
      <c r="U264" s="87"/>
      <c r="V264" s="87"/>
      <c r="W264" s="88"/>
      <c r="X264" s="87"/>
      <c r="Y264" s="87"/>
      <c r="Z264" s="87"/>
      <c r="AA264" s="88"/>
      <c r="AB264" s="88">
        <v>39.270000000000003</v>
      </c>
      <c r="AC264" s="88">
        <v>52.462499999999999</v>
      </c>
      <c r="AD264" s="88">
        <v>72.64</v>
      </c>
      <c r="AE264" s="89">
        <f t="shared" si="91"/>
        <v>2370.125</v>
      </c>
      <c r="AF264" s="90">
        <v>6.5000000000000002E-2</v>
      </c>
      <c r="AG264" s="4">
        <f t="shared" si="96"/>
        <v>154.05812500000002</v>
      </c>
      <c r="AH264" s="49">
        <f t="shared" si="92"/>
        <v>13.744500000000002</v>
      </c>
      <c r="AI264" s="89">
        <f t="shared" si="93"/>
        <v>2216.066875</v>
      </c>
      <c r="AJ264" s="91">
        <v>0.18</v>
      </c>
      <c r="AK264" s="5">
        <f t="shared" si="94"/>
        <v>398.89203749999996</v>
      </c>
      <c r="AL264" s="89">
        <f t="shared" si="95"/>
        <v>2614.9589124999998</v>
      </c>
      <c r="AP264" s="92"/>
    </row>
    <row r="265" spans="1:42" hidden="1" x14ac:dyDescent="0.35">
      <c r="A265" s="85">
        <v>46213</v>
      </c>
      <c r="B265" s="51" t="s">
        <v>85</v>
      </c>
      <c r="C265" s="97">
        <v>118454122.392857</v>
      </c>
      <c r="D265" s="97">
        <v>168334.9</v>
      </c>
      <c r="E265" s="48" t="s">
        <v>86</v>
      </c>
      <c r="F265" s="86" t="s">
        <v>108</v>
      </c>
      <c r="G265" s="86" t="s">
        <v>353</v>
      </c>
      <c r="H265" s="86" t="s">
        <v>112</v>
      </c>
      <c r="I265" s="48" t="s">
        <v>358</v>
      </c>
      <c r="J265" s="52"/>
      <c r="K265" s="86">
        <v>24</v>
      </c>
      <c r="L265" s="86"/>
      <c r="M265" s="86"/>
      <c r="N265" s="104">
        <f t="shared" si="98"/>
        <v>24</v>
      </c>
      <c r="O265" s="86">
        <v>24</v>
      </c>
      <c r="P265" s="86"/>
      <c r="Q265" s="86"/>
      <c r="R265" s="104">
        <f t="shared" si="97"/>
        <v>24</v>
      </c>
      <c r="S265" s="86">
        <f t="shared" si="99"/>
        <v>48</v>
      </c>
      <c r="T265" s="87"/>
      <c r="U265" s="87"/>
      <c r="V265" s="87"/>
      <c r="W265" s="88"/>
      <c r="X265" s="87"/>
      <c r="Y265" s="87"/>
      <c r="Z265" s="87"/>
      <c r="AA265" s="88"/>
      <c r="AB265" s="88">
        <v>39.270000000000003</v>
      </c>
      <c r="AC265" s="88">
        <v>52.462499999999999</v>
      </c>
      <c r="AD265" s="88">
        <v>72.64</v>
      </c>
      <c r="AE265" s="89">
        <f t="shared" si="91"/>
        <v>4745.82</v>
      </c>
      <c r="AF265" s="90">
        <v>6.5000000000000002E-2</v>
      </c>
      <c r="AG265" s="4">
        <f t="shared" si="96"/>
        <v>308.47829999999999</v>
      </c>
      <c r="AH265" s="49">
        <f t="shared" si="92"/>
        <v>0</v>
      </c>
      <c r="AI265" s="89">
        <f t="shared" si="93"/>
        <v>4437.3416999999999</v>
      </c>
      <c r="AJ265" s="91">
        <v>0.18</v>
      </c>
      <c r="AK265" s="5">
        <f t="shared" si="94"/>
        <v>798.72150599999998</v>
      </c>
      <c r="AL265" s="89">
        <f t="shared" si="95"/>
        <v>5236.0632059999998</v>
      </c>
      <c r="AP265" s="92"/>
    </row>
    <row r="266" spans="1:42" hidden="1" x14ac:dyDescent="0.35">
      <c r="A266" s="85">
        <v>46213</v>
      </c>
      <c r="B266" s="51" t="s">
        <v>85</v>
      </c>
      <c r="C266" s="97">
        <v>118924041.464286</v>
      </c>
      <c r="D266" s="97">
        <v>169000.6</v>
      </c>
      <c r="E266" s="48" t="s">
        <v>86</v>
      </c>
      <c r="F266" s="86" t="s">
        <v>108</v>
      </c>
      <c r="G266" s="86" t="s">
        <v>354</v>
      </c>
      <c r="H266" s="86" t="s">
        <v>112</v>
      </c>
      <c r="I266" s="48" t="s">
        <v>358</v>
      </c>
      <c r="J266" s="52"/>
      <c r="K266" s="86"/>
      <c r="L266" s="105"/>
      <c r="M266" s="86"/>
      <c r="N266" s="104">
        <f t="shared" si="98"/>
        <v>0</v>
      </c>
      <c r="O266" s="86">
        <v>5</v>
      </c>
      <c r="P266" s="86">
        <v>5</v>
      </c>
      <c r="Q266" s="86">
        <v>10</v>
      </c>
      <c r="R266" s="104">
        <f t="shared" si="97"/>
        <v>20</v>
      </c>
      <c r="S266" s="86">
        <f t="shared" si="99"/>
        <v>20</v>
      </c>
      <c r="T266" s="87"/>
      <c r="U266" s="87"/>
      <c r="V266" s="87"/>
      <c r="W266" s="88"/>
      <c r="X266" s="87"/>
      <c r="Y266" s="87"/>
      <c r="Z266" s="87"/>
      <c r="AA266" s="88"/>
      <c r="AB266" s="88">
        <v>39.270000000000003</v>
      </c>
      <c r="AC266" s="88">
        <v>52.462499999999999</v>
      </c>
      <c r="AD266" s="88">
        <v>72.64</v>
      </c>
      <c r="AE266" s="89">
        <f t="shared" si="91"/>
        <v>1452.8</v>
      </c>
      <c r="AF266" s="90">
        <v>6.5000000000000002E-2</v>
      </c>
      <c r="AG266" s="4">
        <f t="shared" si="96"/>
        <v>94.432000000000002</v>
      </c>
      <c r="AH266" s="49">
        <f t="shared" si="92"/>
        <v>0</v>
      </c>
      <c r="AI266" s="89">
        <f t="shared" si="93"/>
        <v>1358.3679999999999</v>
      </c>
      <c r="AJ266" s="91">
        <v>0.18</v>
      </c>
      <c r="AK266" s="5">
        <f t="shared" si="94"/>
        <v>244.50623999999999</v>
      </c>
      <c r="AL266" s="89">
        <f t="shared" si="95"/>
        <v>1602.8742399999999</v>
      </c>
      <c r="AP266" s="92"/>
    </row>
    <row r="267" spans="1:42" hidden="1" x14ac:dyDescent="0.35">
      <c r="A267" s="85">
        <v>46213</v>
      </c>
      <c r="B267" s="51" t="s">
        <v>85</v>
      </c>
      <c r="C267" s="97">
        <v>119393960.535714</v>
      </c>
      <c r="D267" s="97">
        <v>169666.3</v>
      </c>
      <c r="E267" s="48" t="s">
        <v>86</v>
      </c>
      <c r="F267" s="86" t="s">
        <v>108</v>
      </c>
      <c r="G267" s="86" t="s">
        <v>355</v>
      </c>
      <c r="H267" s="86" t="s">
        <v>112</v>
      </c>
      <c r="I267" s="48" t="s">
        <v>358</v>
      </c>
      <c r="J267" s="52">
        <v>20</v>
      </c>
      <c r="K267" s="105">
        <v>20</v>
      </c>
      <c r="L267" s="105">
        <v>20</v>
      </c>
      <c r="M267" s="105"/>
      <c r="N267" s="104">
        <f t="shared" si="98"/>
        <v>40</v>
      </c>
      <c r="O267" s="105">
        <v>10</v>
      </c>
      <c r="P267" s="105">
        <v>10</v>
      </c>
      <c r="Q267" s="86">
        <v>20</v>
      </c>
      <c r="R267" s="104">
        <f t="shared" si="97"/>
        <v>40</v>
      </c>
      <c r="S267" s="86">
        <f t="shared" si="99"/>
        <v>100</v>
      </c>
      <c r="T267" s="87"/>
      <c r="U267" s="87"/>
      <c r="V267" s="87"/>
      <c r="W267" s="88"/>
      <c r="X267" s="87"/>
      <c r="Y267" s="87"/>
      <c r="Z267" s="87"/>
      <c r="AA267" s="88"/>
      <c r="AB267" s="88">
        <v>39.270000000000003</v>
      </c>
      <c r="AC267" s="88">
        <v>52.462499999999999</v>
      </c>
      <c r="AD267" s="88">
        <v>72.64</v>
      </c>
      <c r="AE267" s="89">
        <f t="shared" si="91"/>
        <v>10147.9</v>
      </c>
      <c r="AF267" s="90">
        <v>6.5000000000000002E-2</v>
      </c>
      <c r="AG267" s="4">
        <f t="shared" si="96"/>
        <v>659.61350000000004</v>
      </c>
      <c r="AH267" s="49">
        <f t="shared" si="92"/>
        <v>27.489000000000004</v>
      </c>
      <c r="AI267" s="89">
        <f t="shared" si="93"/>
        <v>9488.2865000000002</v>
      </c>
      <c r="AJ267" s="91">
        <v>0.18</v>
      </c>
      <c r="AK267" s="5">
        <f t="shared" si="94"/>
        <v>1707.89157</v>
      </c>
      <c r="AL267" s="89">
        <f t="shared" si="95"/>
        <v>11196.17807</v>
      </c>
      <c r="AP267" s="92"/>
    </row>
    <row r="268" spans="1:42" hidden="1" x14ac:dyDescent="0.35">
      <c r="A268" s="85">
        <v>46213</v>
      </c>
      <c r="B268" s="51" t="s">
        <v>85</v>
      </c>
      <c r="C268" s="97">
        <v>119863879.607143</v>
      </c>
      <c r="D268" s="97">
        <v>170332</v>
      </c>
      <c r="E268" s="48" t="s">
        <v>86</v>
      </c>
      <c r="F268" s="86" t="s">
        <v>108</v>
      </c>
      <c r="G268" s="86" t="s">
        <v>356</v>
      </c>
      <c r="H268" s="86" t="s">
        <v>112</v>
      </c>
      <c r="I268" s="48" t="s">
        <v>358</v>
      </c>
      <c r="J268" s="52"/>
      <c r="K268" s="105"/>
      <c r="L268" s="105"/>
      <c r="M268" s="105"/>
      <c r="N268" s="104">
        <f t="shared" si="98"/>
        <v>0</v>
      </c>
      <c r="O268" s="86">
        <v>13</v>
      </c>
      <c r="P268" s="105">
        <v>13</v>
      </c>
      <c r="Q268" s="105">
        <v>14</v>
      </c>
      <c r="R268" s="104">
        <f t="shared" si="97"/>
        <v>40</v>
      </c>
      <c r="S268" s="86">
        <f t="shared" si="99"/>
        <v>40</v>
      </c>
      <c r="T268" s="87"/>
      <c r="U268" s="87"/>
      <c r="V268" s="87"/>
      <c r="W268" s="88"/>
      <c r="X268" s="87"/>
      <c r="Y268" s="87"/>
      <c r="Z268" s="87"/>
      <c r="AA268" s="88"/>
      <c r="AB268" s="88">
        <v>39.270000000000003</v>
      </c>
      <c r="AC268" s="88">
        <v>52.462499999999999</v>
      </c>
      <c r="AD268" s="88">
        <v>72.64</v>
      </c>
      <c r="AE268" s="89">
        <f t="shared" si="91"/>
        <v>2905.6</v>
      </c>
      <c r="AF268" s="90">
        <v>6.5000000000000002E-2</v>
      </c>
      <c r="AG268" s="4">
        <f t="shared" si="96"/>
        <v>188.864</v>
      </c>
      <c r="AH268" s="49">
        <f t="shared" si="92"/>
        <v>0</v>
      </c>
      <c r="AI268" s="89">
        <f t="shared" si="93"/>
        <v>2716.7359999999999</v>
      </c>
      <c r="AJ268" s="91">
        <v>0.18</v>
      </c>
      <c r="AK268" s="5">
        <f t="shared" si="94"/>
        <v>489.01247999999998</v>
      </c>
      <c r="AL268" s="89">
        <f t="shared" si="95"/>
        <v>3205.7484799999997</v>
      </c>
      <c r="AP268" s="92"/>
    </row>
    <row r="269" spans="1:42" hidden="1" x14ac:dyDescent="0.35">
      <c r="A269" s="85">
        <v>46213</v>
      </c>
      <c r="B269" s="51" t="s">
        <v>85</v>
      </c>
      <c r="C269" s="97">
        <v>120333798.678571</v>
      </c>
      <c r="D269" s="97">
        <v>170997.7</v>
      </c>
      <c r="E269" s="48" t="s">
        <v>86</v>
      </c>
      <c r="F269" s="86" t="s">
        <v>108</v>
      </c>
      <c r="G269" s="86" t="s">
        <v>360</v>
      </c>
      <c r="H269" s="86" t="s">
        <v>127</v>
      </c>
      <c r="I269" s="48" t="s">
        <v>366</v>
      </c>
      <c r="J269" s="52"/>
      <c r="K269" s="86"/>
      <c r="L269" s="105"/>
      <c r="M269" s="105"/>
      <c r="N269" s="104">
        <f t="shared" si="98"/>
        <v>0</v>
      </c>
      <c r="O269" s="105">
        <v>20</v>
      </c>
      <c r="P269" s="105">
        <v>20</v>
      </c>
      <c r="Q269" s="105">
        <v>40</v>
      </c>
      <c r="R269" s="104">
        <f t="shared" si="97"/>
        <v>80</v>
      </c>
      <c r="S269" s="86">
        <f t="shared" si="99"/>
        <v>80</v>
      </c>
      <c r="T269" s="87"/>
      <c r="U269" s="87"/>
      <c r="V269" s="87"/>
      <c r="W269" s="88"/>
      <c r="X269" s="87"/>
      <c r="Y269" s="87"/>
      <c r="Z269" s="87"/>
      <c r="AA269" s="88"/>
      <c r="AB269" s="88">
        <v>39.270000000000003</v>
      </c>
      <c r="AC269" s="88">
        <v>52.462499999999999</v>
      </c>
      <c r="AD269" s="88">
        <v>72.64</v>
      </c>
      <c r="AE269" s="89">
        <f t="shared" si="91"/>
        <v>5811.2</v>
      </c>
      <c r="AF269" s="90">
        <v>6.5000000000000002E-2</v>
      </c>
      <c r="AG269" s="4">
        <f t="shared" si="96"/>
        <v>377.72800000000001</v>
      </c>
      <c r="AH269" s="49">
        <f t="shared" si="92"/>
        <v>0</v>
      </c>
      <c r="AI269" s="89">
        <f t="shared" si="93"/>
        <v>5433.4719999999998</v>
      </c>
      <c r="AJ269" s="91">
        <v>0.18</v>
      </c>
      <c r="AK269" s="5">
        <f t="shared" si="94"/>
        <v>978.02495999999996</v>
      </c>
      <c r="AL269" s="89">
        <f t="shared" si="95"/>
        <v>6411.4969599999995</v>
      </c>
      <c r="AP269" s="92"/>
    </row>
    <row r="270" spans="1:42" hidden="1" x14ac:dyDescent="0.35">
      <c r="A270" s="85">
        <v>46213</v>
      </c>
      <c r="B270" s="51" t="s">
        <v>85</v>
      </c>
      <c r="C270" s="97">
        <v>120803717.75</v>
      </c>
      <c r="D270" s="97">
        <v>171663.4</v>
      </c>
      <c r="E270" s="48" t="s">
        <v>86</v>
      </c>
      <c r="F270" s="86" t="s">
        <v>108</v>
      </c>
      <c r="G270" s="86" t="s">
        <v>361</v>
      </c>
      <c r="H270" s="86" t="s">
        <v>127</v>
      </c>
      <c r="I270" s="48" t="s">
        <v>366</v>
      </c>
      <c r="J270" s="52"/>
      <c r="K270" s="105"/>
      <c r="L270" s="105"/>
      <c r="M270" s="105"/>
      <c r="N270" s="104">
        <f t="shared" si="98"/>
        <v>0</v>
      </c>
      <c r="O270" s="86">
        <v>12</v>
      </c>
      <c r="P270" s="86"/>
      <c r="Q270" s="86"/>
      <c r="R270" s="104">
        <f t="shared" si="97"/>
        <v>12</v>
      </c>
      <c r="S270" s="86">
        <f t="shared" si="99"/>
        <v>12</v>
      </c>
      <c r="T270" s="87"/>
      <c r="U270" s="87"/>
      <c r="V270" s="87"/>
      <c r="W270" s="88"/>
      <c r="X270" s="87"/>
      <c r="Y270" s="87"/>
      <c r="Z270" s="87"/>
      <c r="AA270" s="88"/>
      <c r="AB270" s="88">
        <v>39.270000000000003</v>
      </c>
      <c r="AC270" s="88">
        <v>52.462499999999999</v>
      </c>
      <c r="AD270" s="88">
        <v>72.64</v>
      </c>
      <c r="AE270" s="89">
        <f t="shared" si="91"/>
        <v>871.68000000000006</v>
      </c>
      <c r="AF270" s="90">
        <v>6.5000000000000002E-2</v>
      </c>
      <c r="AG270" s="4">
        <f t="shared" ref="AG270:AG325" si="100">AE270*AF270</f>
        <v>56.659200000000006</v>
      </c>
      <c r="AH270" s="49">
        <f t="shared" si="92"/>
        <v>0</v>
      </c>
      <c r="AI270" s="89">
        <f t="shared" si="93"/>
        <v>815.02080000000001</v>
      </c>
      <c r="AJ270" s="91">
        <v>0.18</v>
      </c>
      <c r="AK270" s="5">
        <f t="shared" si="94"/>
        <v>146.703744</v>
      </c>
      <c r="AL270" s="89">
        <f t="shared" si="95"/>
        <v>961.72454400000004</v>
      </c>
      <c r="AP270" s="92"/>
    </row>
    <row r="271" spans="1:42" hidden="1" x14ac:dyDescent="0.35">
      <c r="A271" s="85">
        <v>46213</v>
      </c>
      <c r="B271" s="51" t="s">
        <v>85</v>
      </c>
      <c r="C271" s="97">
        <v>121273636.821429</v>
      </c>
      <c r="D271" s="97">
        <v>172329.1</v>
      </c>
      <c r="E271" s="48" t="s">
        <v>86</v>
      </c>
      <c r="F271" s="86" t="s">
        <v>108</v>
      </c>
      <c r="G271" s="86" t="s">
        <v>158</v>
      </c>
      <c r="H271" s="86" t="s">
        <v>127</v>
      </c>
      <c r="I271" s="48" t="s">
        <v>366</v>
      </c>
      <c r="J271" s="52">
        <v>40</v>
      </c>
      <c r="K271" s="86"/>
      <c r="L271" s="86"/>
      <c r="M271" s="86"/>
      <c r="N271" s="104">
        <f t="shared" si="98"/>
        <v>0</v>
      </c>
      <c r="O271" s="86"/>
      <c r="P271" s="86"/>
      <c r="Q271" s="86"/>
      <c r="R271" s="104">
        <f t="shared" si="97"/>
        <v>0</v>
      </c>
      <c r="S271" s="86">
        <f t="shared" si="99"/>
        <v>40</v>
      </c>
      <c r="T271" s="87"/>
      <c r="U271" s="87"/>
      <c r="V271" s="87"/>
      <c r="W271" s="88"/>
      <c r="X271" s="87"/>
      <c r="Y271" s="87"/>
      <c r="Z271" s="87"/>
      <c r="AA271" s="88"/>
      <c r="AB271" s="88">
        <v>39.270000000000003</v>
      </c>
      <c r="AC271" s="88">
        <v>52.462499999999999</v>
      </c>
      <c r="AD271" s="88">
        <v>72.64</v>
      </c>
      <c r="AE271" s="89">
        <f t="shared" si="91"/>
        <v>4476.3999999999996</v>
      </c>
      <c r="AF271" s="90">
        <v>6.5000000000000002E-2</v>
      </c>
      <c r="AG271" s="4">
        <f t="shared" si="100"/>
        <v>290.96600000000001</v>
      </c>
      <c r="AH271" s="49">
        <f t="shared" si="92"/>
        <v>54.978000000000009</v>
      </c>
      <c r="AI271" s="89">
        <f t="shared" si="93"/>
        <v>4185.4339999999993</v>
      </c>
      <c r="AJ271" s="91">
        <v>0.18</v>
      </c>
      <c r="AK271" s="5">
        <f t="shared" si="94"/>
        <v>753.37811999999985</v>
      </c>
      <c r="AL271" s="89">
        <f t="shared" si="95"/>
        <v>4938.8121199999987</v>
      </c>
      <c r="AP271" s="92"/>
    </row>
    <row r="272" spans="1:42" hidden="1" x14ac:dyDescent="0.35">
      <c r="A272" s="85">
        <v>46213</v>
      </c>
      <c r="B272" s="51" t="s">
        <v>85</v>
      </c>
      <c r="C272" s="97">
        <v>121743555.892857</v>
      </c>
      <c r="D272" s="97">
        <v>172994.8</v>
      </c>
      <c r="E272" s="48" t="s">
        <v>86</v>
      </c>
      <c r="F272" s="86" t="s">
        <v>108</v>
      </c>
      <c r="G272" s="86" t="s">
        <v>362</v>
      </c>
      <c r="H272" s="86" t="s">
        <v>127</v>
      </c>
      <c r="I272" s="48" t="s">
        <v>366</v>
      </c>
      <c r="J272" s="52">
        <v>40</v>
      </c>
      <c r="K272" s="105"/>
      <c r="L272" s="105"/>
      <c r="M272" s="105"/>
      <c r="N272" s="104">
        <f t="shared" si="98"/>
        <v>0</v>
      </c>
      <c r="O272" s="86"/>
      <c r="P272" s="105"/>
      <c r="Q272" s="86"/>
      <c r="R272" s="104">
        <f t="shared" si="97"/>
        <v>0</v>
      </c>
      <c r="S272" s="86">
        <f t="shared" si="99"/>
        <v>40</v>
      </c>
      <c r="T272" s="87"/>
      <c r="U272" s="87"/>
      <c r="V272" s="87"/>
      <c r="W272" s="88"/>
      <c r="X272" s="87"/>
      <c r="Y272" s="87"/>
      <c r="Z272" s="87"/>
      <c r="AA272" s="88"/>
      <c r="AB272" s="88">
        <v>39.270000000000003</v>
      </c>
      <c r="AC272" s="88">
        <v>52.462499999999999</v>
      </c>
      <c r="AD272" s="88">
        <v>72.64</v>
      </c>
      <c r="AE272" s="89">
        <f t="shared" si="91"/>
        <v>4476.3999999999996</v>
      </c>
      <c r="AF272" s="90">
        <v>6.5000000000000002E-2</v>
      </c>
      <c r="AG272" s="4">
        <f t="shared" si="100"/>
        <v>290.96600000000001</v>
      </c>
      <c r="AH272" s="49">
        <f t="shared" si="92"/>
        <v>54.978000000000009</v>
      </c>
      <c r="AI272" s="89">
        <f t="shared" si="93"/>
        <v>4185.4339999999993</v>
      </c>
      <c r="AJ272" s="91">
        <v>0.18</v>
      </c>
      <c r="AK272" s="5">
        <f t="shared" si="94"/>
        <v>753.37811999999985</v>
      </c>
      <c r="AL272" s="89">
        <f t="shared" si="95"/>
        <v>4938.8121199999987</v>
      </c>
      <c r="AP272" s="92"/>
    </row>
    <row r="273" spans="1:42" hidden="1" x14ac:dyDescent="0.35">
      <c r="A273" s="85">
        <v>46213</v>
      </c>
      <c r="B273" s="51" t="s">
        <v>85</v>
      </c>
      <c r="C273" s="97">
        <v>122213474.964286</v>
      </c>
      <c r="D273" s="97">
        <v>173660.5</v>
      </c>
      <c r="E273" s="48" t="s">
        <v>86</v>
      </c>
      <c r="F273" s="86" t="s">
        <v>108</v>
      </c>
      <c r="G273" s="86" t="s">
        <v>363</v>
      </c>
      <c r="H273" s="86" t="s">
        <v>127</v>
      </c>
      <c r="I273" s="48" t="s">
        <v>366</v>
      </c>
      <c r="J273" s="52">
        <v>12</v>
      </c>
      <c r="K273" s="86"/>
      <c r="L273" s="105"/>
      <c r="M273" s="86"/>
      <c r="N273" s="104">
        <f t="shared" si="98"/>
        <v>0</v>
      </c>
      <c r="O273" s="105"/>
      <c r="P273" s="105"/>
      <c r="Q273" s="105"/>
      <c r="R273" s="104">
        <f t="shared" si="97"/>
        <v>0</v>
      </c>
      <c r="S273" s="86">
        <f t="shared" si="99"/>
        <v>12</v>
      </c>
      <c r="T273" s="87"/>
      <c r="U273" s="87"/>
      <c r="V273" s="87"/>
      <c r="W273" s="88"/>
      <c r="X273" s="87"/>
      <c r="Y273" s="87"/>
      <c r="Z273" s="87"/>
      <c r="AA273" s="88"/>
      <c r="AB273" s="88">
        <v>39.270000000000003</v>
      </c>
      <c r="AC273" s="88">
        <v>52.462499999999999</v>
      </c>
      <c r="AD273" s="88">
        <v>72.64</v>
      </c>
      <c r="AE273" s="89">
        <f t="shared" si="91"/>
        <v>1342.92</v>
      </c>
      <c r="AF273" s="90">
        <v>6.5000000000000002E-2</v>
      </c>
      <c r="AG273" s="4">
        <f t="shared" si="100"/>
        <v>87.289800000000014</v>
      </c>
      <c r="AH273" s="49">
        <f t="shared" si="92"/>
        <v>16.493400000000001</v>
      </c>
      <c r="AI273" s="89">
        <f t="shared" si="93"/>
        <v>1255.6302000000001</v>
      </c>
      <c r="AJ273" s="91">
        <v>0.18</v>
      </c>
      <c r="AK273" s="5">
        <f t="shared" si="94"/>
        <v>226.01343600000001</v>
      </c>
      <c r="AL273" s="89">
        <f t="shared" si="95"/>
        <v>1481.643636</v>
      </c>
      <c r="AP273" s="92"/>
    </row>
    <row r="274" spans="1:42" hidden="1" x14ac:dyDescent="0.35">
      <c r="A274" s="85">
        <v>46213</v>
      </c>
      <c r="B274" s="51" t="s">
        <v>85</v>
      </c>
      <c r="C274" s="97">
        <v>122683394.035714</v>
      </c>
      <c r="D274" s="97">
        <v>174326.2</v>
      </c>
      <c r="E274" s="48" t="s">
        <v>86</v>
      </c>
      <c r="F274" s="86" t="s">
        <v>109</v>
      </c>
      <c r="G274" s="86" t="s">
        <v>364</v>
      </c>
      <c r="H274" s="86" t="s">
        <v>127</v>
      </c>
      <c r="I274" s="48" t="s">
        <v>366</v>
      </c>
      <c r="J274" s="52">
        <v>20</v>
      </c>
      <c r="K274" s="86"/>
      <c r="L274" s="86"/>
      <c r="M274" s="105"/>
      <c r="N274" s="104">
        <f t="shared" si="98"/>
        <v>0</v>
      </c>
      <c r="O274" s="105"/>
      <c r="P274" s="105"/>
      <c r="Q274" s="105"/>
      <c r="R274" s="104">
        <f t="shared" si="97"/>
        <v>0</v>
      </c>
      <c r="S274" s="86">
        <f t="shared" si="99"/>
        <v>20</v>
      </c>
      <c r="T274" s="87"/>
      <c r="U274" s="87"/>
      <c r="V274" s="87"/>
      <c r="W274" s="88"/>
      <c r="X274" s="87"/>
      <c r="Y274" s="87"/>
      <c r="Z274" s="87"/>
      <c r="AA274" s="88"/>
      <c r="AB274" s="88">
        <v>39.270000000000003</v>
      </c>
      <c r="AC274" s="88">
        <v>52.462499999999999</v>
      </c>
      <c r="AD274" s="88">
        <v>72.64</v>
      </c>
      <c r="AE274" s="89">
        <f t="shared" si="91"/>
        <v>2238.1999999999998</v>
      </c>
      <c r="AF274" s="90">
        <v>6.5000000000000002E-2</v>
      </c>
      <c r="AG274" s="4">
        <f t="shared" si="100"/>
        <v>145.483</v>
      </c>
      <c r="AH274" s="49">
        <f t="shared" si="92"/>
        <v>27.489000000000004</v>
      </c>
      <c r="AI274" s="89">
        <f t="shared" si="93"/>
        <v>2092.7169999999996</v>
      </c>
      <c r="AJ274" s="91">
        <v>0.18</v>
      </c>
      <c r="AK274" s="5">
        <f t="shared" si="94"/>
        <v>376.68905999999993</v>
      </c>
      <c r="AL274" s="89">
        <f t="shared" si="95"/>
        <v>2469.4060599999993</v>
      </c>
      <c r="AP274" s="92"/>
    </row>
    <row r="275" spans="1:42" hidden="1" x14ac:dyDescent="0.35">
      <c r="A275" s="85">
        <v>46213</v>
      </c>
      <c r="B275" s="51" t="s">
        <v>85</v>
      </c>
      <c r="C275" s="97">
        <v>123153313.107143</v>
      </c>
      <c r="D275" s="97">
        <v>174991.9</v>
      </c>
      <c r="E275" s="48" t="s">
        <v>86</v>
      </c>
      <c r="F275" s="86" t="s">
        <v>108</v>
      </c>
      <c r="G275" s="86" t="s">
        <v>365</v>
      </c>
      <c r="H275" s="86" t="s">
        <v>127</v>
      </c>
      <c r="I275" s="48" t="s">
        <v>366</v>
      </c>
      <c r="J275" s="52">
        <v>40</v>
      </c>
      <c r="K275" s="105">
        <v>40</v>
      </c>
      <c r="L275" s="86">
        <v>40</v>
      </c>
      <c r="M275" s="86"/>
      <c r="N275" s="104">
        <f t="shared" si="98"/>
        <v>80</v>
      </c>
      <c r="O275" s="105">
        <v>40</v>
      </c>
      <c r="P275" s="105">
        <v>40</v>
      </c>
      <c r="Q275" s="105">
        <v>40</v>
      </c>
      <c r="R275" s="104">
        <f t="shared" si="97"/>
        <v>120</v>
      </c>
      <c r="S275" s="86">
        <f t="shared" si="99"/>
        <v>240</v>
      </c>
      <c r="T275" s="87"/>
      <c r="U275" s="87"/>
      <c r="V275" s="87"/>
      <c r="W275" s="88"/>
      <c r="X275" s="87"/>
      <c r="Y275" s="87"/>
      <c r="Z275" s="87"/>
      <c r="AA275" s="88"/>
      <c r="AB275" s="88">
        <v>39.270000000000003</v>
      </c>
      <c r="AC275" s="88">
        <v>52.462499999999999</v>
      </c>
      <c r="AD275" s="88">
        <v>72.64</v>
      </c>
      <c r="AE275" s="89">
        <f t="shared" ref="AE275:AE338" si="101">(J275*AB275)+(N275*AC275)+(AD275*S275)</f>
        <v>23201.399999999998</v>
      </c>
      <c r="AF275" s="90">
        <v>6.5000000000000002E-2</v>
      </c>
      <c r="AG275" s="4">
        <f t="shared" si="100"/>
        <v>1508.0909999999999</v>
      </c>
      <c r="AH275" s="49">
        <f t="shared" ref="AH275:AH338" si="102">(AB275*J275)*$AH$1</f>
        <v>54.978000000000009</v>
      </c>
      <c r="AI275" s="89">
        <f t="shared" ref="AI275:AI338" si="103">AE275-AG275</f>
        <v>21693.308999999997</v>
      </c>
      <c r="AJ275" s="91">
        <v>0.18</v>
      </c>
      <c r="AK275" s="5">
        <f t="shared" ref="AK275:AK338" si="104">AI275*AJ275</f>
        <v>3904.7956199999994</v>
      </c>
      <c r="AL275" s="89">
        <f t="shared" ref="AL275:AL338" si="105">AI275+AK275</f>
        <v>25598.104619999998</v>
      </c>
      <c r="AP275" s="92"/>
    </row>
    <row r="276" spans="1:42" hidden="1" x14ac:dyDescent="0.35">
      <c r="A276" s="85">
        <v>46213</v>
      </c>
      <c r="B276" s="51" t="s">
        <v>85</v>
      </c>
      <c r="C276" s="97">
        <v>123623232.178571</v>
      </c>
      <c r="D276" s="97">
        <v>175657.60000000001</v>
      </c>
      <c r="E276" s="48" t="s">
        <v>86</v>
      </c>
      <c r="F276" s="86" t="s">
        <v>108</v>
      </c>
      <c r="G276" s="86" t="s">
        <v>359</v>
      </c>
      <c r="H276" s="86" t="s">
        <v>127</v>
      </c>
      <c r="I276" s="48" t="s">
        <v>366</v>
      </c>
      <c r="J276" s="52">
        <v>6</v>
      </c>
      <c r="K276" s="86"/>
      <c r="L276" s="86"/>
      <c r="M276" s="105"/>
      <c r="N276" s="104">
        <f t="shared" si="98"/>
        <v>0</v>
      </c>
      <c r="O276" s="105"/>
      <c r="P276" s="105"/>
      <c r="Q276" s="105"/>
      <c r="R276" s="104">
        <f t="shared" si="97"/>
        <v>0</v>
      </c>
      <c r="S276" s="86">
        <f t="shared" si="99"/>
        <v>6</v>
      </c>
      <c r="T276" s="87"/>
      <c r="U276" s="87"/>
      <c r="V276" s="87"/>
      <c r="W276" s="88"/>
      <c r="X276" s="87"/>
      <c r="Y276" s="87"/>
      <c r="Z276" s="87"/>
      <c r="AA276" s="88"/>
      <c r="AB276" s="88">
        <v>39.270000000000003</v>
      </c>
      <c r="AC276" s="88">
        <v>52.462499999999999</v>
      </c>
      <c r="AD276" s="88">
        <v>72.64</v>
      </c>
      <c r="AE276" s="89">
        <f t="shared" si="101"/>
        <v>671.46</v>
      </c>
      <c r="AF276" s="90">
        <v>6.5000000000000002E-2</v>
      </c>
      <c r="AG276" s="4">
        <f t="shared" si="100"/>
        <v>43.644900000000007</v>
      </c>
      <c r="AH276" s="49">
        <f t="shared" si="102"/>
        <v>8.2467000000000006</v>
      </c>
      <c r="AI276" s="89">
        <f t="shared" si="103"/>
        <v>627.81510000000003</v>
      </c>
      <c r="AJ276" s="91">
        <v>0.18</v>
      </c>
      <c r="AK276" s="5">
        <f t="shared" si="104"/>
        <v>113.00671800000001</v>
      </c>
      <c r="AL276" s="89">
        <f t="shared" si="105"/>
        <v>740.82181800000001</v>
      </c>
      <c r="AP276" s="92"/>
    </row>
    <row r="277" spans="1:42" x14ac:dyDescent="0.35">
      <c r="A277" s="85">
        <v>46213</v>
      </c>
      <c r="B277" s="51" t="s">
        <v>85</v>
      </c>
      <c r="C277" s="97">
        <v>124093151.25</v>
      </c>
      <c r="D277" s="97">
        <v>176323.3</v>
      </c>
      <c r="E277" s="48" t="s">
        <v>86</v>
      </c>
      <c r="F277" s="86" t="s">
        <v>87</v>
      </c>
      <c r="G277" s="86" t="s">
        <v>368</v>
      </c>
      <c r="H277" s="86" t="s">
        <v>370</v>
      </c>
      <c r="I277" s="48" t="s">
        <v>369</v>
      </c>
      <c r="J277" s="52">
        <v>120</v>
      </c>
      <c r="K277" s="105"/>
      <c r="L277" s="105"/>
      <c r="M277" s="105"/>
      <c r="N277" s="104">
        <f t="shared" si="98"/>
        <v>0</v>
      </c>
      <c r="O277" s="86"/>
      <c r="P277" s="86"/>
      <c r="Q277" s="86"/>
      <c r="R277" s="104">
        <f t="shared" si="97"/>
        <v>0</v>
      </c>
      <c r="S277" s="86">
        <f t="shared" si="99"/>
        <v>120</v>
      </c>
      <c r="T277" s="87"/>
      <c r="U277" s="87"/>
      <c r="V277" s="87"/>
      <c r="W277" s="88"/>
      <c r="X277" s="87"/>
      <c r="Y277" s="87"/>
      <c r="Z277" s="87"/>
      <c r="AA277" s="88"/>
      <c r="AB277" s="88">
        <v>39.270000000000003</v>
      </c>
      <c r="AC277" s="88">
        <v>52.462499999999999</v>
      </c>
      <c r="AD277" s="88">
        <v>72.64</v>
      </c>
      <c r="AE277" s="89">
        <f t="shared" si="101"/>
        <v>13429.2</v>
      </c>
      <c r="AF277" s="90">
        <v>6.5000000000000002E-2</v>
      </c>
      <c r="AG277" s="4">
        <f t="shared" si="100"/>
        <v>872.89800000000002</v>
      </c>
      <c r="AH277" s="49">
        <f t="shared" si="102"/>
        <v>164.93400000000003</v>
      </c>
      <c r="AI277" s="89">
        <f t="shared" si="103"/>
        <v>12556.302000000001</v>
      </c>
      <c r="AJ277" s="91">
        <v>0.18</v>
      </c>
      <c r="AK277" s="5">
        <f t="shared" si="104"/>
        <v>2260.13436</v>
      </c>
      <c r="AL277" s="89">
        <f t="shared" si="105"/>
        <v>14816.436360000002</v>
      </c>
      <c r="AP277" s="92"/>
    </row>
    <row r="278" spans="1:42" hidden="1" x14ac:dyDescent="0.35">
      <c r="A278" s="85">
        <v>46213</v>
      </c>
      <c r="B278" s="51" t="s">
        <v>85</v>
      </c>
      <c r="C278" s="97">
        <v>124563070.321429</v>
      </c>
      <c r="D278" s="97">
        <v>176989</v>
      </c>
      <c r="E278" s="48" t="s">
        <v>86</v>
      </c>
      <c r="F278" s="86" t="s">
        <v>108</v>
      </c>
      <c r="G278" s="86" t="s">
        <v>177</v>
      </c>
      <c r="H278" s="86" t="s">
        <v>129</v>
      </c>
      <c r="I278" s="48" t="s">
        <v>371</v>
      </c>
      <c r="J278" s="52"/>
      <c r="K278" s="105"/>
      <c r="L278" s="105"/>
      <c r="M278" s="105"/>
      <c r="N278" s="104">
        <f t="shared" si="98"/>
        <v>0</v>
      </c>
      <c r="O278" s="86">
        <v>40</v>
      </c>
      <c r="P278" s="86"/>
      <c r="Q278" s="86"/>
      <c r="R278" s="104">
        <f t="shared" si="97"/>
        <v>40</v>
      </c>
      <c r="S278" s="86">
        <f t="shared" si="99"/>
        <v>40</v>
      </c>
      <c r="T278" s="87"/>
      <c r="U278" s="87"/>
      <c r="V278" s="87"/>
      <c r="W278" s="88"/>
      <c r="X278" s="87"/>
      <c r="Y278" s="87"/>
      <c r="Z278" s="87"/>
      <c r="AA278" s="88"/>
      <c r="AB278" s="88">
        <v>39.270000000000003</v>
      </c>
      <c r="AC278" s="88">
        <v>52.462499999999999</v>
      </c>
      <c r="AD278" s="88">
        <v>72.64</v>
      </c>
      <c r="AE278" s="89">
        <f t="shared" si="101"/>
        <v>2905.6</v>
      </c>
      <c r="AF278" s="90">
        <v>6.5000000000000002E-2</v>
      </c>
      <c r="AG278" s="4">
        <f t="shared" si="100"/>
        <v>188.864</v>
      </c>
      <c r="AH278" s="49">
        <f t="shared" si="102"/>
        <v>0</v>
      </c>
      <c r="AI278" s="89">
        <f t="shared" si="103"/>
        <v>2716.7359999999999</v>
      </c>
      <c r="AJ278" s="91">
        <v>0.18</v>
      </c>
      <c r="AK278" s="5">
        <f t="shared" si="104"/>
        <v>489.01247999999998</v>
      </c>
      <c r="AL278" s="89">
        <f t="shared" si="105"/>
        <v>3205.7484799999997</v>
      </c>
      <c r="AP278" s="92"/>
    </row>
    <row r="279" spans="1:42" hidden="1" x14ac:dyDescent="0.35">
      <c r="A279" s="85">
        <v>46214</v>
      </c>
      <c r="B279" s="51" t="s">
        <v>85</v>
      </c>
      <c r="C279" s="97">
        <v>125032989.392857</v>
      </c>
      <c r="D279" s="97">
        <v>177654.7</v>
      </c>
      <c r="E279" s="48" t="s">
        <v>86</v>
      </c>
      <c r="F279" s="86" t="s">
        <v>108</v>
      </c>
      <c r="G279" s="86" t="s">
        <v>372</v>
      </c>
      <c r="H279" s="86" t="s">
        <v>112</v>
      </c>
      <c r="I279" s="48" t="s">
        <v>385</v>
      </c>
      <c r="J279" s="52">
        <v>14</v>
      </c>
      <c r="K279" s="105">
        <v>13</v>
      </c>
      <c r="L279" s="105">
        <v>13</v>
      </c>
      <c r="M279" s="86"/>
      <c r="N279" s="104">
        <f t="shared" si="98"/>
        <v>26</v>
      </c>
      <c r="O279" s="86"/>
      <c r="P279" s="86"/>
      <c r="Q279" s="105"/>
      <c r="R279" s="104">
        <f t="shared" si="97"/>
        <v>0</v>
      </c>
      <c r="S279" s="86">
        <f t="shared" si="99"/>
        <v>40</v>
      </c>
      <c r="T279" s="87"/>
      <c r="U279" s="87"/>
      <c r="V279" s="87"/>
      <c r="W279" s="88"/>
      <c r="X279" s="87"/>
      <c r="Y279" s="87"/>
      <c r="Z279" s="87"/>
      <c r="AA279" s="88"/>
      <c r="AB279" s="88">
        <v>39.270000000000003</v>
      </c>
      <c r="AC279" s="88">
        <v>52.462499999999999</v>
      </c>
      <c r="AD279" s="88">
        <v>72.64</v>
      </c>
      <c r="AE279" s="89">
        <f t="shared" si="101"/>
        <v>4819.4049999999997</v>
      </c>
      <c r="AF279" s="90">
        <v>6.5000000000000002E-2</v>
      </c>
      <c r="AG279" s="4">
        <f t="shared" si="100"/>
        <v>313.261325</v>
      </c>
      <c r="AH279" s="49">
        <f t="shared" si="102"/>
        <v>19.242300000000004</v>
      </c>
      <c r="AI279" s="89">
        <f t="shared" si="103"/>
        <v>4506.1436749999993</v>
      </c>
      <c r="AJ279" s="91">
        <v>0.18</v>
      </c>
      <c r="AK279" s="5">
        <f t="shared" si="104"/>
        <v>811.10586149999983</v>
      </c>
      <c r="AL279" s="89">
        <f t="shared" si="105"/>
        <v>5317.2495364999995</v>
      </c>
      <c r="AP279" s="92"/>
    </row>
    <row r="280" spans="1:42" hidden="1" x14ac:dyDescent="0.35">
      <c r="A280" s="85">
        <v>46214</v>
      </c>
      <c r="B280" s="51" t="s">
        <v>85</v>
      </c>
      <c r="C280" s="97">
        <v>125502908.464286</v>
      </c>
      <c r="D280" s="97">
        <v>178320.4</v>
      </c>
      <c r="E280" s="48" t="s">
        <v>86</v>
      </c>
      <c r="F280" s="86" t="s">
        <v>108</v>
      </c>
      <c r="G280" s="86" t="s">
        <v>373</v>
      </c>
      <c r="H280" s="86" t="s">
        <v>112</v>
      </c>
      <c r="I280" s="48" t="s">
        <v>385</v>
      </c>
      <c r="J280" s="52">
        <v>12</v>
      </c>
      <c r="K280" s="86">
        <v>6</v>
      </c>
      <c r="L280" s="86">
        <v>6</v>
      </c>
      <c r="M280" s="86"/>
      <c r="N280" s="104">
        <f t="shared" si="98"/>
        <v>12</v>
      </c>
      <c r="O280" s="86">
        <v>6</v>
      </c>
      <c r="P280" s="86">
        <v>6</v>
      </c>
      <c r="Q280" s="86"/>
      <c r="R280" s="104">
        <f t="shared" si="97"/>
        <v>12</v>
      </c>
      <c r="S280" s="86">
        <f t="shared" si="99"/>
        <v>36</v>
      </c>
      <c r="T280" s="87"/>
      <c r="U280" s="87"/>
      <c r="V280" s="87"/>
      <c r="W280" s="88"/>
      <c r="X280" s="87"/>
      <c r="Y280" s="87"/>
      <c r="Z280" s="87"/>
      <c r="AA280" s="88"/>
      <c r="AB280" s="88">
        <v>39.270000000000003</v>
      </c>
      <c r="AC280" s="88">
        <v>52.462499999999999</v>
      </c>
      <c r="AD280" s="88">
        <v>72.64</v>
      </c>
      <c r="AE280" s="89">
        <f t="shared" si="101"/>
        <v>3715.83</v>
      </c>
      <c r="AF280" s="90">
        <v>6.5000000000000002E-2</v>
      </c>
      <c r="AG280" s="4">
        <f t="shared" si="100"/>
        <v>241.52895000000001</v>
      </c>
      <c r="AH280" s="49">
        <f t="shared" si="102"/>
        <v>16.493400000000001</v>
      </c>
      <c r="AI280" s="89">
        <f t="shared" si="103"/>
        <v>3474.30105</v>
      </c>
      <c r="AJ280" s="91">
        <v>0.18</v>
      </c>
      <c r="AK280" s="5">
        <f t="shared" si="104"/>
        <v>625.374189</v>
      </c>
      <c r="AL280" s="89">
        <f t="shared" si="105"/>
        <v>4099.6752390000001</v>
      </c>
      <c r="AP280" s="92"/>
    </row>
    <row r="281" spans="1:42" hidden="1" x14ac:dyDescent="0.35">
      <c r="A281" s="85">
        <v>46214</v>
      </c>
      <c r="B281" s="51" t="s">
        <v>85</v>
      </c>
      <c r="C281" s="97">
        <v>125972827.535714</v>
      </c>
      <c r="D281" s="97">
        <v>178986.1</v>
      </c>
      <c r="E281" s="48" t="s">
        <v>86</v>
      </c>
      <c r="F281" s="86" t="s">
        <v>108</v>
      </c>
      <c r="G281" s="86" t="s">
        <v>374</v>
      </c>
      <c r="H281" s="86" t="s">
        <v>112</v>
      </c>
      <c r="I281" s="48" t="s">
        <v>386</v>
      </c>
      <c r="J281" s="52">
        <v>20</v>
      </c>
      <c r="K281" s="105">
        <v>10</v>
      </c>
      <c r="L281" s="105">
        <v>10</v>
      </c>
      <c r="M281" s="105"/>
      <c r="N281" s="104">
        <f t="shared" si="98"/>
        <v>20</v>
      </c>
      <c r="O281" s="86"/>
      <c r="P281" s="86"/>
      <c r="Q281" s="86"/>
      <c r="R281" s="104">
        <f t="shared" si="97"/>
        <v>0</v>
      </c>
      <c r="S281" s="86">
        <f t="shared" si="99"/>
        <v>40</v>
      </c>
      <c r="T281" s="87"/>
      <c r="U281" s="87"/>
      <c r="V281" s="87"/>
      <c r="W281" s="88"/>
      <c r="X281" s="87"/>
      <c r="Y281" s="87"/>
      <c r="Z281" s="87"/>
      <c r="AA281" s="88"/>
      <c r="AB281" s="88">
        <v>39.270000000000003</v>
      </c>
      <c r="AC281" s="88">
        <v>52.462499999999999</v>
      </c>
      <c r="AD281" s="88">
        <v>72.64</v>
      </c>
      <c r="AE281" s="89">
        <f t="shared" si="101"/>
        <v>4740.25</v>
      </c>
      <c r="AF281" s="90">
        <v>6.5000000000000002E-2</v>
      </c>
      <c r="AG281" s="4">
        <f t="shared" si="100"/>
        <v>308.11625000000004</v>
      </c>
      <c r="AH281" s="49">
        <f t="shared" si="102"/>
        <v>27.489000000000004</v>
      </c>
      <c r="AI281" s="89">
        <f t="shared" si="103"/>
        <v>4432.13375</v>
      </c>
      <c r="AJ281" s="91">
        <v>0.18</v>
      </c>
      <c r="AK281" s="5">
        <f t="shared" si="104"/>
        <v>797.78407499999992</v>
      </c>
      <c r="AL281" s="89">
        <f t="shared" si="105"/>
        <v>5229.9178249999995</v>
      </c>
      <c r="AP281" s="92"/>
    </row>
    <row r="282" spans="1:42" hidden="1" x14ac:dyDescent="0.35">
      <c r="A282" s="85">
        <v>46214</v>
      </c>
      <c r="B282" s="51" t="s">
        <v>85</v>
      </c>
      <c r="C282" s="97">
        <v>126442746.607143</v>
      </c>
      <c r="D282" s="97">
        <v>179651.8</v>
      </c>
      <c r="E282" s="48" t="s">
        <v>86</v>
      </c>
      <c r="F282" s="86" t="s">
        <v>109</v>
      </c>
      <c r="G282" s="86" t="s">
        <v>375</v>
      </c>
      <c r="H282" s="86" t="s">
        <v>112</v>
      </c>
      <c r="I282" s="48" t="s">
        <v>152</v>
      </c>
      <c r="J282" s="52">
        <v>15</v>
      </c>
      <c r="K282" s="86"/>
      <c r="L282" s="86"/>
      <c r="M282" s="86"/>
      <c r="N282" s="104">
        <f t="shared" si="98"/>
        <v>0</v>
      </c>
      <c r="O282" s="86"/>
      <c r="P282" s="86"/>
      <c r="Q282" s="86"/>
      <c r="R282" s="104">
        <f t="shared" si="97"/>
        <v>0</v>
      </c>
      <c r="S282" s="86">
        <f t="shared" si="99"/>
        <v>15</v>
      </c>
      <c r="T282" s="87"/>
      <c r="U282" s="87"/>
      <c r="V282" s="87"/>
      <c r="W282" s="88"/>
      <c r="X282" s="87"/>
      <c r="Y282" s="87"/>
      <c r="Z282" s="87"/>
      <c r="AA282" s="88"/>
      <c r="AB282" s="88">
        <v>39.270000000000003</v>
      </c>
      <c r="AC282" s="88">
        <v>52.462499999999999</v>
      </c>
      <c r="AD282" s="88">
        <v>72.64</v>
      </c>
      <c r="AE282" s="89">
        <f t="shared" si="101"/>
        <v>1678.65</v>
      </c>
      <c r="AF282" s="90">
        <v>6.5000000000000002E-2</v>
      </c>
      <c r="AG282" s="4">
        <f t="shared" si="100"/>
        <v>109.11225</v>
      </c>
      <c r="AH282" s="49">
        <f t="shared" si="102"/>
        <v>20.616750000000003</v>
      </c>
      <c r="AI282" s="89">
        <f t="shared" si="103"/>
        <v>1569.5377500000002</v>
      </c>
      <c r="AJ282" s="91">
        <v>0.18</v>
      </c>
      <c r="AK282" s="5">
        <f t="shared" si="104"/>
        <v>282.516795</v>
      </c>
      <c r="AL282" s="89">
        <f t="shared" si="105"/>
        <v>1852.0545450000002</v>
      </c>
      <c r="AP282" s="92"/>
    </row>
    <row r="283" spans="1:42" hidden="1" x14ac:dyDescent="0.35">
      <c r="A283" s="85">
        <v>46214</v>
      </c>
      <c r="B283" s="51" t="s">
        <v>85</v>
      </c>
      <c r="C283" s="97">
        <v>126912665.678571</v>
      </c>
      <c r="D283" s="97">
        <v>180317.5</v>
      </c>
      <c r="E283" s="48" t="s">
        <v>86</v>
      </c>
      <c r="F283" s="86" t="s">
        <v>108</v>
      </c>
      <c r="G283" s="86" t="s">
        <v>376</v>
      </c>
      <c r="H283" s="86" t="s">
        <v>112</v>
      </c>
      <c r="I283" s="48" t="s">
        <v>152</v>
      </c>
      <c r="J283" s="52">
        <v>3</v>
      </c>
      <c r="K283" s="86">
        <v>3</v>
      </c>
      <c r="L283" s="86">
        <v>3</v>
      </c>
      <c r="M283" s="86"/>
      <c r="N283" s="104">
        <f t="shared" si="98"/>
        <v>6</v>
      </c>
      <c r="O283" s="105">
        <v>3</v>
      </c>
      <c r="P283" s="105">
        <v>3</v>
      </c>
      <c r="Q283" s="105">
        <v>3</v>
      </c>
      <c r="R283" s="104">
        <f t="shared" si="97"/>
        <v>9</v>
      </c>
      <c r="S283" s="86">
        <f t="shared" si="99"/>
        <v>18</v>
      </c>
      <c r="T283" s="87"/>
      <c r="U283" s="87"/>
      <c r="V283" s="87"/>
      <c r="W283" s="88"/>
      <c r="X283" s="87"/>
      <c r="Y283" s="87"/>
      <c r="Z283" s="87"/>
      <c r="AA283" s="88"/>
      <c r="AB283" s="88">
        <v>39.270000000000003</v>
      </c>
      <c r="AC283" s="88">
        <v>52.462499999999999</v>
      </c>
      <c r="AD283" s="88">
        <v>72.64</v>
      </c>
      <c r="AE283" s="89">
        <f t="shared" si="101"/>
        <v>1740.105</v>
      </c>
      <c r="AF283" s="90">
        <v>6.5000000000000002E-2</v>
      </c>
      <c r="AG283" s="4">
        <f t="shared" si="100"/>
        <v>113.106825</v>
      </c>
      <c r="AH283" s="49">
        <f t="shared" si="102"/>
        <v>4.1233500000000003</v>
      </c>
      <c r="AI283" s="89">
        <f t="shared" si="103"/>
        <v>1626.9981749999999</v>
      </c>
      <c r="AJ283" s="91">
        <v>0.18</v>
      </c>
      <c r="AK283" s="5">
        <f t="shared" si="104"/>
        <v>292.85967149999999</v>
      </c>
      <c r="AL283" s="89">
        <f t="shared" si="105"/>
        <v>1919.8578465000001</v>
      </c>
      <c r="AP283" s="92"/>
    </row>
    <row r="284" spans="1:42" hidden="1" x14ac:dyDescent="0.35">
      <c r="A284" s="85">
        <v>46214</v>
      </c>
      <c r="B284" s="51" t="s">
        <v>85</v>
      </c>
      <c r="C284" s="97">
        <v>127382584.75</v>
      </c>
      <c r="D284" s="97">
        <v>180983.2</v>
      </c>
      <c r="E284" s="48" t="s">
        <v>86</v>
      </c>
      <c r="F284" s="86" t="s">
        <v>109</v>
      </c>
      <c r="G284" s="86" t="s">
        <v>344</v>
      </c>
      <c r="H284" s="86" t="s">
        <v>112</v>
      </c>
      <c r="I284" s="48" t="s">
        <v>152</v>
      </c>
      <c r="J284" s="52"/>
      <c r="K284" s="86"/>
      <c r="L284" s="105"/>
      <c r="M284" s="86"/>
      <c r="N284" s="104">
        <f t="shared" si="98"/>
        <v>0</v>
      </c>
      <c r="O284" s="105">
        <v>40</v>
      </c>
      <c r="P284" s="105"/>
      <c r="Q284" s="105">
        <v>80</v>
      </c>
      <c r="R284" s="104">
        <f t="shared" si="97"/>
        <v>120</v>
      </c>
      <c r="S284" s="86">
        <f t="shared" si="99"/>
        <v>120</v>
      </c>
      <c r="T284" s="87"/>
      <c r="U284" s="87"/>
      <c r="V284" s="87"/>
      <c r="W284" s="88"/>
      <c r="X284" s="87"/>
      <c r="Y284" s="87"/>
      <c r="Z284" s="87"/>
      <c r="AA284" s="88"/>
      <c r="AB284" s="88">
        <v>39.270000000000003</v>
      </c>
      <c r="AC284" s="88">
        <v>52.462499999999999</v>
      </c>
      <c r="AD284" s="88">
        <v>72.64</v>
      </c>
      <c r="AE284" s="89">
        <f t="shared" si="101"/>
        <v>8716.7999999999993</v>
      </c>
      <c r="AF284" s="90">
        <v>6.5000000000000002E-2</v>
      </c>
      <c r="AG284" s="4">
        <f t="shared" si="100"/>
        <v>566.59199999999998</v>
      </c>
      <c r="AH284" s="49">
        <f t="shared" si="102"/>
        <v>0</v>
      </c>
      <c r="AI284" s="89">
        <f t="shared" si="103"/>
        <v>8150.2079999999996</v>
      </c>
      <c r="AJ284" s="91">
        <v>0.18</v>
      </c>
      <c r="AK284" s="5">
        <f t="shared" si="104"/>
        <v>1467.0374399999998</v>
      </c>
      <c r="AL284" s="89">
        <f t="shared" si="105"/>
        <v>9617.2454399999988</v>
      </c>
      <c r="AP284" s="92"/>
    </row>
    <row r="285" spans="1:42" hidden="1" x14ac:dyDescent="0.35">
      <c r="A285" s="85">
        <v>46214</v>
      </c>
      <c r="B285" s="51" t="s">
        <v>85</v>
      </c>
      <c r="C285" s="97">
        <v>127852503.821429</v>
      </c>
      <c r="D285" s="97">
        <v>181648.9</v>
      </c>
      <c r="E285" s="48" t="s">
        <v>86</v>
      </c>
      <c r="F285" s="86" t="s">
        <v>108</v>
      </c>
      <c r="G285" s="86" t="s">
        <v>377</v>
      </c>
      <c r="H285" s="86" t="s">
        <v>112</v>
      </c>
      <c r="I285" s="48" t="s">
        <v>371</v>
      </c>
      <c r="J285" s="52"/>
      <c r="K285" s="86">
        <v>20</v>
      </c>
      <c r="L285" s="86">
        <v>20</v>
      </c>
      <c r="M285" s="86"/>
      <c r="N285" s="104">
        <f t="shared" si="98"/>
        <v>40</v>
      </c>
      <c r="O285" s="105"/>
      <c r="P285" s="105"/>
      <c r="Q285" s="105"/>
      <c r="R285" s="104">
        <f t="shared" si="97"/>
        <v>0</v>
      </c>
      <c r="S285" s="86">
        <f t="shared" si="99"/>
        <v>40</v>
      </c>
      <c r="T285" s="87"/>
      <c r="U285" s="87"/>
      <c r="V285" s="87"/>
      <c r="W285" s="88"/>
      <c r="X285" s="87"/>
      <c r="Y285" s="87"/>
      <c r="Z285" s="87"/>
      <c r="AA285" s="88"/>
      <c r="AB285" s="88">
        <v>39.270000000000003</v>
      </c>
      <c r="AC285" s="88">
        <v>52.462499999999999</v>
      </c>
      <c r="AD285" s="88">
        <v>72.64</v>
      </c>
      <c r="AE285" s="89">
        <f t="shared" si="101"/>
        <v>5004.1000000000004</v>
      </c>
      <c r="AF285" s="90">
        <v>6.5000000000000002E-2</v>
      </c>
      <c r="AG285" s="4">
        <f t="shared" si="100"/>
        <v>325.26650000000001</v>
      </c>
      <c r="AH285" s="49">
        <f t="shared" si="102"/>
        <v>0</v>
      </c>
      <c r="AI285" s="89">
        <f t="shared" si="103"/>
        <v>4678.8335000000006</v>
      </c>
      <c r="AJ285" s="91">
        <v>0.18</v>
      </c>
      <c r="AK285" s="5">
        <f t="shared" si="104"/>
        <v>842.19003000000009</v>
      </c>
      <c r="AL285" s="89">
        <f t="shared" si="105"/>
        <v>5521.0235300000004</v>
      </c>
      <c r="AP285" s="92"/>
    </row>
    <row r="286" spans="1:42" hidden="1" x14ac:dyDescent="0.35">
      <c r="A286" s="85">
        <v>46214</v>
      </c>
      <c r="B286" s="51" t="s">
        <v>85</v>
      </c>
      <c r="C286" s="97">
        <v>128322422.892857</v>
      </c>
      <c r="D286" s="97">
        <v>182314.6</v>
      </c>
      <c r="E286" s="48" t="s">
        <v>86</v>
      </c>
      <c r="F286" s="86" t="s">
        <v>108</v>
      </c>
      <c r="G286" s="86" t="s">
        <v>378</v>
      </c>
      <c r="H286" s="86" t="s">
        <v>112</v>
      </c>
      <c r="I286" s="48" t="s">
        <v>152</v>
      </c>
      <c r="J286" s="52"/>
      <c r="K286" s="86"/>
      <c r="L286" s="86"/>
      <c r="M286" s="86"/>
      <c r="N286" s="104">
        <f t="shared" si="98"/>
        <v>0</v>
      </c>
      <c r="O286" s="86">
        <v>8</v>
      </c>
      <c r="P286" s="86">
        <v>8</v>
      </c>
      <c r="Q286" s="86">
        <v>24</v>
      </c>
      <c r="R286" s="104">
        <f t="shared" si="97"/>
        <v>40</v>
      </c>
      <c r="S286" s="86">
        <f t="shared" si="99"/>
        <v>40</v>
      </c>
      <c r="T286" s="87"/>
      <c r="U286" s="87"/>
      <c r="V286" s="87"/>
      <c r="W286" s="88"/>
      <c r="X286" s="87"/>
      <c r="Y286" s="87"/>
      <c r="Z286" s="87"/>
      <c r="AA286" s="88"/>
      <c r="AB286" s="88">
        <v>39.270000000000003</v>
      </c>
      <c r="AC286" s="88">
        <v>52.462499999999999</v>
      </c>
      <c r="AD286" s="88">
        <v>72.64</v>
      </c>
      <c r="AE286" s="89">
        <f t="shared" si="101"/>
        <v>2905.6</v>
      </c>
      <c r="AF286" s="90">
        <v>6.5000000000000002E-2</v>
      </c>
      <c r="AG286" s="4">
        <f t="shared" si="100"/>
        <v>188.864</v>
      </c>
      <c r="AH286" s="49">
        <f t="shared" si="102"/>
        <v>0</v>
      </c>
      <c r="AI286" s="89">
        <f t="shared" si="103"/>
        <v>2716.7359999999999</v>
      </c>
      <c r="AJ286" s="91">
        <v>0.18</v>
      </c>
      <c r="AK286" s="5">
        <f t="shared" si="104"/>
        <v>489.01247999999998</v>
      </c>
      <c r="AL286" s="89">
        <f t="shared" si="105"/>
        <v>3205.7484799999997</v>
      </c>
      <c r="AP286" s="92"/>
    </row>
    <row r="287" spans="1:42" hidden="1" x14ac:dyDescent="0.35">
      <c r="A287" s="85">
        <v>46214</v>
      </c>
      <c r="B287" s="51" t="s">
        <v>85</v>
      </c>
      <c r="C287" s="97">
        <v>128792341.964286</v>
      </c>
      <c r="D287" s="97">
        <v>182980.3</v>
      </c>
      <c r="E287" s="48" t="s">
        <v>86</v>
      </c>
      <c r="F287" s="86" t="s">
        <v>108</v>
      </c>
      <c r="G287" s="86" t="s">
        <v>379</v>
      </c>
      <c r="H287" s="86" t="s">
        <v>112</v>
      </c>
      <c r="I287" s="48" t="s">
        <v>387</v>
      </c>
      <c r="J287" s="52">
        <v>20</v>
      </c>
      <c r="K287" s="105">
        <v>20</v>
      </c>
      <c r="L287" s="105">
        <v>20</v>
      </c>
      <c r="M287" s="105"/>
      <c r="N287" s="104">
        <f t="shared" si="98"/>
        <v>40</v>
      </c>
      <c r="O287" s="86">
        <v>20</v>
      </c>
      <c r="P287" s="105">
        <v>20</v>
      </c>
      <c r="Q287" s="86">
        <v>20</v>
      </c>
      <c r="R287" s="104">
        <f t="shared" si="97"/>
        <v>60</v>
      </c>
      <c r="S287" s="86">
        <f t="shared" si="99"/>
        <v>120</v>
      </c>
      <c r="T287" s="87"/>
      <c r="U287" s="87"/>
      <c r="V287" s="87"/>
      <c r="W287" s="88"/>
      <c r="X287" s="87"/>
      <c r="Y287" s="87"/>
      <c r="Z287" s="87"/>
      <c r="AA287" s="88"/>
      <c r="AB287" s="88">
        <v>39.270000000000003</v>
      </c>
      <c r="AC287" s="88">
        <v>52.462499999999999</v>
      </c>
      <c r="AD287" s="88">
        <v>72.64</v>
      </c>
      <c r="AE287" s="89">
        <f t="shared" si="101"/>
        <v>11600.699999999999</v>
      </c>
      <c r="AF287" s="90">
        <v>6.5000000000000002E-2</v>
      </c>
      <c r="AG287" s="4">
        <f t="shared" si="100"/>
        <v>754.04549999999995</v>
      </c>
      <c r="AH287" s="49">
        <f t="shared" si="102"/>
        <v>27.489000000000004</v>
      </c>
      <c r="AI287" s="89">
        <f t="shared" si="103"/>
        <v>10846.654499999999</v>
      </c>
      <c r="AJ287" s="91">
        <v>0.18</v>
      </c>
      <c r="AK287" s="5">
        <f t="shared" si="104"/>
        <v>1952.3978099999997</v>
      </c>
      <c r="AL287" s="89">
        <f t="shared" si="105"/>
        <v>12799.052309999999</v>
      </c>
      <c r="AP287" s="92"/>
    </row>
    <row r="288" spans="1:42" hidden="1" x14ac:dyDescent="0.35">
      <c r="A288" s="85">
        <v>46214</v>
      </c>
      <c r="B288" s="51" t="s">
        <v>85</v>
      </c>
      <c r="C288" s="97">
        <v>129262261.035714</v>
      </c>
      <c r="D288" s="97">
        <v>183646</v>
      </c>
      <c r="E288" s="48" t="s">
        <v>86</v>
      </c>
      <c r="F288" s="86" t="s">
        <v>109</v>
      </c>
      <c r="G288" s="86" t="s">
        <v>380</v>
      </c>
      <c r="H288" s="86" t="s">
        <v>112</v>
      </c>
      <c r="I288" s="48" t="s">
        <v>388</v>
      </c>
      <c r="J288" s="52">
        <v>40</v>
      </c>
      <c r="K288" s="86">
        <v>10</v>
      </c>
      <c r="L288" s="86">
        <v>10</v>
      </c>
      <c r="M288" s="86"/>
      <c r="N288" s="104">
        <f t="shared" si="98"/>
        <v>20</v>
      </c>
      <c r="O288" s="86">
        <v>10</v>
      </c>
      <c r="P288" s="86">
        <v>10</v>
      </c>
      <c r="Q288" s="86">
        <v>10</v>
      </c>
      <c r="R288" s="104">
        <f t="shared" si="97"/>
        <v>30</v>
      </c>
      <c r="S288" s="86">
        <f t="shared" si="99"/>
        <v>90</v>
      </c>
      <c r="T288" s="87"/>
      <c r="U288" s="87"/>
      <c r="V288" s="87"/>
      <c r="W288" s="88"/>
      <c r="X288" s="87"/>
      <c r="Y288" s="87"/>
      <c r="Z288" s="87"/>
      <c r="AA288" s="88"/>
      <c r="AB288" s="88">
        <v>39.270000000000003</v>
      </c>
      <c r="AC288" s="88">
        <v>52.462499999999999</v>
      </c>
      <c r="AD288" s="88">
        <v>72.64</v>
      </c>
      <c r="AE288" s="89">
        <f t="shared" si="101"/>
        <v>9157.6500000000015</v>
      </c>
      <c r="AF288" s="90">
        <v>6.5000000000000002E-2</v>
      </c>
      <c r="AG288" s="4">
        <f t="shared" si="100"/>
        <v>595.24725000000012</v>
      </c>
      <c r="AH288" s="49">
        <f t="shared" si="102"/>
        <v>54.978000000000009</v>
      </c>
      <c r="AI288" s="89">
        <f t="shared" si="103"/>
        <v>8562.4027500000011</v>
      </c>
      <c r="AJ288" s="91">
        <v>0.18</v>
      </c>
      <c r="AK288" s="5">
        <f t="shared" si="104"/>
        <v>1541.2324950000002</v>
      </c>
      <c r="AL288" s="89">
        <f t="shared" si="105"/>
        <v>10103.635245000001</v>
      </c>
      <c r="AP288" s="92"/>
    </row>
    <row r="289" spans="1:42" hidden="1" x14ac:dyDescent="0.35">
      <c r="A289" s="85">
        <v>46214</v>
      </c>
      <c r="B289" s="51" t="s">
        <v>85</v>
      </c>
      <c r="C289" s="97">
        <v>129732180.107143</v>
      </c>
      <c r="D289" s="97">
        <v>184311.7</v>
      </c>
      <c r="E289" s="48" t="s">
        <v>86</v>
      </c>
      <c r="F289" s="86" t="s">
        <v>108</v>
      </c>
      <c r="G289" s="86" t="s">
        <v>381</v>
      </c>
      <c r="H289" s="86" t="s">
        <v>112</v>
      </c>
      <c r="I289" s="48" t="s">
        <v>389</v>
      </c>
      <c r="J289" s="52"/>
      <c r="K289" s="105"/>
      <c r="L289" s="105"/>
      <c r="M289" s="105"/>
      <c r="N289" s="104">
        <f t="shared" si="98"/>
        <v>0</v>
      </c>
      <c r="O289" s="86">
        <v>15</v>
      </c>
      <c r="P289" s="86">
        <v>10</v>
      </c>
      <c r="Q289" s="86">
        <v>15</v>
      </c>
      <c r="R289" s="104">
        <f t="shared" si="97"/>
        <v>40</v>
      </c>
      <c r="S289" s="86">
        <f t="shared" si="99"/>
        <v>40</v>
      </c>
      <c r="T289" s="87"/>
      <c r="U289" s="87"/>
      <c r="V289" s="87"/>
      <c r="W289" s="88"/>
      <c r="X289" s="87"/>
      <c r="Y289" s="87"/>
      <c r="Z289" s="87"/>
      <c r="AA289" s="88"/>
      <c r="AB289" s="88">
        <v>39.270000000000003</v>
      </c>
      <c r="AC289" s="88">
        <v>52.462499999999999</v>
      </c>
      <c r="AD289" s="88">
        <v>72.64</v>
      </c>
      <c r="AE289" s="89">
        <f t="shared" si="101"/>
        <v>2905.6</v>
      </c>
      <c r="AF289" s="90">
        <v>6.5000000000000002E-2</v>
      </c>
      <c r="AG289" s="4">
        <f t="shared" si="100"/>
        <v>188.864</v>
      </c>
      <c r="AH289" s="49">
        <f t="shared" si="102"/>
        <v>0</v>
      </c>
      <c r="AI289" s="89">
        <f t="shared" si="103"/>
        <v>2716.7359999999999</v>
      </c>
      <c r="AJ289" s="91">
        <v>0.18</v>
      </c>
      <c r="AK289" s="5">
        <f t="shared" si="104"/>
        <v>489.01247999999998</v>
      </c>
      <c r="AL289" s="89">
        <f t="shared" si="105"/>
        <v>3205.7484799999997</v>
      </c>
      <c r="AP289" s="92"/>
    </row>
    <row r="290" spans="1:42" hidden="1" x14ac:dyDescent="0.35">
      <c r="A290" s="85">
        <v>46214</v>
      </c>
      <c r="B290" s="51" t="s">
        <v>85</v>
      </c>
      <c r="C290" s="97">
        <v>130202099.178571</v>
      </c>
      <c r="D290" s="97">
        <v>184977.4</v>
      </c>
      <c r="E290" s="48" t="s">
        <v>86</v>
      </c>
      <c r="F290" s="86" t="s">
        <v>109</v>
      </c>
      <c r="G290" s="86" t="s">
        <v>382</v>
      </c>
      <c r="H290" s="86" t="s">
        <v>112</v>
      </c>
      <c r="I290" s="48" t="s">
        <v>390</v>
      </c>
      <c r="J290" s="52"/>
      <c r="K290" s="86"/>
      <c r="L290" s="86"/>
      <c r="M290" s="86"/>
      <c r="N290" s="104">
        <f t="shared" si="98"/>
        <v>0</v>
      </c>
      <c r="O290" s="105">
        <v>15</v>
      </c>
      <c r="P290" s="105">
        <v>10</v>
      </c>
      <c r="Q290" s="105">
        <v>15</v>
      </c>
      <c r="R290" s="104">
        <f t="shared" si="97"/>
        <v>40</v>
      </c>
      <c r="S290" s="86">
        <f t="shared" si="99"/>
        <v>40</v>
      </c>
      <c r="T290" s="87"/>
      <c r="U290" s="87"/>
      <c r="V290" s="87"/>
      <c r="W290" s="88"/>
      <c r="X290" s="87"/>
      <c r="Y290" s="87"/>
      <c r="Z290" s="87"/>
      <c r="AA290" s="88"/>
      <c r="AB290" s="88">
        <v>39.270000000000003</v>
      </c>
      <c r="AC290" s="88">
        <v>52.462499999999999</v>
      </c>
      <c r="AD290" s="88">
        <v>72.64</v>
      </c>
      <c r="AE290" s="89">
        <f t="shared" si="101"/>
        <v>2905.6</v>
      </c>
      <c r="AF290" s="90">
        <v>6.5000000000000002E-2</v>
      </c>
      <c r="AG290" s="4">
        <f t="shared" si="100"/>
        <v>188.864</v>
      </c>
      <c r="AH290" s="49">
        <f t="shared" si="102"/>
        <v>0</v>
      </c>
      <c r="AI290" s="89">
        <f t="shared" si="103"/>
        <v>2716.7359999999999</v>
      </c>
      <c r="AJ290" s="91">
        <v>0.18</v>
      </c>
      <c r="AK290" s="5">
        <f t="shared" si="104"/>
        <v>489.01247999999998</v>
      </c>
      <c r="AL290" s="89">
        <f t="shared" si="105"/>
        <v>3205.7484799999997</v>
      </c>
      <c r="AP290" s="92"/>
    </row>
    <row r="291" spans="1:42" hidden="1" x14ac:dyDescent="0.35">
      <c r="A291" s="85">
        <v>46214</v>
      </c>
      <c r="B291" s="51" t="s">
        <v>85</v>
      </c>
      <c r="C291" s="97">
        <v>130672018.25</v>
      </c>
      <c r="D291" s="97">
        <v>185643.1</v>
      </c>
      <c r="E291" s="48" t="s">
        <v>86</v>
      </c>
      <c r="F291" s="86" t="s">
        <v>108</v>
      </c>
      <c r="G291" s="86" t="s">
        <v>383</v>
      </c>
      <c r="H291" s="86" t="s">
        <v>112</v>
      </c>
      <c r="I291" s="48" t="s">
        <v>390</v>
      </c>
      <c r="J291" s="52"/>
      <c r="K291" s="86"/>
      <c r="L291" s="105"/>
      <c r="M291" s="105"/>
      <c r="N291" s="104">
        <f t="shared" si="98"/>
        <v>0</v>
      </c>
      <c r="O291" s="86">
        <v>6</v>
      </c>
      <c r="P291" s="86">
        <v>6</v>
      </c>
      <c r="Q291" s="86">
        <v>8</v>
      </c>
      <c r="R291" s="104">
        <f t="shared" si="97"/>
        <v>20</v>
      </c>
      <c r="S291" s="86">
        <f t="shared" si="99"/>
        <v>20</v>
      </c>
      <c r="T291" s="87"/>
      <c r="U291" s="87"/>
      <c r="V291" s="87"/>
      <c r="W291" s="88"/>
      <c r="X291" s="87"/>
      <c r="Y291" s="87"/>
      <c r="Z291" s="87"/>
      <c r="AA291" s="88"/>
      <c r="AB291" s="88">
        <v>39.270000000000003</v>
      </c>
      <c r="AC291" s="88">
        <v>52.462499999999999</v>
      </c>
      <c r="AD291" s="88">
        <v>72.64</v>
      </c>
      <c r="AE291" s="89">
        <f t="shared" si="101"/>
        <v>1452.8</v>
      </c>
      <c r="AF291" s="90">
        <v>6.5000000000000002E-2</v>
      </c>
      <c r="AG291" s="4">
        <f t="shared" si="100"/>
        <v>94.432000000000002</v>
      </c>
      <c r="AH291" s="49">
        <f t="shared" si="102"/>
        <v>0</v>
      </c>
      <c r="AI291" s="89">
        <f t="shared" si="103"/>
        <v>1358.3679999999999</v>
      </c>
      <c r="AJ291" s="91">
        <v>0.18</v>
      </c>
      <c r="AK291" s="5">
        <f t="shared" si="104"/>
        <v>244.50623999999999</v>
      </c>
      <c r="AL291" s="89">
        <f t="shared" si="105"/>
        <v>1602.8742399999999</v>
      </c>
      <c r="AP291" s="92"/>
    </row>
    <row r="292" spans="1:42" hidden="1" x14ac:dyDescent="0.35">
      <c r="A292" s="85">
        <v>46214</v>
      </c>
      <c r="B292" s="51" t="s">
        <v>85</v>
      </c>
      <c r="C292" s="97">
        <v>131141937.321429</v>
      </c>
      <c r="D292" s="97">
        <v>186308.8</v>
      </c>
      <c r="E292" s="48" t="s">
        <v>86</v>
      </c>
      <c r="F292" s="86" t="s">
        <v>109</v>
      </c>
      <c r="G292" s="86" t="s">
        <v>384</v>
      </c>
      <c r="H292" s="86" t="s">
        <v>112</v>
      </c>
      <c r="I292" s="48" t="s">
        <v>391</v>
      </c>
      <c r="J292" s="52"/>
      <c r="K292" s="86"/>
      <c r="L292" s="86"/>
      <c r="M292" s="86"/>
      <c r="N292" s="104">
        <f t="shared" si="98"/>
        <v>0</v>
      </c>
      <c r="O292" s="86">
        <v>15</v>
      </c>
      <c r="P292" s="86">
        <v>10</v>
      </c>
      <c r="Q292" s="86">
        <v>15</v>
      </c>
      <c r="R292" s="104">
        <f t="shared" si="97"/>
        <v>40</v>
      </c>
      <c r="S292" s="86">
        <f t="shared" si="99"/>
        <v>40</v>
      </c>
      <c r="T292" s="87"/>
      <c r="U292" s="87"/>
      <c r="V292" s="87"/>
      <c r="W292" s="88"/>
      <c r="X292" s="87"/>
      <c r="Y292" s="87"/>
      <c r="Z292" s="87"/>
      <c r="AA292" s="88"/>
      <c r="AB292" s="88">
        <v>39.270000000000003</v>
      </c>
      <c r="AC292" s="88">
        <v>52.462499999999999</v>
      </c>
      <c r="AD292" s="88">
        <v>72.64</v>
      </c>
      <c r="AE292" s="89">
        <f t="shared" si="101"/>
        <v>2905.6</v>
      </c>
      <c r="AF292" s="90">
        <v>6.5000000000000002E-2</v>
      </c>
      <c r="AG292" s="4">
        <f t="shared" si="100"/>
        <v>188.864</v>
      </c>
      <c r="AH292" s="49">
        <f t="shared" si="102"/>
        <v>0</v>
      </c>
      <c r="AI292" s="89">
        <f t="shared" si="103"/>
        <v>2716.7359999999999</v>
      </c>
      <c r="AJ292" s="91">
        <v>0.18</v>
      </c>
      <c r="AK292" s="5">
        <f t="shared" si="104"/>
        <v>489.01247999999998</v>
      </c>
      <c r="AL292" s="89">
        <f t="shared" si="105"/>
        <v>3205.7484799999997</v>
      </c>
      <c r="AP292" s="92"/>
    </row>
    <row r="293" spans="1:42" hidden="1" x14ac:dyDescent="0.35">
      <c r="A293" s="85">
        <v>46214</v>
      </c>
      <c r="B293" s="51" t="s">
        <v>85</v>
      </c>
      <c r="C293" s="97">
        <v>131611856.392857</v>
      </c>
      <c r="D293" s="97">
        <v>186974.5</v>
      </c>
      <c r="E293" s="48" t="s">
        <v>86</v>
      </c>
      <c r="F293" s="86" t="s">
        <v>108</v>
      </c>
      <c r="G293" s="86" t="s">
        <v>392</v>
      </c>
      <c r="H293" s="86" t="s">
        <v>127</v>
      </c>
      <c r="I293" s="48" t="s">
        <v>218</v>
      </c>
      <c r="J293" s="52"/>
      <c r="K293" s="86">
        <v>10</v>
      </c>
      <c r="L293" s="105">
        <v>10</v>
      </c>
      <c r="M293" s="86"/>
      <c r="N293" s="104">
        <f t="shared" si="98"/>
        <v>20</v>
      </c>
      <c r="O293" s="86"/>
      <c r="P293" s="105"/>
      <c r="Q293" s="86"/>
      <c r="R293" s="104">
        <f t="shared" si="97"/>
        <v>0</v>
      </c>
      <c r="S293" s="86">
        <f t="shared" si="99"/>
        <v>20</v>
      </c>
      <c r="T293" s="87"/>
      <c r="U293" s="87"/>
      <c r="V293" s="87"/>
      <c r="W293" s="88"/>
      <c r="X293" s="87"/>
      <c r="Y293" s="87"/>
      <c r="Z293" s="87"/>
      <c r="AA293" s="88"/>
      <c r="AB293" s="88">
        <v>39.270000000000003</v>
      </c>
      <c r="AC293" s="88">
        <v>52.462499999999999</v>
      </c>
      <c r="AD293" s="88">
        <v>72.64</v>
      </c>
      <c r="AE293" s="89">
        <f t="shared" si="101"/>
        <v>2502.0500000000002</v>
      </c>
      <c r="AF293" s="90">
        <v>6.5000000000000002E-2</v>
      </c>
      <c r="AG293" s="4">
        <f t="shared" si="100"/>
        <v>162.63325</v>
      </c>
      <c r="AH293" s="49">
        <f t="shared" si="102"/>
        <v>0</v>
      </c>
      <c r="AI293" s="89">
        <f t="shared" si="103"/>
        <v>2339.4167500000003</v>
      </c>
      <c r="AJ293" s="91">
        <v>0.18</v>
      </c>
      <c r="AK293" s="5">
        <f t="shared" si="104"/>
        <v>421.09501500000005</v>
      </c>
      <c r="AL293" s="89">
        <f t="shared" si="105"/>
        <v>2760.5117650000002</v>
      </c>
      <c r="AP293" s="92"/>
    </row>
    <row r="294" spans="1:42" hidden="1" x14ac:dyDescent="0.35">
      <c r="A294" s="85">
        <v>46214</v>
      </c>
      <c r="B294" s="51" t="s">
        <v>85</v>
      </c>
      <c r="C294" s="97">
        <v>132081775.464286</v>
      </c>
      <c r="D294" s="97">
        <v>187640.2</v>
      </c>
      <c r="E294" s="48" t="s">
        <v>86</v>
      </c>
      <c r="F294" s="86" t="s">
        <v>108</v>
      </c>
      <c r="G294" s="86" t="s">
        <v>211</v>
      </c>
      <c r="H294" s="86" t="s">
        <v>127</v>
      </c>
      <c r="I294" s="48" t="s">
        <v>218</v>
      </c>
      <c r="J294" s="52">
        <v>80</v>
      </c>
      <c r="K294" s="86">
        <v>80</v>
      </c>
      <c r="L294" s="86">
        <v>80</v>
      </c>
      <c r="M294" s="86"/>
      <c r="N294" s="104">
        <f t="shared" si="98"/>
        <v>160</v>
      </c>
      <c r="O294" s="86"/>
      <c r="P294" s="86">
        <v>40</v>
      </c>
      <c r="Q294" s="86">
        <v>40</v>
      </c>
      <c r="R294" s="104">
        <f t="shared" si="97"/>
        <v>80</v>
      </c>
      <c r="S294" s="86">
        <f t="shared" si="99"/>
        <v>320</v>
      </c>
      <c r="T294" s="87"/>
      <c r="U294" s="87"/>
      <c r="V294" s="87"/>
      <c r="W294" s="88"/>
      <c r="X294" s="87"/>
      <c r="Y294" s="87"/>
      <c r="Z294" s="87"/>
      <c r="AA294" s="88"/>
      <c r="AB294" s="88">
        <v>39.270000000000003</v>
      </c>
      <c r="AC294" s="88">
        <v>52.462499999999999</v>
      </c>
      <c r="AD294" s="88">
        <v>72.64</v>
      </c>
      <c r="AE294" s="89">
        <f t="shared" si="101"/>
        <v>34780.400000000001</v>
      </c>
      <c r="AF294" s="90">
        <v>6.5000000000000002E-2</v>
      </c>
      <c r="AG294" s="4">
        <f t="shared" si="100"/>
        <v>2260.7260000000001</v>
      </c>
      <c r="AH294" s="49">
        <f t="shared" si="102"/>
        <v>109.95600000000002</v>
      </c>
      <c r="AI294" s="89">
        <f t="shared" si="103"/>
        <v>32519.674000000003</v>
      </c>
      <c r="AJ294" s="91">
        <v>0.18</v>
      </c>
      <c r="AK294" s="5">
        <f t="shared" si="104"/>
        <v>5853.5413200000003</v>
      </c>
      <c r="AL294" s="89">
        <f t="shared" si="105"/>
        <v>38373.215320000003</v>
      </c>
      <c r="AP294" s="92"/>
    </row>
    <row r="295" spans="1:42" hidden="1" x14ac:dyDescent="0.35">
      <c r="A295" s="85">
        <v>46214</v>
      </c>
      <c r="B295" s="51" t="s">
        <v>85</v>
      </c>
      <c r="C295" s="97">
        <v>132551694.535714</v>
      </c>
      <c r="D295" s="97">
        <v>188305.9</v>
      </c>
      <c r="E295" s="48" t="s">
        <v>86</v>
      </c>
      <c r="F295" s="86" t="s">
        <v>108</v>
      </c>
      <c r="G295" s="86" t="s">
        <v>393</v>
      </c>
      <c r="H295" s="86" t="s">
        <v>127</v>
      </c>
      <c r="I295" s="48" t="s">
        <v>218</v>
      </c>
      <c r="J295" s="52"/>
      <c r="K295" s="86"/>
      <c r="L295" s="105"/>
      <c r="M295" s="86"/>
      <c r="N295" s="104">
        <f t="shared" si="98"/>
        <v>0</v>
      </c>
      <c r="O295" s="86"/>
      <c r="P295" s="86">
        <v>10</v>
      </c>
      <c r="Q295" s="86">
        <v>10</v>
      </c>
      <c r="R295" s="104">
        <f t="shared" si="97"/>
        <v>20</v>
      </c>
      <c r="S295" s="86">
        <f t="shared" si="99"/>
        <v>20</v>
      </c>
      <c r="T295" s="87"/>
      <c r="U295" s="87"/>
      <c r="V295" s="87"/>
      <c r="W295" s="88"/>
      <c r="X295" s="87"/>
      <c r="Y295" s="87"/>
      <c r="Z295" s="87"/>
      <c r="AA295" s="88"/>
      <c r="AB295" s="88">
        <v>39.270000000000003</v>
      </c>
      <c r="AC295" s="88">
        <v>52.462499999999999</v>
      </c>
      <c r="AD295" s="88">
        <v>72.64</v>
      </c>
      <c r="AE295" s="89">
        <f t="shared" si="101"/>
        <v>1452.8</v>
      </c>
      <c r="AF295" s="90">
        <v>6.5000000000000002E-2</v>
      </c>
      <c r="AG295" s="4">
        <f t="shared" si="100"/>
        <v>94.432000000000002</v>
      </c>
      <c r="AH295" s="49">
        <f t="shared" si="102"/>
        <v>0</v>
      </c>
      <c r="AI295" s="89">
        <f t="shared" si="103"/>
        <v>1358.3679999999999</v>
      </c>
      <c r="AJ295" s="91">
        <v>0.18</v>
      </c>
      <c r="AK295" s="5">
        <f t="shared" si="104"/>
        <v>244.50623999999999</v>
      </c>
      <c r="AL295" s="89">
        <f t="shared" si="105"/>
        <v>1602.8742399999999</v>
      </c>
      <c r="AP295" s="92"/>
    </row>
    <row r="296" spans="1:42" hidden="1" x14ac:dyDescent="0.35">
      <c r="A296" s="85">
        <v>46214</v>
      </c>
      <c r="B296" s="51" t="s">
        <v>85</v>
      </c>
      <c r="C296" s="97">
        <v>133021613.607143</v>
      </c>
      <c r="D296" s="97">
        <v>188971.6</v>
      </c>
      <c r="E296" s="48" t="s">
        <v>86</v>
      </c>
      <c r="F296" s="86" t="s">
        <v>109</v>
      </c>
      <c r="G296" s="86" t="s">
        <v>394</v>
      </c>
      <c r="H296" s="86" t="s">
        <v>127</v>
      </c>
      <c r="I296" s="48" t="s">
        <v>218</v>
      </c>
      <c r="J296" s="52"/>
      <c r="K296" s="86"/>
      <c r="L296" s="86"/>
      <c r="M296" s="86"/>
      <c r="N296" s="104">
        <f t="shared" si="98"/>
        <v>0</v>
      </c>
      <c r="O296" s="86">
        <v>12</v>
      </c>
      <c r="P296" s="105">
        <v>12</v>
      </c>
      <c r="Q296" s="86"/>
      <c r="R296" s="104">
        <f t="shared" si="97"/>
        <v>24</v>
      </c>
      <c r="S296" s="86">
        <f t="shared" si="99"/>
        <v>24</v>
      </c>
      <c r="T296" s="87"/>
      <c r="U296" s="87"/>
      <c r="V296" s="87"/>
      <c r="W296" s="88"/>
      <c r="X296" s="87"/>
      <c r="Y296" s="87"/>
      <c r="Z296" s="87"/>
      <c r="AA296" s="88"/>
      <c r="AB296" s="88">
        <v>39.270000000000003</v>
      </c>
      <c r="AC296" s="88">
        <v>52.462499999999999</v>
      </c>
      <c r="AD296" s="88">
        <v>72.64</v>
      </c>
      <c r="AE296" s="89">
        <f t="shared" si="101"/>
        <v>1743.3600000000001</v>
      </c>
      <c r="AF296" s="90">
        <v>6.5000000000000002E-2</v>
      </c>
      <c r="AG296" s="4">
        <f t="shared" si="100"/>
        <v>113.31840000000001</v>
      </c>
      <c r="AH296" s="49">
        <f t="shared" si="102"/>
        <v>0</v>
      </c>
      <c r="AI296" s="89">
        <f t="shared" si="103"/>
        <v>1630.0416</v>
      </c>
      <c r="AJ296" s="91">
        <v>0.18</v>
      </c>
      <c r="AK296" s="5">
        <f t="shared" si="104"/>
        <v>293.407488</v>
      </c>
      <c r="AL296" s="89">
        <f t="shared" si="105"/>
        <v>1923.4490880000001</v>
      </c>
      <c r="AP296" s="92"/>
    </row>
    <row r="297" spans="1:42" hidden="1" x14ac:dyDescent="0.35">
      <c r="A297" s="85">
        <v>46214</v>
      </c>
      <c r="B297" s="51" t="s">
        <v>85</v>
      </c>
      <c r="C297" s="97">
        <v>133491532.678571</v>
      </c>
      <c r="D297" s="97">
        <v>189637.3</v>
      </c>
      <c r="E297" s="48" t="s">
        <v>86</v>
      </c>
      <c r="F297" s="86" t="s">
        <v>109</v>
      </c>
      <c r="G297" s="86" t="s">
        <v>395</v>
      </c>
      <c r="H297" s="86" t="s">
        <v>127</v>
      </c>
      <c r="I297" s="48" t="s">
        <v>218</v>
      </c>
      <c r="J297" s="52">
        <v>20</v>
      </c>
      <c r="K297" s="86">
        <v>12</v>
      </c>
      <c r="L297" s="86">
        <v>12</v>
      </c>
      <c r="M297" s="86"/>
      <c r="N297" s="104">
        <f t="shared" si="98"/>
        <v>24</v>
      </c>
      <c r="O297" s="86"/>
      <c r="P297" s="86"/>
      <c r="Q297" s="86">
        <v>12</v>
      </c>
      <c r="R297" s="104">
        <f t="shared" si="97"/>
        <v>12</v>
      </c>
      <c r="S297" s="86">
        <f t="shared" si="99"/>
        <v>56</v>
      </c>
      <c r="T297" s="87"/>
      <c r="U297" s="87"/>
      <c r="V297" s="87"/>
      <c r="W297" s="88"/>
      <c r="X297" s="87"/>
      <c r="Y297" s="87"/>
      <c r="Z297" s="87"/>
      <c r="AA297" s="88"/>
      <c r="AB297" s="88">
        <v>39.270000000000003</v>
      </c>
      <c r="AC297" s="88">
        <v>52.462499999999999</v>
      </c>
      <c r="AD297" s="88">
        <v>72.64</v>
      </c>
      <c r="AE297" s="89">
        <f t="shared" si="101"/>
        <v>6112.34</v>
      </c>
      <c r="AF297" s="90">
        <v>6.5000000000000002E-2</v>
      </c>
      <c r="AG297" s="4">
        <f t="shared" si="100"/>
        <v>397.3021</v>
      </c>
      <c r="AH297" s="49">
        <f t="shared" si="102"/>
        <v>27.489000000000004</v>
      </c>
      <c r="AI297" s="89">
        <f t="shared" si="103"/>
        <v>5715.0379000000003</v>
      </c>
      <c r="AJ297" s="91">
        <v>0.18</v>
      </c>
      <c r="AK297" s="5">
        <f t="shared" si="104"/>
        <v>1028.7068220000001</v>
      </c>
      <c r="AL297" s="89">
        <f t="shared" si="105"/>
        <v>6743.7447220000004</v>
      </c>
      <c r="AP297" s="92"/>
    </row>
    <row r="298" spans="1:42" hidden="1" x14ac:dyDescent="0.35">
      <c r="A298" s="85">
        <v>46214</v>
      </c>
      <c r="B298" s="51" t="s">
        <v>85</v>
      </c>
      <c r="C298" s="97">
        <v>133961451.75</v>
      </c>
      <c r="D298" s="97">
        <v>190303</v>
      </c>
      <c r="E298" s="48" t="s">
        <v>86</v>
      </c>
      <c r="F298" s="86" t="s">
        <v>108</v>
      </c>
      <c r="G298" s="86" t="s">
        <v>396</v>
      </c>
      <c r="H298" s="86" t="s">
        <v>127</v>
      </c>
      <c r="I298" s="48" t="s">
        <v>218</v>
      </c>
      <c r="J298" s="52">
        <v>40</v>
      </c>
      <c r="K298" s="86"/>
      <c r="L298" s="86"/>
      <c r="M298" s="86"/>
      <c r="N298" s="104">
        <f t="shared" si="98"/>
        <v>0</v>
      </c>
      <c r="O298" s="86"/>
      <c r="P298" s="86"/>
      <c r="Q298" s="86"/>
      <c r="R298" s="104">
        <f t="shared" si="97"/>
        <v>0</v>
      </c>
      <c r="S298" s="86">
        <f t="shared" si="99"/>
        <v>40</v>
      </c>
      <c r="T298" s="87"/>
      <c r="U298" s="87"/>
      <c r="V298" s="87"/>
      <c r="W298" s="88"/>
      <c r="X298" s="87"/>
      <c r="Y298" s="87"/>
      <c r="Z298" s="87"/>
      <c r="AA298" s="88"/>
      <c r="AB298" s="88">
        <v>39.270000000000003</v>
      </c>
      <c r="AC298" s="88">
        <v>52.462499999999999</v>
      </c>
      <c r="AD298" s="88">
        <v>72.64</v>
      </c>
      <c r="AE298" s="89">
        <f t="shared" si="101"/>
        <v>4476.3999999999996</v>
      </c>
      <c r="AF298" s="90">
        <v>6.5000000000000002E-2</v>
      </c>
      <c r="AG298" s="4">
        <f t="shared" si="100"/>
        <v>290.96600000000001</v>
      </c>
      <c r="AH298" s="49">
        <f t="shared" si="102"/>
        <v>54.978000000000009</v>
      </c>
      <c r="AI298" s="89">
        <f t="shared" si="103"/>
        <v>4185.4339999999993</v>
      </c>
      <c r="AJ298" s="91">
        <v>0.18</v>
      </c>
      <c r="AK298" s="5">
        <f t="shared" si="104"/>
        <v>753.37811999999985</v>
      </c>
      <c r="AL298" s="89">
        <f t="shared" si="105"/>
        <v>4938.8121199999987</v>
      </c>
      <c r="AP298" s="92"/>
    </row>
    <row r="299" spans="1:42" hidden="1" x14ac:dyDescent="0.35">
      <c r="A299" s="85">
        <v>46214</v>
      </c>
      <c r="B299" s="51" t="s">
        <v>85</v>
      </c>
      <c r="C299" s="97">
        <v>134431370.82142901</v>
      </c>
      <c r="D299" s="97">
        <v>190968.7</v>
      </c>
      <c r="E299" s="48" t="s">
        <v>86</v>
      </c>
      <c r="F299" s="86" t="s">
        <v>109</v>
      </c>
      <c r="G299" s="86" t="s">
        <v>397</v>
      </c>
      <c r="H299" s="86" t="s">
        <v>127</v>
      </c>
      <c r="I299" s="48" t="s">
        <v>218</v>
      </c>
      <c r="J299" s="52"/>
      <c r="K299" s="86"/>
      <c r="L299" s="86"/>
      <c r="M299" s="86"/>
      <c r="N299" s="104">
        <f t="shared" si="98"/>
        <v>0</v>
      </c>
      <c r="O299" s="86">
        <v>20</v>
      </c>
      <c r="P299" s="86">
        <v>20</v>
      </c>
      <c r="Q299" s="86">
        <v>20</v>
      </c>
      <c r="R299" s="104">
        <f t="shared" si="97"/>
        <v>60</v>
      </c>
      <c r="S299" s="86">
        <f t="shared" si="99"/>
        <v>60</v>
      </c>
      <c r="T299" s="87"/>
      <c r="U299" s="87"/>
      <c r="V299" s="87"/>
      <c r="W299" s="88"/>
      <c r="X299" s="87"/>
      <c r="Y299" s="87"/>
      <c r="Z299" s="87"/>
      <c r="AA299" s="88"/>
      <c r="AB299" s="88">
        <v>39.270000000000003</v>
      </c>
      <c r="AC299" s="88">
        <v>52.462499999999999</v>
      </c>
      <c r="AD299" s="88">
        <v>72.64</v>
      </c>
      <c r="AE299" s="89">
        <f t="shared" si="101"/>
        <v>4358.3999999999996</v>
      </c>
      <c r="AF299" s="90">
        <v>6.5000000000000002E-2</v>
      </c>
      <c r="AG299" s="4">
        <f t="shared" si="100"/>
        <v>283.29599999999999</v>
      </c>
      <c r="AH299" s="49">
        <f t="shared" si="102"/>
        <v>0</v>
      </c>
      <c r="AI299" s="89">
        <f t="shared" si="103"/>
        <v>4075.1039999999998</v>
      </c>
      <c r="AJ299" s="91">
        <v>0.18</v>
      </c>
      <c r="AK299" s="5">
        <f t="shared" si="104"/>
        <v>733.51871999999992</v>
      </c>
      <c r="AL299" s="89">
        <f t="shared" si="105"/>
        <v>4808.6227199999994</v>
      </c>
      <c r="AP299" s="92"/>
    </row>
    <row r="300" spans="1:42" hidden="1" x14ac:dyDescent="0.35">
      <c r="A300" s="85">
        <v>46214</v>
      </c>
      <c r="B300" s="51" t="s">
        <v>85</v>
      </c>
      <c r="C300" s="97">
        <v>134901289.89285699</v>
      </c>
      <c r="D300" s="97">
        <v>191634.4</v>
      </c>
      <c r="E300" s="48" t="s">
        <v>86</v>
      </c>
      <c r="F300" s="86" t="s">
        <v>108</v>
      </c>
      <c r="G300" s="86" t="s">
        <v>233</v>
      </c>
      <c r="H300" s="86" t="s">
        <v>129</v>
      </c>
      <c r="I300" s="48" t="s">
        <v>402</v>
      </c>
      <c r="J300" s="52">
        <v>40</v>
      </c>
      <c r="K300" s="86">
        <v>20</v>
      </c>
      <c r="L300" s="86">
        <v>20</v>
      </c>
      <c r="M300" s="86"/>
      <c r="N300" s="104">
        <f t="shared" si="98"/>
        <v>40</v>
      </c>
      <c r="O300" s="86">
        <v>15</v>
      </c>
      <c r="P300" s="86">
        <v>10</v>
      </c>
      <c r="Q300" s="86">
        <v>15</v>
      </c>
      <c r="R300" s="104">
        <f t="shared" si="97"/>
        <v>40</v>
      </c>
      <c r="S300" s="86">
        <f t="shared" si="99"/>
        <v>120</v>
      </c>
      <c r="T300" s="87"/>
      <c r="U300" s="87"/>
      <c r="V300" s="87"/>
      <c r="W300" s="88"/>
      <c r="X300" s="87"/>
      <c r="Y300" s="87"/>
      <c r="Z300" s="87"/>
      <c r="AA300" s="88"/>
      <c r="AB300" s="88">
        <v>39.270000000000003</v>
      </c>
      <c r="AC300" s="88">
        <v>52.462499999999999</v>
      </c>
      <c r="AD300" s="88">
        <v>72.64</v>
      </c>
      <c r="AE300" s="89">
        <f t="shared" si="101"/>
        <v>12386.099999999999</v>
      </c>
      <c r="AF300" s="90">
        <v>6.5000000000000002E-2</v>
      </c>
      <c r="AG300" s="4">
        <f t="shared" si="100"/>
        <v>805.09649999999988</v>
      </c>
      <c r="AH300" s="49">
        <f t="shared" si="102"/>
        <v>54.978000000000009</v>
      </c>
      <c r="AI300" s="89">
        <f t="shared" si="103"/>
        <v>11581.003499999999</v>
      </c>
      <c r="AJ300" s="91">
        <v>0.18</v>
      </c>
      <c r="AK300" s="5">
        <f t="shared" si="104"/>
        <v>2084.5806299999999</v>
      </c>
      <c r="AL300" s="89">
        <f t="shared" si="105"/>
        <v>13665.584129999999</v>
      </c>
      <c r="AP300" s="92"/>
    </row>
    <row r="301" spans="1:42" hidden="1" x14ac:dyDescent="0.35">
      <c r="A301" s="85">
        <v>46214</v>
      </c>
      <c r="B301" s="51" t="s">
        <v>85</v>
      </c>
      <c r="C301" s="97">
        <v>135371208.964286</v>
      </c>
      <c r="D301" s="97">
        <v>192300.1</v>
      </c>
      <c r="E301" s="48" t="s">
        <v>86</v>
      </c>
      <c r="F301" s="86" t="s">
        <v>108</v>
      </c>
      <c r="G301" s="86" t="s">
        <v>398</v>
      </c>
      <c r="H301" s="86" t="s">
        <v>129</v>
      </c>
      <c r="I301" s="48" t="s">
        <v>402</v>
      </c>
      <c r="J301" s="52"/>
      <c r="K301" s="105"/>
      <c r="L301" s="105"/>
      <c r="M301" s="105"/>
      <c r="N301" s="104">
        <f t="shared" si="98"/>
        <v>0</v>
      </c>
      <c r="O301" s="86">
        <v>4</v>
      </c>
      <c r="P301" s="86">
        <v>4</v>
      </c>
      <c r="Q301" s="86">
        <v>6</v>
      </c>
      <c r="R301" s="104">
        <f t="shared" si="97"/>
        <v>14</v>
      </c>
      <c r="S301" s="86">
        <f t="shared" si="99"/>
        <v>14</v>
      </c>
      <c r="T301" s="87"/>
      <c r="U301" s="87"/>
      <c r="V301" s="87"/>
      <c r="W301" s="88"/>
      <c r="X301" s="87"/>
      <c r="Y301" s="87"/>
      <c r="Z301" s="87"/>
      <c r="AA301" s="88"/>
      <c r="AB301" s="88">
        <v>39.270000000000003</v>
      </c>
      <c r="AC301" s="88">
        <v>52.462499999999999</v>
      </c>
      <c r="AD301" s="88">
        <v>72.64</v>
      </c>
      <c r="AE301" s="89">
        <f t="shared" si="101"/>
        <v>1016.96</v>
      </c>
      <c r="AF301" s="90">
        <v>6.5000000000000002E-2</v>
      </c>
      <c r="AG301" s="4">
        <f t="shared" si="100"/>
        <v>66.102400000000003</v>
      </c>
      <c r="AH301" s="49">
        <f t="shared" si="102"/>
        <v>0</v>
      </c>
      <c r="AI301" s="89">
        <f t="shared" si="103"/>
        <v>950.85760000000005</v>
      </c>
      <c r="AJ301" s="91">
        <v>0.18</v>
      </c>
      <c r="AK301" s="5">
        <f t="shared" si="104"/>
        <v>171.15436800000001</v>
      </c>
      <c r="AL301" s="89">
        <f t="shared" si="105"/>
        <v>1122.011968</v>
      </c>
      <c r="AP301" s="92"/>
    </row>
    <row r="302" spans="1:42" hidden="1" x14ac:dyDescent="0.35">
      <c r="A302" s="85">
        <v>46214</v>
      </c>
      <c r="B302" s="51" t="s">
        <v>85</v>
      </c>
      <c r="C302" s="97">
        <v>135841128.035714</v>
      </c>
      <c r="D302" s="97">
        <v>192965.8</v>
      </c>
      <c r="E302" s="48" t="s">
        <v>86</v>
      </c>
      <c r="F302" s="86" t="s">
        <v>109</v>
      </c>
      <c r="G302" s="86" t="s">
        <v>223</v>
      </c>
      <c r="H302" s="86" t="s">
        <v>129</v>
      </c>
      <c r="I302" s="48" t="s">
        <v>402</v>
      </c>
      <c r="J302" s="52"/>
      <c r="K302" s="105">
        <v>20</v>
      </c>
      <c r="L302" s="105">
        <v>20</v>
      </c>
      <c r="M302" s="105"/>
      <c r="N302" s="104">
        <f t="shared" si="98"/>
        <v>40</v>
      </c>
      <c r="O302" s="86"/>
      <c r="P302" s="86"/>
      <c r="Q302" s="86"/>
      <c r="R302" s="104">
        <f t="shared" si="97"/>
        <v>0</v>
      </c>
      <c r="S302" s="86">
        <f t="shared" si="99"/>
        <v>40</v>
      </c>
      <c r="T302" s="87"/>
      <c r="U302" s="87"/>
      <c r="V302" s="87"/>
      <c r="W302" s="88"/>
      <c r="X302" s="87"/>
      <c r="Y302" s="87"/>
      <c r="Z302" s="87"/>
      <c r="AA302" s="88"/>
      <c r="AB302" s="88">
        <v>39.270000000000003</v>
      </c>
      <c r="AC302" s="88">
        <v>52.462499999999999</v>
      </c>
      <c r="AD302" s="88">
        <v>72.64</v>
      </c>
      <c r="AE302" s="89">
        <f t="shared" si="101"/>
        <v>5004.1000000000004</v>
      </c>
      <c r="AF302" s="90">
        <v>6.5000000000000002E-2</v>
      </c>
      <c r="AG302" s="4">
        <f t="shared" si="100"/>
        <v>325.26650000000001</v>
      </c>
      <c r="AH302" s="49">
        <f t="shared" si="102"/>
        <v>0</v>
      </c>
      <c r="AI302" s="89">
        <f t="shared" si="103"/>
        <v>4678.8335000000006</v>
      </c>
      <c r="AJ302" s="91">
        <v>0.18</v>
      </c>
      <c r="AK302" s="5">
        <f t="shared" si="104"/>
        <v>842.19003000000009</v>
      </c>
      <c r="AL302" s="89">
        <f t="shared" si="105"/>
        <v>5521.0235300000004</v>
      </c>
      <c r="AP302" s="92"/>
    </row>
    <row r="303" spans="1:42" hidden="1" x14ac:dyDescent="0.35">
      <c r="A303" s="85">
        <v>46214</v>
      </c>
      <c r="B303" s="51" t="s">
        <v>85</v>
      </c>
      <c r="C303" s="97">
        <v>136311047.10714301</v>
      </c>
      <c r="D303" s="97">
        <v>193631.5</v>
      </c>
      <c r="E303" s="48" t="s">
        <v>86</v>
      </c>
      <c r="F303" s="86" t="s">
        <v>109</v>
      </c>
      <c r="G303" s="86" t="s">
        <v>219</v>
      </c>
      <c r="H303" s="86" t="s">
        <v>129</v>
      </c>
      <c r="I303" s="48" t="s">
        <v>402</v>
      </c>
      <c r="J303" s="52">
        <v>10</v>
      </c>
      <c r="K303" s="105"/>
      <c r="L303" s="105"/>
      <c r="M303" s="105"/>
      <c r="N303" s="104">
        <f t="shared" si="98"/>
        <v>0</v>
      </c>
      <c r="O303" s="86"/>
      <c r="P303" s="86"/>
      <c r="Q303" s="86"/>
      <c r="R303" s="104">
        <f t="shared" si="97"/>
        <v>0</v>
      </c>
      <c r="S303" s="86">
        <f t="shared" si="99"/>
        <v>10</v>
      </c>
      <c r="T303" s="87"/>
      <c r="U303" s="87"/>
      <c r="V303" s="87"/>
      <c r="W303" s="88"/>
      <c r="X303" s="87"/>
      <c r="Y303" s="87"/>
      <c r="Z303" s="87"/>
      <c r="AA303" s="88"/>
      <c r="AB303" s="88">
        <v>39.270000000000003</v>
      </c>
      <c r="AC303" s="88">
        <v>52.462499999999999</v>
      </c>
      <c r="AD303" s="88">
        <v>72.64</v>
      </c>
      <c r="AE303" s="89">
        <f t="shared" si="101"/>
        <v>1119.0999999999999</v>
      </c>
      <c r="AF303" s="90">
        <v>6.5000000000000002E-2</v>
      </c>
      <c r="AG303" s="4">
        <f t="shared" si="100"/>
        <v>72.741500000000002</v>
      </c>
      <c r="AH303" s="49">
        <f t="shared" si="102"/>
        <v>13.744500000000002</v>
      </c>
      <c r="AI303" s="89">
        <f t="shared" si="103"/>
        <v>1046.3584999999998</v>
      </c>
      <c r="AJ303" s="91">
        <v>0.18</v>
      </c>
      <c r="AK303" s="5">
        <f t="shared" si="104"/>
        <v>188.34452999999996</v>
      </c>
      <c r="AL303" s="89">
        <f t="shared" si="105"/>
        <v>1234.7030299999997</v>
      </c>
      <c r="AP303" s="92"/>
    </row>
    <row r="304" spans="1:42" hidden="1" x14ac:dyDescent="0.35">
      <c r="A304" s="85">
        <v>46214</v>
      </c>
      <c r="B304" s="51" t="s">
        <v>85</v>
      </c>
      <c r="C304" s="97">
        <v>136780966.17857099</v>
      </c>
      <c r="D304" s="97">
        <v>194297.2</v>
      </c>
      <c r="E304" s="48" t="s">
        <v>86</v>
      </c>
      <c r="F304" s="86" t="s">
        <v>109</v>
      </c>
      <c r="G304" s="86" t="s">
        <v>195</v>
      </c>
      <c r="H304" s="86" t="s">
        <v>129</v>
      </c>
      <c r="I304" s="48" t="s">
        <v>402</v>
      </c>
      <c r="J304" s="52">
        <v>10</v>
      </c>
      <c r="K304" s="86"/>
      <c r="L304" s="86"/>
      <c r="M304" s="86"/>
      <c r="N304" s="104">
        <f t="shared" si="98"/>
        <v>0</v>
      </c>
      <c r="O304" s="105"/>
      <c r="P304" s="105"/>
      <c r="Q304" s="105"/>
      <c r="R304" s="104">
        <f t="shared" si="97"/>
        <v>0</v>
      </c>
      <c r="S304" s="86">
        <f t="shared" si="99"/>
        <v>10</v>
      </c>
      <c r="T304" s="87"/>
      <c r="U304" s="87"/>
      <c r="V304" s="87"/>
      <c r="W304" s="88"/>
      <c r="X304" s="87"/>
      <c r="Y304" s="87"/>
      <c r="Z304" s="87"/>
      <c r="AA304" s="88"/>
      <c r="AB304" s="88">
        <v>39.270000000000003</v>
      </c>
      <c r="AC304" s="88">
        <v>52.462499999999999</v>
      </c>
      <c r="AD304" s="88">
        <v>72.64</v>
      </c>
      <c r="AE304" s="89">
        <f t="shared" si="101"/>
        <v>1119.0999999999999</v>
      </c>
      <c r="AF304" s="90">
        <v>6.5000000000000002E-2</v>
      </c>
      <c r="AG304" s="4">
        <f t="shared" si="100"/>
        <v>72.741500000000002</v>
      </c>
      <c r="AH304" s="49">
        <f t="shared" si="102"/>
        <v>13.744500000000002</v>
      </c>
      <c r="AI304" s="89">
        <f t="shared" si="103"/>
        <v>1046.3584999999998</v>
      </c>
      <c r="AJ304" s="91">
        <v>0.18</v>
      </c>
      <c r="AK304" s="5">
        <f t="shared" si="104"/>
        <v>188.34452999999996</v>
      </c>
      <c r="AL304" s="89">
        <f t="shared" si="105"/>
        <v>1234.7030299999997</v>
      </c>
      <c r="AP304" s="92"/>
    </row>
    <row r="305" spans="1:42" hidden="1" x14ac:dyDescent="0.35">
      <c r="A305" s="85">
        <v>46214</v>
      </c>
      <c r="B305" s="51" t="s">
        <v>85</v>
      </c>
      <c r="C305" s="97">
        <v>137250885.25</v>
      </c>
      <c r="D305" s="97">
        <v>194962.9</v>
      </c>
      <c r="E305" s="48" t="s">
        <v>86</v>
      </c>
      <c r="F305" s="86" t="s">
        <v>109</v>
      </c>
      <c r="G305" s="86" t="s">
        <v>399</v>
      </c>
      <c r="H305" s="86" t="s">
        <v>129</v>
      </c>
      <c r="I305" s="48" t="s">
        <v>402</v>
      </c>
      <c r="J305" s="52">
        <v>10</v>
      </c>
      <c r="K305" s="86"/>
      <c r="L305" s="86"/>
      <c r="M305" s="86"/>
      <c r="N305" s="104">
        <f t="shared" si="98"/>
        <v>0</v>
      </c>
      <c r="O305" s="86"/>
      <c r="P305" s="86"/>
      <c r="Q305" s="86"/>
      <c r="R305" s="104">
        <f t="shared" si="97"/>
        <v>0</v>
      </c>
      <c r="S305" s="86">
        <f t="shared" si="99"/>
        <v>10</v>
      </c>
      <c r="T305" s="87"/>
      <c r="U305" s="87"/>
      <c r="V305" s="87"/>
      <c r="W305" s="88"/>
      <c r="X305" s="87"/>
      <c r="Y305" s="87"/>
      <c r="Z305" s="87"/>
      <c r="AA305" s="88"/>
      <c r="AB305" s="88">
        <v>39.270000000000003</v>
      </c>
      <c r="AC305" s="88">
        <v>52.462499999999999</v>
      </c>
      <c r="AD305" s="88">
        <v>72.64</v>
      </c>
      <c r="AE305" s="89">
        <f t="shared" si="101"/>
        <v>1119.0999999999999</v>
      </c>
      <c r="AF305" s="90">
        <v>6.5000000000000002E-2</v>
      </c>
      <c r="AG305" s="4">
        <f t="shared" si="100"/>
        <v>72.741500000000002</v>
      </c>
      <c r="AH305" s="49">
        <f t="shared" si="102"/>
        <v>13.744500000000002</v>
      </c>
      <c r="AI305" s="89">
        <f t="shared" si="103"/>
        <v>1046.3584999999998</v>
      </c>
      <c r="AJ305" s="91">
        <v>0.18</v>
      </c>
      <c r="AK305" s="5">
        <f t="shared" si="104"/>
        <v>188.34452999999996</v>
      </c>
      <c r="AL305" s="89">
        <f t="shared" si="105"/>
        <v>1234.7030299999997</v>
      </c>
      <c r="AP305" s="92"/>
    </row>
    <row r="306" spans="1:42" hidden="1" x14ac:dyDescent="0.35">
      <c r="A306" s="85">
        <v>46214</v>
      </c>
      <c r="B306" s="51" t="s">
        <v>85</v>
      </c>
      <c r="C306" s="97">
        <v>137720804.32142901</v>
      </c>
      <c r="D306" s="97">
        <v>195628.6</v>
      </c>
      <c r="E306" s="48" t="s">
        <v>86</v>
      </c>
      <c r="F306" s="86" t="s">
        <v>108</v>
      </c>
      <c r="G306" s="86" t="s">
        <v>177</v>
      </c>
      <c r="H306" s="86" t="s">
        <v>129</v>
      </c>
      <c r="I306" s="48" t="s">
        <v>402</v>
      </c>
      <c r="J306" s="52">
        <v>10</v>
      </c>
      <c r="K306" s="86"/>
      <c r="L306" s="105"/>
      <c r="M306" s="86"/>
      <c r="N306" s="104">
        <f t="shared" si="98"/>
        <v>0</v>
      </c>
      <c r="O306" s="86"/>
      <c r="P306" s="86"/>
      <c r="Q306" s="86"/>
      <c r="R306" s="104">
        <f t="shared" si="97"/>
        <v>0</v>
      </c>
      <c r="S306" s="86">
        <f t="shared" si="99"/>
        <v>10</v>
      </c>
      <c r="T306" s="87"/>
      <c r="U306" s="87"/>
      <c r="V306" s="87"/>
      <c r="W306" s="88"/>
      <c r="X306" s="87"/>
      <c r="Y306" s="87"/>
      <c r="Z306" s="87"/>
      <c r="AA306" s="88"/>
      <c r="AB306" s="88">
        <v>39.270000000000003</v>
      </c>
      <c r="AC306" s="88">
        <v>52.462499999999999</v>
      </c>
      <c r="AD306" s="88">
        <v>72.64</v>
      </c>
      <c r="AE306" s="89">
        <f t="shared" si="101"/>
        <v>1119.0999999999999</v>
      </c>
      <c r="AF306" s="90">
        <v>6.5000000000000002E-2</v>
      </c>
      <c r="AG306" s="4">
        <f t="shared" si="100"/>
        <v>72.741500000000002</v>
      </c>
      <c r="AH306" s="49">
        <f t="shared" si="102"/>
        <v>13.744500000000002</v>
      </c>
      <c r="AI306" s="89">
        <f t="shared" si="103"/>
        <v>1046.3584999999998</v>
      </c>
      <c r="AJ306" s="91">
        <v>0.18</v>
      </c>
      <c r="AK306" s="5">
        <f t="shared" si="104"/>
        <v>188.34452999999996</v>
      </c>
      <c r="AL306" s="89">
        <f t="shared" si="105"/>
        <v>1234.7030299999997</v>
      </c>
      <c r="AP306" s="92"/>
    </row>
    <row r="307" spans="1:42" hidden="1" x14ac:dyDescent="0.35">
      <c r="A307" s="85">
        <v>46214</v>
      </c>
      <c r="B307" s="51" t="s">
        <v>85</v>
      </c>
      <c r="C307" s="97">
        <v>138190723.39285699</v>
      </c>
      <c r="D307" s="97">
        <v>196294.3</v>
      </c>
      <c r="E307" s="48" t="s">
        <v>86</v>
      </c>
      <c r="F307" s="86" t="s">
        <v>108</v>
      </c>
      <c r="G307" s="86" t="s">
        <v>400</v>
      </c>
      <c r="H307" s="86" t="s">
        <v>129</v>
      </c>
      <c r="I307" s="48" t="s">
        <v>402</v>
      </c>
      <c r="J307" s="52">
        <v>10</v>
      </c>
      <c r="K307" s="105"/>
      <c r="L307" s="105"/>
      <c r="M307" s="105"/>
      <c r="N307" s="104">
        <f t="shared" si="98"/>
        <v>0</v>
      </c>
      <c r="O307" s="86"/>
      <c r="P307" s="86"/>
      <c r="Q307" s="86"/>
      <c r="R307" s="104">
        <f t="shared" si="97"/>
        <v>0</v>
      </c>
      <c r="S307" s="86">
        <f t="shared" si="99"/>
        <v>10</v>
      </c>
      <c r="T307" s="87"/>
      <c r="U307" s="87"/>
      <c r="V307" s="87"/>
      <c r="W307" s="88"/>
      <c r="X307" s="87"/>
      <c r="Y307" s="87"/>
      <c r="Z307" s="87"/>
      <c r="AA307" s="88"/>
      <c r="AB307" s="88">
        <v>39.270000000000003</v>
      </c>
      <c r="AC307" s="88">
        <v>52.462499999999999</v>
      </c>
      <c r="AD307" s="88">
        <v>72.64</v>
      </c>
      <c r="AE307" s="89">
        <f t="shared" si="101"/>
        <v>1119.0999999999999</v>
      </c>
      <c r="AF307" s="90">
        <v>6.5000000000000002E-2</v>
      </c>
      <c r="AG307" s="4">
        <f t="shared" si="100"/>
        <v>72.741500000000002</v>
      </c>
      <c r="AH307" s="49">
        <f t="shared" si="102"/>
        <v>13.744500000000002</v>
      </c>
      <c r="AI307" s="89">
        <f t="shared" si="103"/>
        <v>1046.3584999999998</v>
      </c>
      <c r="AJ307" s="91">
        <v>0.18</v>
      </c>
      <c r="AK307" s="5">
        <f t="shared" si="104"/>
        <v>188.34452999999996</v>
      </c>
      <c r="AL307" s="89">
        <f t="shared" si="105"/>
        <v>1234.7030299999997</v>
      </c>
      <c r="AP307" s="92"/>
    </row>
    <row r="308" spans="1:42" hidden="1" x14ac:dyDescent="0.35">
      <c r="A308" s="85">
        <v>46214</v>
      </c>
      <c r="B308" s="51" t="s">
        <v>85</v>
      </c>
      <c r="C308" s="97">
        <v>138660642.464286</v>
      </c>
      <c r="D308" s="97">
        <v>196960</v>
      </c>
      <c r="E308" s="48" t="s">
        <v>86</v>
      </c>
      <c r="F308" s="86" t="s">
        <v>108</v>
      </c>
      <c r="G308" s="86" t="s">
        <v>103</v>
      </c>
      <c r="H308" s="86" t="s">
        <v>129</v>
      </c>
      <c r="I308" s="48" t="s">
        <v>402</v>
      </c>
      <c r="J308" s="52">
        <v>10</v>
      </c>
      <c r="K308" s="105"/>
      <c r="L308" s="105"/>
      <c r="M308" s="105"/>
      <c r="N308" s="104">
        <f t="shared" si="98"/>
        <v>0</v>
      </c>
      <c r="O308" s="86"/>
      <c r="P308" s="86"/>
      <c r="Q308" s="86"/>
      <c r="R308" s="104">
        <f t="shared" si="97"/>
        <v>0</v>
      </c>
      <c r="S308" s="86">
        <f t="shared" si="99"/>
        <v>10</v>
      </c>
      <c r="T308" s="87"/>
      <c r="U308" s="87"/>
      <c r="V308" s="87"/>
      <c r="W308" s="88"/>
      <c r="X308" s="87"/>
      <c r="Y308" s="87"/>
      <c r="Z308" s="87"/>
      <c r="AA308" s="88"/>
      <c r="AB308" s="88">
        <v>39.270000000000003</v>
      </c>
      <c r="AC308" s="88">
        <v>52.462499999999999</v>
      </c>
      <c r="AD308" s="88">
        <v>72.64</v>
      </c>
      <c r="AE308" s="89">
        <f t="shared" si="101"/>
        <v>1119.0999999999999</v>
      </c>
      <c r="AF308" s="90">
        <v>6.5000000000000002E-2</v>
      </c>
      <c r="AG308" s="4">
        <f t="shared" si="100"/>
        <v>72.741500000000002</v>
      </c>
      <c r="AH308" s="49">
        <f t="shared" si="102"/>
        <v>13.744500000000002</v>
      </c>
      <c r="AI308" s="89">
        <f t="shared" si="103"/>
        <v>1046.3584999999998</v>
      </c>
      <c r="AJ308" s="91">
        <v>0.18</v>
      </c>
      <c r="AK308" s="5">
        <f t="shared" si="104"/>
        <v>188.34452999999996</v>
      </c>
      <c r="AL308" s="89">
        <f t="shared" si="105"/>
        <v>1234.7030299999997</v>
      </c>
      <c r="AP308" s="92"/>
    </row>
    <row r="309" spans="1:42" hidden="1" x14ac:dyDescent="0.35">
      <c r="A309" s="85">
        <v>46214</v>
      </c>
      <c r="B309" s="51" t="s">
        <v>85</v>
      </c>
      <c r="C309" s="97">
        <v>139130561.535714</v>
      </c>
      <c r="D309" s="97">
        <v>197625.7</v>
      </c>
      <c r="E309" s="48" t="s">
        <v>86</v>
      </c>
      <c r="F309" s="86" t="s">
        <v>108</v>
      </c>
      <c r="G309" s="86" t="s">
        <v>401</v>
      </c>
      <c r="H309" s="86" t="s">
        <v>129</v>
      </c>
      <c r="I309" s="48" t="s">
        <v>402</v>
      </c>
      <c r="J309" s="52"/>
      <c r="K309" s="86"/>
      <c r="L309" s="86"/>
      <c r="M309" s="86"/>
      <c r="N309" s="104">
        <f t="shared" si="98"/>
        <v>0</v>
      </c>
      <c r="O309" s="105"/>
      <c r="P309" s="105"/>
      <c r="Q309" s="105">
        <v>40</v>
      </c>
      <c r="R309" s="104">
        <f t="shared" si="97"/>
        <v>40</v>
      </c>
      <c r="S309" s="86">
        <f t="shared" si="99"/>
        <v>40</v>
      </c>
      <c r="T309" s="87"/>
      <c r="U309" s="87"/>
      <c r="V309" s="87"/>
      <c r="W309" s="88"/>
      <c r="X309" s="87"/>
      <c r="Y309" s="87"/>
      <c r="Z309" s="87"/>
      <c r="AA309" s="88"/>
      <c r="AB309" s="88">
        <v>39.270000000000003</v>
      </c>
      <c r="AC309" s="88">
        <v>52.462499999999999</v>
      </c>
      <c r="AD309" s="88">
        <v>72.64</v>
      </c>
      <c r="AE309" s="89">
        <f t="shared" si="101"/>
        <v>2905.6</v>
      </c>
      <c r="AF309" s="90">
        <v>6.5000000000000002E-2</v>
      </c>
      <c r="AG309" s="4">
        <f t="shared" si="100"/>
        <v>188.864</v>
      </c>
      <c r="AH309" s="49">
        <f t="shared" si="102"/>
        <v>0</v>
      </c>
      <c r="AI309" s="89">
        <f t="shared" si="103"/>
        <v>2716.7359999999999</v>
      </c>
      <c r="AJ309" s="91">
        <v>0.18</v>
      </c>
      <c r="AK309" s="5">
        <f t="shared" si="104"/>
        <v>489.01247999999998</v>
      </c>
      <c r="AL309" s="89">
        <f t="shared" si="105"/>
        <v>3205.7484799999997</v>
      </c>
      <c r="AP309" s="92"/>
    </row>
    <row r="310" spans="1:42" x14ac:dyDescent="0.35">
      <c r="A310" s="85">
        <v>46214</v>
      </c>
      <c r="B310" s="51" t="s">
        <v>85</v>
      </c>
      <c r="C310" s="97">
        <v>139600480.60714301</v>
      </c>
      <c r="D310" s="97">
        <v>198291.4</v>
      </c>
      <c r="E310" s="48" t="s">
        <v>86</v>
      </c>
      <c r="F310" s="86" t="s">
        <v>87</v>
      </c>
      <c r="G310" s="86" t="s">
        <v>88</v>
      </c>
      <c r="H310" s="86" t="s">
        <v>89</v>
      </c>
      <c r="I310" s="48" t="s">
        <v>406</v>
      </c>
      <c r="J310" s="52"/>
      <c r="K310" s="86">
        <v>280</v>
      </c>
      <c r="L310" s="86">
        <v>280</v>
      </c>
      <c r="M310" s="86"/>
      <c r="N310" s="104">
        <f t="shared" si="98"/>
        <v>560</v>
      </c>
      <c r="O310" s="86">
        <v>400</v>
      </c>
      <c r="P310" s="86">
        <v>400</v>
      </c>
      <c r="Q310" s="86">
        <v>280</v>
      </c>
      <c r="R310" s="104">
        <f t="shared" si="97"/>
        <v>1080</v>
      </c>
      <c r="S310" s="86">
        <f t="shared" si="99"/>
        <v>1640</v>
      </c>
      <c r="T310" s="87"/>
      <c r="U310" s="87"/>
      <c r="V310" s="87"/>
      <c r="W310" s="88"/>
      <c r="X310" s="87"/>
      <c r="Y310" s="87"/>
      <c r="Z310" s="87"/>
      <c r="AA310" s="88"/>
      <c r="AB310" s="88">
        <v>39.270000000000003</v>
      </c>
      <c r="AC310" s="88">
        <v>52.462499999999999</v>
      </c>
      <c r="AD310" s="88">
        <v>72.64</v>
      </c>
      <c r="AE310" s="89">
        <f t="shared" si="101"/>
        <v>148508.6</v>
      </c>
      <c r="AF310" s="90">
        <v>6.5000000000000002E-2</v>
      </c>
      <c r="AG310" s="4">
        <f t="shared" si="100"/>
        <v>9653.0590000000011</v>
      </c>
      <c r="AH310" s="49">
        <f t="shared" si="102"/>
        <v>0</v>
      </c>
      <c r="AI310" s="89">
        <f t="shared" si="103"/>
        <v>138855.541</v>
      </c>
      <c r="AJ310" s="91">
        <v>0.18</v>
      </c>
      <c r="AK310" s="5">
        <f t="shared" si="104"/>
        <v>24993.997379999997</v>
      </c>
      <c r="AL310" s="89">
        <f t="shared" si="105"/>
        <v>163849.53837999998</v>
      </c>
      <c r="AP310" s="92"/>
    </row>
    <row r="311" spans="1:42" x14ac:dyDescent="0.35">
      <c r="A311" s="85">
        <v>46214</v>
      </c>
      <c r="B311" s="51" t="s">
        <v>85</v>
      </c>
      <c r="C311" s="97">
        <v>140070399.67857099</v>
      </c>
      <c r="D311" s="97">
        <v>198957.1</v>
      </c>
      <c r="E311" s="48" t="s">
        <v>86</v>
      </c>
      <c r="F311" s="86" t="s">
        <v>87</v>
      </c>
      <c r="G311" s="86" t="s">
        <v>403</v>
      </c>
      <c r="H311" s="86" t="s">
        <v>89</v>
      </c>
      <c r="I311" s="48" t="s">
        <v>405</v>
      </c>
      <c r="J311" s="52"/>
      <c r="K311" s="86"/>
      <c r="L311" s="86"/>
      <c r="M311" s="86"/>
      <c r="N311" s="104">
        <f t="shared" si="98"/>
        <v>0</v>
      </c>
      <c r="O311" s="86">
        <v>40</v>
      </c>
      <c r="P311" s="86">
        <v>40</v>
      </c>
      <c r="Q311" s="86">
        <v>80</v>
      </c>
      <c r="R311" s="104">
        <f t="shared" si="97"/>
        <v>160</v>
      </c>
      <c r="S311" s="86">
        <f t="shared" si="99"/>
        <v>160</v>
      </c>
      <c r="T311" s="87"/>
      <c r="U311" s="87"/>
      <c r="V311" s="87"/>
      <c r="W311" s="88"/>
      <c r="X311" s="87"/>
      <c r="Y311" s="87"/>
      <c r="Z311" s="87"/>
      <c r="AA311" s="88"/>
      <c r="AB311" s="88">
        <v>39.270000000000003</v>
      </c>
      <c r="AC311" s="88">
        <v>52.462499999999999</v>
      </c>
      <c r="AD311" s="88">
        <v>72.64</v>
      </c>
      <c r="AE311" s="89">
        <f t="shared" si="101"/>
        <v>11622.4</v>
      </c>
      <c r="AF311" s="90">
        <v>6.5000000000000002E-2</v>
      </c>
      <c r="AG311" s="4">
        <f t="shared" si="100"/>
        <v>755.45600000000002</v>
      </c>
      <c r="AH311" s="49">
        <f t="shared" si="102"/>
        <v>0</v>
      </c>
      <c r="AI311" s="89">
        <f t="shared" si="103"/>
        <v>10866.944</v>
      </c>
      <c r="AJ311" s="91">
        <v>0.18</v>
      </c>
      <c r="AK311" s="5">
        <f t="shared" si="104"/>
        <v>1956.0499199999999</v>
      </c>
      <c r="AL311" s="89">
        <f t="shared" si="105"/>
        <v>12822.993919999999</v>
      </c>
      <c r="AP311" s="92"/>
    </row>
    <row r="312" spans="1:42" x14ac:dyDescent="0.35">
      <c r="A312" s="85">
        <v>46214</v>
      </c>
      <c r="B312" s="51" t="s">
        <v>85</v>
      </c>
      <c r="C312" s="97">
        <v>140540318.75</v>
      </c>
      <c r="D312" s="97">
        <v>199622.8</v>
      </c>
      <c r="E312" s="48" t="s">
        <v>86</v>
      </c>
      <c r="F312" s="86" t="s">
        <v>87</v>
      </c>
      <c r="G312" s="86" t="s">
        <v>404</v>
      </c>
      <c r="H312" s="86" t="s">
        <v>89</v>
      </c>
      <c r="I312" s="48" t="s">
        <v>407</v>
      </c>
      <c r="J312" s="52"/>
      <c r="K312" s="105">
        <v>400</v>
      </c>
      <c r="L312" s="105">
        <v>400</v>
      </c>
      <c r="M312" s="105"/>
      <c r="N312" s="104">
        <f t="shared" si="98"/>
        <v>800</v>
      </c>
      <c r="O312" s="86">
        <v>400</v>
      </c>
      <c r="P312" s="86">
        <v>400</v>
      </c>
      <c r="Q312" s="86">
        <v>400</v>
      </c>
      <c r="R312" s="104">
        <f t="shared" si="97"/>
        <v>1200</v>
      </c>
      <c r="S312" s="86">
        <f t="shared" si="99"/>
        <v>2000</v>
      </c>
      <c r="T312" s="87"/>
      <c r="U312" s="87"/>
      <c r="V312" s="87"/>
      <c r="W312" s="88"/>
      <c r="X312" s="87"/>
      <c r="Y312" s="87"/>
      <c r="Z312" s="87"/>
      <c r="AA312" s="88"/>
      <c r="AB312" s="88">
        <v>39.270000000000003</v>
      </c>
      <c r="AC312" s="88">
        <v>52.462499999999999</v>
      </c>
      <c r="AD312" s="88">
        <v>72.64</v>
      </c>
      <c r="AE312" s="89">
        <f t="shared" si="101"/>
        <v>187250</v>
      </c>
      <c r="AF312" s="90">
        <v>6.5000000000000002E-2</v>
      </c>
      <c r="AG312" s="4">
        <f t="shared" si="100"/>
        <v>12171.25</v>
      </c>
      <c r="AH312" s="49">
        <f t="shared" si="102"/>
        <v>0</v>
      </c>
      <c r="AI312" s="89">
        <f t="shared" si="103"/>
        <v>175078.75</v>
      </c>
      <c r="AJ312" s="91">
        <v>0.18</v>
      </c>
      <c r="AK312" s="5">
        <f t="shared" si="104"/>
        <v>31514.174999999999</v>
      </c>
      <c r="AL312" s="89">
        <f t="shared" si="105"/>
        <v>206592.92499999999</v>
      </c>
      <c r="AP312" s="92"/>
    </row>
    <row r="313" spans="1:42" x14ac:dyDescent="0.35">
      <c r="A313" s="85">
        <v>46214</v>
      </c>
      <c r="B313" s="51" t="s">
        <v>85</v>
      </c>
      <c r="C313" s="97">
        <v>141010237.82142901</v>
      </c>
      <c r="D313" s="97">
        <v>200288.5</v>
      </c>
      <c r="E313" s="48" t="s">
        <v>86</v>
      </c>
      <c r="F313" s="86" t="s">
        <v>87</v>
      </c>
      <c r="G313" s="86" t="s">
        <v>409</v>
      </c>
      <c r="H313" s="86" t="s">
        <v>89</v>
      </c>
      <c r="I313" s="48" t="s">
        <v>408</v>
      </c>
      <c r="J313" s="52"/>
      <c r="K313" s="105"/>
      <c r="L313" s="105">
        <v>40</v>
      </c>
      <c r="M313" s="105"/>
      <c r="N313" s="104">
        <f t="shared" si="98"/>
        <v>40</v>
      </c>
      <c r="O313" s="86">
        <v>40</v>
      </c>
      <c r="P313" s="86"/>
      <c r="Q313" s="86">
        <v>120</v>
      </c>
      <c r="R313" s="104">
        <f t="shared" si="97"/>
        <v>160</v>
      </c>
      <c r="S313" s="86">
        <f t="shared" si="99"/>
        <v>200</v>
      </c>
      <c r="T313" s="87"/>
      <c r="U313" s="87"/>
      <c r="V313" s="87"/>
      <c r="W313" s="88"/>
      <c r="X313" s="87"/>
      <c r="Y313" s="87"/>
      <c r="Z313" s="87"/>
      <c r="AA313" s="88"/>
      <c r="AB313" s="88">
        <v>39.270000000000003</v>
      </c>
      <c r="AC313" s="88">
        <v>52.462499999999999</v>
      </c>
      <c r="AD313" s="88">
        <v>72.64</v>
      </c>
      <c r="AE313" s="89">
        <f t="shared" si="101"/>
        <v>16626.5</v>
      </c>
      <c r="AF313" s="90">
        <v>6.5000000000000002E-2</v>
      </c>
      <c r="AG313" s="4">
        <f t="shared" si="100"/>
        <v>1080.7225000000001</v>
      </c>
      <c r="AH313" s="49">
        <f t="shared" si="102"/>
        <v>0</v>
      </c>
      <c r="AI313" s="89">
        <f t="shared" si="103"/>
        <v>15545.7775</v>
      </c>
      <c r="AJ313" s="91">
        <v>0.18</v>
      </c>
      <c r="AK313" s="5">
        <f t="shared" si="104"/>
        <v>2798.2399500000001</v>
      </c>
      <c r="AL313" s="89">
        <f t="shared" si="105"/>
        <v>18344.017449999999</v>
      </c>
      <c r="AP313" s="92"/>
    </row>
    <row r="314" spans="1:42" x14ac:dyDescent="0.35">
      <c r="A314" s="85">
        <v>46214</v>
      </c>
      <c r="B314" s="51" t="s">
        <v>85</v>
      </c>
      <c r="C314" s="97">
        <v>141010237.82142901</v>
      </c>
      <c r="D314" s="97">
        <v>200288.5</v>
      </c>
      <c r="E314" s="48" t="s">
        <v>86</v>
      </c>
      <c r="F314" s="86" t="s">
        <v>87</v>
      </c>
      <c r="G314" s="116" t="s">
        <v>277</v>
      </c>
      <c r="H314" s="95" t="s">
        <v>136</v>
      </c>
      <c r="I314" s="117" t="s">
        <v>423</v>
      </c>
      <c r="J314" s="52">
        <v>2000</v>
      </c>
      <c r="K314" s="86"/>
      <c r="L314" s="86"/>
      <c r="M314" s="86"/>
      <c r="N314" s="104">
        <f t="shared" si="98"/>
        <v>0</v>
      </c>
      <c r="O314" s="86"/>
      <c r="P314" s="86"/>
      <c r="Q314" s="86"/>
      <c r="R314" s="104">
        <f t="shared" si="97"/>
        <v>0</v>
      </c>
      <c r="S314" s="86">
        <f t="shared" si="99"/>
        <v>2000</v>
      </c>
      <c r="T314" s="87"/>
      <c r="U314" s="87"/>
      <c r="V314" s="87"/>
      <c r="W314" s="88"/>
      <c r="X314" s="87"/>
      <c r="Y314" s="87"/>
      <c r="Z314" s="87"/>
      <c r="AA314" s="88"/>
      <c r="AB314" s="88">
        <v>39.270000000000003</v>
      </c>
      <c r="AC314" s="88">
        <v>52.462499999999999</v>
      </c>
      <c r="AD314" s="88">
        <v>72.64</v>
      </c>
      <c r="AE314" s="89">
        <f t="shared" si="101"/>
        <v>223820</v>
      </c>
      <c r="AF314" s="90">
        <v>0.14000000000000001</v>
      </c>
      <c r="AG314" s="4">
        <f t="shared" si="100"/>
        <v>31334.800000000003</v>
      </c>
      <c r="AH314" s="49">
        <f t="shared" si="102"/>
        <v>2748.9</v>
      </c>
      <c r="AI314" s="89">
        <f t="shared" si="103"/>
        <v>192485.2</v>
      </c>
      <c r="AJ314" s="91">
        <v>0.18</v>
      </c>
      <c r="AK314" s="5">
        <f t="shared" si="104"/>
        <v>34647.336000000003</v>
      </c>
      <c r="AL314" s="89">
        <f t="shared" si="105"/>
        <v>227132.53600000002</v>
      </c>
      <c r="AP314" s="92"/>
    </row>
    <row r="315" spans="1:42" hidden="1" x14ac:dyDescent="0.35">
      <c r="A315" s="85">
        <v>46205</v>
      </c>
      <c r="B315" s="51" t="s">
        <v>85</v>
      </c>
      <c r="C315" s="97">
        <v>30579256.035714298</v>
      </c>
      <c r="D315" s="97">
        <v>43849</v>
      </c>
      <c r="E315" s="95" t="s">
        <v>86</v>
      </c>
      <c r="F315" s="95" t="s">
        <v>108</v>
      </c>
      <c r="G315" s="95" t="s">
        <v>159</v>
      </c>
      <c r="H315" s="95" t="s">
        <v>176</v>
      </c>
      <c r="I315" s="95" t="s">
        <v>424</v>
      </c>
      <c r="J315" s="52">
        <v>52</v>
      </c>
      <c r="K315" s="86">
        <v>72</v>
      </c>
      <c r="L315" s="86">
        <v>63</v>
      </c>
      <c r="M315" s="86"/>
      <c r="N315" s="104">
        <f t="shared" si="98"/>
        <v>135</v>
      </c>
      <c r="O315" s="86">
        <v>61</v>
      </c>
      <c r="P315" s="86">
        <v>61</v>
      </c>
      <c r="Q315" s="86">
        <v>142</v>
      </c>
      <c r="R315" s="104">
        <f t="shared" si="97"/>
        <v>264</v>
      </c>
      <c r="S315" s="86">
        <f t="shared" si="99"/>
        <v>451</v>
      </c>
      <c r="T315" s="87"/>
      <c r="U315" s="87"/>
      <c r="V315" s="87"/>
      <c r="W315" s="88"/>
      <c r="X315" s="87"/>
      <c r="Y315" s="87"/>
      <c r="Z315" s="87"/>
      <c r="AA315" s="88"/>
      <c r="AB315" s="88">
        <v>39.270000000000003</v>
      </c>
      <c r="AC315" s="88">
        <v>52.462499999999999</v>
      </c>
      <c r="AD315" s="88">
        <v>72.64</v>
      </c>
      <c r="AE315" s="89">
        <f t="shared" si="101"/>
        <v>41885.1175</v>
      </c>
      <c r="AF315" s="90">
        <v>6.5000000000000002E-2</v>
      </c>
      <c r="AG315" s="4">
        <f t="shared" si="100"/>
        <v>2722.5326375</v>
      </c>
      <c r="AH315" s="49">
        <f t="shared" si="102"/>
        <v>71.471400000000017</v>
      </c>
      <c r="AI315" s="89">
        <f t="shared" si="103"/>
        <v>39162.5848625</v>
      </c>
      <c r="AJ315" s="91">
        <v>0.18</v>
      </c>
      <c r="AK315" s="5">
        <f t="shared" si="104"/>
        <v>7049.2652752499998</v>
      </c>
      <c r="AL315" s="89">
        <f t="shared" si="105"/>
        <v>46211.85013775</v>
      </c>
      <c r="AP315" s="92"/>
    </row>
    <row r="316" spans="1:42" hidden="1" x14ac:dyDescent="0.35">
      <c r="A316" s="85"/>
      <c r="B316" s="51"/>
      <c r="C316" s="97"/>
      <c r="D316" s="97"/>
      <c r="E316" s="48"/>
      <c r="F316" s="96"/>
      <c r="G316" s="96"/>
      <c r="H316" s="96"/>
      <c r="I316" s="3"/>
      <c r="J316" s="52"/>
      <c r="K316" s="105"/>
      <c r="L316" s="105"/>
      <c r="M316" s="105"/>
      <c r="N316" s="104">
        <f t="shared" si="98"/>
        <v>0</v>
      </c>
      <c r="O316" s="86"/>
      <c r="P316" s="86"/>
      <c r="Q316" s="86"/>
      <c r="R316" s="104">
        <f t="shared" si="97"/>
        <v>0</v>
      </c>
      <c r="S316" s="86">
        <f t="shared" si="99"/>
        <v>0</v>
      </c>
      <c r="T316" s="87"/>
      <c r="U316" s="87"/>
      <c r="V316" s="87"/>
      <c r="W316" s="88"/>
      <c r="X316" s="87"/>
      <c r="Y316" s="87"/>
      <c r="Z316" s="87"/>
      <c r="AA316" s="88"/>
      <c r="AB316" s="88">
        <v>39.270000000000003</v>
      </c>
      <c r="AC316" s="88">
        <v>52.462499999999999</v>
      </c>
      <c r="AD316" s="88">
        <v>72.64</v>
      </c>
      <c r="AE316" s="89">
        <f t="shared" si="101"/>
        <v>0</v>
      </c>
      <c r="AF316" s="90">
        <v>0.13</v>
      </c>
      <c r="AG316" s="4">
        <f t="shared" si="100"/>
        <v>0</v>
      </c>
      <c r="AH316" s="49">
        <f t="shared" si="102"/>
        <v>0</v>
      </c>
      <c r="AI316" s="89">
        <f t="shared" si="103"/>
        <v>0</v>
      </c>
      <c r="AJ316" s="91">
        <v>0.18</v>
      </c>
      <c r="AK316" s="5">
        <f t="shared" si="104"/>
        <v>0</v>
      </c>
      <c r="AL316" s="89">
        <f t="shared" si="105"/>
        <v>0</v>
      </c>
      <c r="AP316" s="92"/>
    </row>
    <row r="317" spans="1:42" hidden="1" x14ac:dyDescent="0.35">
      <c r="A317" s="85"/>
      <c r="B317" s="51"/>
      <c r="C317" s="97"/>
      <c r="D317" s="97"/>
      <c r="E317" s="48"/>
      <c r="F317" s="96"/>
      <c r="G317" s="96"/>
      <c r="H317" s="96"/>
      <c r="I317" s="3"/>
      <c r="J317" s="52"/>
      <c r="K317" s="86"/>
      <c r="L317" s="86"/>
      <c r="M317" s="86"/>
      <c r="N317" s="104">
        <f t="shared" si="98"/>
        <v>0</v>
      </c>
      <c r="O317" s="86"/>
      <c r="P317" s="86"/>
      <c r="Q317" s="86"/>
      <c r="R317" s="104">
        <f t="shared" si="97"/>
        <v>0</v>
      </c>
      <c r="S317" s="86">
        <f t="shared" si="99"/>
        <v>0</v>
      </c>
      <c r="T317" s="87"/>
      <c r="U317" s="87"/>
      <c r="V317" s="87"/>
      <c r="W317" s="88"/>
      <c r="X317" s="87"/>
      <c r="Y317" s="87"/>
      <c r="Z317" s="87"/>
      <c r="AA317" s="88"/>
      <c r="AB317" s="88">
        <v>39.270000000000003</v>
      </c>
      <c r="AC317" s="88">
        <v>52.462499999999999</v>
      </c>
      <c r="AD317" s="88">
        <v>72.64</v>
      </c>
      <c r="AE317" s="89">
        <f t="shared" si="101"/>
        <v>0</v>
      </c>
      <c r="AF317" s="90">
        <v>6.5000000000000002E-2</v>
      </c>
      <c r="AG317" s="4">
        <f t="shared" si="100"/>
        <v>0</v>
      </c>
      <c r="AH317" s="49">
        <f t="shared" si="102"/>
        <v>0</v>
      </c>
      <c r="AI317" s="89">
        <f t="shared" si="103"/>
        <v>0</v>
      </c>
      <c r="AJ317" s="91">
        <v>0.18</v>
      </c>
      <c r="AK317" s="5">
        <f t="shared" si="104"/>
        <v>0</v>
      </c>
      <c r="AL317" s="89">
        <f t="shared" si="105"/>
        <v>0</v>
      </c>
      <c r="AP317" s="92"/>
    </row>
    <row r="318" spans="1:42" hidden="1" x14ac:dyDescent="0.35">
      <c r="A318" s="85"/>
      <c r="B318" s="51"/>
      <c r="C318" s="97"/>
      <c r="D318" s="97"/>
      <c r="E318" s="48"/>
      <c r="F318" s="96"/>
      <c r="G318" s="96"/>
      <c r="H318" s="96"/>
      <c r="I318" s="3"/>
      <c r="J318" s="52"/>
      <c r="K318" s="105"/>
      <c r="L318" s="105"/>
      <c r="M318" s="86"/>
      <c r="N318" s="104">
        <f t="shared" si="98"/>
        <v>0</v>
      </c>
      <c r="O318" s="86"/>
      <c r="P318" s="86"/>
      <c r="Q318" s="86"/>
      <c r="R318" s="104">
        <f t="shared" si="97"/>
        <v>0</v>
      </c>
      <c r="S318" s="86">
        <f t="shared" si="99"/>
        <v>0</v>
      </c>
      <c r="T318" s="87"/>
      <c r="U318" s="87"/>
      <c r="V318" s="87"/>
      <c r="W318" s="88"/>
      <c r="X318" s="87"/>
      <c r="Y318" s="87"/>
      <c r="Z318" s="87"/>
      <c r="AA318" s="88"/>
      <c r="AB318" s="88">
        <v>39.270000000000003</v>
      </c>
      <c r="AC318" s="88">
        <v>52.462499999999999</v>
      </c>
      <c r="AD318" s="88">
        <v>72.64</v>
      </c>
      <c r="AE318" s="89">
        <f t="shared" si="101"/>
        <v>0</v>
      </c>
      <c r="AF318" s="90">
        <v>6.5000000000000002E-2</v>
      </c>
      <c r="AG318" s="4">
        <f t="shared" si="100"/>
        <v>0</v>
      </c>
      <c r="AH318" s="49">
        <f t="shared" si="102"/>
        <v>0</v>
      </c>
      <c r="AI318" s="89">
        <f t="shared" si="103"/>
        <v>0</v>
      </c>
      <c r="AJ318" s="91">
        <v>0.18</v>
      </c>
      <c r="AK318" s="5">
        <f t="shared" si="104"/>
        <v>0</v>
      </c>
      <c r="AL318" s="89">
        <f t="shared" si="105"/>
        <v>0</v>
      </c>
      <c r="AP318" s="92"/>
    </row>
    <row r="319" spans="1:42" hidden="1" x14ac:dyDescent="0.35">
      <c r="A319" s="85"/>
      <c r="B319" s="51"/>
      <c r="C319" s="97"/>
      <c r="D319" s="97"/>
      <c r="E319" s="48"/>
      <c r="F319" s="96"/>
      <c r="G319" s="96"/>
      <c r="H319" s="96"/>
      <c r="I319" s="3"/>
      <c r="J319" s="52"/>
      <c r="K319" s="86"/>
      <c r="L319" s="86"/>
      <c r="M319" s="86"/>
      <c r="N319" s="104">
        <f t="shared" si="98"/>
        <v>0</v>
      </c>
      <c r="O319" s="86"/>
      <c r="P319" s="86"/>
      <c r="Q319" s="86"/>
      <c r="R319" s="104">
        <f t="shared" si="97"/>
        <v>0</v>
      </c>
      <c r="S319" s="86">
        <f t="shared" si="99"/>
        <v>0</v>
      </c>
      <c r="T319" s="87"/>
      <c r="U319" s="87"/>
      <c r="V319" s="87"/>
      <c r="W319" s="88"/>
      <c r="X319" s="87"/>
      <c r="Y319" s="87"/>
      <c r="Z319" s="87"/>
      <c r="AA319" s="88"/>
      <c r="AB319" s="88">
        <v>39.270000000000003</v>
      </c>
      <c r="AC319" s="88">
        <v>52.462499999999999</v>
      </c>
      <c r="AD319" s="88">
        <v>72.64</v>
      </c>
      <c r="AE319" s="89">
        <f t="shared" si="101"/>
        <v>0</v>
      </c>
      <c r="AF319" s="90">
        <v>6.5000000000000002E-2</v>
      </c>
      <c r="AG319" s="4">
        <f t="shared" si="100"/>
        <v>0</v>
      </c>
      <c r="AH319" s="49">
        <f t="shared" si="102"/>
        <v>0</v>
      </c>
      <c r="AI319" s="89">
        <f t="shared" si="103"/>
        <v>0</v>
      </c>
      <c r="AJ319" s="91">
        <v>0.18</v>
      </c>
      <c r="AK319" s="5">
        <f t="shared" si="104"/>
        <v>0</v>
      </c>
      <c r="AL319" s="89">
        <f t="shared" si="105"/>
        <v>0</v>
      </c>
      <c r="AP319" s="92"/>
    </row>
    <row r="320" spans="1:42" hidden="1" x14ac:dyDescent="0.35">
      <c r="A320" s="85"/>
      <c r="B320" s="51"/>
      <c r="C320" s="97"/>
      <c r="D320" s="97"/>
      <c r="E320" s="48"/>
      <c r="F320" s="96"/>
      <c r="G320" s="96"/>
      <c r="H320" s="96"/>
      <c r="I320" s="3"/>
      <c r="J320" s="52"/>
      <c r="K320" s="105"/>
      <c r="L320" s="105"/>
      <c r="M320" s="105"/>
      <c r="N320" s="104">
        <f t="shared" si="98"/>
        <v>0</v>
      </c>
      <c r="O320" s="86"/>
      <c r="P320" s="86"/>
      <c r="Q320" s="86"/>
      <c r="R320" s="104">
        <f t="shared" si="97"/>
        <v>0</v>
      </c>
      <c r="S320" s="86">
        <f t="shared" si="99"/>
        <v>0</v>
      </c>
      <c r="T320" s="87"/>
      <c r="U320" s="87"/>
      <c r="V320" s="87"/>
      <c r="W320" s="88"/>
      <c r="X320" s="87"/>
      <c r="Y320" s="87"/>
      <c r="Z320" s="87"/>
      <c r="AA320" s="88"/>
      <c r="AB320" s="88">
        <v>39.270000000000003</v>
      </c>
      <c r="AC320" s="88">
        <v>52.462499999999999</v>
      </c>
      <c r="AD320" s="88">
        <v>72.64</v>
      </c>
      <c r="AE320" s="89">
        <f t="shared" si="101"/>
        <v>0</v>
      </c>
      <c r="AF320" s="90">
        <v>6.5000000000000002E-2</v>
      </c>
      <c r="AG320" s="4">
        <f t="shared" si="100"/>
        <v>0</v>
      </c>
      <c r="AH320" s="49">
        <f t="shared" si="102"/>
        <v>0</v>
      </c>
      <c r="AI320" s="89">
        <f t="shared" si="103"/>
        <v>0</v>
      </c>
      <c r="AJ320" s="91">
        <v>0.18</v>
      </c>
      <c r="AK320" s="5">
        <f t="shared" si="104"/>
        <v>0</v>
      </c>
      <c r="AL320" s="89">
        <f t="shared" si="105"/>
        <v>0</v>
      </c>
      <c r="AP320" s="92"/>
    </row>
    <row r="321" spans="1:42" hidden="1" x14ac:dyDescent="0.35">
      <c r="A321" s="85"/>
      <c r="B321" s="51"/>
      <c r="C321" s="97"/>
      <c r="D321" s="97"/>
      <c r="E321" s="48"/>
      <c r="F321" s="96"/>
      <c r="G321" s="96"/>
      <c r="H321" s="96"/>
      <c r="I321" s="3"/>
      <c r="J321" s="52"/>
      <c r="K321" s="105"/>
      <c r="L321" s="105"/>
      <c r="M321" s="105"/>
      <c r="N321" s="104">
        <f t="shared" si="98"/>
        <v>0</v>
      </c>
      <c r="O321" s="86"/>
      <c r="P321" s="86"/>
      <c r="Q321" s="86"/>
      <c r="R321" s="104">
        <f t="shared" si="97"/>
        <v>0</v>
      </c>
      <c r="S321" s="86">
        <f t="shared" si="99"/>
        <v>0</v>
      </c>
      <c r="T321" s="87"/>
      <c r="U321" s="87"/>
      <c r="V321" s="87"/>
      <c r="W321" s="88"/>
      <c r="X321" s="87"/>
      <c r="Y321" s="87"/>
      <c r="Z321" s="87"/>
      <c r="AA321" s="88"/>
      <c r="AB321" s="88">
        <v>39.270000000000003</v>
      </c>
      <c r="AC321" s="88">
        <v>52.462499999999999</v>
      </c>
      <c r="AD321" s="88">
        <v>72.64</v>
      </c>
      <c r="AE321" s="89">
        <f t="shared" si="101"/>
        <v>0</v>
      </c>
      <c r="AF321" s="90">
        <v>6.5000000000000002E-2</v>
      </c>
      <c r="AG321" s="4">
        <f t="shared" si="100"/>
        <v>0</v>
      </c>
      <c r="AH321" s="49">
        <f t="shared" si="102"/>
        <v>0</v>
      </c>
      <c r="AI321" s="89">
        <f t="shared" si="103"/>
        <v>0</v>
      </c>
      <c r="AJ321" s="91">
        <v>0.18</v>
      </c>
      <c r="AK321" s="5">
        <f t="shared" si="104"/>
        <v>0</v>
      </c>
      <c r="AL321" s="89">
        <f t="shared" si="105"/>
        <v>0</v>
      </c>
      <c r="AP321" s="92"/>
    </row>
    <row r="322" spans="1:42" hidden="1" x14ac:dyDescent="0.35">
      <c r="A322" s="85"/>
      <c r="B322" s="51"/>
      <c r="C322" s="97"/>
      <c r="D322" s="97"/>
      <c r="E322" s="48"/>
      <c r="F322" s="96"/>
      <c r="G322" s="96"/>
      <c r="H322" s="96"/>
      <c r="I322" s="3"/>
      <c r="J322" s="52"/>
      <c r="K322" s="86"/>
      <c r="L322" s="86"/>
      <c r="M322" s="86"/>
      <c r="N322" s="104">
        <f t="shared" si="98"/>
        <v>0</v>
      </c>
      <c r="O322" s="86"/>
      <c r="P322" s="86"/>
      <c r="Q322" s="86"/>
      <c r="R322" s="104">
        <f t="shared" si="97"/>
        <v>0</v>
      </c>
      <c r="S322" s="86">
        <f t="shared" si="99"/>
        <v>0</v>
      </c>
      <c r="T322" s="87"/>
      <c r="U322" s="87"/>
      <c r="V322" s="87"/>
      <c r="W322" s="88"/>
      <c r="X322" s="87"/>
      <c r="Y322" s="87"/>
      <c r="Z322" s="87"/>
      <c r="AA322" s="88"/>
      <c r="AB322" s="88">
        <v>39.270000000000003</v>
      </c>
      <c r="AC322" s="88">
        <v>52.462499999999999</v>
      </c>
      <c r="AD322" s="88">
        <v>72.64</v>
      </c>
      <c r="AE322" s="89">
        <f t="shared" si="101"/>
        <v>0</v>
      </c>
      <c r="AF322" s="90">
        <v>6.5000000000000002E-2</v>
      </c>
      <c r="AG322" s="4">
        <f t="shared" si="100"/>
        <v>0</v>
      </c>
      <c r="AH322" s="49">
        <f t="shared" si="102"/>
        <v>0</v>
      </c>
      <c r="AI322" s="89">
        <f t="shared" si="103"/>
        <v>0</v>
      </c>
      <c r="AJ322" s="91">
        <v>0.18</v>
      </c>
      <c r="AK322" s="5">
        <f t="shared" si="104"/>
        <v>0</v>
      </c>
      <c r="AL322" s="89">
        <f t="shared" si="105"/>
        <v>0</v>
      </c>
      <c r="AP322" s="92"/>
    </row>
    <row r="323" spans="1:42" hidden="1" x14ac:dyDescent="0.35">
      <c r="A323" s="85"/>
      <c r="B323" s="51"/>
      <c r="C323" s="97"/>
      <c r="D323" s="97"/>
      <c r="E323" s="48"/>
      <c r="F323" s="96"/>
      <c r="G323" s="96"/>
      <c r="H323" s="96"/>
      <c r="I323" s="3"/>
      <c r="J323" s="52"/>
      <c r="K323" s="86"/>
      <c r="L323" s="86"/>
      <c r="M323" s="105"/>
      <c r="N323" s="104">
        <f t="shared" si="98"/>
        <v>0</v>
      </c>
      <c r="O323" s="105"/>
      <c r="P323" s="105"/>
      <c r="Q323" s="105"/>
      <c r="R323" s="104">
        <f t="shared" si="97"/>
        <v>0</v>
      </c>
      <c r="S323" s="86">
        <f t="shared" si="99"/>
        <v>0</v>
      </c>
      <c r="T323" s="87"/>
      <c r="U323" s="87"/>
      <c r="V323" s="87"/>
      <c r="W323" s="88"/>
      <c r="X323" s="87"/>
      <c r="Y323" s="87"/>
      <c r="Z323" s="87"/>
      <c r="AA323" s="88"/>
      <c r="AB323" s="88">
        <v>39.270000000000003</v>
      </c>
      <c r="AC323" s="88">
        <v>52.462499999999999</v>
      </c>
      <c r="AD323" s="88">
        <v>72.64</v>
      </c>
      <c r="AE323" s="89">
        <f t="shared" si="101"/>
        <v>0</v>
      </c>
      <c r="AF323" s="90">
        <v>6.5000000000000002E-2</v>
      </c>
      <c r="AG323" s="4">
        <f t="shared" si="100"/>
        <v>0</v>
      </c>
      <c r="AH323" s="49">
        <f t="shared" si="102"/>
        <v>0</v>
      </c>
      <c r="AI323" s="89">
        <f t="shared" si="103"/>
        <v>0</v>
      </c>
      <c r="AJ323" s="91">
        <v>0.18</v>
      </c>
      <c r="AK323" s="5">
        <f t="shared" si="104"/>
        <v>0</v>
      </c>
      <c r="AL323" s="89">
        <f t="shared" si="105"/>
        <v>0</v>
      </c>
      <c r="AP323" s="92"/>
    </row>
    <row r="324" spans="1:42" hidden="1" x14ac:dyDescent="0.35">
      <c r="A324" s="85"/>
      <c r="B324" s="51"/>
      <c r="C324" s="97"/>
      <c r="D324" s="97"/>
      <c r="E324" s="48"/>
      <c r="F324" s="96"/>
      <c r="G324" s="96"/>
      <c r="H324" s="96"/>
      <c r="I324" s="3"/>
      <c r="J324" s="52"/>
      <c r="K324" s="105"/>
      <c r="L324" s="105"/>
      <c r="M324" s="105"/>
      <c r="N324" s="104">
        <f t="shared" si="98"/>
        <v>0</v>
      </c>
      <c r="O324" s="86"/>
      <c r="P324" s="86"/>
      <c r="Q324" s="86"/>
      <c r="R324" s="104">
        <f t="shared" ref="R324:R387" si="106">SUM(O324:Q324)</f>
        <v>0</v>
      </c>
      <c r="S324" s="86">
        <f t="shared" si="99"/>
        <v>0</v>
      </c>
      <c r="T324" s="87"/>
      <c r="U324" s="87"/>
      <c r="V324" s="87"/>
      <c r="W324" s="88"/>
      <c r="X324" s="87"/>
      <c r="Y324" s="87"/>
      <c r="Z324" s="87"/>
      <c r="AA324" s="88"/>
      <c r="AB324" s="88">
        <v>39.270000000000003</v>
      </c>
      <c r="AC324" s="88">
        <v>52.462499999999999</v>
      </c>
      <c r="AD324" s="88">
        <v>72.64</v>
      </c>
      <c r="AE324" s="89">
        <f t="shared" si="101"/>
        <v>0</v>
      </c>
      <c r="AF324" s="90">
        <v>6.5000000000000002E-2</v>
      </c>
      <c r="AG324" s="4">
        <f t="shared" si="100"/>
        <v>0</v>
      </c>
      <c r="AH324" s="49">
        <f t="shared" si="102"/>
        <v>0</v>
      </c>
      <c r="AI324" s="89">
        <f t="shared" si="103"/>
        <v>0</v>
      </c>
      <c r="AJ324" s="91">
        <v>0.18</v>
      </c>
      <c r="AK324" s="5">
        <f t="shared" si="104"/>
        <v>0</v>
      </c>
      <c r="AL324" s="89">
        <f t="shared" si="105"/>
        <v>0</v>
      </c>
      <c r="AP324" s="92"/>
    </row>
    <row r="325" spans="1:42" hidden="1" x14ac:dyDescent="0.35">
      <c r="A325" s="85"/>
      <c r="B325" s="51"/>
      <c r="C325" s="97"/>
      <c r="D325" s="97"/>
      <c r="E325" s="48"/>
      <c r="F325" s="96"/>
      <c r="G325" s="96"/>
      <c r="H325" s="96"/>
      <c r="I325" s="3"/>
      <c r="J325" s="52"/>
      <c r="K325" s="86"/>
      <c r="L325" s="86"/>
      <c r="M325" s="86"/>
      <c r="N325" s="104">
        <f t="shared" ref="N325:N388" si="107">K325+L325+M325</f>
        <v>0</v>
      </c>
      <c r="O325" s="86"/>
      <c r="P325" s="86"/>
      <c r="Q325" s="86"/>
      <c r="R325" s="104">
        <f t="shared" si="106"/>
        <v>0</v>
      </c>
      <c r="S325" s="86">
        <f t="shared" ref="S325:S388" si="108">R325+N325+J325</f>
        <v>0</v>
      </c>
      <c r="T325" s="87"/>
      <c r="U325" s="87"/>
      <c r="V325" s="87"/>
      <c r="W325" s="88"/>
      <c r="X325" s="87"/>
      <c r="Y325" s="87"/>
      <c r="Z325" s="87"/>
      <c r="AA325" s="88"/>
      <c r="AB325" s="88">
        <v>39.270000000000003</v>
      </c>
      <c r="AC325" s="88">
        <v>52.462499999999999</v>
      </c>
      <c r="AD325" s="88">
        <v>72.64</v>
      </c>
      <c r="AE325" s="89">
        <f t="shared" si="101"/>
        <v>0</v>
      </c>
      <c r="AF325" s="90">
        <v>6.5000000000000002E-2</v>
      </c>
      <c r="AG325" s="4">
        <f t="shared" si="100"/>
        <v>0</v>
      </c>
      <c r="AH325" s="49">
        <f t="shared" si="102"/>
        <v>0</v>
      </c>
      <c r="AI325" s="89">
        <f t="shared" si="103"/>
        <v>0</v>
      </c>
      <c r="AJ325" s="91">
        <v>0.18</v>
      </c>
      <c r="AK325" s="5">
        <f t="shared" si="104"/>
        <v>0</v>
      </c>
      <c r="AL325" s="89">
        <f t="shared" si="105"/>
        <v>0</v>
      </c>
      <c r="AP325" s="92"/>
    </row>
    <row r="326" spans="1:42" hidden="1" x14ac:dyDescent="0.35">
      <c r="A326" s="85"/>
      <c r="B326" s="51"/>
      <c r="C326" s="97"/>
      <c r="D326" s="97"/>
      <c r="E326" s="48"/>
      <c r="F326" s="96"/>
      <c r="G326" s="96"/>
      <c r="H326" s="96"/>
      <c r="I326" s="3"/>
      <c r="J326" s="52"/>
      <c r="K326" s="86"/>
      <c r="L326" s="86"/>
      <c r="M326" s="105"/>
      <c r="N326" s="104">
        <f t="shared" si="107"/>
        <v>0</v>
      </c>
      <c r="O326" s="105"/>
      <c r="P326" s="105"/>
      <c r="Q326" s="105"/>
      <c r="R326" s="104">
        <f t="shared" si="106"/>
        <v>0</v>
      </c>
      <c r="S326" s="86">
        <f t="shared" si="108"/>
        <v>0</v>
      </c>
      <c r="T326" s="87"/>
      <c r="U326" s="87"/>
      <c r="V326" s="87"/>
      <c r="W326" s="88"/>
      <c r="X326" s="87"/>
      <c r="Y326" s="87"/>
      <c r="Z326" s="87"/>
      <c r="AA326" s="88"/>
      <c r="AB326" s="88">
        <v>39.270000000000003</v>
      </c>
      <c r="AC326" s="88">
        <v>52.462499999999999</v>
      </c>
      <c r="AD326" s="88">
        <v>72.64</v>
      </c>
      <c r="AE326" s="89">
        <f t="shared" si="101"/>
        <v>0</v>
      </c>
      <c r="AF326" s="90">
        <v>6.5000000000000002E-2</v>
      </c>
      <c r="AG326" s="4">
        <f t="shared" ref="AG326:AG377" si="109">AE326*AF326</f>
        <v>0</v>
      </c>
      <c r="AH326" s="49">
        <f t="shared" si="102"/>
        <v>0</v>
      </c>
      <c r="AI326" s="89">
        <f t="shared" si="103"/>
        <v>0</v>
      </c>
      <c r="AJ326" s="91">
        <v>0.18</v>
      </c>
      <c r="AK326" s="5">
        <f t="shared" si="104"/>
        <v>0</v>
      </c>
      <c r="AL326" s="89">
        <f t="shared" si="105"/>
        <v>0</v>
      </c>
      <c r="AP326" s="92"/>
    </row>
    <row r="327" spans="1:42" hidden="1" x14ac:dyDescent="0.35">
      <c r="A327" s="85"/>
      <c r="B327" s="51"/>
      <c r="C327" s="97"/>
      <c r="D327" s="97"/>
      <c r="E327" s="48"/>
      <c r="F327" s="96"/>
      <c r="G327" s="96"/>
      <c r="H327" s="96"/>
      <c r="I327" s="3"/>
      <c r="J327" s="52"/>
      <c r="K327" s="105"/>
      <c r="L327" s="105"/>
      <c r="M327" s="105"/>
      <c r="N327" s="104">
        <f t="shared" si="107"/>
        <v>0</v>
      </c>
      <c r="O327" s="86"/>
      <c r="P327" s="86"/>
      <c r="Q327" s="105"/>
      <c r="R327" s="104">
        <f t="shared" si="106"/>
        <v>0</v>
      </c>
      <c r="S327" s="86">
        <f t="shared" si="108"/>
        <v>0</v>
      </c>
      <c r="T327" s="87"/>
      <c r="U327" s="87"/>
      <c r="V327" s="87"/>
      <c r="W327" s="88"/>
      <c r="X327" s="87"/>
      <c r="Y327" s="87"/>
      <c r="Z327" s="87"/>
      <c r="AA327" s="88"/>
      <c r="AB327" s="88">
        <v>39.270000000000003</v>
      </c>
      <c r="AC327" s="88">
        <v>52.462499999999999</v>
      </c>
      <c r="AD327" s="88">
        <v>72.64</v>
      </c>
      <c r="AE327" s="89">
        <f t="shared" si="101"/>
        <v>0</v>
      </c>
      <c r="AF327" s="90">
        <v>6.5000000000000002E-2</v>
      </c>
      <c r="AG327" s="4">
        <f t="shared" si="109"/>
        <v>0</v>
      </c>
      <c r="AH327" s="49">
        <f t="shared" si="102"/>
        <v>0</v>
      </c>
      <c r="AI327" s="89">
        <f t="shared" si="103"/>
        <v>0</v>
      </c>
      <c r="AJ327" s="91">
        <v>0.18</v>
      </c>
      <c r="AK327" s="5">
        <f t="shared" si="104"/>
        <v>0</v>
      </c>
      <c r="AL327" s="89">
        <f t="shared" si="105"/>
        <v>0</v>
      </c>
      <c r="AP327" s="92"/>
    </row>
    <row r="328" spans="1:42" hidden="1" x14ac:dyDescent="0.35">
      <c r="A328" s="85"/>
      <c r="B328" s="51"/>
      <c r="C328" s="97"/>
      <c r="D328" s="97"/>
      <c r="E328" s="48"/>
      <c r="F328" s="96"/>
      <c r="G328" s="96"/>
      <c r="H328" s="96"/>
      <c r="I328" s="3"/>
      <c r="J328" s="52"/>
      <c r="K328" s="105"/>
      <c r="L328" s="105"/>
      <c r="M328" s="105"/>
      <c r="N328" s="104">
        <f t="shared" si="107"/>
        <v>0</v>
      </c>
      <c r="O328" s="86"/>
      <c r="P328" s="86"/>
      <c r="Q328" s="86"/>
      <c r="R328" s="104">
        <f t="shared" si="106"/>
        <v>0</v>
      </c>
      <c r="S328" s="86">
        <f t="shared" si="108"/>
        <v>0</v>
      </c>
      <c r="T328" s="87"/>
      <c r="U328" s="87"/>
      <c r="V328" s="87"/>
      <c r="W328" s="88"/>
      <c r="X328" s="87"/>
      <c r="Y328" s="87"/>
      <c r="Z328" s="87"/>
      <c r="AA328" s="88"/>
      <c r="AB328" s="88">
        <v>39.270000000000003</v>
      </c>
      <c r="AC328" s="88">
        <v>52.462499999999999</v>
      </c>
      <c r="AD328" s="88">
        <v>72.64</v>
      </c>
      <c r="AE328" s="89">
        <f t="shared" si="101"/>
        <v>0</v>
      </c>
      <c r="AF328" s="90">
        <v>6.5000000000000002E-2</v>
      </c>
      <c r="AG328" s="4">
        <f t="shared" si="109"/>
        <v>0</v>
      </c>
      <c r="AH328" s="49">
        <f t="shared" si="102"/>
        <v>0</v>
      </c>
      <c r="AI328" s="89">
        <f t="shared" si="103"/>
        <v>0</v>
      </c>
      <c r="AJ328" s="91">
        <v>0.18</v>
      </c>
      <c r="AK328" s="5">
        <f t="shared" si="104"/>
        <v>0</v>
      </c>
      <c r="AL328" s="89">
        <f t="shared" si="105"/>
        <v>0</v>
      </c>
      <c r="AP328" s="92"/>
    </row>
    <row r="329" spans="1:42" hidden="1" x14ac:dyDescent="0.35">
      <c r="A329" s="85"/>
      <c r="B329" s="51"/>
      <c r="C329" s="97"/>
      <c r="D329" s="97"/>
      <c r="E329" s="48"/>
      <c r="F329" s="96"/>
      <c r="G329" s="96"/>
      <c r="H329" s="96"/>
      <c r="I329" s="3"/>
      <c r="J329" s="52"/>
      <c r="K329" s="86"/>
      <c r="L329" s="86"/>
      <c r="M329" s="86"/>
      <c r="N329" s="104">
        <f t="shared" si="107"/>
        <v>0</v>
      </c>
      <c r="O329" s="86"/>
      <c r="P329" s="86"/>
      <c r="Q329" s="86"/>
      <c r="R329" s="104">
        <f t="shared" si="106"/>
        <v>0</v>
      </c>
      <c r="S329" s="86">
        <f t="shared" si="108"/>
        <v>0</v>
      </c>
      <c r="T329" s="87"/>
      <c r="U329" s="87"/>
      <c r="V329" s="87"/>
      <c r="W329" s="88"/>
      <c r="X329" s="87"/>
      <c r="Y329" s="87"/>
      <c r="Z329" s="87"/>
      <c r="AA329" s="88"/>
      <c r="AB329" s="88">
        <v>39.270000000000003</v>
      </c>
      <c r="AC329" s="88">
        <v>52.462499999999999</v>
      </c>
      <c r="AD329" s="88">
        <v>72.64</v>
      </c>
      <c r="AE329" s="89">
        <f t="shared" si="101"/>
        <v>0</v>
      </c>
      <c r="AF329" s="90">
        <v>6.5000000000000002E-2</v>
      </c>
      <c r="AG329" s="4">
        <f t="shared" si="109"/>
        <v>0</v>
      </c>
      <c r="AH329" s="49">
        <f t="shared" si="102"/>
        <v>0</v>
      </c>
      <c r="AI329" s="89">
        <f t="shared" si="103"/>
        <v>0</v>
      </c>
      <c r="AJ329" s="91">
        <v>0.18</v>
      </c>
      <c r="AK329" s="5">
        <f t="shared" si="104"/>
        <v>0</v>
      </c>
      <c r="AL329" s="89">
        <f t="shared" si="105"/>
        <v>0</v>
      </c>
      <c r="AP329" s="92"/>
    </row>
    <row r="330" spans="1:42" hidden="1" x14ac:dyDescent="0.35">
      <c r="A330" s="85"/>
      <c r="B330" s="51"/>
      <c r="C330" s="97"/>
      <c r="D330" s="97"/>
      <c r="E330" s="48"/>
      <c r="F330" s="96"/>
      <c r="G330" s="96"/>
      <c r="H330" s="96"/>
      <c r="I330" s="3"/>
      <c r="J330" s="52"/>
      <c r="K330" s="105"/>
      <c r="L330" s="105"/>
      <c r="M330" s="105"/>
      <c r="N330" s="104">
        <f t="shared" si="107"/>
        <v>0</v>
      </c>
      <c r="O330" s="86"/>
      <c r="P330" s="86"/>
      <c r="Q330" s="86"/>
      <c r="R330" s="104">
        <f t="shared" si="106"/>
        <v>0</v>
      </c>
      <c r="S330" s="86">
        <f t="shared" si="108"/>
        <v>0</v>
      </c>
      <c r="T330" s="87"/>
      <c r="U330" s="87"/>
      <c r="V330" s="87"/>
      <c r="W330" s="88"/>
      <c r="X330" s="87"/>
      <c r="Y330" s="87"/>
      <c r="Z330" s="87"/>
      <c r="AA330" s="88"/>
      <c r="AB330" s="88">
        <v>39.270000000000003</v>
      </c>
      <c r="AC330" s="88">
        <v>52.462499999999999</v>
      </c>
      <c r="AD330" s="88">
        <v>72.64</v>
      </c>
      <c r="AE330" s="89">
        <f t="shared" si="101"/>
        <v>0</v>
      </c>
      <c r="AF330" s="90">
        <v>6.5000000000000002E-2</v>
      </c>
      <c r="AG330" s="4">
        <f t="shared" si="109"/>
        <v>0</v>
      </c>
      <c r="AH330" s="49">
        <f t="shared" si="102"/>
        <v>0</v>
      </c>
      <c r="AI330" s="89">
        <f t="shared" si="103"/>
        <v>0</v>
      </c>
      <c r="AJ330" s="91">
        <v>0.18</v>
      </c>
      <c r="AK330" s="5">
        <f t="shared" si="104"/>
        <v>0</v>
      </c>
      <c r="AL330" s="89">
        <f t="shared" si="105"/>
        <v>0</v>
      </c>
      <c r="AP330" s="92"/>
    </row>
    <row r="331" spans="1:42" hidden="1" x14ac:dyDescent="0.35">
      <c r="A331" s="85"/>
      <c r="B331" s="51"/>
      <c r="C331" s="97"/>
      <c r="D331" s="97"/>
      <c r="E331" s="48"/>
      <c r="F331" s="96"/>
      <c r="G331" s="96"/>
      <c r="H331" s="96"/>
      <c r="I331" s="3"/>
      <c r="J331" s="52"/>
      <c r="K331" s="105"/>
      <c r="L331" s="105"/>
      <c r="M331" s="105"/>
      <c r="N331" s="104">
        <f t="shared" si="107"/>
        <v>0</v>
      </c>
      <c r="O331" s="86"/>
      <c r="P331" s="105"/>
      <c r="Q331" s="105"/>
      <c r="R331" s="104">
        <f t="shared" si="106"/>
        <v>0</v>
      </c>
      <c r="S331" s="86">
        <f t="shared" si="108"/>
        <v>0</v>
      </c>
      <c r="T331" s="87"/>
      <c r="U331" s="87"/>
      <c r="V331" s="87"/>
      <c r="W331" s="88"/>
      <c r="X331" s="87"/>
      <c r="Y331" s="87"/>
      <c r="Z331" s="87"/>
      <c r="AA331" s="88"/>
      <c r="AB331" s="88">
        <v>39.270000000000003</v>
      </c>
      <c r="AC331" s="88">
        <v>52.462499999999999</v>
      </c>
      <c r="AD331" s="88">
        <v>72.64</v>
      </c>
      <c r="AE331" s="89">
        <f t="shared" si="101"/>
        <v>0</v>
      </c>
      <c r="AF331" s="90">
        <v>6.5000000000000002E-2</v>
      </c>
      <c r="AG331" s="4">
        <f t="shared" si="109"/>
        <v>0</v>
      </c>
      <c r="AH331" s="49">
        <f t="shared" si="102"/>
        <v>0</v>
      </c>
      <c r="AI331" s="89">
        <f t="shared" si="103"/>
        <v>0</v>
      </c>
      <c r="AJ331" s="91">
        <v>0.18</v>
      </c>
      <c r="AK331" s="5">
        <f t="shared" si="104"/>
        <v>0</v>
      </c>
      <c r="AL331" s="89">
        <f t="shared" si="105"/>
        <v>0</v>
      </c>
      <c r="AP331" s="92"/>
    </row>
    <row r="332" spans="1:42" hidden="1" x14ac:dyDescent="0.35">
      <c r="A332" s="85"/>
      <c r="B332" s="51"/>
      <c r="C332" s="97"/>
      <c r="D332" s="97"/>
      <c r="E332" s="48"/>
      <c r="F332" s="96"/>
      <c r="G332" s="96"/>
      <c r="H332" s="96"/>
      <c r="I332" s="3"/>
      <c r="J332" s="52"/>
      <c r="K332" s="105"/>
      <c r="L332" s="105"/>
      <c r="M332" s="105"/>
      <c r="N332" s="104">
        <f t="shared" si="107"/>
        <v>0</v>
      </c>
      <c r="O332" s="86"/>
      <c r="P332" s="105"/>
      <c r="Q332" s="105"/>
      <c r="R332" s="104">
        <f t="shared" si="106"/>
        <v>0</v>
      </c>
      <c r="S332" s="86">
        <f t="shared" si="108"/>
        <v>0</v>
      </c>
      <c r="T332" s="87"/>
      <c r="U332" s="87"/>
      <c r="V332" s="87"/>
      <c r="W332" s="88"/>
      <c r="X332" s="87"/>
      <c r="Y332" s="87"/>
      <c r="Z332" s="87"/>
      <c r="AA332" s="88"/>
      <c r="AB332" s="88">
        <v>39.270000000000003</v>
      </c>
      <c r="AC332" s="88">
        <v>52.462499999999999</v>
      </c>
      <c r="AD332" s="88">
        <v>72.64</v>
      </c>
      <c r="AE332" s="89">
        <f t="shared" si="101"/>
        <v>0</v>
      </c>
      <c r="AF332" s="90">
        <v>6.5000000000000002E-2</v>
      </c>
      <c r="AG332" s="4">
        <f t="shared" si="109"/>
        <v>0</v>
      </c>
      <c r="AH332" s="49">
        <f t="shared" si="102"/>
        <v>0</v>
      </c>
      <c r="AI332" s="89">
        <f t="shared" si="103"/>
        <v>0</v>
      </c>
      <c r="AJ332" s="91">
        <v>0.18</v>
      </c>
      <c r="AK332" s="5">
        <f t="shared" si="104"/>
        <v>0</v>
      </c>
      <c r="AL332" s="89">
        <f t="shared" si="105"/>
        <v>0</v>
      </c>
      <c r="AP332" s="92"/>
    </row>
    <row r="333" spans="1:42" hidden="1" x14ac:dyDescent="0.35">
      <c r="A333" s="85"/>
      <c r="B333" s="51"/>
      <c r="C333" s="97"/>
      <c r="D333" s="97"/>
      <c r="E333" s="48"/>
      <c r="F333" s="96"/>
      <c r="G333" s="96"/>
      <c r="H333" s="96"/>
      <c r="I333" s="3"/>
      <c r="J333" s="52"/>
      <c r="K333" s="105"/>
      <c r="L333" s="105"/>
      <c r="M333" s="105"/>
      <c r="N333" s="104">
        <f t="shared" si="107"/>
        <v>0</v>
      </c>
      <c r="O333" s="86"/>
      <c r="P333" s="86"/>
      <c r="Q333" s="86"/>
      <c r="R333" s="104">
        <f t="shared" si="106"/>
        <v>0</v>
      </c>
      <c r="S333" s="86">
        <f t="shared" si="108"/>
        <v>0</v>
      </c>
      <c r="T333" s="87"/>
      <c r="U333" s="87"/>
      <c r="V333" s="87"/>
      <c r="W333" s="88"/>
      <c r="X333" s="87"/>
      <c r="Y333" s="87"/>
      <c r="Z333" s="87"/>
      <c r="AA333" s="88"/>
      <c r="AB333" s="88">
        <v>39.270000000000003</v>
      </c>
      <c r="AC333" s="88">
        <v>52.462499999999999</v>
      </c>
      <c r="AD333" s="88">
        <v>72.64</v>
      </c>
      <c r="AE333" s="89">
        <f t="shared" si="101"/>
        <v>0</v>
      </c>
      <c r="AF333" s="90">
        <v>6.5000000000000002E-2</v>
      </c>
      <c r="AG333" s="4">
        <f t="shared" si="109"/>
        <v>0</v>
      </c>
      <c r="AH333" s="49">
        <f t="shared" si="102"/>
        <v>0</v>
      </c>
      <c r="AI333" s="89">
        <f t="shared" si="103"/>
        <v>0</v>
      </c>
      <c r="AJ333" s="91">
        <v>0.18</v>
      </c>
      <c r="AK333" s="5">
        <f t="shared" si="104"/>
        <v>0</v>
      </c>
      <c r="AL333" s="89">
        <f t="shared" si="105"/>
        <v>0</v>
      </c>
      <c r="AP333" s="92"/>
    </row>
    <row r="334" spans="1:42" hidden="1" x14ac:dyDescent="0.35">
      <c r="A334" s="85"/>
      <c r="B334" s="51"/>
      <c r="C334" s="97"/>
      <c r="D334" s="97"/>
      <c r="E334" s="48"/>
      <c r="F334" s="96"/>
      <c r="G334" s="96"/>
      <c r="H334" s="96"/>
      <c r="I334" s="3"/>
      <c r="J334" s="52"/>
      <c r="K334" s="86"/>
      <c r="L334" s="86"/>
      <c r="M334" s="86"/>
      <c r="N334" s="104">
        <f t="shared" si="107"/>
        <v>0</v>
      </c>
      <c r="O334" s="86"/>
      <c r="P334" s="86"/>
      <c r="Q334" s="86"/>
      <c r="R334" s="104">
        <f t="shared" si="106"/>
        <v>0</v>
      </c>
      <c r="S334" s="86">
        <f t="shared" si="108"/>
        <v>0</v>
      </c>
      <c r="T334" s="87"/>
      <c r="U334" s="87"/>
      <c r="V334" s="87"/>
      <c r="W334" s="88"/>
      <c r="X334" s="87"/>
      <c r="Y334" s="87"/>
      <c r="Z334" s="87"/>
      <c r="AA334" s="88"/>
      <c r="AB334" s="88">
        <v>39.270000000000003</v>
      </c>
      <c r="AC334" s="88">
        <v>52.462499999999999</v>
      </c>
      <c r="AD334" s="88">
        <v>72.64</v>
      </c>
      <c r="AE334" s="89">
        <f t="shared" si="101"/>
        <v>0</v>
      </c>
      <c r="AF334" s="90">
        <v>6.5000000000000002E-2</v>
      </c>
      <c r="AG334" s="4">
        <f t="shared" si="109"/>
        <v>0</v>
      </c>
      <c r="AH334" s="49">
        <f t="shared" si="102"/>
        <v>0</v>
      </c>
      <c r="AI334" s="89">
        <f t="shared" si="103"/>
        <v>0</v>
      </c>
      <c r="AJ334" s="91">
        <v>0.18</v>
      </c>
      <c r="AK334" s="5">
        <f t="shared" si="104"/>
        <v>0</v>
      </c>
      <c r="AL334" s="89">
        <f t="shared" si="105"/>
        <v>0</v>
      </c>
      <c r="AP334" s="92"/>
    </row>
    <row r="335" spans="1:42" hidden="1" x14ac:dyDescent="0.35">
      <c r="A335" s="85"/>
      <c r="B335" s="51"/>
      <c r="C335" s="97"/>
      <c r="D335" s="97"/>
      <c r="E335" s="48"/>
      <c r="F335" s="96"/>
      <c r="G335" s="96"/>
      <c r="H335" s="96"/>
      <c r="I335" s="3"/>
      <c r="J335" s="52"/>
      <c r="K335" s="86"/>
      <c r="L335" s="86"/>
      <c r="M335" s="86"/>
      <c r="N335" s="104">
        <f t="shared" si="107"/>
        <v>0</v>
      </c>
      <c r="O335" s="86"/>
      <c r="P335" s="86"/>
      <c r="Q335" s="86"/>
      <c r="R335" s="104">
        <f t="shared" si="106"/>
        <v>0</v>
      </c>
      <c r="S335" s="86">
        <f t="shared" si="108"/>
        <v>0</v>
      </c>
      <c r="T335" s="87"/>
      <c r="U335" s="87"/>
      <c r="V335" s="87"/>
      <c r="W335" s="88"/>
      <c r="X335" s="87"/>
      <c r="Y335" s="87"/>
      <c r="Z335" s="87"/>
      <c r="AA335" s="88"/>
      <c r="AB335" s="88">
        <v>39.270000000000003</v>
      </c>
      <c r="AC335" s="88">
        <v>52.462499999999999</v>
      </c>
      <c r="AD335" s="88">
        <v>72.64</v>
      </c>
      <c r="AE335" s="89">
        <f t="shared" si="101"/>
        <v>0</v>
      </c>
      <c r="AF335" s="90">
        <v>6.5000000000000002E-2</v>
      </c>
      <c r="AG335" s="4">
        <f t="shared" si="109"/>
        <v>0</v>
      </c>
      <c r="AH335" s="49">
        <f t="shared" si="102"/>
        <v>0</v>
      </c>
      <c r="AI335" s="89">
        <f t="shared" si="103"/>
        <v>0</v>
      </c>
      <c r="AJ335" s="91">
        <v>0.18</v>
      </c>
      <c r="AK335" s="5">
        <f t="shared" si="104"/>
        <v>0</v>
      </c>
      <c r="AL335" s="89">
        <f t="shared" si="105"/>
        <v>0</v>
      </c>
      <c r="AP335" s="92"/>
    </row>
    <row r="336" spans="1:42" hidden="1" x14ac:dyDescent="0.35">
      <c r="A336" s="85"/>
      <c r="B336" s="51"/>
      <c r="C336" s="97"/>
      <c r="D336" s="97"/>
      <c r="E336" s="48"/>
      <c r="F336" s="96"/>
      <c r="G336" s="96"/>
      <c r="H336" s="96"/>
      <c r="I336" s="3"/>
      <c r="J336" s="52"/>
      <c r="K336" s="86"/>
      <c r="L336" s="86"/>
      <c r="M336" s="86"/>
      <c r="N336" s="104">
        <f t="shared" si="107"/>
        <v>0</v>
      </c>
      <c r="O336" s="86"/>
      <c r="P336" s="86"/>
      <c r="Q336" s="86"/>
      <c r="R336" s="104">
        <f t="shared" si="106"/>
        <v>0</v>
      </c>
      <c r="S336" s="86">
        <f t="shared" si="108"/>
        <v>0</v>
      </c>
      <c r="T336" s="87"/>
      <c r="U336" s="87"/>
      <c r="V336" s="87"/>
      <c r="W336" s="88"/>
      <c r="X336" s="87"/>
      <c r="Y336" s="87"/>
      <c r="Z336" s="87"/>
      <c r="AA336" s="88"/>
      <c r="AB336" s="88">
        <v>39.270000000000003</v>
      </c>
      <c r="AC336" s="88">
        <v>52.462499999999999</v>
      </c>
      <c r="AD336" s="88">
        <v>72.64</v>
      </c>
      <c r="AE336" s="89">
        <f t="shared" si="101"/>
        <v>0</v>
      </c>
      <c r="AF336" s="90">
        <v>6.5000000000000002E-2</v>
      </c>
      <c r="AG336" s="4">
        <f t="shared" si="109"/>
        <v>0</v>
      </c>
      <c r="AH336" s="49">
        <f t="shared" si="102"/>
        <v>0</v>
      </c>
      <c r="AI336" s="89">
        <f t="shared" si="103"/>
        <v>0</v>
      </c>
      <c r="AJ336" s="91">
        <v>0.18</v>
      </c>
      <c r="AK336" s="5">
        <f t="shared" si="104"/>
        <v>0</v>
      </c>
      <c r="AL336" s="89">
        <f t="shared" si="105"/>
        <v>0</v>
      </c>
      <c r="AP336" s="92"/>
    </row>
    <row r="337" spans="1:42" hidden="1" x14ac:dyDescent="0.35">
      <c r="A337" s="85"/>
      <c r="B337" s="51"/>
      <c r="C337" s="97"/>
      <c r="D337" s="97"/>
      <c r="E337" s="48"/>
      <c r="F337" s="96"/>
      <c r="G337" s="96"/>
      <c r="H337" s="96"/>
      <c r="I337" s="3"/>
      <c r="J337" s="52"/>
      <c r="K337" s="86"/>
      <c r="L337" s="86"/>
      <c r="M337" s="86"/>
      <c r="N337" s="104">
        <f t="shared" si="107"/>
        <v>0</v>
      </c>
      <c r="O337" s="105"/>
      <c r="P337" s="105"/>
      <c r="Q337" s="105"/>
      <c r="R337" s="104">
        <f t="shared" si="106"/>
        <v>0</v>
      </c>
      <c r="S337" s="86">
        <f t="shared" si="108"/>
        <v>0</v>
      </c>
      <c r="T337" s="87"/>
      <c r="U337" s="87"/>
      <c r="V337" s="87"/>
      <c r="W337" s="88"/>
      <c r="X337" s="87"/>
      <c r="Y337" s="87"/>
      <c r="Z337" s="87"/>
      <c r="AA337" s="88"/>
      <c r="AB337" s="88">
        <v>39.270000000000003</v>
      </c>
      <c r="AC337" s="88">
        <v>52.462499999999999</v>
      </c>
      <c r="AD337" s="88">
        <v>72.64</v>
      </c>
      <c r="AE337" s="89">
        <f t="shared" si="101"/>
        <v>0</v>
      </c>
      <c r="AF337" s="90">
        <v>6.5000000000000002E-2</v>
      </c>
      <c r="AG337" s="4">
        <f t="shared" si="109"/>
        <v>0</v>
      </c>
      <c r="AH337" s="49">
        <f t="shared" si="102"/>
        <v>0</v>
      </c>
      <c r="AI337" s="89">
        <f t="shared" si="103"/>
        <v>0</v>
      </c>
      <c r="AJ337" s="91">
        <v>0.18</v>
      </c>
      <c r="AK337" s="5">
        <f t="shared" si="104"/>
        <v>0</v>
      </c>
      <c r="AL337" s="89">
        <f t="shared" si="105"/>
        <v>0</v>
      </c>
      <c r="AP337" s="92"/>
    </row>
    <row r="338" spans="1:42" hidden="1" x14ac:dyDescent="0.35">
      <c r="A338" s="85"/>
      <c r="B338" s="51"/>
      <c r="C338" s="97"/>
      <c r="D338" s="97"/>
      <c r="E338" s="48"/>
      <c r="F338" s="96"/>
      <c r="G338" s="96"/>
      <c r="H338" s="96"/>
      <c r="I338" s="3"/>
      <c r="J338" s="52"/>
      <c r="K338" s="86"/>
      <c r="L338" s="86"/>
      <c r="M338" s="86"/>
      <c r="N338" s="104">
        <f t="shared" si="107"/>
        <v>0</v>
      </c>
      <c r="O338" s="105"/>
      <c r="P338" s="105"/>
      <c r="Q338" s="105"/>
      <c r="R338" s="104">
        <f t="shared" si="106"/>
        <v>0</v>
      </c>
      <c r="S338" s="86">
        <f t="shared" si="108"/>
        <v>0</v>
      </c>
      <c r="T338" s="87"/>
      <c r="U338" s="87"/>
      <c r="V338" s="87"/>
      <c r="W338" s="88"/>
      <c r="X338" s="87"/>
      <c r="Y338" s="87"/>
      <c r="Z338" s="87"/>
      <c r="AA338" s="88"/>
      <c r="AB338" s="88">
        <v>39.270000000000003</v>
      </c>
      <c r="AC338" s="88">
        <v>52.462499999999999</v>
      </c>
      <c r="AD338" s="88">
        <v>72.64</v>
      </c>
      <c r="AE338" s="89">
        <f t="shared" si="101"/>
        <v>0</v>
      </c>
      <c r="AF338" s="90">
        <v>6.5000000000000002E-2</v>
      </c>
      <c r="AG338" s="4">
        <f t="shared" si="109"/>
        <v>0</v>
      </c>
      <c r="AH338" s="49">
        <f t="shared" si="102"/>
        <v>0</v>
      </c>
      <c r="AI338" s="89">
        <f t="shared" si="103"/>
        <v>0</v>
      </c>
      <c r="AJ338" s="91">
        <v>0.18</v>
      </c>
      <c r="AK338" s="5">
        <f t="shared" si="104"/>
        <v>0</v>
      </c>
      <c r="AL338" s="89">
        <f t="shared" si="105"/>
        <v>0</v>
      </c>
      <c r="AP338" s="92"/>
    </row>
    <row r="339" spans="1:42" hidden="1" x14ac:dyDescent="0.35">
      <c r="A339" s="85"/>
      <c r="B339" s="51"/>
      <c r="C339" s="97"/>
      <c r="D339" s="97"/>
      <c r="E339" s="48"/>
      <c r="F339" s="96"/>
      <c r="G339" s="96"/>
      <c r="H339" s="96"/>
      <c r="I339" s="3"/>
      <c r="J339" s="52"/>
      <c r="K339" s="86"/>
      <c r="L339" s="86"/>
      <c r="M339" s="86"/>
      <c r="N339" s="104">
        <f t="shared" si="107"/>
        <v>0</v>
      </c>
      <c r="O339" s="105"/>
      <c r="P339" s="105"/>
      <c r="Q339" s="105"/>
      <c r="R339" s="104">
        <f t="shared" si="106"/>
        <v>0</v>
      </c>
      <c r="S339" s="86">
        <f t="shared" si="108"/>
        <v>0</v>
      </c>
      <c r="T339" s="87"/>
      <c r="U339" s="87"/>
      <c r="V339" s="87"/>
      <c r="W339" s="88"/>
      <c r="X339" s="87"/>
      <c r="Y339" s="87"/>
      <c r="Z339" s="87"/>
      <c r="AA339" s="88"/>
      <c r="AB339" s="88">
        <v>39.270000000000003</v>
      </c>
      <c r="AC339" s="88">
        <v>52.462499999999999</v>
      </c>
      <c r="AD339" s="88">
        <v>72.64</v>
      </c>
      <c r="AE339" s="89">
        <f t="shared" ref="AE339:AE402" si="110">(J339*AB339)+(N339*AC339)+(AD339*S339)</f>
        <v>0</v>
      </c>
      <c r="AF339" s="90">
        <v>6.5000000000000002E-2</v>
      </c>
      <c r="AG339" s="4">
        <f t="shared" si="109"/>
        <v>0</v>
      </c>
      <c r="AH339" s="49">
        <f t="shared" ref="AH339:AH402" si="111">(AB339*J339)*$AH$1</f>
        <v>0</v>
      </c>
      <c r="AI339" s="89">
        <f t="shared" ref="AI339:AI402" si="112">AE339-AG339</f>
        <v>0</v>
      </c>
      <c r="AJ339" s="91">
        <v>0.18</v>
      </c>
      <c r="AK339" s="5">
        <f t="shared" ref="AK339:AK402" si="113">AI339*AJ339</f>
        <v>0</v>
      </c>
      <c r="AL339" s="89">
        <f t="shared" ref="AL339:AL402" si="114">AI339+AK339</f>
        <v>0</v>
      </c>
      <c r="AP339" s="92"/>
    </row>
    <row r="340" spans="1:42" hidden="1" x14ac:dyDescent="0.35">
      <c r="A340" s="85"/>
      <c r="B340" s="51"/>
      <c r="C340" s="97"/>
      <c r="D340" s="97"/>
      <c r="E340" s="48"/>
      <c r="F340" s="96"/>
      <c r="G340" s="96"/>
      <c r="H340" s="96"/>
      <c r="I340" s="3"/>
      <c r="J340" s="52"/>
      <c r="K340" s="105"/>
      <c r="L340" s="105"/>
      <c r="M340" s="86"/>
      <c r="N340" s="104">
        <f t="shared" si="107"/>
        <v>0</v>
      </c>
      <c r="O340" s="105"/>
      <c r="P340" s="105"/>
      <c r="Q340" s="86"/>
      <c r="R340" s="104">
        <f t="shared" si="106"/>
        <v>0</v>
      </c>
      <c r="S340" s="86">
        <f t="shared" si="108"/>
        <v>0</v>
      </c>
      <c r="T340" s="87"/>
      <c r="U340" s="87"/>
      <c r="V340" s="87"/>
      <c r="W340" s="88"/>
      <c r="X340" s="87"/>
      <c r="Y340" s="87"/>
      <c r="Z340" s="87"/>
      <c r="AA340" s="88"/>
      <c r="AB340" s="88">
        <v>39.270000000000003</v>
      </c>
      <c r="AC340" s="88">
        <v>52.462499999999999</v>
      </c>
      <c r="AD340" s="88">
        <v>72.64</v>
      </c>
      <c r="AE340" s="89">
        <f t="shared" si="110"/>
        <v>0</v>
      </c>
      <c r="AF340" s="90">
        <v>6.5000000000000002E-2</v>
      </c>
      <c r="AG340" s="4">
        <f t="shared" si="109"/>
        <v>0</v>
      </c>
      <c r="AH340" s="49">
        <f t="shared" si="111"/>
        <v>0</v>
      </c>
      <c r="AI340" s="89">
        <f t="shared" si="112"/>
        <v>0</v>
      </c>
      <c r="AJ340" s="91">
        <v>0.18</v>
      </c>
      <c r="AK340" s="5">
        <f t="shared" si="113"/>
        <v>0</v>
      </c>
      <c r="AL340" s="89">
        <f t="shared" si="114"/>
        <v>0</v>
      </c>
      <c r="AP340" s="92"/>
    </row>
    <row r="341" spans="1:42" hidden="1" x14ac:dyDescent="0.35">
      <c r="A341" s="85"/>
      <c r="B341" s="51"/>
      <c r="C341" s="97"/>
      <c r="D341" s="97"/>
      <c r="E341" s="48"/>
      <c r="F341" s="96"/>
      <c r="G341" s="96"/>
      <c r="H341" s="96"/>
      <c r="I341" s="3"/>
      <c r="J341" s="52"/>
      <c r="K341" s="86"/>
      <c r="L341" s="86"/>
      <c r="M341" s="86"/>
      <c r="N341" s="104">
        <f t="shared" si="107"/>
        <v>0</v>
      </c>
      <c r="O341" s="86"/>
      <c r="P341" s="86"/>
      <c r="Q341" s="86"/>
      <c r="R341" s="104">
        <f t="shared" si="106"/>
        <v>0</v>
      </c>
      <c r="S341" s="86">
        <f t="shared" si="108"/>
        <v>0</v>
      </c>
      <c r="T341" s="87"/>
      <c r="U341" s="87"/>
      <c r="V341" s="87"/>
      <c r="W341" s="88"/>
      <c r="X341" s="87"/>
      <c r="Y341" s="87"/>
      <c r="Z341" s="87"/>
      <c r="AA341" s="88"/>
      <c r="AB341" s="88">
        <v>39.270000000000003</v>
      </c>
      <c r="AC341" s="88">
        <v>52.462499999999999</v>
      </c>
      <c r="AD341" s="88">
        <v>72.64</v>
      </c>
      <c r="AE341" s="89">
        <f t="shared" si="110"/>
        <v>0</v>
      </c>
      <c r="AF341" s="90">
        <v>6.5000000000000002E-2</v>
      </c>
      <c r="AG341" s="4">
        <f t="shared" si="109"/>
        <v>0</v>
      </c>
      <c r="AH341" s="49">
        <f t="shared" si="111"/>
        <v>0</v>
      </c>
      <c r="AI341" s="89">
        <f t="shared" si="112"/>
        <v>0</v>
      </c>
      <c r="AJ341" s="91">
        <v>0.18</v>
      </c>
      <c r="AK341" s="5">
        <f t="shared" si="113"/>
        <v>0</v>
      </c>
      <c r="AL341" s="89">
        <f t="shared" si="114"/>
        <v>0</v>
      </c>
      <c r="AP341" s="92"/>
    </row>
    <row r="342" spans="1:42" hidden="1" x14ac:dyDescent="0.35">
      <c r="A342" s="85"/>
      <c r="B342" s="51"/>
      <c r="C342" s="97"/>
      <c r="D342" s="97"/>
      <c r="E342" s="48"/>
      <c r="F342" s="96"/>
      <c r="G342" s="96"/>
      <c r="H342" s="96"/>
      <c r="I342" s="3"/>
      <c r="J342" s="52"/>
      <c r="K342" s="86"/>
      <c r="L342" s="86"/>
      <c r="M342" s="86"/>
      <c r="N342" s="104">
        <f t="shared" si="107"/>
        <v>0</v>
      </c>
      <c r="O342" s="86"/>
      <c r="P342" s="86"/>
      <c r="Q342" s="86"/>
      <c r="R342" s="104">
        <f t="shared" si="106"/>
        <v>0</v>
      </c>
      <c r="S342" s="86">
        <f t="shared" si="108"/>
        <v>0</v>
      </c>
      <c r="T342" s="87"/>
      <c r="U342" s="87"/>
      <c r="V342" s="87"/>
      <c r="W342" s="88"/>
      <c r="X342" s="87"/>
      <c r="Y342" s="87"/>
      <c r="Z342" s="87"/>
      <c r="AA342" s="88"/>
      <c r="AB342" s="88">
        <v>39.270000000000003</v>
      </c>
      <c r="AC342" s="88">
        <v>52.462499999999999</v>
      </c>
      <c r="AD342" s="88">
        <v>72.64</v>
      </c>
      <c r="AE342" s="89">
        <f t="shared" si="110"/>
        <v>0</v>
      </c>
      <c r="AF342" s="90">
        <v>6.5000000000000002E-2</v>
      </c>
      <c r="AG342" s="4">
        <f t="shared" si="109"/>
        <v>0</v>
      </c>
      <c r="AH342" s="49">
        <f t="shared" si="111"/>
        <v>0</v>
      </c>
      <c r="AI342" s="89">
        <f t="shared" si="112"/>
        <v>0</v>
      </c>
      <c r="AJ342" s="91">
        <v>0.18</v>
      </c>
      <c r="AK342" s="5">
        <f t="shared" si="113"/>
        <v>0</v>
      </c>
      <c r="AL342" s="89">
        <f t="shared" si="114"/>
        <v>0</v>
      </c>
      <c r="AP342" s="92"/>
    </row>
    <row r="343" spans="1:42" hidden="1" x14ac:dyDescent="0.35">
      <c r="A343" s="85"/>
      <c r="B343" s="51"/>
      <c r="C343" s="97"/>
      <c r="D343" s="97"/>
      <c r="E343" s="48"/>
      <c r="F343" s="96"/>
      <c r="G343" s="96"/>
      <c r="H343" s="96"/>
      <c r="I343" s="3"/>
      <c r="J343" s="52"/>
      <c r="K343" s="105"/>
      <c r="L343" s="105"/>
      <c r="M343" s="105"/>
      <c r="N343" s="104">
        <f t="shared" si="107"/>
        <v>0</v>
      </c>
      <c r="O343" s="86"/>
      <c r="P343" s="86"/>
      <c r="Q343" s="86"/>
      <c r="R343" s="104">
        <f t="shared" si="106"/>
        <v>0</v>
      </c>
      <c r="S343" s="86">
        <f t="shared" si="108"/>
        <v>0</v>
      </c>
      <c r="T343" s="87"/>
      <c r="U343" s="87"/>
      <c r="V343" s="87"/>
      <c r="W343" s="88"/>
      <c r="X343" s="87"/>
      <c r="Y343" s="87"/>
      <c r="Z343" s="87"/>
      <c r="AA343" s="88"/>
      <c r="AB343" s="88">
        <v>39.270000000000003</v>
      </c>
      <c r="AC343" s="88">
        <v>52.462499999999999</v>
      </c>
      <c r="AD343" s="88">
        <v>72.64</v>
      </c>
      <c r="AE343" s="89">
        <f t="shared" si="110"/>
        <v>0</v>
      </c>
      <c r="AF343" s="90">
        <v>6.5000000000000002E-2</v>
      </c>
      <c r="AG343" s="4">
        <f t="shared" si="109"/>
        <v>0</v>
      </c>
      <c r="AH343" s="49">
        <f t="shared" si="111"/>
        <v>0</v>
      </c>
      <c r="AI343" s="89">
        <f t="shared" si="112"/>
        <v>0</v>
      </c>
      <c r="AJ343" s="91">
        <v>0.18</v>
      </c>
      <c r="AK343" s="5">
        <f t="shared" si="113"/>
        <v>0</v>
      </c>
      <c r="AL343" s="89">
        <f t="shared" si="114"/>
        <v>0</v>
      </c>
      <c r="AP343" s="92"/>
    </row>
    <row r="344" spans="1:42" hidden="1" x14ac:dyDescent="0.35">
      <c r="A344" s="85"/>
      <c r="B344" s="51"/>
      <c r="C344" s="97"/>
      <c r="D344" s="97"/>
      <c r="E344" s="48"/>
      <c r="F344" s="96"/>
      <c r="G344" s="96"/>
      <c r="H344" s="96"/>
      <c r="I344" s="3"/>
      <c r="J344" s="52"/>
      <c r="K344" s="105"/>
      <c r="L344" s="105"/>
      <c r="M344" s="105"/>
      <c r="N344" s="104">
        <f t="shared" si="107"/>
        <v>0</v>
      </c>
      <c r="O344" s="86"/>
      <c r="P344" s="105"/>
      <c r="Q344" s="86"/>
      <c r="R344" s="104">
        <f t="shared" si="106"/>
        <v>0</v>
      </c>
      <c r="S344" s="86">
        <f t="shared" si="108"/>
        <v>0</v>
      </c>
      <c r="T344" s="87"/>
      <c r="U344" s="87"/>
      <c r="V344" s="87"/>
      <c r="W344" s="88"/>
      <c r="X344" s="87"/>
      <c r="Y344" s="87"/>
      <c r="Z344" s="87"/>
      <c r="AA344" s="88"/>
      <c r="AB344" s="88">
        <v>39.270000000000003</v>
      </c>
      <c r="AC344" s="88">
        <v>52.462499999999999</v>
      </c>
      <c r="AD344" s="88">
        <v>72.64</v>
      </c>
      <c r="AE344" s="89">
        <f t="shared" si="110"/>
        <v>0</v>
      </c>
      <c r="AF344" s="90">
        <v>6.5000000000000002E-2</v>
      </c>
      <c r="AG344" s="4">
        <f t="shared" si="109"/>
        <v>0</v>
      </c>
      <c r="AH344" s="49">
        <f t="shared" si="111"/>
        <v>0</v>
      </c>
      <c r="AI344" s="89">
        <f t="shared" si="112"/>
        <v>0</v>
      </c>
      <c r="AJ344" s="91">
        <v>0.18</v>
      </c>
      <c r="AK344" s="5">
        <f t="shared" si="113"/>
        <v>0</v>
      </c>
      <c r="AL344" s="89">
        <f t="shared" si="114"/>
        <v>0</v>
      </c>
      <c r="AP344" s="92"/>
    </row>
    <row r="345" spans="1:42" hidden="1" x14ac:dyDescent="0.35">
      <c r="A345" s="85"/>
      <c r="B345" s="51"/>
      <c r="C345" s="97"/>
      <c r="D345" s="97"/>
      <c r="E345" s="48"/>
      <c r="F345" s="96"/>
      <c r="G345" s="96"/>
      <c r="H345" s="96"/>
      <c r="I345" s="3"/>
      <c r="J345" s="52"/>
      <c r="K345" s="105"/>
      <c r="L345" s="105"/>
      <c r="M345" s="105"/>
      <c r="N345" s="104">
        <f t="shared" si="107"/>
        <v>0</v>
      </c>
      <c r="O345" s="86"/>
      <c r="P345" s="86"/>
      <c r="Q345" s="86"/>
      <c r="R345" s="104">
        <f t="shared" si="106"/>
        <v>0</v>
      </c>
      <c r="S345" s="86">
        <f t="shared" si="108"/>
        <v>0</v>
      </c>
      <c r="T345" s="87"/>
      <c r="U345" s="87"/>
      <c r="V345" s="87"/>
      <c r="W345" s="88"/>
      <c r="X345" s="87"/>
      <c r="Y345" s="87"/>
      <c r="Z345" s="87"/>
      <c r="AA345" s="88"/>
      <c r="AB345" s="88">
        <v>39.270000000000003</v>
      </c>
      <c r="AC345" s="88">
        <v>52.462499999999999</v>
      </c>
      <c r="AD345" s="88">
        <v>72.64</v>
      </c>
      <c r="AE345" s="89">
        <f t="shared" si="110"/>
        <v>0</v>
      </c>
      <c r="AF345" s="90">
        <v>6.5000000000000002E-2</v>
      </c>
      <c r="AG345" s="4">
        <f t="shared" si="109"/>
        <v>0</v>
      </c>
      <c r="AH345" s="49">
        <f t="shared" si="111"/>
        <v>0</v>
      </c>
      <c r="AI345" s="89">
        <f t="shared" si="112"/>
        <v>0</v>
      </c>
      <c r="AJ345" s="91">
        <v>0.18</v>
      </c>
      <c r="AK345" s="5">
        <f t="shared" si="113"/>
        <v>0</v>
      </c>
      <c r="AL345" s="89">
        <f t="shared" si="114"/>
        <v>0</v>
      </c>
      <c r="AP345" s="92"/>
    </row>
    <row r="346" spans="1:42" hidden="1" x14ac:dyDescent="0.35">
      <c r="A346" s="85"/>
      <c r="B346" s="51"/>
      <c r="C346" s="97"/>
      <c r="D346" s="97"/>
      <c r="E346" s="48"/>
      <c r="F346" s="96"/>
      <c r="G346" s="96"/>
      <c r="H346" s="96"/>
      <c r="I346" s="3"/>
      <c r="J346" s="52"/>
      <c r="K346" s="86"/>
      <c r="L346" s="86"/>
      <c r="M346" s="105"/>
      <c r="N346" s="104">
        <f t="shared" si="107"/>
        <v>0</v>
      </c>
      <c r="O346" s="105"/>
      <c r="P346" s="105"/>
      <c r="Q346" s="105"/>
      <c r="R346" s="104">
        <f t="shared" si="106"/>
        <v>0</v>
      </c>
      <c r="S346" s="86">
        <f t="shared" si="108"/>
        <v>0</v>
      </c>
      <c r="T346" s="87"/>
      <c r="U346" s="87"/>
      <c r="V346" s="87"/>
      <c r="W346" s="88"/>
      <c r="X346" s="87"/>
      <c r="Y346" s="87"/>
      <c r="Z346" s="87"/>
      <c r="AA346" s="88"/>
      <c r="AB346" s="88">
        <v>39.270000000000003</v>
      </c>
      <c r="AC346" s="88">
        <v>52.462499999999999</v>
      </c>
      <c r="AD346" s="88">
        <v>72.64</v>
      </c>
      <c r="AE346" s="89">
        <f t="shared" si="110"/>
        <v>0</v>
      </c>
      <c r="AF346" s="90">
        <v>6.5000000000000002E-2</v>
      </c>
      <c r="AG346" s="4">
        <f t="shared" si="109"/>
        <v>0</v>
      </c>
      <c r="AH346" s="49">
        <f t="shared" si="111"/>
        <v>0</v>
      </c>
      <c r="AI346" s="89">
        <f t="shared" si="112"/>
        <v>0</v>
      </c>
      <c r="AJ346" s="91">
        <v>0.18</v>
      </c>
      <c r="AK346" s="5">
        <f t="shared" si="113"/>
        <v>0</v>
      </c>
      <c r="AL346" s="89">
        <f t="shared" si="114"/>
        <v>0</v>
      </c>
      <c r="AP346" s="92"/>
    </row>
    <row r="347" spans="1:42" hidden="1" x14ac:dyDescent="0.35">
      <c r="A347" s="85"/>
      <c r="B347" s="51"/>
      <c r="C347" s="97"/>
      <c r="D347" s="97"/>
      <c r="E347" s="48"/>
      <c r="F347" s="96"/>
      <c r="G347" s="96"/>
      <c r="H347" s="96"/>
      <c r="I347" s="3"/>
      <c r="J347" s="52"/>
      <c r="K347" s="86"/>
      <c r="L347" s="86"/>
      <c r="M347" s="86"/>
      <c r="N347" s="104">
        <f t="shared" si="107"/>
        <v>0</v>
      </c>
      <c r="O347" s="105"/>
      <c r="P347" s="105"/>
      <c r="Q347" s="105"/>
      <c r="R347" s="104">
        <f t="shared" si="106"/>
        <v>0</v>
      </c>
      <c r="S347" s="86">
        <f t="shared" si="108"/>
        <v>0</v>
      </c>
      <c r="T347" s="87"/>
      <c r="U347" s="87"/>
      <c r="V347" s="87"/>
      <c r="W347" s="88"/>
      <c r="X347" s="87"/>
      <c r="Y347" s="87"/>
      <c r="Z347" s="87"/>
      <c r="AA347" s="88"/>
      <c r="AB347" s="88">
        <v>39.270000000000003</v>
      </c>
      <c r="AC347" s="88">
        <v>52.462499999999999</v>
      </c>
      <c r="AD347" s="88">
        <v>72.64</v>
      </c>
      <c r="AE347" s="89">
        <f t="shared" si="110"/>
        <v>0</v>
      </c>
      <c r="AF347" s="90">
        <v>6.5000000000000002E-2</v>
      </c>
      <c r="AG347" s="4">
        <f t="shared" si="109"/>
        <v>0</v>
      </c>
      <c r="AH347" s="49">
        <f t="shared" si="111"/>
        <v>0</v>
      </c>
      <c r="AI347" s="89">
        <f t="shared" si="112"/>
        <v>0</v>
      </c>
      <c r="AJ347" s="91">
        <v>0.18</v>
      </c>
      <c r="AK347" s="5">
        <f t="shared" si="113"/>
        <v>0</v>
      </c>
      <c r="AL347" s="89">
        <f t="shared" si="114"/>
        <v>0</v>
      </c>
      <c r="AP347" s="92"/>
    </row>
    <row r="348" spans="1:42" hidden="1" x14ac:dyDescent="0.35">
      <c r="A348" s="85"/>
      <c r="B348" s="51"/>
      <c r="C348" s="97"/>
      <c r="D348" s="97"/>
      <c r="E348" s="48"/>
      <c r="F348" s="96"/>
      <c r="G348" s="96"/>
      <c r="H348" s="96"/>
      <c r="I348" s="3"/>
      <c r="J348" s="52"/>
      <c r="K348" s="86"/>
      <c r="L348" s="86"/>
      <c r="M348" s="86"/>
      <c r="N348" s="104">
        <f t="shared" si="107"/>
        <v>0</v>
      </c>
      <c r="O348" s="105"/>
      <c r="P348" s="105"/>
      <c r="Q348" s="105"/>
      <c r="R348" s="104">
        <f t="shared" si="106"/>
        <v>0</v>
      </c>
      <c r="S348" s="86">
        <f t="shared" si="108"/>
        <v>0</v>
      </c>
      <c r="T348" s="87"/>
      <c r="U348" s="87"/>
      <c r="V348" s="87"/>
      <c r="W348" s="88"/>
      <c r="X348" s="87"/>
      <c r="Y348" s="87"/>
      <c r="Z348" s="87"/>
      <c r="AA348" s="88"/>
      <c r="AB348" s="88">
        <v>39.270000000000003</v>
      </c>
      <c r="AC348" s="88">
        <v>52.462499999999999</v>
      </c>
      <c r="AD348" s="88">
        <v>72.64</v>
      </c>
      <c r="AE348" s="89">
        <f t="shared" si="110"/>
        <v>0</v>
      </c>
      <c r="AF348" s="90">
        <v>6.5000000000000002E-2</v>
      </c>
      <c r="AG348" s="4">
        <f t="shared" si="109"/>
        <v>0</v>
      </c>
      <c r="AH348" s="49">
        <f t="shared" si="111"/>
        <v>0</v>
      </c>
      <c r="AI348" s="89">
        <f t="shared" si="112"/>
        <v>0</v>
      </c>
      <c r="AJ348" s="91">
        <v>0.18</v>
      </c>
      <c r="AK348" s="5">
        <f t="shared" si="113"/>
        <v>0</v>
      </c>
      <c r="AL348" s="89">
        <f t="shared" si="114"/>
        <v>0</v>
      </c>
      <c r="AP348" s="92"/>
    </row>
    <row r="349" spans="1:42" hidden="1" x14ac:dyDescent="0.35">
      <c r="A349" s="85"/>
      <c r="B349" s="51"/>
      <c r="C349" s="97"/>
      <c r="D349" s="97"/>
      <c r="E349" s="48"/>
      <c r="F349" s="96"/>
      <c r="G349" s="96"/>
      <c r="H349" s="96"/>
      <c r="I349" s="3"/>
      <c r="J349" s="52"/>
      <c r="K349" s="105"/>
      <c r="L349" s="105"/>
      <c r="M349" s="105"/>
      <c r="N349" s="104">
        <f t="shared" si="107"/>
        <v>0</v>
      </c>
      <c r="O349" s="86"/>
      <c r="P349" s="105"/>
      <c r="Q349" s="105"/>
      <c r="R349" s="104">
        <f t="shared" si="106"/>
        <v>0</v>
      </c>
      <c r="S349" s="86">
        <f t="shared" si="108"/>
        <v>0</v>
      </c>
      <c r="T349" s="87"/>
      <c r="U349" s="87"/>
      <c r="V349" s="87"/>
      <c r="W349" s="88"/>
      <c r="X349" s="87"/>
      <c r="Y349" s="87"/>
      <c r="Z349" s="87"/>
      <c r="AA349" s="88"/>
      <c r="AB349" s="88">
        <v>39.270000000000003</v>
      </c>
      <c r="AC349" s="88">
        <v>52.462499999999999</v>
      </c>
      <c r="AD349" s="88">
        <v>72.64</v>
      </c>
      <c r="AE349" s="89">
        <f t="shared" si="110"/>
        <v>0</v>
      </c>
      <c r="AF349" s="90">
        <v>6.5000000000000002E-2</v>
      </c>
      <c r="AG349" s="4">
        <f t="shared" si="109"/>
        <v>0</v>
      </c>
      <c r="AH349" s="49">
        <f t="shared" si="111"/>
        <v>0</v>
      </c>
      <c r="AI349" s="89">
        <f t="shared" si="112"/>
        <v>0</v>
      </c>
      <c r="AJ349" s="91">
        <v>0.18</v>
      </c>
      <c r="AK349" s="5">
        <f t="shared" si="113"/>
        <v>0</v>
      </c>
      <c r="AL349" s="89">
        <f t="shared" si="114"/>
        <v>0</v>
      </c>
      <c r="AP349" s="92"/>
    </row>
    <row r="350" spans="1:42" hidden="1" x14ac:dyDescent="0.35">
      <c r="A350" s="85"/>
      <c r="B350" s="51"/>
      <c r="C350" s="97"/>
      <c r="D350" s="97"/>
      <c r="E350" s="48"/>
      <c r="F350" s="96"/>
      <c r="G350" s="96"/>
      <c r="H350" s="96"/>
      <c r="I350" s="3"/>
      <c r="J350" s="52"/>
      <c r="K350" s="86"/>
      <c r="L350" s="86"/>
      <c r="M350" s="105"/>
      <c r="N350" s="104">
        <f t="shared" si="107"/>
        <v>0</v>
      </c>
      <c r="O350" s="86"/>
      <c r="P350" s="86"/>
      <c r="Q350" s="86"/>
      <c r="R350" s="104">
        <f t="shared" si="106"/>
        <v>0</v>
      </c>
      <c r="S350" s="86">
        <f t="shared" si="108"/>
        <v>0</v>
      </c>
      <c r="T350" s="87"/>
      <c r="U350" s="87"/>
      <c r="V350" s="87"/>
      <c r="W350" s="88"/>
      <c r="X350" s="87"/>
      <c r="Y350" s="87"/>
      <c r="Z350" s="87"/>
      <c r="AA350" s="88"/>
      <c r="AB350" s="88">
        <v>39.270000000000003</v>
      </c>
      <c r="AC350" s="88">
        <v>52.462499999999999</v>
      </c>
      <c r="AD350" s="88">
        <v>72.64</v>
      </c>
      <c r="AE350" s="89">
        <f t="shared" si="110"/>
        <v>0</v>
      </c>
      <c r="AF350" s="90">
        <v>6.5000000000000002E-2</v>
      </c>
      <c r="AG350" s="4">
        <f t="shared" si="109"/>
        <v>0</v>
      </c>
      <c r="AH350" s="49">
        <f t="shared" si="111"/>
        <v>0</v>
      </c>
      <c r="AI350" s="89">
        <f t="shared" si="112"/>
        <v>0</v>
      </c>
      <c r="AJ350" s="91">
        <v>0.18</v>
      </c>
      <c r="AK350" s="5">
        <f t="shared" si="113"/>
        <v>0</v>
      </c>
      <c r="AL350" s="89">
        <f t="shared" si="114"/>
        <v>0</v>
      </c>
      <c r="AP350" s="92"/>
    </row>
    <row r="351" spans="1:42" hidden="1" x14ac:dyDescent="0.35">
      <c r="A351" s="85"/>
      <c r="B351" s="51"/>
      <c r="C351" s="97"/>
      <c r="D351" s="97"/>
      <c r="E351" s="48"/>
      <c r="F351" s="96"/>
      <c r="G351" s="96"/>
      <c r="H351" s="96"/>
      <c r="I351" s="3"/>
      <c r="J351" s="52"/>
      <c r="K351" s="86"/>
      <c r="L351" s="105"/>
      <c r="M351" s="105"/>
      <c r="N351" s="104">
        <f t="shared" si="107"/>
        <v>0</v>
      </c>
      <c r="O351" s="86"/>
      <c r="P351" s="105"/>
      <c r="Q351" s="86"/>
      <c r="R351" s="104">
        <f t="shared" si="106"/>
        <v>0</v>
      </c>
      <c r="S351" s="86">
        <f t="shared" si="108"/>
        <v>0</v>
      </c>
      <c r="T351" s="87"/>
      <c r="U351" s="87"/>
      <c r="V351" s="87"/>
      <c r="W351" s="88"/>
      <c r="X351" s="87"/>
      <c r="Y351" s="87"/>
      <c r="Z351" s="87"/>
      <c r="AA351" s="88"/>
      <c r="AB351" s="88">
        <v>39.270000000000003</v>
      </c>
      <c r="AC351" s="88">
        <v>52.462499999999999</v>
      </c>
      <c r="AD351" s="88">
        <v>72.64</v>
      </c>
      <c r="AE351" s="89">
        <f t="shared" si="110"/>
        <v>0</v>
      </c>
      <c r="AF351" s="90">
        <v>6.5000000000000002E-2</v>
      </c>
      <c r="AG351" s="4">
        <f t="shared" si="109"/>
        <v>0</v>
      </c>
      <c r="AH351" s="49">
        <f t="shared" si="111"/>
        <v>0</v>
      </c>
      <c r="AI351" s="89">
        <f t="shared" si="112"/>
        <v>0</v>
      </c>
      <c r="AJ351" s="91">
        <v>0.18</v>
      </c>
      <c r="AK351" s="5">
        <f t="shared" si="113"/>
        <v>0</v>
      </c>
      <c r="AL351" s="89">
        <f t="shared" si="114"/>
        <v>0</v>
      </c>
      <c r="AP351" s="92"/>
    </row>
    <row r="352" spans="1:42" hidden="1" x14ac:dyDescent="0.35">
      <c r="A352" s="85"/>
      <c r="B352" s="51"/>
      <c r="C352" s="97"/>
      <c r="D352" s="97"/>
      <c r="E352" s="48"/>
      <c r="F352" s="96"/>
      <c r="G352" s="96"/>
      <c r="H352" s="96"/>
      <c r="I352" s="3"/>
      <c r="J352" s="52"/>
      <c r="K352" s="105"/>
      <c r="L352" s="105"/>
      <c r="M352" s="105"/>
      <c r="N352" s="104">
        <f t="shared" si="107"/>
        <v>0</v>
      </c>
      <c r="O352" s="86"/>
      <c r="P352" s="86"/>
      <c r="Q352" s="105"/>
      <c r="R352" s="104">
        <f t="shared" si="106"/>
        <v>0</v>
      </c>
      <c r="S352" s="86">
        <f t="shared" si="108"/>
        <v>0</v>
      </c>
      <c r="T352" s="87"/>
      <c r="U352" s="87"/>
      <c r="V352" s="87"/>
      <c r="W352" s="88"/>
      <c r="X352" s="87"/>
      <c r="Y352" s="87"/>
      <c r="Z352" s="87"/>
      <c r="AA352" s="88"/>
      <c r="AB352" s="88">
        <v>39.270000000000003</v>
      </c>
      <c r="AC352" s="88">
        <v>52.462499999999999</v>
      </c>
      <c r="AD352" s="88">
        <v>72.64</v>
      </c>
      <c r="AE352" s="89">
        <f t="shared" si="110"/>
        <v>0</v>
      </c>
      <c r="AF352" s="90">
        <v>6.5000000000000002E-2</v>
      </c>
      <c r="AG352" s="4">
        <f t="shared" si="109"/>
        <v>0</v>
      </c>
      <c r="AH352" s="49">
        <f t="shared" si="111"/>
        <v>0</v>
      </c>
      <c r="AI352" s="89">
        <f t="shared" si="112"/>
        <v>0</v>
      </c>
      <c r="AJ352" s="91">
        <v>0.18</v>
      </c>
      <c r="AK352" s="5">
        <f t="shared" si="113"/>
        <v>0</v>
      </c>
      <c r="AL352" s="89">
        <f t="shared" si="114"/>
        <v>0</v>
      </c>
      <c r="AP352" s="92"/>
    </row>
    <row r="353" spans="1:42" hidden="1" x14ac:dyDescent="0.35">
      <c r="A353" s="85"/>
      <c r="B353" s="51"/>
      <c r="C353" s="97"/>
      <c r="D353" s="97"/>
      <c r="E353" s="48"/>
      <c r="F353" s="96"/>
      <c r="G353" s="96"/>
      <c r="H353" s="96"/>
      <c r="I353" s="3"/>
      <c r="J353" s="52"/>
      <c r="K353" s="105"/>
      <c r="L353" s="105"/>
      <c r="M353" s="105"/>
      <c r="N353" s="104">
        <f t="shared" si="107"/>
        <v>0</v>
      </c>
      <c r="O353" s="105"/>
      <c r="P353" s="86"/>
      <c r="Q353" s="86"/>
      <c r="R353" s="104">
        <f t="shared" si="106"/>
        <v>0</v>
      </c>
      <c r="S353" s="86">
        <f t="shared" si="108"/>
        <v>0</v>
      </c>
      <c r="T353" s="87"/>
      <c r="U353" s="87"/>
      <c r="V353" s="87"/>
      <c r="W353" s="88"/>
      <c r="X353" s="87"/>
      <c r="Y353" s="87"/>
      <c r="Z353" s="87"/>
      <c r="AA353" s="88"/>
      <c r="AB353" s="88">
        <v>39.270000000000003</v>
      </c>
      <c r="AC353" s="88">
        <v>52.462499999999999</v>
      </c>
      <c r="AD353" s="88">
        <v>72.64</v>
      </c>
      <c r="AE353" s="89">
        <f t="shared" si="110"/>
        <v>0</v>
      </c>
      <c r="AF353" s="90">
        <v>6.5000000000000002E-2</v>
      </c>
      <c r="AG353" s="4">
        <f t="shared" si="109"/>
        <v>0</v>
      </c>
      <c r="AH353" s="49">
        <f t="shared" si="111"/>
        <v>0</v>
      </c>
      <c r="AI353" s="89">
        <f t="shared" si="112"/>
        <v>0</v>
      </c>
      <c r="AJ353" s="91">
        <v>0.18</v>
      </c>
      <c r="AK353" s="5">
        <f t="shared" si="113"/>
        <v>0</v>
      </c>
      <c r="AL353" s="89">
        <f t="shared" si="114"/>
        <v>0</v>
      </c>
      <c r="AP353" s="92"/>
    </row>
    <row r="354" spans="1:42" hidden="1" x14ac:dyDescent="0.35">
      <c r="A354" s="85"/>
      <c r="B354" s="51"/>
      <c r="C354" s="97"/>
      <c r="D354" s="97"/>
      <c r="E354" s="48"/>
      <c r="F354" s="96"/>
      <c r="G354" s="96"/>
      <c r="H354" s="96"/>
      <c r="I354" s="3"/>
      <c r="J354" s="52"/>
      <c r="K354" s="86"/>
      <c r="L354" s="86"/>
      <c r="M354" s="105"/>
      <c r="N354" s="104">
        <f t="shared" si="107"/>
        <v>0</v>
      </c>
      <c r="O354" s="86"/>
      <c r="P354" s="86"/>
      <c r="Q354" s="86"/>
      <c r="R354" s="104">
        <f t="shared" si="106"/>
        <v>0</v>
      </c>
      <c r="S354" s="86">
        <f t="shared" si="108"/>
        <v>0</v>
      </c>
      <c r="T354" s="87"/>
      <c r="U354" s="87"/>
      <c r="V354" s="87"/>
      <c r="W354" s="88"/>
      <c r="X354" s="87"/>
      <c r="Y354" s="87"/>
      <c r="Z354" s="87"/>
      <c r="AA354" s="88"/>
      <c r="AB354" s="88">
        <v>39.270000000000003</v>
      </c>
      <c r="AC354" s="88">
        <v>52.462499999999999</v>
      </c>
      <c r="AD354" s="88">
        <v>72.64</v>
      </c>
      <c r="AE354" s="89">
        <f t="shared" si="110"/>
        <v>0</v>
      </c>
      <c r="AF354" s="90">
        <v>6.5000000000000002E-2</v>
      </c>
      <c r="AG354" s="4">
        <f t="shared" si="109"/>
        <v>0</v>
      </c>
      <c r="AH354" s="49">
        <f t="shared" si="111"/>
        <v>0</v>
      </c>
      <c r="AI354" s="89">
        <f t="shared" si="112"/>
        <v>0</v>
      </c>
      <c r="AJ354" s="91">
        <v>0.18</v>
      </c>
      <c r="AK354" s="5">
        <f t="shared" si="113"/>
        <v>0</v>
      </c>
      <c r="AL354" s="89">
        <f t="shared" si="114"/>
        <v>0</v>
      </c>
      <c r="AP354" s="92"/>
    </row>
    <row r="355" spans="1:42" hidden="1" x14ac:dyDescent="0.35">
      <c r="A355" s="85"/>
      <c r="B355" s="51"/>
      <c r="C355" s="97"/>
      <c r="D355" s="97"/>
      <c r="E355" s="48"/>
      <c r="F355" s="96"/>
      <c r="G355" s="96"/>
      <c r="H355" s="96"/>
      <c r="I355" s="3"/>
      <c r="J355" s="52"/>
      <c r="K355" s="86"/>
      <c r="L355" s="105"/>
      <c r="M355" s="105"/>
      <c r="N355" s="104">
        <f t="shared" si="107"/>
        <v>0</v>
      </c>
      <c r="O355" s="105"/>
      <c r="P355" s="105"/>
      <c r="Q355" s="105"/>
      <c r="R355" s="104">
        <f t="shared" si="106"/>
        <v>0</v>
      </c>
      <c r="S355" s="86">
        <f t="shared" si="108"/>
        <v>0</v>
      </c>
      <c r="T355" s="87"/>
      <c r="U355" s="87"/>
      <c r="V355" s="87"/>
      <c r="W355" s="88"/>
      <c r="X355" s="87"/>
      <c r="Y355" s="87"/>
      <c r="Z355" s="87"/>
      <c r="AA355" s="88"/>
      <c r="AB355" s="88">
        <v>39.270000000000003</v>
      </c>
      <c r="AC355" s="88">
        <v>52.462499999999999</v>
      </c>
      <c r="AD355" s="88">
        <v>72.64</v>
      </c>
      <c r="AE355" s="89">
        <f t="shared" si="110"/>
        <v>0</v>
      </c>
      <c r="AF355" s="90">
        <v>6.5000000000000002E-2</v>
      </c>
      <c r="AG355" s="4">
        <f t="shared" si="109"/>
        <v>0</v>
      </c>
      <c r="AH355" s="49">
        <f t="shared" si="111"/>
        <v>0</v>
      </c>
      <c r="AI355" s="89">
        <f t="shared" si="112"/>
        <v>0</v>
      </c>
      <c r="AJ355" s="91">
        <v>0.18</v>
      </c>
      <c r="AK355" s="5">
        <f t="shared" si="113"/>
        <v>0</v>
      </c>
      <c r="AL355" s="89">
        <f t="shared" si="114"/>
        <v>0</v>
      </c>
      <c r="AP355" s="92"/>
    </row>
    <row r="356" spans="1:42" hidden="1" x14ac:dyDescent="0.35">
      <c r="A356" s="85"/>
      <c r="B356" s="51"/>
      <c r="C356" s="97"/>
      <c r="D356" s="97"/>
      <c r="E356" s="48"/>
      <c r="F356" s="96"/>
      <c r="G356" s="96"/>
      <c r="H356" s="96"/>
      <c r="I356" s="3"/>
      <c r="J356" s="52"/>
      <c r="K356" s="105"/>
      <c r="L356" s="105"/>
      <c r="M356" s="105"/>
      <c r="N356" s="104">
        <f t="shared" si="107"/>
        <v>0</v>
      </c>
      <c r="O356" s="105"/>
      <c r="P356" s="86"/>
      <c r="Q356" s="105"/>
      <c r="R356" s="104">
        <f t="shared" si="106"/>
        <v>0</v>
      </c>
      <c r="S356" s="86">
        <f t="shared" si="108"/>
        <v>0</v>
      </c>
      <c r="T356" s="87"/>
      <c r="U356" s="87"/>
      <c r="V356" s="87"/>
      <c r="W356" s="88"/>
      <c r="X356" s="87"/>
      <c r="Y356" s="87"/>
      <c r="Z356" s="87"/>
      <c r="AA356" s="88"/>
      <c r="AB356" s="88">
        <v>39.270000000000003</v>
      </c>
      <c r="AC356" s="88">
        <v>52.462499999999999</v>
      </c>
      <c r="AD356" s="88">
        <v>72.64</v>
      </c>
      <c r="AE356" s="89">
        <f t="shared" si="110"/>
        <v>0</v>
      </c>
      <c r="AF356" s="90">
        <v>6.5000000000000002E-2</v>
      </c>
      <c r="AG356" s="4">
        <f t="shared" si="109"/>
        <v>0</v>
      </c>
      <c r="AH356" s="49">
        <f t="shared" si="111"/>
        <v>0</v>
      </c>
      <c r="AI356" s="89">
        <f t="shared" si="112"/>
        <v>0</v>
      </c>
      <c r="AJ356" s="91">
        <v>0.18</v>
      </c>
      <c r="AK356" s="5">
        <f t="shared" si="113"/>
        <v>0</v>
      </c>
      <c r="AL356" s="89">
        <f t="shared" si="114"/>
        <v>0</v>
      </c>
      <c r="AP356" s="92"/>
    </row>
    <row r="357" spans="1:42" hidden="1" x14ac:dyDescent="0.35">
      <c r="A357" s="85"/>
      <c r="B357" s="51"/>
      <c r="C357" s="97"/>
      <c r="D357" s="97"/>
      <c r="E357" s="48"/>
      <c r="F357" s="96"/>
      <c r="G357" s="96"/>
      <c r="H357" s="96"/>
      <c r="I357" s="3"/>
      <c r="J357" s="52"/>
      <c r="K357" s="105"/>
      <c r="L357" s="105"/>
      <c r="M357" s="105"/>
      <c r="N357" s="104">
        <f t="shared" si="107"/>
        <v>0</v>
      </c>
      <c r="O357" s="86"/>
      <c r="P357" s="86"/>
      <c r="Q357" s="86"/>
      <c r="R357" s="104">
        <f t="shared" si="106"/>
        <v>0</v>
      </c>
      <c r="S357" s="86">
        <f t="shared" si="108"/>
        <v>0</v>
      </c>
      <c r="T357" s="87"/>
      <c r="U357" s="87"/>
      <c r="V357" s="87"/>
      <c r="W357" s="88"/>
      <c r="X357" s="87"/>
      <c r="Y357" s="87"/>
      <c r="Z357" s="87"/>
      <c r="AA357" s="88"/>
      <c r="AB357" s="88">
        <v>39.270000000000003</v>
      </c>
      <c r="AC357" s="88">
        <v>52.462499999999999</v>
      </c>
      <c r="AD357" s="88">
        <v>72.64</v>
      </c>
      <c r="AE357" s="89">
        <f t="shared" si="110"/>
        <v>0</v>
      </c>
      <c r="AF357" s="90">
        <v>6.5000000000000002E-2</v>
      </c>
      <c r="AG357" s="4">
        <f t="shared" si="109"/>
        <v>0</v>
      </c>
      <c r="AH357" s="49">
        <f t="shared" si="111"/>
        <v>0</v>
      </c>
      <c r="AI357" s="89">
        <f t="shared" si="112"/>
        <v>0</v>
      </c>
      <c r="AJ357" s="91">
        <v>0.18</v>
      </c>
      <c r="AK357" s="5">
        <f t="shared" si="113"/>
        <v>0</v>
      </c>
      <c r="AL357" s="89">
        <f t="shared" si="114"/>
        <v>0</v>
      </c>
      <c r="AP357" s="92"/>
    </row>
    <row r="358" spans="1:42" hidden="1" x14ac:dyDescent="0.35">
      <c r="A358" s="85"/>
      <c r="B358" s="51"/>
      <c r="C358" s="97"/>
      <c r="D358" s="97"/>
      <c r="E358" s="48"/>
      <c r="F358" s="96"/>
      <c r="G358" s="96"/>
      <c r="H358" s="96"/>
      <c r="I358" s="3"/>
      <c r="J358" s="52"/>
      <c r="K358" s="105"/>
      <c r="L358" s="86"/>
      <c r="M358" s="105"/>
      <c r="N358" s="104">
        <f t="shared" si="107"/>
        <v>0</v>
      </c>
      <c r="O358" s="105"/>
      <c r="P358" s="86"/>
      <c r="Q358" s="105"/>
      <c r="R358" s="104">
        <f t="shared" si="106"/>
        <v>0</v>
      </c>
      <c r="S358" s="86">
        <f t="shared" si="108"/>
        <v>0</v>
      </c>
      <c r="T358" s="87"/>
      <c r="U358" s="87"/>
      <c r="V358" s="87"/>
      <c r="W358" s="88"/>
      <c r="X358" s="87"/>
      <c r="Y358" s="87"/>
      <c r="Z358" s="87"/>
      <c r="AA358" s="88"/>
      <c r="AB358" s="88">
        <v>39.270000000000003</v>
      </c>
      <c r="AC358" s="88">
        <v>52.462499999999999</v>
      </c>
      <c r="AD358" s="88">
        <v>72.64</v>
      </c>
      <c r="AE358" s="89">
        <f t="shared" si="110"/>
        <v>0</v>
      </c>
      <c r="AF358" s="90">
        <v>6.5000000000000002E-2</v>
      </c>
      <c r="AG358" s="4">
        <f t="shared" si="109"/>
        <v>0</v>
      </c>
      <c r="AH358" s="49">
        <f t="shared" si="111"/>
        <v>0</v>
      </c>
      <c r="AI358" s="89">
        <f t="shared" si="112"/>
        <v>0</v>
      </c>
      <c r="AJ358" s="91">
        <v>0.18</v>
      </c>
      <c r="AK358" s="5">
        <f t="shared" si="113"/>
        <v>0</v>
      </c>
      <c r="AL358" s="89">
        <f t="shared" si="114"/>
        <v>0</v>
      </c>
      <c r="AP358" s="92"/>
    </row>
    <row r="359" spans="1:42" hidden="1" x14ac:dyDescent="0.35">
      <c r="A359" s="85"/>
      <c r="B359" s="51"/>
      <c r="C359" s="97"/>
      <c r="D359" s="97"/>
      <c r="E359" s="48"/>
      <c r="F359" s="96"/>
      <c r="G359" s="96"/>
      <c r="H359" s="96"/>
      <c r="I359" s="3"/>
      <c r="J359" s="52"/>
      <c r="K359" s="86"/>
      <c r="L359" s="86"/>
      <c r="M359" s="105"/>
      <c r="N359" s="104">
        <f t="shared" si="107"/>
        <v>0</v>
      </c>
      <c r="O359" s="86"/>
      <c r="P359" s="86"/>
      <c r="Q359" s="86"/>
      <c r="R359" s="104">
        <f t="shared" si="106"/>
        <v>0</v>
      </c>
      <c r="S359" s="86">
        <f t="shared" si="108"/>
        <v>0</v>
      </c>
      <c r="T359" s="87"/>
      <c r="U359" s="87"/>
      <c r="V359" s="87"/>
      <c r="W359" s="88"/>
      <c r="X359" s="87"/>
      <c r="Y359" s="87"/>
      <c r="Z359" s="87"/>
      <c r="AA359" s="88"/>
      <c r="AB359" s="88">
        <v>39.270000000000003</v>
      </c>
      <c r="AC359" s="88">
        <v>52.462499999999999</v>
      </c>
      <c r="AD359" s="88">
        <v>72.64</v>
      </c>
      <c r="AE359" s="89">
        <f t="shared" si="110"/>
        <v>0</v>
      </c>
      <c r="AF359" s="90">
        <v>6.5000000000000002E-2</v>
      </c>
      <c r="AG359" s="4">
        <f t="shared" si="109"/>
        <v>0</v>
      </c>
      <c r="AH359" s="49">
        <f t="shared" si="111"/>
        <v>0</v>
      </c>
      <c r="AI359" s="89">
        <f t="shared" si="112"/>
        <v>0</v>
      </c>
      <c r="AJ359" s="91">
        <v>0.18</v>
      </c>
      <c r="AK359" s="5">
        <f t="shared" si="113"/>
        <v>0</v>
      </c>
      <c r="AL359" s="89">
        <f t="shared" si="114"/>
        <v>0</v>
      </c>
      <c r="AP359" s="92"/>
    </row>
    <row r="360" spans="1:42" hidden="1" x14ac:dyDescent="0.35">
      <c r="A360" s="85"/>
      <c r="B360" s="51"/>
      <c r="C360" s="97"/>
      <c r="D360" s="97"/>
      <c r="E360" s="48"/>
      <c r="F360" s="96"/>
      <c r="G360" s="96"/>
      <c r="H360" s="96"/>
      <c r="I360" s="3"/>
      <c r="J360" s="52"/>
      <c r="K360" s="105"/>
      <c r="L360" s="105"/>
      <c r="M360" s="105"/>
      <c r="N360" s="104">
        <f t="shared" si="107"/>
        <v>0</v>
      </c>
      <c r="O360" s="86"/>
      <c r="P360" s="105"/>
      <c r="Q360" s="105"/>
      <c r="R360" s="104">
        <f t="shared" si="106"/>
        <v>0</v>
      </c>
      <c r="S360" s="86">
        <f t="shared" si="108"/>
        <v>0</v>
      </c>
      <c r="T360" s="87"/>
      <c r="U360" s="87"/>
      <c r="V360" s="87"/>
      <c r="W360" s="88"/>
      <c r="X360" s="87"/>
      <c r="Y360" s="87"/>
      <c r="Z360" s="87"/>
      <c r="AA360" s="88"/>
      <c r="AB360" s="88">
        <v>39.270000000000003</v>
      </c>
      <c r="AC360" s="88">
        <v>52.462499999999999</v>
      </c>
      <c r="AD360" s="88">
        <v>72.64</v>
      </c>
      <c r="AE360" s="89">
        <f t="shared" si="110"/>
        <v>0</v>
      </c>
      <c r="AF360" s="90">
        <v>6.5000000000000002E-2</v>
      </c>
      <c r="AG360" s="4">
        <f t="shared" si="109"/>
        <v>0</v>
      </c>
      <c r="AH360" s="49">
        <f t="shared" si="111"/>
        <v>0</v>
      </c>
      <c r="AI360" s="89">
        <f t="shared" si="112"/>
        <v>0</v>
      </c>
      <c r="AJ360" s="91">
        <v>0.18</v>
      </c>
      <c r="AK360" s="5">
        <f t="shared" si="113"/>
        <v>0</v>
      </c>
      <c r="AL360" s="89">
        <f t="shared" si="114"/>
        <v>0</v>
      </c>
      <c r="AP360" s="92"/>
    </row>
    <row r="361" spans="1:42" hidden="1" x14ac:dyDescent="0.35">
      <c r="A361" s="85"/>
      <c r="B361" s="51"/>
      <c r="C361" s="97"/>
      <c r="D361" s="97"/>
      <c r="E361" s="48"/>
      <c r="F361" s="96"/>
      <c r="G361" s="96"/>
      <c r="H361" s="96"/>
      <c r="I361" s="3"/>
      <c r="J361" s="52"/>
      <c r="K361" s="105"/>
      <c r="L361" s="86"/>
      <c r="M361" s="105"/>
      <c r="N361" s="104">
        <f t="shared" si="107"/>
        <v>0</v>
      </c>
      <c r="O361" s="105"/>
      <c r="P361" s="105"/>
      <c r="Q361" s="86"/>
      <c r="R361" s="104">
        <f t="shared" si="106"/>
        <v>0</v>
      </c>
      <c r="S361" s="86">
        <f t="shared" si="108"/>
        <v>0</v>
      </c>
      <c r="T361" s="87"/>
      <c r="U361" s="87"/>
      <c r="V361" s="87"/>
      <c r="W361" s="88"/>
      <c r="X361" s="87"/>
      <c r="Y361" s="87"/>
      <c r="Z361" s="87"/>
      <c r="AA361" s="88"/>
      <c r="AB361" s="88">
        <v>39.270000000000003</v>
      </c>
      <c r="AC361" s="88">
        <v>52.462499999999999</v>
      </c>
      <c r="AD361" s="88">
        <v>72.64</v>
      </c>
      <c r="AE361" s="89">
        <f t="shared" si="110"/>
        <v>0</v>
      </c>
      <c r="AF361" s="90">
        <v>6.5000000000000002E-2</v>
      </c>
      <c r="AG361" s="4">
        <f t="shared" si="109"/>
        <v>0</v>
      </c>
      <c r="AH361" s="49">
        <f t="shared" si="111"/>
        <v>0</v>
      </c>
      <c r="AI361" s="89">
        <f t="shared" si="112"/>
        <v>0</v>
      </c>
      <c r="AJ361" s="91">
        <v>0.18</v>
      </c>
      <c r="AK361" s="5">
        <f t="shared" si="113"/>
        <v>0</v>
      </c>
      <c r="AL361" s="89">
        <f t="shared" si="114"/>
        <v>0</v>
      </c>
      <c r="AP361" s="92"/>
    </row>
    <row r="362" spans="1:42" hidden="1" x14ac:dyDescent="0.35">
      <c r="A362" s="85"/>
      <c r="B362" s="51"/>
      <c r="C362" s="97"/>
      <c r="D362" s="97"/>
      <c r="E362" s="48"/>
      <c r="F362" s="96"/>
      <c r="G362" s="96"/>
      <c r="H362" s="96"/>
      <c r="I362" s="3"/>
      <c r="J362" s="52"/>
      <c r="K362" s="86"/>
      <c r="L362" s="86"/>
      <c r="M362" s="105"/>
      <c r="N362" s="104">
        <f t="shared" si="107"/>
        <v>0</v>
      </c>
      <c r="O362" s="86"/>
      <c r="P362" s="86"/>
      <c r="Q362" s="86"/>
      <c r="R362" s="104">
        <f t="shared" si="106"/>
        <v>0</v>
      </c>
      <c r="S362" s="86">
        <f t="shared" si="108"/>
        <v>0</v>
      </c>
      <c r="T362" s="87"/>
      <c r="U362" s="87"/>
      <c r="V362" s="87"/>
      <c r="W362" s="88"/>
      <c r="X362" s="87"/>
      <c r="Y362" s="87"/>
      <c r="Z362" s="87"/>
      <c r="AA362" s="88"/>
      <c r="AB362" s="88">
        <v>39.270000000000003</v>
      </c>
      <c r="AC362" s="88">
        <v>52.462499999999999</v>
      </c>
      <c r="AD362" s="88">
        <v>72.64</v>
      </c>
      <c r="AE362" s="89">
        <f t="shared" si="110"/>
        <v>0</v>
      </c>
      <c r="AF362" s="90">
        <v>6.5000000000000002E-2</v>
      </c>
      <c r="AG362" s="4">
        <f t="shared" si="109"/>
        <v>0</v>
      </c>
      <c r="AH362" s="49">
        <f t="shared" si="111"/>
        <v>0</v>
      </c>
      <c r="AI362" s="89">
        <f t="shared" si="112"/>
        <v>0</v>
      </c>
      <c r="AJ362" s="91">
        <v>0.18</v>
      </c>
      <c r="AK362" s="5">
        <f t="shared" si="113"/>
        <v>0</v>
      </c>
      <c r="AL362" s="89">
        <f t="shared" si="114"/>
        <v>0</v>
      </c>
      <c r="AP362" s="92"/>
    </row>
    <row r="363" spans="1:42" hidden="1" x14ac:dyDescent="0.35">
      <c r="A363" s="85"/>
      <c r="B363" s="51"/>
      <c r="C363" s="97"/>
      <c r="D363" s="97"/>
      <c r="E363" s="48"/>
      <c r="F363" s="96"/>
      <c r="G363" s="96"/>
      <c r="H363" s="96"/>
      <c r="I363" s="3"/>
      <c r="J363" s="52"/>
      <c r="K363" s="105"/>
      <c r="L363" s="86"/>
      <c r="M363" s="105"/>
      <c r="N363" s="104">
        <f t="shared" si="107"/>
        <v>0</v>
      </c>
      <c r="O363" s="105"/>
      <c r="P363" s="105"/>
      <c r="Q363" s="105"/>
      <c r="R363" s="104">
        <f t="shared" si="106"/>
        <v>0</v>
      </c>
      <c r="S363" s="86">
        <f t="shared" si="108"/>
        <v>0</v>
      </c>
      <c r="T363" s="87"/>
      <c r="U363" s="87"/>
      <c r="V363" s="87"/>
      <c r="W363" s="88"/>
      <c r="X363" s="87"/>
      <c r="Y363" s="87"/>
      <c r="Z363" s="87"/>
      <c r="AA363" s="88"/>
      <c r="AB363" s="88">
        <v>39.270000000000003</v>
      </c>
      <c r="AC363" s="88">
        <v>52.462499999999999</v>
      </c>
      <c r="AD363" s="88">
        <v>72.64</v>
      </c>
      <c r="AE363" s="89">
        <f t="shared" si="110"/>
        <v>0</v>
      </c>
      <c r="AF363" s="90">
        <v>6.5000000000000002E-2</v>
      </c>
      <c r="AG363" s="4">
        <f t="shared" si="109"/>
        <v>0</v>
      </c>
      <c r="AH363" s="49">
        <f t="shared" si="111"/>
        <v>0</v>
      </c>
      <c r="AI363" s="89">
        <f t="shared" si="112"/>
        <v>0</v>
      </c>
      <c r="AJ363" s="91">
        <v>0.18</v>
      </c>
      <c r="AK363" s="5">
        <f t="shared" si="113"/>
        <v>0</v>
      </c>
      <c r="AL363" s="89">
        <f t="shared" si="114"/>
        <v>0</v>
      </c>
      <c r="AP363" s="92"/>
    </row>
    <row r="364" spans="1:42" hidden="1" x14ac:dyDescent="0.35">
      <c r="A364" s="85"/>
      <c r="B364" s="51"/>
      <c r="C364" s="97"/>
      <c r="D364" s="97"/>
      <c r="E364" s="48"/>
      <c r="F364" s="96"/>
      <c r="G364" s="96"/>
      <c r="H364" s="96"/>
      <c r="I364" s="3"/>
      <c r="J364" s="52"/>
      <c r="K364" s="86"/>
      <c r="L364" s="86"/>
      <c r="M364" s="105"/>
      <c r="N364" s="104">
        <f t="shared" si="107"/>
        <v>0</v>
      </c>
      <c r="O364" s="86"/>
      <c r="P364" s="86"/>
      <c r="Q364" s="86"/>
      <c r="R364" s="104">
        <f t="shared" si="106"/>
        <v>0</v>
      </c>
      <c r="S364" s="86">
        <f t="shared" si="108"/>
        <v>0</v>
      </c>
      <c r="T364" s="87"/>
      <c r="U364" s="87"/>
      <c r="V364" s="87"/>
      <c r="W364" s="88"/>
      <c r="X364" s="87"/>
      <c r="Y364" s="87"/>
      <c r="Z364" s="87"/>
      <c r="AA364" s="88"/>
      <c r="AB364" s="88">
        <v>39.270000000000003</v>
      </c>
      <c r="AC364" s="88">
        <v>52.462499999999999</v>
      </c>
      <c r="AD364" s="88">
        <v>72.64</v>
      </c>
      <c r="AE364" s="89">
        <f t="shared" si="110"/>
        <v>0</v>
      </c>
      <c r="AF364" s="90">
        <v>6.5000000000000002E-2</v>
      </c>
      <c r="AG364" s="4">
        <f t="shared" si="109"/>
        <v>0</v>
      </c>
      <c r="AH364" s="49">
        <f t="shared" si="111"/>
        <v>0</v>
      </c>
      <c r="AI364" s="89">
        <f t="shared" si="112"/>
        <v>0</v>
      </c>
      <c r="AJ364" s="91">
        <v>0.18</v>
      </c>
      <c r="AK364" s="5">
        <f t="shared" si="113"/>
        <v>0</v>
      </c>
      <c r="AL364" s="89">
        <f t="shared" si="114"/>
        <v>0</v>
      </c>
      <c r="AP364" s="92"/>
    </row>
    <row r="365" spans="1:42" hidden="1" x14ac:dyDescent="0.35">
      <c r="A365" s="85"/>
      <c r="B365" s="51"/>
      <c r="C365" s="97"/>
      <c r="D365" s="97"/>
      <c r="E365" s="48"/>
      <c r="F365" s="96"/>
      <c r="G365" s="96"/>
      <c r="H365" s="96"/>
      <c r="I365" s="3"/>
      <c r="J365" s="52"/>
      <c r="K365" s="105"/>
      <c r="L365" s="105"/>
      <c r="M365" s="105"/>
      <c r="N365" s="104">
        <f t="shared" si="107"/>
        <v>0</v>
      </c>
      <c r="O365" s="105"/>
      <c r="P365" s="86"/>
      <c r="Q365" s="86"/>
      <c r="R365" s="104">
        <f t="shared" si="106"/>
        <v>0</v>
      </c>
      <c r="S365" s="86">
        <f t="shared" si="108"/>
        <v>0</v>
      </c>
      <c r="T365" s="87"/>
      <c r="U365" s="87"/>
      <c r="V365" s="87"/>
      <c r="W365" s="88"/>
      <c r="X365" s="87"/>
      <c r="Y365" s="87"/>
      <c r="Z365" s="87"/>
      <c r="AA365" s="88"/>
      <c r="AB365" s="88">
        <v>39.270000000000003</v>
      </c>
      <c r="AC365" s="88">
        <v>52.462499999999999</v>
      </c>
      <c r="AD365" s="88">
        <v>72.64</v>
      </c>
      <c r="AE365" s="89">
        <f t="shared" si="110"/>
        <v>0</v>
      </c>
      <c r="AF365" s="90">
        <v>6.5000000000000002E-2</v>
      </c>
      <c r="AG365" s="4">
        <f t="shared" si="109"/>
        <v>0</v>
      </c>
      <c r="AH365" s="49">
        <f t="shared" si="111"/>
        <v>0</v>
      </c>
      <c r="AI365" s="89">
        <f t="shared" si="112"/>
        <v>0</v>
      </c>
      <c r="AJ365" s="91">
        <v>0.18</v>
      </c>
      <c r="AK365" s="5">
        <f t="shared" si="113"/>
        <v>0</v>
      </c>
      <c r="AL365" s="89">
        <f t="shared" si="114"/>
        <v>0</v>
      </c>
      <c r="AP365" s="92"/>
    </row>
    <row r="366" spans="1:42" hidden="1" x14ac:dyDescent="0.35">
      <c r="A366" s="85"/>
      <c r="B366" s="51"/>
      <c r="C366" s="97"/>
      <c r="D366" s="97"/>
      <c r="E366" s="48"/>
      <c r="F366" s="96"/>
      <c r="G366" s="96"/>
      <c r="H366" s="96"/>
      <c r="I366" s="3"/>
      <c r="J366" s="52"/>
      <c r="K366" s="105"/>
      <c r="L366" s="105"/>
      <c r="M366" s="105"/>
      <c r="N366" s="104">
        <f t="shared" si="107"/>
        <v>0</v>
      </c>
      <c r="O366" s="105"/>
      <c r="P366" s="105"/>
      <c r="Q366" s="86"/>
      <c r="R366" s="104">
        <f t="shared" si="106"/>
        <v>0</v>
      </c>
      <c r="S366" s="86">
        <f t="shared" si="108"/>
        <v>0</v>
      </c>
      <c r="T366" s="87"/>
      <c r="U366" s="87"/>
      <c r="V366" s="87"/>
      <c r="W366" s="88"/>
      <c r="X366" s="87"/>
      <c r="Y366" s="87"/>
      <c r="Z366" s="87"/>
      <c r="AA366" s="88"/>
      <c r="AB366" s="88">
        <v>39.270000000000003</v>
      </c>
      <c r="AC366" s="88">
        <v>52.462499999999999</v>
      </c>
      <c r="AD366" s="88">
        <v>72.64</v>
      </c>
      <c r="AE366" s="89">
        <f t="shared" si="110"/>
        <v>0</v>
      </c>
      <c r="AF366" s="90">
        <v>6.5000000000000002E-2</v>
      </c>
      <c r="AG366" s="4">
        <f t="shared" si="109"/>
        <v>0</v>
      </c>
      <c r="AH366" s="49">
        <f t="shared" si="111"/>
        <v>0</v>
      </c>
      <c r="AI366" s="89">
        <f t="shared" si="112"/>
        <v>0</v>
      </c>
      <c r="AJ366" s="91">
        <v>0.18</v>
      </c>
      <c r="AK366" s="5">
        <f t="shared" si="113"/>
        <v>0</v>
      </c>
      <c r="AL366" s="89">
        <f t="shared" si="114"/>
        <v>0</v>
      </c>
      <c r="AP366" s="92"/>
    </row>
    <row r="367" spans="1:42" hidden="1" x14ac:dyDescent="0.35">
      <c r="A367" s="85"/>
      <c r="B367" s="51"/>
      <c r="C367" s="97"/>
      <c r="D367" s="97"/>
      <c r="E367" s="48"/>
      <c r="F367" s="96"/>
      <c r="G367" s="96"/>
      <c r="H367" s="96"/>
      <c r="I367" s="3"/>
      <c r="J367" s="52"/>
      <c r="K367" s="105"/>
      <c r="L367" s="105"/>
      <c r="M367" s="105"/>
      <c r="N367" s="104">
        <f t="shared" si="107"/>
        <v>0</v>
      </c>
      <c r="O367" s="105"/>
      <c r="P367" s="86"/>
      <c r="Q367" s="105"/>
      <c r="R367" s="104">
        <f t="shared" si="106"/>
        <v>0</v>
      </c>
      <c r="S367" s="86">
        <f t="shared" si="108"/>
        <v>0</v>
      </c>
      <c r="T367" s="87"/>
      <c r="U367" s="87"/>
      <c r="V367" s="87"/>
      <c r="W367" s="88"/>
      <c r="X367" s="87"/>
      <c r="Y367" s="87"/>
      <c r="Z367" s="87"/>
      <c r="AA367" s="88"/>
      <c r="AB367" s="88">
        <v>39.270000000000003</v>
      </c>
      <c r="AC367" s="88">
        <v>52.462499999999999</v>
      </c>
      <c r="AD367" s="88">
        <v>72.64</v>
      </c>
      <c r="AE367" s="89">
        <f t="shared" si="110"/>
        <v>0</v>
      </c>
      <c r="AF367" s="90">
        <v>6.5000000000000002E-2</v>
      </c>
      <c r="AG367" s="4">
        <f t="shared" si="109"/>
        <v>0</v>
      </c>
      <c r="AH367" s="49">
        <f t="shared" si="111"/>
        <v>0</v>
      </c>
      <c r="AI367" s="89">
        <f t="shared" si="112"/>
        <v>0</v>
      </c>
      <c r="AJ367" s="91">
        <v>0.18</v>
      </c>
      <c r="AK367" s="5">
        <f t="shared" si="113"/>
        <v>0</v>
      </c>
      <c r="AL367" s="89">
        <f t="shared" si="114"/>
        <v>0</v>
      </c>
      <c r="AP367" s="92"/>
    </row>
    <row r="368" spans="1:42" hidden="1" x14ac:dyDescent="0.35">
      <c r="A368" s="85"/>
      <c r="B368" s="51"/>
      <c r="C368" s="97"/>
      <c r="D368" s="97"/>
      <c r="E368" s="48"/>
      <c r="F368" s="96"/>
      <c r="G368" s="96"/>
      <c r="H368" s="96"/>
      <c r="I368" s="3"/>
      <c r="J368" s="52"/>
      <c r="K368" s="86"/>
      <c r="L368" s="86"/>
      <c r="M368" s="105"/>
      <c r="N368" s="104">
        <f t="shared" si="107"/>
        <v>0</v>
      </c>
      <c r="O368" s="86"/>
      <c r="P368" s="86"/>
      <c r="Q368" s="105"/>
      <c r="R368" s="104">
        <f t="shared" si="106"/>
        <v>0</v>
      </c>
      <c r="S368" s="86">
        <f t="shared" si="108"/>
        <v>0</v>
      </c>
      <c r="T368" s="87"/>
      <c r="U368" s="87"/>
      <c r="V368" s="87"/>
      <c r="W368" s="88"/>
      <c r="X368" s="87"/>
      <c r="Y368" s="87"/>
      <c r="Z368" s="87"/>
      <c r="AA368" s="88"/>
      <c r="AB368" s="88">
        <v>39.270000000000003</v>
      </c>
      <c r="AC368" s="88">
        <v>52.462499999999999</v>
      </c>
      <c r="AD368" s="88">
        <v>72.64</v>
      </c>
      <c r="AE368" s="89">
        <f t="shared" si="110"/>
        <v>0</v>
      </c>
      <c r="AF368" s="90">
        <v>6.5000000000000002E-2</v>
      </c>
      <c r="AG368" s="4">
        <f t="shared" si="109"/>
        <v>0</v>
      </c>
      <c r="AH368" s="49">
        <f t="shared" si="111"/>
        <v>0</v>
      </c>
      <c r="AI368" s="89">
        <f t="shared" si="112"/>
        <v>0</v>
      </c>
      <c r="AJ368" s="91">
        <v>0.18</v>
      </c>
      <c r="AK368" s="5">
        <f t="shared" si="113"/>
        <v>0</v>
      </c>
      <c r="AL368" s="89">
        <f t="shared" si="114"/>
        <v>0</v>
      </c>
      <c r="AP368" s="92"/>
    </row>
    <row r="369" spans="1:42" hidden="1" x14ac:dyDescent="0.35">
      <c r="A369" s="85"/>
      <c r="B369" s="51"/>
      <c r="C369" s="97"/>
      <c r="D369" s="97"/>
      <c r="E369" s="48"/>
      <c r="F369" s="96"/>
      <c r="G369" s="96"/>
      <c r="H369" s="96"/>
      <c r="I369" s="3"/>
      <c r="J369" s="52"/>
      <c r="K369" s="86"/>
      <c r="L369" s="86"/>
      <c r="M369" s="105"/>
      <c r="N369" s="104">
        <f t="shared" si="107"/>
        <v>0</v>
      </c>
      <c r="O369" s="105"/>
      <c r="P369" s="105"/>
      <c r="Q369" s="105"/>
      <c r="R369" s="104">
        <f t="shared" si="106"/>
        <v>0</v>
      </c>
      <c r="S369" s="86">
        <f t="shared" si="108"/>
        <v>0</v>
      </c>
      <c r="T369" s="87"/>
      <c r="U369" s="87"/>
      <c r="V369" s="87"/>
      <c r="W369" s="88"/>
      <c r="X369" s="87"/>
      <c r="Y369" s="87"/>
      <c r="Z369" s="87"/>
      <c r="AA369" s="88"/>
      <c r="AB369" s="88">
        <v>39.270000000000003</v>
      </c>
      <c r="AC369" s="88">
        <v>52.462499999999999</v>
      </c>
      <c r="AD369" s="88">
        <v>72.64</v>
      </c>
      <c r="AE369" s="89">
        <f t="shared" si="110"/>
        <v>0</v>
      </c>
      <c r="AF369" s="90">
        <v>6.5000000000000002E-2</v>
      </c>
      <c r="AG369" s="4">
        <f t="shared" si="109"/>
        <v>0</v>
      </c>
      <c r="AH369" s="49">
        <f t="shared" si="111"/>
        <v>0</v>
      </c>
      <c r="AI369" s="89">
        <f t="shared" si="112"/>
        <v>0</v>
      </c>
      <c r="AJ369" s="91">
        <v>0.18</v>
      </c>
      <c r="AK369" s="5">
        <f t="shared" si="113"/>
        <v>0</v>
      </c>
      <c r="AL369" s="89">
        <f t="shared" si="114"/>
        <v>0</v>
      </c>
      <c r="AP369" s="92"/>
    </row>
    <row r="370" spans="1:42" hidden="1" x14ac:dyDescent="0.35">
      <c r="A370" s="85"/>
      <c r="B370" s="51"/>
      <c r="C370" s="97"/>
      <c r="D370" s="97"/>
      <c r="E370" s="48"/>
      <c r="F370" s="96"/>
      <c r="G370" s="96"/>
      <c r="H370" s="96"/>
      <c r="I370" s="3"/>
      <c r="J370" s="52"/>
      <c r="K370" s="105"/>
      <c r="L370" s="105"/>
      <c r="M370" s="105"/>
      <c r="N370" s="104">
        <f t="shared" si="107"/>
        <v>0</v>
      </c>
      <c r="O370" s="86"/>
      <c r="P370" s="105"/>
      <c r="Q370" s="105"/>
      <c r="R370" s="104">
        <f t="shared" si="106"/>
        <v>0</v>
      </c>
      <c r="S370" s="86">
        <f t="shared" si="108"/>
        <v>0</v>
      </c>
      <c r="T370" s="87"/>
      <c r="U370" s="87"/>
      <c r="V370" s="87"/>
      <c r="W370" s="88"/>
      <c r="X370" s="87"/>
      <c r="Y370" s="87"/>
      <c r="Z370" s="87"/>
      <c r="AA370" s="88"/>
      <c r="AB370" s="88">
        <v>39.270000000000003</v>
      </c>
      <c r="AC370" s="88">
        <v>52.462499999999999</v>
      </c>
      <c r="AD370" s="88">
        <v>72.64</v>
      </c>
      <c r="AE370" s="89">
        <f t="shared" si="110"/>
        <v>0</v>
      </c>
      <c r="AF370" s="90">
        <v>6.5000000000000002E-2</v>
      </c>
      <c r="AG370" s="4">
        <f t="shared" si="109"/>
        <v>0</v>
      </c>
      <c r="AH370" s="49">
        <f t="shared" si="111"/>
        <v>0</v>
      </c>
      <c r="AI370" s="89">
        <f t="shared" si="112"/>
        <v>0</v>
      </c>
      <c r="AJ370" s="91">
        <v>0.18</v>
      </c>
      <c r="AK370" s="5">
        <f t="shared" si="113"/>
        <v>0</v>
      </c>
      <c r="AL370" s="89">
        <f t="shared" si="114"/>
        <v>0</v>
      </c>
      <c r="AP370" s="92"/>
    </row>
    <row r="371" spans="1:42" hidden="1" x14ac:dyDescent="0.35">
      <c r="A371" s="85"/>
      <c r="B371" s="51"/>
      <c r="C371" s="97"/>
      <c r="D371" s="97"/>
      <c r="E371" s="48"/>
      <c r="F371" s="96"/>
      <c r="G371" s="96"/>
      <c r="H371" s="96"/>
      <c r="I371" s="3"/>
      <c r="J371" s="52"/>
      <c r="K371" s="86"/>
      <c r="L371" s="86"/>
      <c r="M371" s="105"/>
      <c r="N371" s="104">
        <f t="shared" si="107"/>
        <v>0</v>
      </c>
      <c r="O371" s="105"/>
      <c r="P371" s="105"/>
      <c r="Q371" s="105"/>
      <c r="R371" s="104">
        <f t="shared" si="106"/>
        <v>0</v>
      </c>
      <c r="S371" s="86">
        <f t="shared" si="108"/>
        <v>0</v>
      </c>
      <c r="T371" s="87"/>
      <c r="U371" s="87"/>
      <c r="V371" s="87"/>
      <c r="W371" s="88"/>
      <c r="X371" s="87"/>
      <c r="Y371" s="87"/>
      <c r="Z371" s="87"/>
      <c r="AA371" s="88"/>
      <c r="AB371" s="88">
        <v>39.270000000000003</v>
      </c>
      <c r="AC371" s="88">
        <v>52.462499999999999</v>
      </c>
      <c r="AD371" s="88">
        <v>72.64</v>
      </c>
      <c r="AE371" s="89">
        <f t="shared" si="110"/>
        <v>0</v>
      </c>
      <c r="AF371" s="90">
        <v>6.5000000000000002E-2</v>
      </c>
      <c r="AG371" s="4">
        <f t="shared" si="109"/>
        <v>0</v>
      </c>
      <c r="AH371" s="49">
        <f t="shared" si="111"/>
        <v>0</v>
      </c>
      <c r="AI371" s="89">
        <f t="shared" si="112"/>
        <v>0</v>
      </c>
      <c r="AJ371" s="91">
        <v>0.18</v>
      </c>
      <c r="AK371" s="5">
        <f t="shared" si="113"/>
        <v>0</v>
      </c>
      <c r="AL371" s="89">
        <f t="shared" si="114"/>
        <v>0</v>
      </c>
      <c r="AP371" s="92"/>
    </row>
    <row r="372" spans="1:42" hidden="1" x14ac:dyDescent="0.35">
      <c r="A372" s="85"/>
      <c r="B372" s="51"/>
      <c r="C372" s="97"/>
      <c r="D372" s="97"/>
      <c r="E372" s="48"/>
      <c r="F372" s="96"/>
      <c r="G372" s="96"/>
      <c r="H372" s="96"/>
      <c r="I372" s="3"/>
      <c r="J372" s="52"/>
      <c r="K372" s="105"/>
      <c r="L372" s="105"/>
      <c r="M372" s="105"/>
      <c r="N372" s="104">
        <f t="shared" si="107"/>
        <v>0</v>
      </c>
      <c r="O372" s="86"/>
      <c r="P372" s="86"/>
      <c r="Q372" s="105"/>
      <c r="R372" s="104">
        <f t="shared" si="106"/>
        <v>0</v>
      </c>
      <c r="S372" s="86">
        <f t="shared" si="108"/>
        <v>0</v>
      </c>
      <c r="T372" s="87"/>
      <c r="U372" s="87"/>
      <c r="V372" s="87"/>
      <c r="W372" s="88"/>
      <c r="X372" s="87"/>
      <c r="Y372" s="87"/>
      <c r="Z372" s="87"/>
      <c r="AA372" s="88"/>
      <c r="AB372" s="88">
        <v>39.270000000000003</v>
      </c>
      <c r="AC372" s="88">
        <v>52.462499999999999</v>
      </c>
      <c r="AD372" s="88">
        <v>72.64</v>
      </c>
      <c r="AE372" s="89">
        <f t="shared" si="110"/>
        <v>0</v>
      </c>
      <c r="AF372" s="90">
        <v>6.5000000000000002E-2</v>
      </c>
      <c r="AG372" s="4">
        <f t="shared" si="109"/>
        <v>0</v>
      </c>
      <c r="AH372" s="49">
        <f t="shared" si="111"/>
        <v>0</v>
      </c>
      <c r="AI372" s="89">
        <f t="shared" si="112"/>
        <v>0</v>
      </c>
      <c r="AJ372" s="91">
        <v>0.18</v>
      </c>
      <c r="AK372" s="5">
        <f t="shared" si="113"/>
        <v>0</v>
      </c>
      <c r="AL372" s="89">
        <f t="shared" si="114"/>
        <v>0</v>
      </c>
      <c r="AP372" s="92"/>
    </row>
    <row r="373" spans="1:42" hidden="1" x14ac:dyDescent="0.35">
      <c r="A373" s="85"/>
      <c r="B373" s="51"/>
      <c r="C373" s="97"/>
      <c r="D373" s="97"/>
      <c r="E373" s="48"/>
      <c r="F373" s="96"/>
      <c r="G373" s="96"/>
      <c r="H373" s="96"/>
      <c r="I373" s="3"/>
      <c r="J373" s="52"/>
      <c r="K373" s="86"/>
      <c r="L373" s="86"/>
      <c r="M373" s="105"/>
      <c r="N373" s="104">
        <f t="shared" si="107"/>
        <v>0</v>
      </c>
      <c r="O373" s="86"/>
      <c r="P373" s="105"/>
      <c r="Q373" s="86"/>
      <c r="R373" s="104">
        <f t="shared" si="106"/>
        <v>0</v>
      </c>
      <c r="S373" s="86">
        <f t="shared" si="108"/>
        <v>0</v>
      </c>
      <c r="T373" s="87"/>
      <c r="U373" s="87"/>
      <c r="V373" s="87"/>
      <c r="W373" s="88"/>
      <c r="X373" s="87"/>
      <c r="Y373" s="87"/>
      <c r="Z373" s="87"/>
      <c r="AA373" s="88"/>
      <c r="AB373" s="88">
        <v>39.270000000000003</v>
      </c>
      <c r="AC373" s="88">
        <v>52.462499999999999</v>
      </c>
      <c r="AD373" s="88">
        <v>72.64</v>
      </c>
      <c r="AE373" s="89">
        <f t="shared" si="110"/>
        <v>0</v>
      </c>
      <c r="AF373" s="90">
        <v>6.5000000000000002E-2</v>
      </c>
      <c r="AG373" s="4">
        <f t="shared" si="109"/>
        <v>0</v>
      </c>
      <c r="AH373" s="49">
        <f t="shared" si="111"/>
        <v>0</v>
      </c>
      <c r="AI373" s="89">
        <f t="shared" si="112"/>
        <v>0</v>
      </c>
      <c r="AJ373" s="91">
        <v>0.18</v>
      </c>
      <c r="AK373" s="5">
        <f t="shared" si="113"/>
        <v>0</v>
      </c>
      <c r="AL373" s="89">
        <f t="shared" si="114"/>
        <v>0</v>
      </c>
      <c r="AP373" s="92"/>
    </row>
    <row r="374" spans="1:42" hidden="1" x14ac:dyDescent="0.35">
      <c r="A374" s="85"/>
      <c r="B374" s="51"/>
      <c r="C374" s="97"/>
      <c r="D374" s="97"/>
      <c r="E374" s="48"/>
      <c r="F374" s="96"/>
      <c r="G374" s="96"/>
      <c r="H374" s="96"/>
      <c r="I374" s="3"/>
      <c r="J374" s="52"/>
      <c r="K374" s="86"/>
      <c r="L374" s="86"/>
      <c r="M374" s="105"/>
      <c r="N374" s="104">
        <f t="shared" si="107"/>
        <v>0</v>
      </c>
      <c r="O374" s="105"/>
      <c r="P374" s="105"/>
      <c r="Q374" s="105"/>
      <c r="R374" s="104">
        <f t="shared" si="106"/>
        <v>0</v>
      </c>
      <c r="S374" s="86">
        <f t="shared" si="108"/>
        <v>0</v>
      </c>
      <c r="T374" s="87"/>
      <c r="U374" s="87"/>
      <c r="V374" s="87"/>
      <c r="W374" s="88"/>
      <c r="X374" s="87"/>
      <c r="Y374" s="87"/>
      <c r="Z374" s="87"/>
      <c r="AA374" s="88"/>
      <c r="AB374" s="88">
        <v>39.270000000000003</v>
      </c>
      <c r="AC374" s="88">
        <v>52.462499999999999</v>
      </c>
      <c r="AD374" s="88">
        <v>72.64</v>
      </c>
      <c r="AE374" s="89">
        <f t="shared" si="110"/>
        <v>0</v>
      </c>
      <c r="AF374" s="90">
        <v>6.5000000000000002E-2</v>
      </c>
      <c r="AG374" s="4">
        <f t="shared" si="109"/>
        <v>0</v>
      </c>
      <c r="AH374" s="49">
        <f t="shared" si="111"/>
        <v>0</v>
      </c>
      <c r="AI374" s="89">
        <f t="shared" si="112"/>
        <v>0</v>
      </c>
      <c r="AJ374" s="91">
        <v>0.18</v>
      </c>
      <c r="AK374" s="5">
        <f t="shared" si="113"/>
        <v>0</v>
      </c>
      <c r="AL374" s="89">
        <f t="shared" si="114"/>
        <v>0</v>
      </c>
      <c r="AP374" s="92"/>
    </row>
    <row r="375" spans="1:42" hidden="1" x14ac:dyDescent="0.35">
      <c r="A375" s="85"/>
      <c r="B375" s="51"/>
      <c r="C375" s="97"/>
      <c r="D375" s="97"/>
      <c r="E375" s="48"/>
      <c r="F375" s="96"/>
      <c r="G375" s="96"/>
      <c r="H375" s="96"/>
      <c r="I375" s="3"/>
      <c r="J375" s="52"/>
      <c r="K375" s="86"/>
      <c r="L375" s="105"/>
      <c r="M375" s="105"/>
      <c r="N375" s="104">
        <f t="shared" si="107"/>
        <v>0</v>
      </c>
      <c r="O375" s="86"/>
      <c r="P375" s="105"/>
      <c r="Q375" s="105"/>
      <c r="R375" s="104">
        <f t="shared" si="106"/>
        <v>0</v>
      </c>
      <c r="S375" s="86">
        <f t="shared" si="108"/>
        <v>0</v>
      </c>
      <c r="T375" s="87"/>
      <c r="U375" s="87"/>
      <c r="V375" s="87"/>
      <c r="W375" s="88"/>
      <c r="X375" s="87"/>
      <c r="Y375" s="87"/>
      <c r="Z375" s="87"/>
      <c r="AA375" s="88"/>
      <c r="AB375" s="88">
        <v>39.270000000000003</v>
      </c>
      <c r="AC375" s="88">
        <v>52.462499999999999</v>
      </c>
      <c r="AD375" s="88">
        <v>72.64</v>
      </c>
      <c r="AE375" s="89">
        <f t="shared" si="110"/>
        <v>0</v>
      </c>
      <c r="AF375" s="90">
        <v>6.5000000000000002E-2</v>
      </c>
      <c r="AG375" s="4">
        <f t="shared" si="109"/>
        <v>0</v>
      </c>
      <c r="AH375" s="49">
        <f t="shared" si="111"/>
        <v>0</v>
      </c>
      <c r="AI375" s="89">
        <f t="shared" si="112"/>
        <v>0</v>
      </c>
      <c r="AJ375" s="91">
        <v>0.18</v>
      </c>
      <c r="AK375" s="5">
        <f t="shared" si="113"/>
        <v>0</v>
      </c>
      <c r="AL375" s="89">
        <f t="shared" si="114"/>
        <v>0</v>
      </c>
      <c r="AP375" s="92"/>
    </row>
    <row r="376" spans="1:42" hidden="1" x14ac:dyDescent="0.35">
      <c r="A376" s="85"/>
      <c r="B376" s="51"/>
      <c r="C376" s="97"/>
      <c r="D376" s="97"/>
      <c r="E376" s="48"/>
      <c r="F376" s="96"/>
      <c r="G376" s="96"/>
      <c r="H376" s="96"/>
      <c r="I376" s="3"/>
      <c r="J376" s="52"/>
      <c r="K376" s="86"/>
      <c r="L376" s="86"/>
      <c r="M376" s="86"/>
      <c r="N376" s="104">
        <f t="shared" si="107"/>
        <v>0</v>
      </c>
      <c r="O376" s="105"/>
      <c r="P376" s="105"/>
      <c r="Q376" s="105"/>
      <c r="R376" s="104">
        <f t="shared" si="106"/>
        <v>0</v>
      </c>
      <c r="S376" s="86">
        <f t="shared" si="108"/>
        <v>0</v>
      </c>
      <c r="T376" s="87"/>
      <c r="U376" s="87"/>
      <c r="V376" s="87"/>
      <c r="W376" s="88"/>
      <c r="X376" s="87"/>
      <c r="Y376" s="87"/>
      <c r="Z376" s="87"/>
      <c r="AA376" s="88"/>
      <c r="AB376" s="88">
        <v>39.270000000000003</v>
      </c>
      <c r="AC376" s="88">
        <v>52.462499999999999</v>
      </c>
      <c r="AD376" s="88">
        <v>72.64</v>
      </c>
      <c r="AE376" s="89">
        <f t="shared" si="110"/>
        <v>0</v>
      </c>
      <c r="AF376" s="90">
        <v>6.5000000000000002E-2</v>
      </c>
      <c r="AG376" s="4">
        <f t="shared" si="109"/>
        <v>0</v>
      </c>
      <c r="AH376" s="49">
        <f t="shared" si="111"/>
        <v>0</v>
      </c>
      <c r="AI376" s="89">
        <f t="shared" si="112"/>
        <v>0</v>
      </c>
      <c r="AJ376" s="91">
        <v>0.18</v>
      </c>
      <c r="AK376" s="5">
        <f t="shared" si="113"/>
        <v>0</v>
      </c>
      <c r="AL376" s="89">
        <f t="shared" si="114"/>
        <v>0</v>
      </c>
      <c r="AP376" s="92"/>
    </row>
    <row r="377" spans="1:42" hidden="1" x14ac:dyDescent="0.35">
      <c r="A377" s="85"/>
      <c r="B377" s="51"/>
      <c r="C377" s="97"/>
      <c r="D377" s="97"/>
      <c r="E377" s="48"/>
      <c r="F377" s="96"/>
      <c r="G377" s="96"/>
      <c r="H377" s="96"/>
      <c r="I377" s="3"/>
      <c r="J377" s="52"/>
      <c r="K377" s="105"/>
      <c r="L377" s="105"/>
      <c r="M377" s="105"/>
      <c r="N377" s="104">
        <f t="shared" si="107"/>
        <v>0</v>
      </c>
      <c r="O377" s="105"/>
      <c r="P377" s="105"/>
      <c r="Q377" s="86"/>
      <c r="R377" s="104">
        <f t="shared" si="106"/>
        <v>0</v>
      </c>
      <c r="S377" s="86">
        <f t="shared" si="108"/>
        <v>0</v>
      </c>
      <c r="T377" s="87"/>
      <c r="U377" s="87"/>
      <c r="V377" s="87"/>
      <c r="W377" s="88"/>
      <c r="X377" s="87"/>
      <c r="Y377" s="87"/>
      <c r="Z377" s="87"/>
      <c r="AA377" s="88"/>
      <c r="AB377" s="88">
        <v>39.270000000000003</v>
      </c>
      <c r="AC377" s="88">
        <v>52.462499999999999</v>
      </c>
      <c r="AD377" s="88">
        <v>72.64</v>
      </c>
      <c r="AE377" s="89">
        <f t="shared" si="110"/>
        <v>0</v>
      </c>
      <c r="AF377" s="90">
        <v>6.5000000000000002E-2</v>
      </c>
      <c r="AG377" s="4">
        <f t="shared" si="109"/>
        <v>0</v>
      </c>
      <c r="AH377" s="49">
        <f t="shared" si="111"/>
        <v>0</v>
      </c>
      <c r="AI377" s="89">
        <f t="shared" si="112"/>
        <v>0</v>
      </c>
      <c r="AJ377" s="91">
        <v>0.18</v>
      </c>
      <c r="AK377" s="5">
        <f t="shared" si="113"/>
        <v>0</v>
      </c>
      <c r="AL377" s="89">
        <f t="shared" si="114"/>
        <v>0</v>
      </c>
      <c r="AP377" s="92"/>
    </row>
    <row r="378" spans="1:42" hidden="1" x14ac:dyDescent="0.35">
      <c r="A378" s="85"/>
      <c r="B378" s="51"/>
      <c r="C378" s="97"/>
      <c r="D378" s="97"/>
      <c r="E378" s="48"/>
      <c r="F378" s="96"/>
      <c r="G378" s="96"/>
      <c r="H378" s="96"/>
      <c r="I378" s="3"/>
      <c r="J378" s="52"/>
      <c r="K378" s="86"/>
      <c r="L378" s="86"/>
      <c r="M378" s="86"/>
      <c r="N378" s="104">
        <f t="shared" si="107"/>
        <v>0</v>
      </c>
      <c r="O378" s="86"/>
      <c r="P378" s="86"/>
      <c r="Q378" s="86"/>
      <c r="R378" s="104">
        <f t="shared" si="106"/>
        <v>0</v>
      </c>
      <c r="S378" s="86">
        <f t="shared" si="108"/>
        <v>0</v>
      </c>
      <c r="T378" s="87"/>
      <c r="U378" s="87"/>
      <c r="V378" s="87"/>
      <c r="W378" s="88"/>
      <c r="X378" s="87"/>
      <c r="Y378" s="87"/>
      <c r="Z378" s="87"/>
      <c r="AA378" s="88"/>
      <c r="AB378" s="88">
        <v>39.270000000000003</v>
      </c>
      <c r="AC378" s="88">
        <v>52.462499999999999</v>
      </c>
      <c r="AD378" s="88">
        <v>72.64</v>
      </c>
      <c r="AE378" s="89">
        <f t="shared" si="110"/>
        <v>0</v>
      </c>
      <c r="AF378" s="90">
        <v>0.14000000000000001</v>
      </c>
      <c r="AG378" s="4">
        <f t="shared" ref="AG378:AG428" si="115">AE378*AF378</f>
        <v>0</v>
      </c>
      <c r="AH378" s="49">
        <f t="shared" si="111"/>
        <v>0</v>
      </c>
      <c r="AI378" s="89">
        <f t="shared" si="112"/>
        <v>0</v>
      </c>
      <c r="AJ378" s="91">
        <v>0.18</v>
      </c>
      <c r="AK378" s="5">
        <f t="shared" si="113"/>
        <v>0</v>
      </c>
      <c r="AL378" s="89">
        <f t="shared" si="114"/>
        <v>0</v>
      </c>
      <c r="AP378" s="92"/>
    </row>
    <row r="379" spans="1:42" hidden="1" x14ac:dyDescent="0.35">
      <c r="A379" s="85"/>
      <c r="B379" s="51"/>
      <c r="C379" s="97"/>
      <c r="D379" s="97"/>
      <c r="E379" s="48"/>
      <c r="F379" s="96"/>
      <c r="G379" s="96"/>
      <c r="H379" s="96"/>
      <c r="I379" s="3"/>
      <c r="J379" s="52"/>
      <c r="K379" s="86"/>
      <c r="L379" s="86"/>
      <c r="M379" s="86"/>
      <c r="N379" s="104">
        <f t="shared" si="107"/>
        <v>0</v>
      </c>
      <c r="O379" s="86"/>
      <c r="P379" s="86"/>
      <c r="Q379" s="86"/>
      <c r="R379" s="104">
        <f t="shared" si="106"/>
        <v>0</v>
      </c>
      <c r="S379" s="86">
        <f t="shared" si="108"/>
        <v>0</v>
      </c>
      <c r="T379" s="87"/>
      <c r="U379" s="87"/>
      <c r="V379" s="87"/>
      <c r="W379" s="88"/>
      <c r="X379" s="87"/>
      <c r="Y379" s="87"/>
      <c r="Z379" s="87"/>
      <c r="AA379" s="88"/>
      <c r="AB379" s="88">
        <v>39.270000000000003</v>
      </c>
      <c r="AC379" s="88">
        <v>52.462499999999999</v>
      </c>
      <c r="AD379" s="88">
        <v>72.64</v>
      </c>
      <c r="AE379" s="89">
        <f t="shared" si="110"/>
        <v>0</v>
      </c>
      <c r="AF379" s="90">
        <v>0.14000000000000001</v>
      </c>
      <c r="AG379" s="4">
        <f t="shared" si="115"/>
        <v>0</v>
      </c>
      <c r="AH379" s="49">
        <f t="shared" si="111"/>
        <v>0</v>
      </c>
      <c r="AI379" s="89">
        <f t="shared" si="112"/>
        <v>0</v>
      </c>
      <c r="AJ379" s="91">
        <v>0.18</v>
      </c>
      <c r="AK379" s="5">
        <f t="shared" si="113"/>
        <v>0</v>
      </c>
      <c r="AL379" s="89">
        <f t="shared" si="114"/>
        <v>0</v>
      </c>
      <c r="AP379" s="92"/>
    </row>
    <row r="380" spans="1:42" hidden="1" x14ac:dyDescent="0.35">
      <c r="A380" s="85"/>
      <c r="B380" s="51"/>
      <c r="C380" s="97"/>
      <c r="D380" s="97"/>
      <c r="E380" s="48"/>
      <c r="F380" s="96"/>
      <c r="G380" s="96"/>
      <c r="H380" s="96"/>
      <c r="I380" s="3"/>
      <c r="J380" s="52"/>
      <c r="K380" s="86"/>
      <c r="L380" s="86"/>
      <c r="M380" s="86"/>
      <c r="N380" s="104">
        <f t="shared" si="107"/>
        <v>0</v>
      </c>
      <c r="O380" s="86"/>
      <c r="P380" s="86"/>
      <c r="Q380" s="86"/>
      <c r="R380" s="104">
        <f t="shared" si="106"/>
        <v>0</v>
      </c>
      <c r="S380" s="86">
        <f t="shared" si="108"/>
        <v>0</v>
      </c>
      <c r="T380" s="87"/>
      <c r="U380" s="87"/>
      <c r="V380" s="87"/>
      <c r="W380" s="88"/>
      <c r="X380" s="87"/>
      <c r="Y380" s="87"/>
      <c r="Z380" s="87"/>
      <c r="AA380" s="88"/>
      <c r="AB380" s="88">
        <v>39.270000000000003</v>
      </c>
      <c r="AC380" s="88">
        <v>52.462499999999999</v>
      </c>
      <c r="AD380" s="88">
        <v>72.64</v>
      </c>
      <c r="AE380" s="89">
        <f t="shared" si="110"/>
        <v>0</v>
      </c>
      <c r="AF380" s="90">
        <v>0.15</v>
      </c>
      <c r="AG380" s="4">
        <f t="shared" si="115"/>
        <v>0</v>
      </c>
      <c r="AH380" s="49">
        <f t="shared" si="111"/>
        <v>0</v>
      </c>
      <c r="AI380" s="89">
        <f t="shared" si="112"/>
        <v>0</v>
      </c>
      <c r="AJ380" s="91">
        <v>0.18</v>
      </c>
      <c r="AK380" s="5">
        <f t="shared" si="113"/>
        <v>0</v>
      </c>
      <c r="AL380" s="89">
        <f t="shared" si="114"/>
        <v>0</v>
      </c>
      <c r="AP380" s="92"/>
    </row>
    <row r="381" spans="1:42" hidden="1" x14ac:dyDescent="0.35">
      <c r="A381" s="85"/>
      <c r="B381" s="51"/>
      <c r="C381" s="97"/>
      <c r="D381" s="97"/>
      <c r="E381" s="48"/>
      <c r="F381" s="96"/>
      <c r="G381" s="96"/>
      <c r="H381" s="96"/>
      <c r="I381" s="3"/>
      <c r="J381" s="52"/>
      <c r="K381" s="105"/>
      <c r="L381" s="105"/>
      <c r="M381" s="86"/>
      <c r="N381" s="104">
        <f t="shared" si="107"/>
        <v>0</v>
      </c>
      <c r="O381" s="86"/>
      <c r="P381" s="86"/>
      <c r="Q381" s="105"/>
      <c r="R381" s="104">
        <f t="shared" si="106"/>
        <v>0</v>
      </c>
      <c r="S381" s="86">
        <f t="shared" si="108"/>
        <v>0</v>
      </c>
      <c r="T381" s="87"/>
      <c r="U381" s="87"/>
      <c r="V381" s="87"/>
      <c r="W381" s="88"/>
      <c r="X381" s="87"/>
      <c r="Y381" s="87"/>
      <c r="Z381" s="87"/>
      <c r="AA381" s="88"/>
      <c r="AB381" s="88">
        <v>39.270000000000003</v>
      </c>
      <c r="AC381" s="88">
        <v>52.462499999999999</v>
      </c>
      <c r="AD381" s="88">
        <v>72.64</v>
      </c>
      <c r="AE381" s="89">
        <f t="shared" si="110"/>
        <v>0</v>
      </c>
      <c r="AF381" s="90">
        <v>6.5000000000000002E-2</v>
      </c>
      <c r="AG381" s="4">
        <f t="shared" si="115"/>
        <v>0</v>
      </c>
      <c r="AH381" s="49">
        <f t="shared" si="111"/>
        <v>0</v>
      </c>
      <c r="AI381" s="89">
        <f t="shared" si="112"/>
        <v>0</v>
      </c>
      <c r="AJ381" s="91">
        <v>0.18</v>
      </c>
      <c r="AK381" s="5">
        <f t="shared" si="113"/>
        <v>0</v>
      </c>
      <c r="AL381" s="89">
        <f t="shared" si="114"/>
        <v>0</v>
      </c>
      <c r="AP381" s="92"/>
    </row>
    <row r="382" spans="1:42" hidden="1" x14ac:dyDescent="0.35">
      <c r="A382" s="85"/>
      <c r="B382" s="51"/>
      <c r="C382" s="97"/>
      <c r="D382" s="97"/>
      <c r="E382" s="48"/>
      <c r="F382" s="96"/>
      <c r="G382" s="96"/>
      <c r="H382" s="96"/>
      <c r="I382" s="3"/>
      <c r="J382" s="52"/>
      <c r="K382" s="86"/>
      <c r="L382" s="86"/>
      <c r="M382" s="86"/>
      <c r="N382" s="104">
        <f t="shared" si="107"/>
        <v>0</v>
      </c>
      <c r="O382" s="86"/>
      <c r="P382" s="86"/>
      <c r="Q382" s="86"/>
      <c r="R382" s="104">
        <f t="shared" si="106"/>
        <v>0</v>
      </c>
      <c r="S382" s="86">
        <f t="shared" si="108"/>
        <v>0</v>
      </c>
      <c r="T382" s="87"/>
      <c r="U382" s="87"/>
      <c r="V382" s="87"/>
      <c r="W382" s="88"/>
      <c r="X382" s="87"/>
      <c r="Y382" s="87"/>
      <c r="Z382" s="87"/>
      <c r="AA382" s="88"/>
      <c r="AB382" s="88">
        <v>39.270000000000003</v>
      </c>
      <c r="AC382" s="88">
        <v>52.462499999999999</v>
      </c>
      <c r="AD382" s="88">
        <v>72.64</v>
      </c>
      <c r="AE382" s="89">
        <f t="shared" si="110"/>
        <v>0</v>
      </c>
      <c r="AF382" s="90">
        <v>6.5000000000000002E-2</v>
      </c>
      <c r="AG382" s="4">
        <f t="shared" si="115"/>
        <v>0</v>
      </c>
      <c r="AH382" s="49">
        <f t="shared" si="111"/>
        <v>0</v>
      </c>
      <c r="AI382" s="89">
        <f t="shared" si="112"/>
        <v>0</v>
      </c>
      <c r="AJ382" s="91">
        <v>0.18</v>
      </c>
      <c r="AK382" s="5">
        <f t="shared" si="113"/>
        <v>0</v>
      </c>
      <c r="AL382" s="89">
        <f t="shared" si="114"/>
        <v>0</v>
      </c>
      <c r="AP382" s="92"/>
    </row>
    <row r="383" spans="1:42" hidden="1" x14ac:dyDescent="0.35">
      <c r="A383" s="85"/>
      <c r="B383" s="51"/>
      <c r="C383" s="97"/>
      <c r="D383" s="97"/>
      <c r="E383" s="48"/>
      <c r="F383" s="96"/>
      <c r="G383" s="96"/>
      <c r="H383" s="96"/>
      <c r="I383" s="3"/>
      <c r="J383" s="52"/>
      <c r="K383" s="105"/>
      <c r="L383" s="105"/>
      <c r="M383" s="105"/>
      <c r="N383" s="104">
        <f t="shared" si="107"/>
        <v>0</v>
      </c>
      <c r="O383" s="86"/>
      <c r="P383" s="86"/>
      <c r="Q383" s="105"/>
      <c r="R383" s="104">
        <f t="shared" si="106"/>
        <v>0</v>
      </c>
      <c r="S383" s="86">
        <f t="shared" si="108"/>
        <v>0</v>
      </c>
      <c r="T383" s="87"/>
      <c r="U383" s="87"/>
      <c r="V383" s="87"/>
      <c r="W383" s="88"/>
      <c r="X383" s="87"/>
      <c r="Y383" s="87"/>
      <c r="Z383" s="87"/>
      <c r="AA383" s="88"/>
      <c r="AB383" s="88">
        <v>39.270000000000003</v>
      </c>
      <c r="AC383" s="88">
        <v>52.462499999999999</v>
      </c>
      <c r="AD383" s="88">
        <v>72.64</v>
      </c>
      <c r="AE383" s="89">
        <f t="shared" si="110"/>
        <v>0</v>
      </c>
      <c r="AF383" s="90">
        <v>6.5000000000000002E-2</v>
      </c>
      <c r="AG383" s="4">
        <f t="shared" si="115"/>
        <v>0</v>
      </c>
      <c r="AH383" s="49">
        <f t="shared" si="111"/>
        <v>0</v>
      </c>
      <c r="AI383" s="89">
        <f t="shared" si="112"/>
        <v>0</v>
      </c>
      <c r="AJ383" s="91">
        <v>0.18</v>
      </c>
      <c r="AK383" s="5">
        <f t="shared" si="113"/>
        <v>0</v>
      </c>
      <c r="AL383" s="89">
        <f t="shared" si="114"/>
        <v>0</v>
      </c>
      <c r="AP383" s="92"/>
    </row>
    <row r="384" spans="1:42" hidden="1" x14ac:dyDescent="0.35">
      <c r="A384" s="85"/>
      <c r="B384" s="51"/>
      <c r="C384" s="97"/>
      <c r="D384" s="97"/>
      <c r="E384" s="48"/>
      <c r="F384" s="96"/>
      <c r="G384" s="96"/>
      <c r="H384" s="96"/>
      <c r="I384" s="3"/>
      <c r="J384" s="52"/>
      <c r="K384" s="105"/>
      <c r="L384" s="105"/>
      <c r="M384" s="105"/>
      <c r="N384" s="104">
        <f t="shared" si="107"/>
        <v>0</v>
      </c>
      <c r="O384" s="86"/>
      <c r="P384" s="86"/>
      <c r="Q384" s="86"/>
      <c r="R384" s="104">
        <f t="shared" si="106"/>
        <v>0</v>
      </c>
      <c r="S384" s="86">
        <f t="shared" si="108"/>
        <v>0</v>
      </c>
      <c r="T384" s="87"/>
      <c r="U384" s="87"/>
      <c r="V384" s="87"/>
      <c r="W384" s="88"/>
      <c r="X384" s="87"/>
      <c r="Y384" s="87"/>
      <c r="Z384" s="87"/>
      <c r="AA384" s="88"/>
      <c r="AB384" s="88">
        <v>39.270000000000003</v>
      </c>
      <c r="AC384" s="88">
        <v>52.462499999999999</v>
      </c>
      <c r="AD384" s="88">
        <v>72.64</v>
      </c>
      <c r="AE384" s="89">
        <f t="shared" si="110"/>
        <v>0</v>
      </c>
      <c r="AF384" s="90">
        <v>6.5000000000000002E-2</v>
      </c>
      <c r="AG384" s="4">
        <f t="shared" si="115"/>
        <v>0</v>
      </c>
      <c r="AH384" s="49">
        <f t="shared" si="111"/>
        <v>0</v>
      </c>
      <c r="AI384" s="89">
        <f t="shared" si="112"/>
        <v>0</v>
      </c>
      <c r="AJ384" s="91">
        <v>0.18</v>
      </c>
      <c r="AK384" s="5">
        <f t="shared" si="113"/>
        <v>0</v>
      </c>
      <c r="AL384" s="89">
        <f t="shared" si="114"/>
        <v>0</v>
      </c>
      <c r="AP384" s="92"/>
    </row>
    <row r="385" spans="1:42" hidden="1" x14ac:dyDescent="0.35">
      <c r="A385" s="85"/>
      <c r="B385" s="51"/>
      <c r="C385" s="97"/>
      <c r="D385" s="97"/>
      <c r="E385" s="48"/>
      <c r="F385" s="96"/>
      <c r="G385" s="96"/>
      <c r="H385" s="96"/>
      <c r="I385" s="3"/>
      <c r="J385" s="52"/>
      <c r="K385" s="105"/>
      <c r="L385" s="105"/>
      <c r="M385" s="105"/>
      <c r="N385" s="104">
        <f t="shared" si="107"/>
        <v>0</v>
      </c>
      <c r="O385" s="86"/>
      <c r="P385" s="86"/>
      <c r="Q385" s="105"/>
      <c r="R385" s="104">
        <f t="shared" si="106"/>
        <v>0</v>
      </c>
      <c r="S385" s="86">
        <f t="shared" si="108"/>
        <v>0</v>
      </c>
      <c r="T385" s="87"/>
      <c r="U385" s="87"/>
      <c r="V385" s="87"/>
      <c r="W385" s="88"/>
      <c r="X385" s="87"/>
      <c r="Y385" s="87"/>
      <c r="Z385" s="87"/>
      <c r="AA385" s="88"/>
      <c r="AB385" s="88">
        <v>39.270000000000003</v>
      </c>
      <c r="AC385" s="88">
        <v>52.462499999999999</v>
      </c>
      <c r="AD385" s="88">
        <v>72.64</v>
      </c>
      <c r="AE385" s="89">
        <f t="shared" si="110"/>
        <v>0</v>
      </c>
      <c r="AF385" s="90">
        <v>6.5000000000000002E-2</v>
      </c>
      <c r="AG385" s="4">
        <f t="shared" si="115"/>
        <v>0</v>
      </c>
      <c r="AH385" s="49">
        <f t="shared" si="111"/>
        <v>0</v>
      </c>
      <c r="AI385" s="89">
        <f t="shared" si="112"/>
        <v>0</v>
      </c>
      <c r="AJ385" s="91">
        <v>0.18</v>
      </c>
      <c r="AK385" s="5">
        <f t="shared" si="113"/>
        <v>0</v>
      </c>
      <c r="AL385" s="89">
        <f t="shared" si="114"/>
        <v>0</v>
      </c>
      <c r="AP385" s="92"/>
    </row>
    <row r="386" spans="1:42" hidden="1" x14ac:dyDescent="0.35">
      <c r="A386" s="85"/>
      <c r="B386" s="51"/>
      <c r="C386" s="97"/>
      <c r="D386" s="97"/>
      <c r="E386" s="48"/>
      <c r="F386" s="96"/>
      <c r="G386" s="96"/>
      <c r="H386" s="96"/>
      <c r="I386" s="3"/>
      <c r="J386" s="52"/>
      <c r="K386" s="105"/>
      <c r="L386" s="105"/>
      <c r="M386" s="86"/>
      <c r="N386" s="104">
        <f t="shared" si="107"/>
        <v>0</v>
      </c>
      <c r="O386" s="86"/>
      <c r="P386" s="86"/>
      <c r="Q386" s="86"/>
      <c r="R386" s="104">
        <f t="shared" si="106"/>
        <v>0</v>
      </c>
      <c r="S386" s="86">
        <f t="shared" si="108"/>
        <v>0</v>
      </c>
      <c r="T386" s="87"/>
      <c r="U386" s="87"/>
      <c r="V386" s="87"/>
      <c r="W386" s="88"/>
      <c r="X386" s="87"/>
      <c r="Y386" s="87"/>
      <c r="Z386" s="87"/>
      <c r="AA386" s="88"/>
      <c r="AB386" s="88">
        <v>39.270000000000003</v>
      </c>
      <c r="AC386" s="88">
        <v>52.462499999999999</v>
      </c>
      <c r="AD386" s="88">
        <v>72.64</v>
      </c>
      <c r="AE386" s="89">
        <f t="shared" si="110"/>
        <v>0</v>
      </c>
      <c r="AF386" s="90">
        <v>6.5000000000000002E-2</v>
      </c>
      <c r="AG386" s="4">
        <f t="shared" si="115"/>
        <v>0</v>
      </c>
      <c r="AH386" s="49">
        <f t="shared" si="111"/>
        <v>0</v>
      </c>
      <c r="AI386" s="89">
        <f t="shared" si="112"/>
        <v>0</v>
      </c>
      <c r="AJ386" s="91">
        <v>0.18</v>
      </c>
      <c r="AK386" s="5">
        <f t="shared" si="113"/>
        <v>0</v>
      </c>
      <c r="AL386" s="89">
        <f t="shared" si="114"/>
        <v>0</v>
      </c>
      <c r="AP386" s="92"/>
    </row>
    <row r="387" spans="1:42" hidden="1" x14ac:dyDescent="0.35">
      <c r="A387" s="85"/>
      <c r="B387" s="51"/>
      <c r="C387" s="97"/>
      <c r="D387" s="97"/>
      <c r="E387" s="48"/>
      <c r="F387" s="96"/>
      <c r="G387" s="96"/>
      <c r="H387" s="96"/>
      <c r="I387" s="3"/>
      <c r="J387" s="52"/>
      <c r="K387" s="105"/>
      <c r="L387" s="105"/>
      <c r="M387" s="105"/>
      <c r="N387" s="104">
        <f t="shared" si="107"/>
        <v>0</v>
      </c>
      <c r="O387" s="86"/>
      <c r="P387" s="105"/>
      <c r="Q387" s="86"/>
      <c r="R387" s="104">
        <f t="shared" si="106"/>
        <v>0</v>
      </c>
      <c r="S387" s="86">
        <f t="shared" si="108"/>
        <v>0</v>
      </c>
      <c r="T387" s="87"/>
      <c r="U387" s="87"/>
      <c r="V387" s="87"/>
      <c r="W387" s="88"/>
      <c r="X387" s="87"/>
      <c r="Y387" s="87"/>
      <c r="Z387" s="87"/>
      <c r="AA387" s="88"/>
      <c r="AB387" s="88">
        <v>39.270000000000003</v>
      </c>
      <c r="AC387" s="88">
        <v>52.462499999999999</v>
      </c>
      <c r="AD387" s="88">
        <v>72.64</v>
      </c>
      <c r="AE387" s="89">
        <f t="shared" si="110"/>
        <v>0</v>
      </c>
      <c r="AF387" s="90">
        <v>6.5000000000000002E-2</v>
      </c>
      <c r="AG387" s="4">
        <f t="shared" si="115"/>
        <v>0</v>
      </c>
      <c r="AH387" s="49">
        <f t="shared" si="111"/>
        <v>0</v>
      </c>
      <c r="AI387" s="89">
        <f t="shared" si="112"/>
        <v>0</v>
      </c>
      <c r="AJ387" s="91">
        <v>0.18</v>
      </c>
      <c r="AK387" s="5">
        <f t="shared" si="113"/>
        <v>0</v>
      </c>
      <c r="AL387" s="89">
        <f t="shared" si="114"/>
        <v>0</v>
      </c>
      <c r="AP387" s="92"/>
    </row>
    <row r="388" spans="1:42" hidden="1" x14ac:dyDescent="0.35">
      <c r="A388" s="85"/>
      <c r="B388" s="51"/>
      <c r="C388" s="97"/>
      <c r="D388" s="97"/>
      <c r="E388" s="48"/>
      <c r="F388" s="96"/>
      <c r="G388" s="96"/>
      <c r="H388" s="96"/>
      <c r="I388" s="3"/>
      <c r="J388" s="52"/>
      <c r="K388" s="105"/>
      <c r="L388" s="86"/>
      <c r="M388" s="86"/>
      <c r="N388" s="104">
        <f t="shared" si="107"/>
        <v>0</v>
      </c>
      <c r="O388" s="86"/>
      <c r="P388" s="86"/>
      <c r="Q388" s="86"/>
      <c r="R388" s="104">
        <f t="shared" ref="R388:R451" si="116">SUM(O388:Q388)</f>
        <v>0</v>
      </c>
      <c r="S388" s="86">
        <f t="shared" si="108"/>
        <v>0</v>
      </c>
      <c r="T388" s="87"/>
      <c r="U388" s="87"/>
      <c r="V388" s="87"/>
      <c r="W388" s="88"/>
      <c r="X388" s="87"/>
      <c r="Y388" s="87"/>
      <c r="Z388" s="87"/>
      <c r="AA388" s="88"/>
      <c r="AB388" s="88">
        <v>39.270000000000003</v>
      </c>
      <c r="AC388" s="88">
        <v>52.462499999999999</v>
      </c>
      <c r="AD388" s="88">
        <v>72.64</v>
      </c>
      <c r="AE388" s="89">
        <f t="shared" si="110"/>
        <v>0</v>
      </c>
      <c r="AF388" s="90">
        <v>6.5000000000000002E-2</v>
      </c>
      <c r="AG388" s="4">
        <f t="shared" si="115"/>
        <v>0</v>
      </c>
      <c r="AH388" s="49">
        <f t="shared" si="111"/>
        <v>0</v>
      </c>
      <c r="AI388" s="89">
        <f t="shared" si="112"/>
        <v>0</v>
      </c>
      <c r="AJ388" s="91">
        <v>0.18</v>
      </c>
      <c r="AK388" s="5">
        <f t="shared" si="113"/>
        <v>0</v>
      </c>
      <c r="AL388" s="89">
        <f t="shared" si="114"/>
        <v>0</v>
      </c>
      <c r="AP388" s="92"/>
    </row>
    <row r="389" spans="1:42" hidden="1" x14ac:dyDescent="0.35">
      <c r="A389" s="85"/>
      <c r="B389" s="51"/>
      <c r="C389" s="97"/>
      <c r="D389" s="97"/>
      <c r="E389" s="48"/>
      <c r="F389" s="96"/>
      <c r="G389" s="96"/>
      <c r="H389" s="96"/>
      <c r="I389" s="3"/>
      <c r="J389" s="52"/>
      <c r="K389" s="105"/>
      <c r="L389" s="105"/>
      <c r="M389" s="105"/>
      <c r="N389" s="104">
        <f t="shared" ref="N389:N452" si="117">K389+L389+M389</f>
        <v>0</v>
      </c>
      <c r="O389" s="86"/>
      <c r="P389" s="86"/>
      <c r="Q389" s="105"/>
      <c r="R389" s="104">
        <f t="shared" si="116"/>
        <v>0</v>
      </c>
      <c r="S389" s="86">
        <f t="shared" ref="S389:S452" si="118">R389+N389+J389</f>
        <v>0</v>
      </c>
      <c r="T389" s="87"/>
      <c r="U389" s="87"/>
      <c r="V389" s="87"/>
      <c r="W389" s="88"/>
      <c r="X389" s="87"/>
      <c r="Y389" s="87"/>
      <c r="Z389" s="87"/>
      <c r="AA389" s="88"/>
      <c r="AB389" s="88">
        <v>39.270000000000003</v>
      </c>
      <c r="AC389" s="88">
        <v>52.462499999999999</v>
      </c>
      <c r="AD389" s="88">
        <v>72.64</v>
      </c>
      <c r="AE389" s="89">
        <f t="shared" si="110"/>
        <v>0</v>
      </c>
      <c r="AF389" s="90">
        <v>6.5000000000000002E-2</v>
      </c>
      <c r="AG389" s="4">
        <f t="shared" si="115"/>
        <v>0</v>
      </c>
      <c r="AH389" s="49">
        <f t="shared" si="111"/>
        <v>0</v>
      </c>
      <c r="AI389" s="89">
        <f t="shared" si="112"/>
        <v>0</v>
      </c>
      <c r="AJ389" s="91">
        <v>0.18</v>
      </c>
      <c r="AK389" s="5">
        <f t="shared" si="113"/>
        <v>0</v>
      </c>
      <c r="AL389" s="89">
        <f t="shared" si="114"/>
        <v>0</v>
      </c>
      <c r="AP389" s="92"/>
    </row>
    <row r="390" spans="1:42" hidden="1" x14ac:dyDescent="0.35">
      <c r="A390" s="85"/>
      <c r="B390" s="51"/>
      <c r="C390" s="97"/>
      <c r="D390" s="97"/>
      <c r="E390" s="48"/>
      <c r="F390" s="96"/>
      <c r="G390" s="96"/>
      <c r="H390" s="96"/>
      <c r="I390" s="3"/>
      <c r="J390" s="52"/>
      <c r="K390" s="105"/>
      <c r="L390" s="105"/>
      <c r="M390" s="105"/>
      <c r="N390" s="104">
        <f t="shared" si="117"/>
        <v>0</v>
      </c>
      <c r="O390" s="86"/>
      <c r="P390" s="86"/>
      <c r="Q390" s="105"/>
      <c r="R390" s="104">
        <f t="shared" si="116"/>
        <v>0</v>
      </c>
      <c r="S390" s="86">
        <f t="shared" si="118"/>
        <v>0</v>
      </c>
      <c r="T390" s="87"/>
      <c r="U390" s="87"/>
      <c r="V390" s="87"/>
      <c r="W390" s="88"/>
      <c r="X390" s="87"/>
      <c r="Y390" s="87"/>
      <c r="Z390" s="87"/>
      <c r="AA390" s="88"/>
      <c r="AB390" s="88">
        <v>39.270000000000003</v>
      </c>
      <c r="AC390" s="88">
        <v>52.462499999999999</v>
      </c>
      <c r="AD390" s="88">
        <v>72.64</v>
      </c>
      <c r="AE390" s="89">
        <f t="shared" si="110"/>
        <v>0</v>
      </c>
      <c r="AF390" s="90">
        <v>6.5000000000000002E-2</v>
      </c>
      <c r="AG390" s="4">
        <f t="shared" si="115"/>
        <v>0</v>
      </c>
      <c r="AH390" s="49">
        <f t="shared" si="111"/>
        <v>0</v>
      </c>
      <c r="AI390" s="89">
        <f t="shared" si="112"/>
        <v>0</v>
      </c>
      <c r="AJ390" s="91">
        <v>0.18</v>
      </c>
      <c r="AK390" s="5">
        <f t="shared" si="113"/>
        <v>0</v>
      </c>
      <c r="AL390" s="89">
        <f t="shared" si="114"/>
        <v>0</v>
      </c>
      <c r="AP390" s="92"/>
    </row>
    <row r="391" spans="1:42" hidden="1" x14ac:dyDescent="0.35">
      <c r="A391" s="85"/>
      <c r="B391" s="51"/>
      <c r="C391" s="97"/>
      <c r="D391" s="97"/>
      <c r="E391" s="48"/>
      <c r="F391" s="96"/>
      <c r="G391" s="96"/>
      <c r="H391" s="96"/>
      <c r="I391" s="3"/>
      <c r="J391" s="52"/>
      <c r="K391" s="86"/>
      <c r="L391" s="86"/>
      <c r="M391" s="86"/>
      <c r="N391" s="104">
        <f t="shared" si="117"/>
        <v>0</v>
      </c>
      <c r="O391" s="86"/>
      <c r="P391" s="86"/>
      <c r="Q391" s="86"/>
      <c r="R391" s="104">
        <f t="shared" si="116"/>
        <v>0</v>
      </c>
      <c r="S391" s="86">
        <f t="shared" si="118"/>
        <v>0</v>
      </c>
      <c r="T391" s="87"/>
      <c r="U391" s="87"/>
      <c r="V391" s="87"/>
      <c r="W391" s="88"/>
      <c r="X391" s="87"/>
      <c r="Y391" s="87"/>
      <c r="Z391" s="87"/>
      <c r="AA391" s="88"/>
      <c r="AB391" s="88">
        <v>39.270000000000003</v>
      </c>
      <c r="AC391" s="88">
        <v>52.462499999999999</v>
      </c>
      <c r="AD391" s="88">
        <v>72.64</v>
      </c>
      <c r="AE391" s="89">
        <f t="shared" si="110"/>
        <v>0</v>
      </c>
      <c r="AF391" s="90">
        <v>6.5000000000000002E-2</v>
      </c>
      <c r="AG391" s="4">
        <f t="shared" si="115"/>
        <v>0</v>
      </c>
      <c r="AH391" s="49">
        <f t="shared" si="111"/>
        <v>0</v>
      </c>
      <c r="AI391" s="89">
        <f t="shared" si="112"/>
        <v>0</v>
      </c>
      <c r="AJ391" s="91">
        <v>0.18</v>
      </c>
      <c r="AK391" s="5">
        <f t="shared" si="113"/>
        <v>0</v>
      </c>
      <c r="AL391" s="89">
        <f t="shared" si="114"/>
        <v>0</v>
      </c>
      <c r="AP391" s="92"/>
    </row>
    <row r="392" spans="1:42" hidden="1" x14ac:dyDescent="0.35">
      <c r="A392" s="85"/>
      <c r="B392" s="51"/>
      <c r="C392" s="97"/>
      <c r="D392" s="97"/>
      <c r="E392" s="48"/>
      <c r="F392" s="96"/>
      <c r="G392" s="96"/>
      <c r="H392" s="96"/>
      <c r="I392" s="3"/>
      <c r="J392" s="52"/>
      <c r="K392" s="105"/>
      <c r="L392" s="105"/>
      <c r="M392" s="105"/>
      <c r="N392" s="104">
        <f t="shared" si="117"/>
        <v>0</v>
      </c>
      <c r="O392" s="86"/>
      <c r="P392" s="86"/>
      <c r="Q392" s="105"/>
      <c r="R392" s="104">
        <f t="shared" si="116"/>
        <v>0</v>
      </c>
      <c r="S392" s="86">
        <f t="shared" si="118"/>
        <v>0</v>
      </c>
      <c r="T392" s="87"/>
      <c r="U392" s="87"/>
      <c r="V392" s="87"/>
      <c r="W392" s="88"/>
      <c r="X392" s="87"/>
      <c r="Y392" s="87"/>
      <c r="Z392" s="87"/>
      <c r="AA392" s="88"/>
      <c r="AB392" s="88">
        <v>39.270000000000003</v>
      </c>
      <c r="AC392" s="88">
        <v>52.462499999999999</v>
      </c>
      <c r="AD392" s="88">
        <v>72.64</v>
      </c>
      <c r="AE392" s="89">
        <f t="shared" si="110"/>
        <v>0</v>
      </c>
      <c r="AF392" s="90">
        <v>6.5000000000000002E-2</v>
      </c>
      <c r="AG392" s="4">
        <f t="shared" si="115"/>
        <v>0</v>
      </c>
      <c r="AH392" s="49">
        <f t="shared" si="111"/>
        <v>0</v>
      </c>
      <c r="AI392" s="89">
        <f t="shared" si="112"/>
        <v>0</v>
      </c>
      <c r="AJ392" s="91">
        <v>0.18</v>
      </c>
      <c r="AK392" s="5">
        <f t="shared" si="113"/>
        <v>0</v>
      </c>
      <c r="AL392" s="89">
        <f t="shared" si="114"/>
        <v>0</v>
      </c>
      <c r="AP392" s="92"/>
    </row>
    <row r="393" spans="1:42" hidden="1" x14ac:dyDescent="0.35">
      <c r="A393" s="85"/>
      <c r="B393" s="51"/>
      <c r="C393" s="97"/>
      <c r="D393" s="97"/>
      <c r="E393" s="48"/>
      <c r="F393" s="96"/>
      <c r="G393" s="96"/>
      <c r="H393" s="96"/>
      <c r="I393" s="3"/>
      <c r="J393" s="48"/>
      <c r="K393" s="105"/>
      <c r="L393" s="105"/>
      <c r="M393" s="105"/>
      <c r="N393" s="104">
        <f t="shared" si="117"/>
        <v>0</v>
      </c>
      <c r="O393" s="86"/>
      <c r="P393" s="86"/>
      <c r="Q393" s="105"/>
      <c r="R393" s="104">
        <f t="shared" si="116"/>
        <v>0</v>
      </c>
      <c r="S393" s="86">
        <f t="shared" si="118"/>
        <v>0</v>
      </c>
      <c r="T393" s="87"/>
      <c r="U393" s="87"/>
      <c r="V393" s="87"/>
      <c r="W393" s="88"/>
      <c r="X393" s="87"/>
      <c r="Y393" s="87"/>
      <c r="Z393" s="87"/>
      <c r="AA393" s="88"/>
      <c r="AB393" s="88">
        <v>39.270000000000003</v>
      </c>
      <c r="AC393" s="88">
        <v>52.462499999999999</v>
      </c>
      <c r="AD393" s="88">
        <v>72.64</v>
      </c>
      <c r="AE393" s="89">
        <f t="shared" si="110"/>
        <v>0</v>
      </c>
      <c r="AF393" s="90">
        <v>6.5000000000000002E-2</v>
      </c>
      <c r="AG393" s="4">
        <f t="shared" si="115"/>
        <v>0</v>
      </c>
      <c r="AH393" s="49">
        <f t="shared" si="111"/>
        <v>0</v>
      </c>
      <c r="AI393" s="89">
        <f t="shared" si="112"/>
        <v>0</v>
      </c>
      <c r="AJ393" s="91">
        <v>0.18</v>
      </c>
      <c r="AK393" s="5">
        <f t="shared" si="113"/>
        <v>0</v>
      </c>
      <c r="AL393" s="89">
        <f t="shared" si="114"/>
        <v>0</v>
      </c>
      <c r="AP393" s="92"/>
    </row>
    <row r="394" spans="1:42" hidden="1" x14ac:dyDescent="0.35">
      <c r="A394" s="85"/>
      <c r="B394" s="51"/>
      <c r="C394" s="97"/>
      <c r="D394" s="97"/>
      <c r="E394" s="48"/>
      <c r="F394" s="96"/>
      <c r="G394" s="96"/>
      <c r="H394" s="96"/>
      <c r="I394" s="3"/>
      <c r="J394" s="48"/>
      <c r="K394" s="105"/>
      <c r="L394" s="105"/>
      <c r="M394" s="105"/>
      <c r="N394" s="104">
        <f t="shared" si="117"/>
        <v>0</v>
      </c>
      <c r="O394" s="86"/>
      <c r="P394" s="86"/>
      <c r="Q394" s="86"/>
      <c r="R394" s="104">
        <f t="shared" si="116"/>
        <v>0</v>
      </c>
      <c r="S394" s="86">
        <f t="shared" si="118"/>
        <v>0</v>
      </c>
      <c r="T394" s="87"/>
      <c r="U394" s="87"/>
      <c r="V394" s="87"/>
      <c r="W394" s="88"/>
      <c r="X394" s="87"/>
      <c r="Y394" s="87"/>
      <c r="Z394" s="87"/>
      <c r="AA394" s="88"/>
      <c r="AB394" s="88">
        <v>39.270000000000003</v>
      </c>
      <c r="AC394" s="88">
        <v>52.462499999999999</v>
      </c>
      <c r="AD394" s="88">
        <v>72.64</v>
      </c>
      <c r="AE394" s="89">
        <f t="shared" si="110"/>
        <v>0</v>
      </c>
      <c r="AF394" s="90">
        <v>6.5000000000000002E-2</v>
      </c>
      <c r="AG394" s="4">
        <f t="shared" si="115"/>
        <v>0</v>
      </c>
      <c r="AH394" s="49">
        <f t="shared" si="111"/>
        <v>0</v>
      </c>
      <c r="AI394" s="89">
        <f t="shared" si="112"/>
        <v>0</v>
      </c>
      <c r="AJ394" s="91">
        <v>0.18</v>
      </c>
      <c r="AK394" s="5">
        <f t="shared" si="113"/>
        <v>0</v>
      </c>
      <c r="AL394" s="89">
        <f t="shared" si="114"/>
        <v>0</v>
      </c>
      <c r="AP394" s="92"/>
    </row>
    <row r="395" spans="1:42" hidden="1" x14ac:dyDescent="0.35">
      <c r="A395" s="85"/>
      <c r="B395" s="51"/>
      <c r="C395" s="97"/>
      <c r="D395" s="97"/>
      <c r="E395" s="48"/>
      <c r="F395" s="96"/>
      <c r="G395" s="96"/>
      <c r="H395" s="96"/>
      <c r="I395" s="3"/>
      <c r="J395" s="48"/>
      <c r="K395" s="105"/>
      <c r="L395" s="105"/>
      <c r="M395" s="105"/>
      <c r="N395" s="104">
        <f t="shared" si="117"/>
        <v>0</v>
      </c>
      <c r="O395" s="105"/>
      <c r="P395" s="86"/>
      <c r="Q395" s="86"/>
      <c r="R395" s="104">
        <f t="shared" si="116"/>
        <v>0</v>
      </c>
      <c r="S395" s="86">
        <f t="shared" si="118"/>
        <v>0</v>
      </c>
      <c r="T395" s="87"/>
      <c r="U395" s="87"/>
      <c r="V395" s="87"/>
      <c r="W395" s="88"/>
      <c r="X395" s="87"/>
      <c r="Y395" s="87"/>
      <c r="Z395" s="87"/>
      <c r="AA395" s="88"/>
      <c r="AB395" s="88">
        <v>39.270000000000003</v>
      </c>
      <c r="AC395" s="88">
        <v>52.462499999999999</v>
      </c>
      <c r="AD395" s="88">
        <v>72.64</v>
      </c>
      <c r="AE395" s="89">
        <f t="shared" si="110"/>
        <v>0</v>
      </c>
      <c r="AF395" s="90">
        <v>6.5000000000000002E-2</v>
      </c>
      <c r="AG395" s="4">
        <f t="shared" si="115"/>
        <v>0</v>
      </c>
      <c r="AH395" s="49">
        <f t="shared" si="111"/>
        <v>0</v>
      </c>
      <c r="AI395" s="89">
        <f t="shared" si="112"/>
        <v>0</v>
      </c>
      <c r="AJ395" s="91">
        <v>0.18</v>
      </c>
      <c r="AK395" s="5">
        <f t="shared" si="113"/>
        <v>0</v>
      </c>
      <c r="AL395" s="89">
        <f t="shared" si="114"/>
        <v>0</v>
      </c>
      <c r="AP395" s="92"/>
    </row>
    <row r="396" spans="1:42" hidden="1" x14ac:dyDescent="0.35">
      <c r="A396" s="85"/>
      <c r="B396" s="51"/>
      <c r="C396" s="97"/>
      <c r="D396" s="97"/>
      <c r="E396" s="48"/>
      <c r="F396" s="96"/>
      <c r="G396" s="96"/>
      <c r="H396" s="96"/>
      <c r="I396" s="3"/>
      <c r="J396" s="48"/>
      <c r="K396" s="86"/>
      <c r="L396" s="86"/>
      <c r="M396" s="86"/>
      <c r="N396" s="104">
        <f t="shared" si="117"/>
        <v>0</v>
      </c>
      <c r="O396" s="86"/>
      <c r="P396" s="86"/>
      <c r="Q396" s="86"/>
      <c r="R396" s="104">
        <f t="shared" si="116"/>
        <v>0</v>
      </c>
      <c r="S396" s="86">
        <f t="shared" si="118"/>
        <v>0</v>
      </c>
      <c r="T396" s="87"/>
      <c r="U396" s="87"/>
      <c r="V396" s="87"/>
      <c r="W396" s="88"/>
      <c r="X396" s="87"/>
      <c r="Y396" s="87"/>
      <c r="Z396" s="87"/>
      <c r="AA396" s="88"/>
      <c r="AB396" s="88">
        <v>39.270000000000003</v>
      </c>
      <c r="AC396" s="88">
        <v>52.462499999999999</v>
      </c>
      <c r="AD396" s="88">
        <v>72.64</v>
      </c>
      <c r="AE396" s="89">
        <f t="shared" si="110"/>
        <v>0</v>
      </c>
      <c r="AF396" s="90">
        <v>6.5000000000000002E-2</v>
      </c>
      <c r="AG396" s="4">
        <f t="shared" si="115"/>
        <v>0</v>
      </c>
      <c r="AH396" s="49">
        <f t="shared" si="111"/>
        <v>0</v>
      </c>
      <c r="AI396" s="89">
        <f t="shared" si="112"/>
        <v>0</v>
      </c>
      <c r="AJ396" s="91">
        <v>0.18</v>
      </c>
      <c r="AK396" s="5">
        <f t="shared" si="113"/>
        <v>0</v>
      </c>
      <c r="AL396" s="89">
        <f t="shared" si="114"/>
        <v>0</v>
      </c>
      <c r="AP396" s="92"/>
    </row>
    <row r="397" spans="1:42" hidden="1" x14ac:dyDescent="0.35">
      <c r="A397" s="85"/>
      <c r="B397" s="51"/>
      <c r="C397" s="97"/>
      <c r="D397" s="97"/>
      <c r="E397" s="48"/>
      <c r="F397" s="96"/>
      <c r="G397" s="96"/>
      <c r="H397" s="96"/>
      <c r="I397" s="3"/>
      <c r="J397" s="48"/>
      <c r="K397" s="105"/>
      <c r="L397" s="105"/>
      <c r="M397" s="105"/>
      <c r="N397" s="104">
        <f t="shared" si="117"/>
        <v>0</v>
      </c>
      <c r="O397" s="86"/>
      <c r="P397" s="105"/>
      <c r="Q397" s="86"/>
      <c r="R397" s="104">
        <f t="shared" si="116"/>
        <v>0</v>
      </c>
      <c r="S397" s="86">
        <f t="shared" si="118"/>
        <v>0</v>
      </c>
      <c r="T397" s="87"/>
      <c r="U397" s="87"/>
      <c r="V397" s="87"/>
      <c r="W397" s="88"/>
      <c r="X397" s="87"/>
      <c r="Y397" s="87"/>
      <c r="Z397" s="87"/>
      <c r="AA397" s="88"/>
      <c r="AB397" s="88">
        <v>39.270000000000003</v>
      </c>
      <c r="AC397" s="88">
        <v>52.462499999999999</v>
      </c>
      <c r="AD397" s="88">
        <v>72.64</v>
      </c>
      <c r="AE397" s="89">
        <f t="shared" si="110"/>
        <v>0</v>
      </c>
      <c r="AF397" s="90">
        <v>6.5000000000000002E-2</v>
      </c>
      <c r="AG397" s="4">
        <f t="shared" si="115"/>
        <v>0</v>
      </c>
      <c r="AH397" s="49">
        <f t="shared" si="111"/>
        <v>0</v>
      </c>
      <c r="AI397" s="89">
        <f t="shared" si="112"/>
        <v>0</v>
      </c>
      <c r="AJ397" s="91">
        <v>0.18</v>
      </c>
      <c r="AK397" s="5">
        <f t="shared" si="113"/>
        <v>0</v>
      </c>
      <c r="AL397" s="89">
        <f t="shared" si="114"/>
        <v>0</v>
      </c>
      <c r="AP397" s="92"/>
    </row>
    <row r="398" spans="1:42" hidden="1" x14ac:dyDescent="0.35">
      <c r="A398" s="85"/>
      <c r="B398" s="51"/>
      <c r="C398" s="97"/>
      <c r="D398" s="97"/>
      <c r="E398" s="48"/>
      <c r="F398" s="96"/>
      <c r="G398" s="96"/>
      <c r="H398" s="96"/>
      <c r="I398" s="3"/>
      <c r="J398" s="48"/>
      <c r="K398" s="105"/>
      <c r="L398" s="105"/>
      <c r="M398" s="105"/>
      <c r="N398" s="104">
        <f t="shared" si="117"/>
        <v>0</v>
      </c>
      <c r="O398" s="86"/>
      <c r="P398" s="86"/>
      <c r="Q398" s="86"/>
      <c r="R398" s="104">
        <f t="shared" si="116"/>
        <v>0</v>
      </c>
      <c r="S398" s="86">
        <f t="shared" si="118"/>
        <v>0</v>
      </c>
      <c r="T398" s="87"/>
      <c r="U398" s="87"/>
      <c r="V398" s="87"/>
      <c r="W398" s="88"/>
      <c r="X398" s="87"/>
      <c r="Y398" s="87"/>
      <c r="Z398" s="87"/>
      <c r="AA398" s="88"/>
      <c r="AB398" s="88">
        <v>39.270000000000003</v>
      </c>
      <c r="AC398" s="88">
        <v>52.462499999999999</v>
      </c>
      <c r="AD398" s="88">
        <v>72.64</v>
      </c>
      <c r="AE398" s="89">
        <f t="shared" si="110"/>
        <v>0</v>
      </c>
      <c r="AF398" s="90">
        <v>6.5000000000000002E-2</v>
      </c>
      <c r="AG398" s="4">
        <f t="shared" si="115"/>
        <v>0</v>
      </c>
      <c r="AH398" s="49">
        <f t="shared" si="111"/>
        <v>0</v>
      </c>
      <c r="AI398" s="89">
        <f t="shared" si="112"/>
        <v>0</v>
      </c>
      <c r="AJ398" s="91">
        <v>0.18</v>
      </c>
      <c r="AK398" s="5">
        <f t="shared" si="113"/>
        <v>0</v>
      </c>
      <c r="AL398" s="89">
        <f t="shared" si="114"/>
        <v>0</v>
      </c>
      <c r="AP398" s="92"/>
    </row>
    <row r="399" spans="1:42" hidden="1" x14ac:dyDescent="0.35">
      <c r="A399" s="85"/>
      <c r="B399" s="51"/>
      <c r="C399" s="97"/>
      <c r="D399" s="97"/>
      <c r="E399" s="48"/>
      <c r="F399" s="96"/>
      <c r="G399" s="96"/>
      <c r="H399" s="96"/>
      <c r="I399" s="3"/>
      <c r="J399" s="48"/>
      <c r="K399" s="105"/>
      <c r="L399" s="105"/>
      <c r="M399" s="105"/>
      <c r="N399" s="104">
        <f t="shared" si="117"/>
        <v>0</v>
      </c>
      <c r="O399" s="86"/>
      <c r="P399" s="86"/>
      <c r="Q399" s="86"/>
      <c r="R399" s="104">
        <f t="shared" si="116"/>
        <v>0</v>
      </c>
      <c r="S399" s="86">
        <f t="shared" si="118"/>
        <v>0</v>
      </c>
      <c r="T399" s="87"/>
      <c r="U399" s="87"/>
      <c r="V399" s="87"/>
      <c r="W399" s="88"/>
      <c r="X399" s="87"/>
      <c r="Y399" s="87"/>
      <c r="Z399" s="87"/>
      <c r="AA399" s="88"/>
      <c r="AB399" s="88">
        <v>39.270000000000003</v>
      </c>
      <c r="AC399" s="88">
        <v>52.462499999999999</v>
      </c>
      <c r="AD399" s="88">
        <v>72.64</v>
      </c>
      <c r="AE399" s="89">
        <f t="shared" si="110"/>
        <v>0</v>
      </c>
      <c r="AF399" s="90">
        <v>6.5000000000000002E-2</v>
      </c>
      <c r="AG399" s="4">
        <f t="shared" si="115"/>
        <v>0</v>
      </c>
      <c r="AH399" s="49">
        <f t="shared" si="111"/>
        <v>0</v>
      </c>
      <c r="AI399" s="89">
        <f t="shared" si="112"/>
        <v>0</v>
      </c>
      <c r="AJ399" s="91">
        <v>0.18</v>
      </c>
      <c r="AK399" s="5">
        <f t="shared" si="113"/>
        <v>0</v>
      </c>
      <c r="AL399" s="89">
        <f t="shared" si="114"/>
        <v>0</v>
      </c>
      <c r="AP399" s="92"/>
    </row>
    <row r="400" spans="1:42" hidden="1" x14ac:dyDescent="0.35">
      <c r="A400" s="85"/>
      <c r="B400" s="51"/>
      <c r="C400" s="97"/>
      <c r="D400" s="97"/>
      <c r="E400" s="48"/>
      <c r="F400" s="96"/>
      <c r="G400" s="96"/>
      <c r="H400" s="96"/>
      <c r="I400" s="3"/>
      <c r="J400" s="48"/>
      <c r="K400" s="86"/>
      <c r="L400" s="86"/>
      <c r="M400" s="86"/>
      <c r="N400" s="104">
        <f t="shared" si="117"/>
        <v>0</v>
      </c>
      <c r="O400" s="86"/>
      <c r="P400" s="86"/>
      <c r="Q400" s="86"/>
      <c r="R400" s="104">
        <f t="shared" si="116"/>
        <v>0</v>
      </c>
      <c r="S400" s="86">
        <f t="shared" si="118"/>
        <v>0</v>
      </c>
      <c r="T400" s="87"/>
      <c r="U400" s="87"/>
      <c r="V400" s="87"/>
      <c r="W400" s="88"/>
      <c r="X400" s="87"/>
      <c r="Y400" s="87"/>
      <c r="Z400" s="87"/>
      <c r="AA400" s="88"/>
      <c r="AB400" s="88">
        <v>39.270000000000003</v>
      </c>
      <c r="AC400" s="88">
        <v>52.462499999999999</v>
      </c>
      <c r="AD400" s="88">
        <v>72.64</v>
      </c>
      <c r="AE400" s="89">
        <f t="shared" si="110"/>
        <v>0</v>
      </c>
      <c r="AF400" s="90">
        <v>0.14000000000000001</v>
      </c>
      <c r="AG400" s="4">
        <f t="shared" si="115"/>
        <v>0</v>
      </c>
      <c r="AH400" s="49">
        <f t="shared" si="111"/>
        <v>0</v>
      </c>
      <c r="AI400" s="89">
        <f t="shared" si="112"/>
        <v>0</v>
      </c>
      <c r="AJ400" s="91">
        <v>0.18</v>
      </c>
      <c r="AK400" s="5">
        <f t="shared" si="113"/>
        <v>0</v>
      </c>
      <c r="AL400" s="89">
        <f t="shared" si="114"/>
        <v>0</v>
      </c>
      <c r="AP400" s="92"/>
    </row>
    <row r="401" spans="1:42" hidden="1" x14ac:dyDescent="0.35">
      <c r="A401" s="85"/>
      <c r="B401" s="51"/>
      <c r="C401" s="97"/>
      <c r="D401" s="97"/>
      <c r="E401" s="48"/>
      <c r="F401" s="96"/>
      <c r="G401" s="96"/>
      <c r="H401" s="96"/>
      <c r="I401" s="3"/>
      <c r="J401" s="48"/>
      <c r="K401" s="86"/>
      <c r="L401" s="86"/>
      <c r="M401" s="86"/>
      <c r="N401" s="104">
        <f t="shared" si="117"/>
        <v>0</v>
      </c>
      <c r="O401" s="86"/>
      <c r="P401" s="86"/>
      <c r="Q401" s="86"/>
      <c r="R401" s="104">
        <f t="shared" si="116"/>
        <v>0</v>
      </c>
      <c r="S401" s="86">
        <f t="shared" si="118"/>
        <v>0</v>
      </c>
      <c r="T401" s="87"/>
      <c r="U401" s="87"/>
      <c r="V401" s="87"/>
      <c r="W401" s="88"/>
      <c r="X401" s="87"/>
      <c r="Y401" s="87"/>
      <c r="Z401" s="87"/>
      <c r="AA401" s="88"/>
      <c r="AB401" s="88">
        <v>39.270000000000003</v>
      </c>
      <c r="AC401" s="88">
        <v>52.462499999999999</v>
      </c>
      <c r="AD401" s="88">
        <v>72.64</v>
      </c>
      <c r="AE401" s="89">
        <f t="shared" si="110"/>
        <v>0</v>
      </c>
      <c r="AF401" s="90">
        <v>0.14000000000000001</v>
      </c>
      <c r="AG401" s="4">
        <f t="shared" si="115"/>
        <v>0</v>
      </c>
      <c r="AH401" s="49">
        <f t="shared" si="111"/>
        <v>0</v>
      </c>
      <c r="AI401" s="89">
        <f t="shared" si="112"/>
        <v>0</v>
      </c>
      <c r="AJ401" s="91">
        <v>0.18</v>
      </c>
      <c r="AK401" s="5">
        <f t="shared" si="113"/>
        <v>0</v>
      </c>
      <c r="AL401" s="89">
        <f t="shared" si="114"/>
        <v>0</v>
      </c>
      <c r="AP401" s="92"/>
    </row>
    <row r="402" spans="1:42" hidden="1" x14ac:dyDescent="0.35">
      <c r="A402" s="85"/>
      <c r="B402" s="51"/>
      <c r="C402" s="97"/>
      <c r="D402" s="97"/>
      <c r="E402" s="48"/>
      <c r="F402" s="96"/>
      <c r="G402" s="96"/>
      <c r="H402" s="96"/>
      <c r="I402" s="3"/>
      <c r="J402" s="48"/>
      <c r="K402" s="105"/>
      <c r="L402" s="105"/>
      <c r="M402" s="105"/>
      <c r="N402" s="104">
        <f t="shared" si="117"/>
        <v>0</v>
      </c>
      <c r="O402" s="86"/>
      <c r="P402" s="86"/>
      <c r="Q402" s="86"/>
      <c r="R402" s="104">
        <f t="shared" si="116"/>
        <v>0</v>
      </c>
      <c r="S402" s="86">
        <f t="shared" si="118"/>
        <v>0</v>
      </c>
      <c r="T402" s="87"/>
      <c r="U402" s="87"/>
      <c r="V402" s="87"/>
      <c r="W402" s="88"/>
      <c r="X402" s="87"/>
      <c r="Y402" s="87"/>
      <c r="Z402" s="87"/>
      <c r="AA402" s="88"/>
      <c r="AB402" s="88">
        <v>39.270000000000003</v>
      </c>
      <c r="AC402" s="88">
        <v>52.462499999999999</v>
      </c>
      <c r="AD402" s="88">
        <v>72.64</v>
      </c>
      <c r="AE402" s="89">
        <f t="shared" si="110"/>
        <v>0</v>
      </c>
      <c r="AF402" s="90">
        <v>6.5000000000000002E-2</v>
      </c>
      <c r="AG402" s="4">
        <f t="shared" si="115"/>
        <v>0</v>
      </c>
      <c r="AH402" s="49">
        <f t="shared" si="111"/>
        <v>0</v>
      </c>
      <c r="AI402" s="89">
        <f t="shared" si="112"/>
        <v>0</v>
      </c>
      <c r="AJ402" s="91">
        <v>0.18</v>
      </c>
      <c r="AK402" s="5">
        <f t="shared" si="113"/>
        <v>0</v>
      </c>
      <c r="AL402" s="89">
        <f t="shared" si="114"/>
        <v>0</v>
      </c>
      <c r="AP402" s="92"/>
    </row>
    <row r="403" spans="1:42" hidden="1" x14ac:dyDescent="0.35">
      <c r="A403" s="85"/>
      <c r="B403" s="51"/>
      <c r="C403" s="97"/>
      <c r="D403" s="97"/>
      <c r="E403" s="48"/>
      <c r="F403" s="96"/>
      <c r="G403" s="75"/>
      <c r="H403" s="96"/>
      <c r="I403" s="3"/>
      <c r="J403" s="48"/>
      <c r="K403" s="86"/>
      <c r="L403" s="86"/>
      <c r="M403" s="86"/>
      <c r="N403" s="104">
        <f t="shared" si="117"/>
        <v>0</v>
      </c>
      <c r="O403" s="86"/>
      <c r="P403" s="86"/>
      <c r="Q403" s="86"/>
      <c r="R403" s="104">
        <f t="shared" si="116"/>
        <v>0</v>
      </c>
      <c r="S403" s="86">
        <f t="shared" si="118"/>
        <v>0</v>
      </c>
      <c r="T403" s="87"/>
      <c r="U403" s="87"/>
      <c r="V403" s="87"/>
      <c r="W403" s="88"/>
      <c r="X403" s="87"/>
      <c r="Y403" s="87"/>
      <c r="Z403" s="87"/>
      <c r="AA403" s="88"/>
      <c r="AB403" s="88">
        <v>39.270000000000003</v>
      </c>
      <c r="AC403" s="88">
        <v>52.462499999999999</v>
      </c>
      <c r="AD403" s="88">
        <v>72.64</v>
      </c>
      <c r="AE403" s="89">
        <f t="shared" ref="AE403:AE432" si="119">(J403*AB403)+(N403*AC403)+(AD403*S403)</f>
        <v>0</v>
      </c>
      <c r="AF403" s="90">
        <v>0.14000000000000001</v>
      </c>
      <c r="AG403" s="4">
        <f t="shared" si="115"/>
        <v>0</v>
      </c>
      <c r="AH403" s="49">
        <f t="shared" ref="AH403:AH432" si="120">(AB403*J403)*$AH$1</f>
        <v>0</v>
      </c>
      <c r="AI403" s="89">
        <f t="shared" ref="AI403:AI432" si="121">AE403-AG403</f>
        <v>0</v>
      </c>
      <c r="AJ403" s="91">
        <v>0.18</v>
      </c>
      <c r="AK403" s="5">
        <f t="shared" ref="AK403:AK432" si="122">AI403*AJ403</f>
        <v>0</v>
      </c>
      <c r="AL403" s="89">
        <f t="shared" ref="AL403:AL432" si="123">AI403+AK403</f>
        <v>0</v>
      </c>
      <c r="AP403" s="92"/>
    </row>
    <row r="404" spans="1:42" hidden="1" x14ac:dyDescent="0.35">
      <c r="A404" s="85"/>
      <c r="B404" s="51"/>
      <c r="C404" s="97"/>
      <c r="D404" s="97"/>
      <c r="E404" s="48"/>
      <c r="F404" s="96"/>
      <c r="G404" s="75"/>
      <c r="H404" s="96"/>
      <c r="I404" s="3"/>
      <c r="J404" s="52"/>
      <c r="K404" s="86"/>
      <c r="L404" s="86"/>
      <c r="M404" s="86"/>
      <c r="N404" s="104">
        <f t="shared" si="117"/>
        <v>0</v>
      </c>
      <c r="O404" s="86"/>
      <c r="P404" s="86"/>
      <c r="Q404" s="86"/>
      <c r="R404" s="104">
        <f t="shared" si="116"/>
        <v>0</v>
      </c>
      <c r="S404" s="86">
        <f t="shared" si="118"/>
        <v>0</v>
      </c>
      <c r="T404" s="87"/>
      <c r="U404" s="87"/>
      <c r="V404" s="87"/>
      <c r="W404" s="88"/>
      <c r="X404" s="87"/>
      <c r="Y404" s="87"/>
      <c r="Z404" s="87"/>
      <c r="AA404" s="88"/>
      <c r="AB404" s="88">
        <v>39.270000000000003</v>
      </c>
      <c r="AC404" s="88">
        <v>52.462499999999999</v>
      </c>
      <c r="AD404" s="88">
        <v>72.64</v>
      </c>
      <c r="AE404" s="89">
        <f t="shared" si="119"/>
        <v>0</v>
      </c>
      <c r="AF404" s="90">
        <v>0.14000000000000001</v>
      </c>
      <c r="AG404" s="4">
        <f t="shared" si="115"/>
        <v>0</v>
      </c>
      <c r="AH404" s="49">
        <f t="shared" si="120"/>
        <v>0</v>
      </c>
      <c r="AI404" s="89">
        <f t="shared" si="121"/>
        <v>0</v>
      </c>
      <c r="AJ404" s="91">
        <v>0.18</v>
      </c>
      <c r="AK404" s="5">
        <f t="shared" si="122"/>
        <v>0</v>
      </c>
      <c r="AL404" s="89">
        <f t="shared" si="123"/>
        <v>0</v>
      </c>
      <c r="AP404" s="92"/>
    </row>
    <row r="405" spans="1:42" hidden="1" x14ac:dyDescent="0.35">
      <c r="A405" s="85"/>
      <c r="B405" s="51"/>
      <c r="C405" s="97"/>
      <c r="D405" s="97"/>
      <c r="E405" s="48"/>
      <c r="F405" s="96"/>
      <c r="G405" s="75"/>
      <c r="H405" s="96"/>
      <c r="I405" s="3"/>
      <c r="J405" s="52"/>
      <c r="K405" s="86"/>
      <c r="L405" s="86"/>
      <c r="M405" s="86"/>
      <c r="N405" s="104">
        <f t="shared" si="117"/>
        <v>0</v>
      </c>
      <c r="O405" s="86"/>
      <c r="P405" s="86"/>
      <c r="Q405" s="86"/>
      <c r="R405" s="104">
        <f t="shared" si="116"/>
        <v>0</v>
      </c>
      <c r="S405" s="86">
        <f t="shared" si="118"/>
        <v>0</v>
      </c>
      <c r="T405" s="87"/>
      <c r="U405" s="87"/>
      <c r="V405" s="87"/>
      <c r="W405" s="88"/>
      <c r="X405" s="87"/>
      <c r="Y405" s="87"/>
      <c r="Z405" s="87"/>
      <c r="AA405" s="88"/>
      <c r="AB405" s="88">
        <v>39.270000000000003</v>
      </c>
      <c r="AC405" s="88">
        <v>52.462499999999999</v>
      </c>
      <c r="AD405" s="88">
        <v>72.64</v>
      </c>
      <c r="AE405" s="89">
        <f t="shared" si="119"/>
        <v>0</v>
      </c>
      <c r="AF405" s="90">
        <v>0.14000000000000001</v>
      </c>
      <c r="AG405" s="4">
        <f t="shared" si="115"/>
        <v>0</v>
      </c>
      <c r="AH405" s="49">
        <f t="shared" si="120"/>
        <v>0</v>
      </c>
      <c r="AI405" s="89">
        <f t="shared" si="121"/>
        <v>0</v>
      </c>
      <c r="AJ405" s="91">
        <v>0.18</v>
      </c>
      <c r="AK405" s="5">
        <f t="shared" si="122"/>
        <v>0</v>
      </c>
      <c r="AL405" s="89">
        <f t="shared" si="123"/>
        <v>0</v>
      </c>
      <c r="AP405" s="92"/>
    </row>
    <row r="406" spans="1:42" hidden="1" x14ac:dyDescent="0.35">
      <c r="A406" s="85"/>
      <c r="B406" s="51"/>
      <c r="C406" s="97"/>
      <c r="D406" s="97"/>
      <c r="E406" s="48"/>
      <c r="F406" s="96"/>
      <c r="G406" s="75"/>
      <c r="H406" s="96"/>
      <c r="I406" s="3"/>
      <c r="J406" s="52"/>
      <c r="K406" s="105"/>
      <c r="L406" s="105"/>
      <c r="M406" s="105"/>
      <c r="N406" s="104">
        <f t="shared" si="117"/>
        <v>0</v>
      </c>
      <c r="O406" s="86"/>
      <c r="P406" s="105"/>
      <c r="Q406" s="105"/>
      <c r="R406" s="104">
        <f t="shared" si="116"/>
        <v>0</v>
      </c>
      <c r="S406" s="86">
        <f t="shared" si="118"/>
        <v>0</v>
      </c>
      <c r="T406" s="87"/>
      <c r="U406" s="87"/>
      <c r="V406" s="87"/>
      <c r="W406" s="88"/>
      <c r="X406" s="87"/>
      <c r="Y406" s="87"/>
      <c r="Z406" s="87"/>
      <c r="AA406" s="88"/>
      <c r="AB406" s="88">
        <v>39.270000000000003</v>
      </c>
      <c r="AC406" s="88">
        <v>52.462499999999999</v>
      </c>
      <c r="AD406" s="88">
        <v>72.64</v>
      </c>
      <c r="AE406" s="89">
        <f t="shared" si="119"/>
        <v>0</v>
      </c>
      <c r="AF406" s="90">
        <v>6.5000000000000002E-2</v>
      </c>
      <c r="AG406" s="4">
        <f t="shared" si="115"/>
        <v>0</v>
      </c>
      <c r="AH406" s="49">
        <f t="shared" si="120"/>
        <v>0</v>
      </c>
      <c r="AI406" s="89">
        <f t="shared" si="121"/>
        <v>0</v>
      </c>
      <c r="AJ406" s="91">
        <v>0.18</v>
      </c>
      <c r="AK406" s="5">
        <f t="shared" si="122"/>
        <v>0</v>
      </c>
      <c r="AL406" s="89">
        <f t="shared" si="123"/>
        <v>0</v>
      </c>
      <c r="AP406" s="92"/>
    </row>
    <row r="407" spans="1:42" hidden="1" x14ac:dyDescent="0.35">
      <c r="A407" s="85"/>
      <c r="B407" s="51"/>
      <c r="C407" s="97"/>
      <c r="D407" s="97"/>
      <c r="E407" s="48"/>
      <c r="F407" s="96"/>
      <c r="G407" s="75"/>
      <c r="H407" s="96"/>
      <c r="I407" s="3"/>
      <c r="J407" s="52"/>
      <c r="K407" s="86"/>
      <c r="L407" s="105"/>
      <c r="M407" s="86"/>
      <c r="N407" s="104">
        <f t="shared" si="117"/>
        <v>0</v>
      </c>
      <c r="O407" s="86"/>
      <c r="P407" s="105"/>
      <c r="Q407" s="86"/>
      <c r="R407" s="104">
        <f t="shared" si="116"/>
        <v>0</v>
      </c>
      <c r="S407" s="86">
        <f t="shared" si="118"/>
        <v>0</v>
      </c>
      <c r="T407" s="87"/>
      <c r="U407" s="87"/>
      <c r="V407" s="87"/>
      <c r="W407" s="88"/>
      <c r="X407" s="87"/>
      <c r="Y407" s="87"/>
      <c r="Z407" s="87"/>
      <c r="AA407" s="88"/>
      <c r="AB407" s="88">
        <v>39.270000000000003</v>
      </c>
      <c r="AC407" s="88">
        <v>52.462499999999999</v>
      </c>
      <c r="AD407" s="88">
        <v>72.64</v>
      </c>
      <c r="AE407" s="89">
        <f t="shared" si="119"/>
        <v>0</v>
      </c>
      <c r="AF407" s="90">
        <v>6.5000000000000002E-2</v>
      </c>
      <c r="AG407" s="4">
        <f t="shared" si="115"/>
        <v>0</v>
      </c>
      <c r="AH407" s="49">
        <f t="shared" si="120"/>
        <v>0</v>
      </c>
      <c r="AI407" s="89">
        <f t="shared" si="121"/>
        <v>0</v>
      </c>
      <c r="AJ407" s="91">
        <v>0.18</v>
      </c>
      <c r="AK407" s="5">
        <f t="shared" si="122"/>
        <v>0</v>
      </c>
      <c r="AL407" s="89">
        <f t="shared" si="123"/>
        <v>0</v>
      </c>
      <c r="AP407" s="92"/>
    </row>
    <row r="408" spans="1:42" hidden="1" x14ac:dyDescent="0.35">
      <c r="A408" s="85"/>
      <c r="B408" s="51"/>
      <c r="C408" s="97"/>
      <c r="D408" s="97"/>
      <c r="E408" s="48"/>
      <c r="F408" s="96"/>
      <c r="G408" s="75"/>
      <c r="H408" s="96"/>
      <c r="I408" s="3"/>
      <c r="J408" s="52"/>
      <c r="K408" s="105"/>
      <c r="L408" s="105"/>
      <c r="M408" s="105"/>
      <c r="N408" s="104">
        <f t="shared" si="117"/>
        <v>0</v>
      </c>
      <c r="O408" s="86"/>
      <c r="P408" s="86"/>
      <c r="Q408" s="86"/>
      <c r="R408" s="104">
        <f t="shared" si="116"/>
        <v>0</v>
      </c>
      <c r="S408" s="86">
        <f t="shared" si="118"/>
        <v>0</v>
      </c>
      <c r="T408" s="87"/>
      <c r="U408" s="87"/>
      <c r="V408" s="87"/>
      <c r="W408" s="88"/>
      <c r="X408" s="87"/>
      <c r="Y408" s="87"/>
      <c r="Z408" s="87"/>
      <c r="AA408" s="88"/>
      <c r="AB408" s="88">
        <v>39.270000000000003</v>
      </c>
      <c r="AC408" s="88">
        <v>52.462499999999999</v>
      </c>
      <c r="AD408" s="88">
        <v>72.64</v>
      </c>
      <c r="AE408" s="89">
        <f t="shared" si="119"/>
        <v>0</v>
      </c>
      <c r="AF408" s="90">
        <v>6.5000000000000002E-2</v>
      </c>
      <c r="AG408" s="4">
        <f t="shared" si="115"/>
        <v>0</v>
      </c>
      <c r="AH408" s="49">
        <f t="shared" si="120"/>
        <v>0</v>
      </c>
      <c r="AI408" s="89">
        <f t="shared" si="121"/>
        <v>0</v>
      </c>
      <c r="AJ408" s="91">
        <v>0.18</v>
      </c>
      <c r="AK408" s="5">
        <f t="shared" si="122"/>
        <v>0</v>
      </c>
      <c r="AL408" s="89">
        <f t="shared" si="123"/>
        <v>0</v>
      </c>
      <c r="AP408" s="92"/>
    </row>
    <row r="409" spans="1:42" hidden="1" x14ac:dyDescent="0.35">
      <c r="A409" s="85"/>
      <c r="B409" s="51"/>
      <c r="C409" s="97"/>
      <c r="D409" s="97"/>
      <c r="E409" s="48"/>
      <c r="F409" s="96"/>
      <c r="G409" s="75"/>
      <c r="H409" s="96"/>
      <c r="I409" s="3"/>
      <c r="J409" s="52"/>
      <c r="K409" s="105"/>
      <c r="L409" s="105"/>
      <c r="M409" s="105"/>
      <c r="N409" s="104">
        <f t="shared" si="117"/>
        <v>0</v>
      </c>
      <c r="O409" s="86"/>
      <c r="P409" s="86"/>
      <c r="Q409" s="86"/>
      <c r="R409" s="104">
        <f t="shared" si="116"/>
        <v>0</v>
      </c>
      <c r="S409" s="86">
        <f t="shared" si="118"/>
        <v>0</v>
      </c>
      <c r="T409" s="87"/>
      <c r="U409" s="87"/>
      <c r="V409" s="87"/>
      <c r="W409" s="88"/>
      <c r="X409" s="87"/>
      <c r="Y409" s="87"/>
      <c r="Z409" s="87"/>
      <c r="AA409" s="88"/>
      <c r="AB409" s="88">
        <v>39.270000000000003</v>
      </c>
      <c r="AC409" s="88">
        <v>52.462499999999999</v>
      </c>
      <c r="AD409" s="88">
        <v>72.64</v>
      </c>
      <c r="AE409" s="89">
        <f t="shared" si="119"/>
        <v>0</v>
      </c>
      <c r="AF409" s="90">
        <v>6.5000000000000002E-2</v>
      </c>
      <c r="AG409" s="4">
        <f t="shared" si="115"/>
        <v>0</v>
      </c>
      <c r="AH409" s="49">
        <f t="shared" si="120"/>
        <v>0</v>
      </c>
      <c r="AI409" s="89">
        <f t="shared" si="121"/>
        <v>0</v>
      </c>
      <c r="AJ409" s="91">
        <v>0.18</v>
      </c>
      <c r="AK409" s="5">
        <f t="shared" si="122"/>
        <v>0</v>
      </c>
      <c r="AL409" s="89">
        <f t="shared" si="123"/>
        <v>0</v>
      </c>
      <c r="AP409" s="92"/>
    </row>
    <row r="410" spans="1:42" hidden="1" x14ac:dyDescent="0.35">
      <c r="A410" s="85"/>
      <c r="B410" s="51"/>
      <c r="C410" s="97"/>
      <c r="D410" s="97"/>
      <c r="E410" s="48"/>
      <c r="F410" s="96"/>
      <c r="G410" s="75"/>
      <c r="H410" s="96"/>
      <c r="I410" s="3"/>
      <c r="J410" s="52"/>
      <c r="K410" s="105"/>
      <c r="L410" s="105"/>
      <c r="M410" s="105"/>
      <c r="N410" s="104">
        <f t="shared" si="117"/>
        <v>0</v>
      </c>
      <c r="O410" s="86"/>
      <c r="P410" s="86"/>
      <c r="Q410" s="105"/>
      <c r="R410" s="104">
        <f t="shared" si="116"/>
        <v>0</v>
      </c>
      <c r="S410" s="86">
        <f t="shared" si="118"/>
        <v>0</v>
      </c>
      <c r="T410" s="87"/>
      <c r="U410" s="87"/>
      <c r="V410" s="87"/>
      <c r="W410" s="88"/>
      <c r="X410" s="87"/>
      <c r="Y410" s="87"/>
      <c r="Z410" s="87"/>
      <c r="AA410" s="88"/>
      <c r="AB410" s="88">
        <v>39.270000000000003</v>
      </c>
      <c r="AC410" s="88">
        <v>52.462499999999999</v>
      </c>
      <c r="AD410" s="88">
        <v>72.64</v>
      </c>
      <c r="AE410" s="89">
        <f t="shared" si="119"/>
        <v>0</v>
      </c>
      <c r="AF410" s="90">
        <v>6.5000000000000002E-2</v>
      </c>
      <c r="AG410" s="4">
        <f t="shared" si="115"/>
        <v>0</v>
      </c>
      <c r="AH410" s="49">
        <f t="shared" si="120"/>
        <v>0</v>
      </c>
      <c r="AI410" s="89">
        <f t="shared" si="121"/>
        <v>0</v>
      </c>
      <c r="AJ410" s="91">
        <v>0.18</v>
      </c>
      <c r="AK410" s="5">
        <f t="shared" si="122"/>
        <v>0</v>
      </c>
      <c r="AL410" s="89">
        <f t="shared" si="123"/>
        <v>0</v>
      </c>
      <c r="AP410" s="92"/>
    </row>
    <row r="411" spans="1:42" hidden="1" x14ac:dyDescent="0.35">
      <c r="A411" s="85"/>
      <c r="B411" s="51"/>
      <c r="C411" s="97"/>
      <c r="D411" s="97"/>
      <c r="E411" s="48"/>
      <c r="F411" s="96"/>
      <c r="G411" s="75"/>
      <c r="H411" s="96"/>
      <c r="I411" s="3"/>
      <c r="J411" s="52"/>
      <c r="K411" s="105"/>
      <c r="L411" s="105"/>
      <c r="M411" s="105"/>
      <c r="N411" s="104">
        <f t="shared" si="117"/>
        <v>0</v>
      </c>
      <c r="O411" s="86"/>
      <c r="P411" s="86"/>
      <c r="Q411" s="86"/>
      <c r="R411" s="104">
        <f t="shared" si="116"/>
        <v>0</v>
      </c>
      <c r="S411" s="86">
        <f t="shared" si="118"/>
        <v>0</v>
      </c>
      <c r="T411" s="87"/>
      <c r="U411" s="87"/>
      <c r="V411" s="87"/>
      <c r="W411" s="88"/>
      <c r="X411" s="87"/>
      <c r="Y411" s="87"/>
      <c r="Z411" s="87"/>
      <c r="AA411" s="88"/>
      <c r="AB411" s="88">
        <v>39.270000000000003</v>
      </c>
      <c r="AC411" s="88">
        <v>52.462499999999999</v>
      </c>
      <c r="AD411" s="88">
        <v>72.64</v>
      </c>
      <c r="AE411" s="89">
        <f t="shared" si="119"/>
        <v>0</v>
      </c>
      <c r="AF411" s="90">
        <v>6.5000000000000002E-2</v>
      </c>
      <c r="AG411" s="4">
        <f t="shared" si="115"/>
        <v>0</v>
      </c>
      <c r="AH411" s="49">
        <f t="shared" si="120"/>
        <v>0</v>
      </c>
      <c r="AI411" s="89">
        <f t="shared" si="121"/>
        <v>0</v>
      </c>
      <c r="AJ411" s="91">
        <v>0.18</v>
      </c>
      <c r="AK411" s="5">
        <f t="shared" si="122"/>
        <v>0</v>
      </c>
      <c r="AL411" s="89">
        <f t="shared" si="123"/>
        <v>0</v>
      </c>
      <c r="AP411" s="92"/>
    </row>
    <row r="412" spans="1:42" hidden="1" x14ac:dyDescent="0.35">
      <c r="A412" s="85"/>
      <c r="B412" s="51"/>
      <c r="C412" s="97"/>
      <c r="D412" s="97"/>
      <c r="E412" s="48"/>
      <c r="F412" s="96"/>
      <c r="G412" s="75"/>
      <c r="H412" s="96"/>
      <c r="I412" s="3"/>
      <c r="J412" s="52"/>
      <c r="K412" s="105"/>
      <c r="L412" s="105"/>
      <c r="M412" s="105"/>
      <c r="N412" s="104">
        <f t="shared" si="117"/>
        <v>0</v>
      </c>
      <c r="O412" s="86"/>
      <c r="P412" s="105"/>
      <c r="Q412" s="86"/>
      <c r="R412" s="104">
        <f t="shared" si="116"/>
        <v>0</v>
      </c>
      <c r="S412" s="86">
        <f t="shared" si="118"/>
        <v>0</v>
      </c>
      <c r="T412" s="87"/>
      <c r="U412" s="87"/>
      <c r="V412" s="87"/>
      <c r="W412" s="88"/>
      <c r="X412" s="87"/>
      <c r="Y412" s="87"/>
      <c r="Z412" s="87"/>
      <c r="AA412" s="88"/>
      <c r="AB412" s="88">
        <v>39.270000000000003</v>
      </c>
      <c r="AC412" s="88">
        <v>52.462499999999999</v>
      </c>
      <c r="AD412" s="88">
        <v>72.64</v>
      </c>
      <c r="AE412" s="89">
        <f t="shared" si="119"/>
        <v>0</v>
      </c>
      <c r="AF412" s="90">
        <v>6.5000000000000002E-2</v>
      </c>
      <c r="AG412" s="4">
        <f t="shared" si="115"/>
        <v>0</v>
      </c>
      <c r="AH412" s="49">
        <f t="shared" si="120"/>
        <v>0</v>
      </c>
      <c r="AI412" s="89">
        <f t="shared" si="121"/>
        <v>0</v>
      </c>
      <c r="AJ412" s="91">
        <v>0.18</v>
      </c>
      <c r="AK412" s="5">
        <f t="shared" si="122"/>
        <v>0</v>
      </c>
      <c r="AL412" s="89">
        <f t="shared" si="123"/>
        <v>0</v>
      </c>
      <c r="AP412" s="92"/>
    </row>
    <row r="413" spans="1:42" hidden="1" x14ac:dyDescent="0.35">
      <c r="A413" s="85"/>
      <c r="B413" s="51"/>
      <c r="C413" s="97"/>
      <c r="D413" s="97"/>
      <c r="E413" s="48"/>
      <c r="F413" s="96"/>
      <c r="G413" s="75"/>
      <c r="H413" s="96"/>
      <c r="I413" s="3"/>
      <c r="J413" s="52"/>
      <c r="K413" s="105"/>
      <c r="L413" s="105"/>
      <c r="M413" s="105"/>
      <c r="N413" s="104">
        <f t="shared" si="117"/>
        <v>0</v>
      </c>
      <c r="O413" s="86"/>
      <c r="P413" s="86"/>
      <c r="Q413" s="86"/>
      <c r="R413" s="104">
        <f t="shared" si="116"/>
        <v>0</v>
      </c>
      <c r="S413" s="86">
        <f t="shared" si="118"/>
        <v>0</v>
      </c>
      <c r="T413" s="87"/>
      <c r="U413" s="87"/>
      <c r="V413" s="87"/>
      <c r="W413" s="88"/>
      <c r="X413" s="87"/>
      <c r="Y413" s="87"/>
      <c r="Z413" s="87"/>
      <c r="AA413" s="88"/>
      <c r="AB413" s="88">
        <v>39.270000000000003</v>
      </c>
      <c r="AC413" s="88">
        <v>52.462499999999999</v>
      </c>
      <c r="AD413" s="88">
        <v>72.64</v>
      </c>
      <c r="AE413" s="89">
        <f t="shared" si="119"/>
        <v>0</v>
      </c>
      <c r="AF413" s="90">
        <v>0.1</v>
      </c>
      <c r="AG413" s="4">
        <f t="shared" si="115"/>
        <v>0</v>
      </c>
      <c r="AH413" s="49">
        <f t="shared" si="120"/>
        <v>0</v>
      </c>
      <c r="AI413" s="89">
        <f t="shared" si="121"/>
        <v>0</v>
      </c>
      <c r="AJ413" s="91">
        <v>0.18</v>
      </c>
      <c r="AK413" s="5">
        <f t="shared" si="122"/>
        <v>0</v>
      </c>
      <c r="AL413" s="89">
        <f t="shared" si="123"/>
        <v>0</v>
      </c>
      <c r="AP413" s="92"/>
    </row>
    <row r="414" spans="1:42" hidden="1" x14ac:dyDescent="0.35">
      <c r="A414" s="98"/>
      <c r="C414" s="87"/>
      <c r="D414" s="99"/>
      <c r="E414" s="3"/>
      <c r="F414" s="96"/>
      <c r="G414" s="96"/>
      <c r="H414" s="96"/>
      <c r="I414" s="3"/>
      <c r="J414" s="52"/>
      <c r="K414" s="105"/>
      <c r="L414" s="105"/>
      <c r="M414" s="105"/>
      <c r="N414" s="104">
        <f t="shared" si="117"/>
        <v>0</v>
      </c>
      <c r="O414" s="86"/>
      <c r="P414" s="105"/>
      <c r="Q414" s="105"/>
      <c r="R414" s="104">
        <f t="shared" si="116"/>
        <v>0</v>
      </c>
      <c r="S414" s="86">
        <f t="shared" si="118"/>
        <v>0</v>
      </c>
      <c r="T414" s="87"/>
      <c r="U414" s="87"/>
      <c r="V414" s="87"/>
      <c r="W414" s="88"/>
      <c r="X414" s="87"/>
      <c r="Y414" s="87"/>
      <c r="Z414" s="87"/>
      <c r="AA414" s="88"/>
      <c r="AB414" s="88">
        <v>39.270000000000003</v>
      </c>
      <c r="AC414" s="88">
        <v>52.462499999999999</v>
      </c>
      <c r="AD414" s="88">
        <v>72.64</v>
      </c>
      <c r="AE414" s="89">
        <f t="shared" si="119"/>
        <v>0</v>
      </c>
      <c r="AF414" s="90">
        <v>6.5000000000000002E-2</v>
      </c>
      <c r="AG414" s="4">
        <f t="shared" si="115"/>
        <v>0</v>
      </c>
      <c r="AH414" s="49">
        <f t="shared" si="120"/>
        <v>0</v>
      </c>
      <c r="AI414" s="89">
        <f t="shared" si="121"/>
        <v>0</v>
      </c>
      <c r="AJ414" s="91">
        <v>0.18</v>
      </c>
      <c r="AK414" s="5">
        <f t="shared" si="122"/>
        <v>0</v>
      </c>
      <c r="AL414" s="89">
        <f t="shared" si="123"/>
        <v>0</v>
      </c>
      <c r="AP414" s="92"/>
    </row>
    <row r="415" spans="1:42" hidden="1" x14ac:dyDescent="0.35">
      <c r="A415" s="98"/>
      <c r="C415" s="87"/>
      <c r="D415" s="99"/>
      <c r="E415" s="3"/>
      <c r="F415" s="96"/>
      <c r="G415" s="96"/>
      <c r="H415" s="96"/>
      <c r="I415" s="3"/>
      <c r="J415" s="52"/>
      <c r="K415" s="105"/>
      <c r="L415" s="105"/>
      <c r="M415" s="105"/>
      <c r="N415" s="104">
        <f t="shared" si="117"/>
        <v>0</v>
      </c>
      <c r="O415" s="86"/>
      <c r="P415" s="86"/>
      <c r="Q415" s="86"/>
      <c r="R415" s="104">
        <f t="shared" si="116"/>
        <v>0</v>
      </c>
      <c r="S415" s="86">
        <f t="shared" si="118"/>
        <v>0</v>
      </c>
      <c r="T415" s="87"/>
      <c r="U415" s="87"/>
      <c r="V415" s="87"/>
      <c r="W415" s="88"/>
      <c r="X415" s="87"/>
      <c r="Y415" s="87"/>
      <c r="Z415" s="87"/>
      <c r="AA415" s="88"/>
      <c r="AB415" s="88">
        <v>39.270000000000003</v>
      </c>
      <c r="AC415" s="88">
        <v>52.462499999999999</v>
      </c>
      <c r="AD415" s="88">
        <v>72.64</v>
      </c>
      <c r="AE415" s="89">
        <f t="shared" si="119"/>
        <v>0</v>
      </c>
      <c r="AF415" s="90">
        <v>6.5000000000000002E-2</v>
      </c>
      <c r="AG415" s="4">
        <f t="shared" si="115"/>
        <v>0</v>
      </c>
      <c r="AH415" s="49">
        <f t="shared" si="120"/>
        <v>0</v>
      </c>
      <c r="AI415" s="89">
        <f t="shared" si="121"/>
        <v>0</v>
      </c>
      <c r="AJ415" s="91">
        <v>0.18</v>
      </c>
      <c r="AK415" s="5">
        <f t="shared" si="122"/>
        <v>0</v>
      </c>
      <c r="AL415" s="89">
        <f t="shared" si="123"/>
        <v>0</v>
      </c>
      <c r="AP415" s="92"/>
    </row>
    <row r="416" spans="1:42" hidden="1" x14ac:dyDescent="0.35">
      <c r="A416" s="98"/>
      <c r="C416" s="87"/>
      <c r="D416" s="99"/>
      <c r="E416" s="3"/>
      <c r="F416" s="96"/>
      <c r="G416" s="96"/>
      <c r="H416" s="96"/>
      <c r="I416" s="3"/>
      <c r="J416" s="52"/>
      <c r="K416" s="105"/>
      <c r="L416" s="105"/>
      <c r="M416" s="105"/>
      <c r="N416" s="104">
        <f t="shared" si="117"/>
        <v>0</v>
      </c>
      <c r="O416" s="86"/>
      <c r="P416" s="86"/>
      <c r="Q416" s="86"/>
      <c r="R416" s="104">
        <f t="shared" si="116"/>
        <v>0</v>
      </c>
      <c r="S416" s="86">
        <f t="shared" si="118"/>
        <v>0</v>
      </c>
      <c r="T416" s="87"/>
      <c r="U416" s="87"/>
      <c r="V416" s="87"/>
      <c r="W416" s="88"/>
      <c r="X416" s="87"/>
      <c r="Y416" s="87"/>
      <c r="Z416" s="87"/>
      <c r="AA416" s="88"/>
      <c r="AB416" s="88">
        <v>39.270000000000003</v>
      </c>
      <c r="AC416" s="88">
        <v>52.462499999999999</v>
      </c>
      <c r="AD416" s="88">
        <v>72.64</v>
      </c>
      <c r="AE416" s="89">
        <f t="shared" si="119"/>
        <v>0</v>
      </c>
      <c r="AF416" s="90">
        <v>6.5000000000000002E-2</v>
      </c>
      <c r="AG416" s="4">
        <f t="shared" si="115"/>
        <v>0</v>
      </c>
      <c r="AH416" s="49">
        <f t="shared" si="120"/>
        <v>0</v>
      </c>
      <c r="AI416" s="89">
        <f t="shared" si="121"/>
        <v>0</v>
      </c>
      <c r="AJ416" s="91">
        <v>0.18</v>
      </c>
      <c r="AK416" s="5">
        <f t="shared" si="122"/>
        <v>0</v>
      </c>
      <c r="AL416" s="89">
        <f t="shared" si="123"/>
        <v>0</v>
      </c>
      <c r="AP416" s="92"/>
    </row>
    <row r="417" spans="1:42" hidden="1" x14ac:dyDescent="0.35">
      <c r="A417" s="98"/>
      <c r="C417" s="87"/>
      <c r="D417" s="99"/>
      <c r="E417" s="3"/>
      <c r="F417" s="96"/>
      <c r="G417" s="96"/>
      <c r="H417" s="96"/>
      <c r="I417" s="3"/>
      <c r="J417" s="52"/>
      <c r="K417" s="86"/>
      <c r="L417" s="105"/>
      <c r="M417" s="86"/>
      <c r="N417" s="104">
        <f t="shared" si="117"/>
        <v>0</v>
      </c>
      <c r="O417" s="105"/>
      <c r="P417" s="105"/>
      <c r="Q417" s="105"/>
      <c r="R417" s="104">
        <f t="shared" si="116"/>
        <v>0</v>
      </c>
      <c r="S417" s="86">
        <f t="shared" si="118"/>
        <v>0</v>
      </c>
      <c r="T417" s="87"/>
      <c r="U417" s="87"/>
      <c r="V417" s="87"/>
      <c r="W417" s="88"/>
      <c r="X417" s="87"/>
      <c r="Y417" s="87"/>
      <c r="Z417" s="87"/>
      <c r="AA417" s="88"/>
      <c r="AB417" s="88">
        <v>39.270000000000003</v>
      </c>
      <c r="AC417" s="88">
        <v>52.462499999999999</v>
      </c>
      <c r="AD417" s="88">
        <v>72.64</v>
      </c>
      <c r="AE417" s="89">
        <f t="shared" si="119"/>
        <v>0</v>
      </c>
      <c r="AF417" s="90">
        <v>6.5000000000000002E-2</v>
      </c>
      <c r="AG417" s="4">
        <f t="shared" si="115"/>
        <v>0</v>
      </c>
      <c r="AH417" s="49">
        <f t="shared" si="120"/>
        <v>0</v>
      </c>
      <c r="AI417" s="89">
        <f t="shared" si="121"/>
        <v>0</v>
      </c>
      <c r="AJ417" s="91">
        <v>0.18</v>
      </c>
      <c r="AK417" s="5">
        <f t="shared" si="122"/>
        <v>0</v>
      </c>
      <c r="AL417" s="89">
        <f t="shared" si="123"/>
        <v>0</v>
      </c>
      <c r="AP417" s="92"/>
    </row>
    <row r="418" spans="1:42" hidden="1" x14ac:dyDescent="0.35">
      <c r="A418" s="98"/>
      <c r="C418" s="87"/>
      <c r="D418" s="99"/>
      <c r="E418" s="3"/>
      <c r="F418" s="96"/>
      <c r="G418" s="96"/>
      <c r="H418" s="96"/>
      <c r="I418" s="3"/>
      <c r="J418" s="52"/>
      <c r="K418" s="105"/>
      <c r="L418" s="105"/>
      <c r="M418" s="105"/>
      <c r="N418" s="104">
        <f t="shared" si="117"/>
        <v>0</v>
      </c>
      <c r="O418" s="105"/>
      <c r="P418" s="86"/>
      <c r="Q418" s="86"/>
      <c r="R418" s="104">
        <f t="shared" si="116"/>
        <v>0</v>
      </c>
      <c r="S418" s="86">
        <f t="shared" si="118"/>
        <v>0</v>
      </c>
      <c r="T418" s="87"/>
      <c r="U418" s="87"/>
      <c r="V418" s="87"/>
      <c r="W418" s="88"/>
      <c r="X418" s="87"/>
      <c r="Y418" s="87"/>
      <c r="Z418" s="87"/>
      <c r="AA418" s="88"/>
      <c r="AB418" s="88">
        <v>39.270000000000003</v>
      </c>
      <c r="AC418" s="88">
        <v>52.462499999999999</v>
      </c>
      <c r="AD418" s="88">
        <v>72.64</v>
      </c>
      <c r="AE418" s="89">
        <f t="shared" si="119"/>
        <v>0</v>
      </c>
      <c r="AF418" s="90">
        <v>6.5000000000000002E-2</v>
      </c>
      <c r="AG418" s="4">
        <f t="shared" si="115"/>
        <v>0</v>
      </c>
      <c r="AH418" s="49">
        <f t="shared" si="120"/>
        <v>0</v>
      </c>
      <c r="AI418" s="89">
        <f t="shared" si="121"/>
        <v>0</v>
      </c>
      <c r="AJ418" s="91">
        <v>0.18</v>
      </c>
      <c r="AK418" s="5">
        <f t="shared" si="122"/>
        <v>0</v>
      </c>
      <c r="AL418" s="89">
        <f t="shared" si="123"/>
        <v>0</v>
      </c>
      <c r="AP418" s="92"/>
    </row>
    <row r="419" spans="1:42" hidden="1" x14ac:dyDescent="0.35">
      <c r="A419" s="98"/>
      <c r="C419" s="87"/>
      <c r="D419" s="99"/>
      <c r="E419" s="3"/>
      <c r="F419" s="96"/>
      <c r="G419" s="96"/>
      <c r="H419" s="96"/>
      <c r="I419" s="3"/>
      <c r="J419" s="52"/>
      <c r="K419" s="105"/>
      <c r="L419" s="105"/>
      <c r="M419" s="86"/>
      <c r="N419" s="104">
        <f t="shared" si="117"/>
        <v>0</v>
      </c>
      <c r="O419" s="86"/>
      <c r="P419" s="86"/>
      <c r="Q419" s="86"/>
      <c r="R419" s="104">
        <f t="shared" si="116"/>
        <v>0</v>
      </c>
      <c r="S419" s="86">
        <f t="shared" si="118"/>
        <v>0</v>
      </c>
      <c r="T419" s="87"/>
      <c r="U419" s="87"/>
      <c r="V419" s="87"/>
      <c r="W419" s="88"/>
      <c r="X419" s="87"/>
      <c r="Y419" s="87"/>
      <c r="Z419" s="87"/>
      <c r="AA419" s="88"/>
      <c r="AB419" s="88">
        <v>39.270000000000003</v>
      </c>
      <c r="AC419" s="88">
        <v>52.462499999999999</v>
      </c>
      <c r="AD419" s="88">
        <v>72.64</v>
      </c>
      <c r="AE419" s="89">
        <f t="shared" si="119"/>
        <v>0</v>
      </c>
      <c r="AF419" s="90">
        <v>0.1</v>
      </c>
      <c r="AG419" s="4">
        <f t="shared" si="115"/>
        <v>0</v>
      </c>
      <c r="AH419" s="49">
        <f t="shared" si="120"/>
        <v>0</v>
      </c>
      <c r="AI419" s="89">
        <f t="shared" si="121"/>
        <v>0</v>
      </c>
      <c r="AJ419" s="91">
        <v>0.18</v>
      </c>
      <c r="AK419" s="5">
        <f t="shared" si="122"/>
        <v>0</v>
      </c>
      <c r="AL419" s="89">
        <f t="shared" si="123"/>
        <v>0</v>
      </c>
      <c r="AP419" s="92"/>
    </row>
    <row r="420" spans="1:42" hidden="1" x14ac:dyDescent="0.35">
      <c r="A420" s="98"/>
      <c r="C420" s="87"/>
      <c r="D420" s="99"/>
      <c r="E420" s="3"/>
      <c r="F420" s="96"/>
      <c r="G420" s="96"/>
      <c r="H420" s="96"/>
      <c r="I420" s="3"/>
      <c r="J420" s="52"/>
      <c r="K420" s="105"/>
      <c r="L420" s="105"/>
      <c r="M420" s="86"/>
      <c r="N420" s="104">
        <f t="shared" si="117"/>
        <v>0</v>
      </c>
      <c r="O420" s="86"/>
      <c r="P420" s="86"/>
      <c r="Q420" s="86"/>
      <c r="R420" s="104">
        <f t="shared" si="116"/>
        <v>0</v>
      </c>
      <c r="S420" s="86">
        <f t="shared" si="118"/>
        <v>0</v>
      </c>
      <c r="T420" s="87"/>
      <c r="U420" s="87"/>
      <c r="V420" s="87"/>
      <c r="W420" s="88"/>
      <c r="X420" s="87"/>
      <c r="Y420" s="87"/>
      <c r="Z420" s="87"/>
      <c r="AA420" s="88"/>
      <c r="AB420" s="88">
        <v>39.270000000000003</v>
      </c>
      <c r="AC420" s="88">
        <v>52.462499999999999</v>
      </c>
      <c r="AD420" s="88">
        <v>72.64</v>
      </c>
      <c r="AE420" s="89">
        <f t="shared" si="119"/>
        <v>0</v>
      </c>
      <c r="AF420" s="90">
        <v>6.5000000000000002E-2</v>
      </c>
      <c r="AG420" s="4">
        <f t="shared" si="115"/>
        <v>0</v>
      </c>
      <c r="AH420" s="49">
        <f t="shared" si="120"/>
        <v>0</v>
      </c>
      <c r="AI420" s="89">
        <f t="shared" si="121"/>
        <v>0</v>
      </c>
      <c r="AJ420" s="91">
        <v>0.18</v>
      </c>
      <c r="AK420" s="5">
        <f t="shared" si="122"/>
        <v>0</v>
      </c>
      <c r="AL420" s="89">
        <f t="shared" si="123"/>
        <v>0</v>
      </c>
      <c r="AP420" s="92"/>
    </row>
    <row r="421" spans="1:42" hidden="1" x14ac:dyDescent="0.35">
      <c r="A421" s="98"/>
      <c r="C421" s="87"/>
      <c r="D421" s="99"/>
      <c r="E421" s="3"/>
      <c r="F421" s="96"/>
      <c r="G421" s="96"/>
      <c r="H421" s="96"/>
      <c r="I421" s="3"/>
      <c r="J421" s="52"/>
      <c r="K421" s="86"/>
      <c r="L421" s="86"/>
      <c r="M421" s="86"/>
      <c r="N421" s="104">
        <f t="shared" si="117"/>
        <v>0</v>
      </c>
      <c r="O421" s="86"/>
      <c r="P421" s="86"/>
      <c r="Q421" s="86"/>
      <c r="R421" s="104">
        <f t="shared" si="116"/>
        <v>0</v>
      </c>
      <c r="S421" s="86">
        <f t="shared" si="118"/>
        <v>0</v>
      </c>
      <c r="T421" s="87"/>
      <c r="U421" s="87"/>
      <c r="V421" s="87"/>
      <c r="W421" s="88"/>
      <c r="X421" s="87"/>
      <c r="Y421" s="87"/>
      <c r="Z421" s="87"/>
      <c r="AA421" s="88"/>
      <c r="AB421" s="88">
        <v>39.270000000000003</v>
      </c>
      <c r="AC421" s="88">
        <v>52.462499999999999</v>
      </c>
      <c r="AD421" s="88">
        <v>72.64</v>
      </c>
      <c r="AE421" s="89">
        <f t="shared" si="119"/>
        <v>0</v>
      </c>
      <c r="AF421" s="90">
        <v>6.5000000000000002E-2</v>
      </c>
      <c r="AG421" s="4">
        <f t="shared" si="115"/>
        <v>0</v>
      </c>
      <c r="AH421" s="49">
        <f t="shared" si="120"/>
        <v>0</v>
      </c>
      <c r="AI421" s="89">
        <f t="shared" si="121"/>
        <v>0</v>
      </c>
      <c r="AJ421" s="91">
        <v>0.18</v>
      </c>
      <c r="AK421" s="5">
        <f t="shared" si="122"/>
        <v>0</v>
      </c>
      <c r="AL421" s="89">
        <f t="shared" si="123"/>
        <v>0</v>
      </c>
      <c r="AP421" s="92"/>
    </row>
    <row r="422" spans="1:42" hidden="1" x14ac:dyDescent="0.35">
      <c r="A422" s="98"/>
      <c r="C422" s="87"/>
      <c r="D422" s="99"/>
      <c r="E422" s="3"/>
      <c r="F422" s="96"/>
      <c r="G422" s="96"/>
      <c r="H422" s="96"/>
      <c r="I422" s="3"/>
      <c r="J422" s="52"/>
      <c r="K422" s="105"/>
      <c r="L422" s="105"/>
      <c r="M422" s="105"/>
      <c r="N422" s="104">
        <f t="shared" si="117"/>
        <v>0</v>
      </c>
      <c r="O422" s="86"/>
      <c r="P422" s="86"/>
      <c r="Q422" s="105"/>
      <c r="R422" s="104">
        <f t="shared" si="116"/>
        <v>0</v>
      </c>
      <c r="S422" s="86">
        <f t="shared" si="118"/>
        <v>0</v>
      </c>
      <c r="T422" s="87"/>
      <c r="U422" s="87"/>
      <c r="V422" s="87"/>
      <c r="W422" s="88"/>
      <c r="X422" s="87"/>
      <c r="Y422" s="87"/>
      <c r="Z422" s="87"/>
      <c r="AA422" s="88"/>
      <c r="AB422" s="88">
        <v>39.270000000000003</v>
      </c>
      <c r="AC422" s="88">
        <v>52.462499999999999</v>
      </c>
      <c r="AD422" s="88">
        <v>72.64</v>
      </c>
      <c r="AE422" s="89">
        <f t="shared" si="119"/>
        <v>0</v>
      </c>
      <c r="AF422" s="90">
        <v>6.5000000000000002E-2</v>
      </c>
      <c r="AG422" s="4">
        <f t="shared" si="115"/>
        <v>0</v>
      </c>
      <c r="AH422" s="49">
        <f t="shared" si="120"/>
        <v>0</v>
      </c>
      <c r="AI422" s="89">
        <f t="shared" si="121"/>
        <v>0</v>
      </c>
      <c r="AJ422" s="91">
        <v>0.18</v>
      </c>
      <c r="AK422" s="5">
        <f t="shared" si="122"/>
        <v>0</v>
      </c>
      <c r="AL422" s="89">
        <f t="shared" si="123"/>
        <v>0</v>
      </c>
      <c r="AP422" s="92"/>
    </row>
    <row r="423" spans="1:42" hidden="1" x14ac:dyDescent="0.35">
      <c r="A423" s="98"/>
      <c r="C423" s="87"/>
      <c r="D423" s="99"/>
      <c r="E423" s="3"/>
      <c r="F423" s="96"/>
      <c r="G423" s="96"/>
      <c r="H423" s="96"/>
      <c r="I423" s="3"/>
      <c r="J423" s="52"/>
      <c r="K423" s="86"/>
      <c r="L423" s="105"/>
      <c r="M423" s="105"/>
      <c r="N423" s="104">
        <f t="shared" si="117"/>
        <v>0</v>
      </c>
      <c r="O423" s="86"/>
      <c r="P423" s="105"/>
      <c r="Q423" s="105"/>
      <c r="R423" s="104">
        <f t="shared" si="116"/>
        <v>0</v>
      </c>
      <c r="S423" s="86">
        <f t="shared" si="118"/>
        <v>0</v>
      </c>
      <c r="T423" s="87"/>
      <c r="U423" s="87"/>
      <c r="V423" s="87"/>
      <c r="W423" s="88"/>
      <c r="X423" s="87"/>
      <c r="Y423" s="87"/>
      <c r="Z423" s="87"/>
      <c r="AA423" s="88"/>
      <c r="AB423" s="88">
        <v>39.270000000000003</v>
      </c>
      <c r="AC423" s="88">
        <v>52.462499999999999</v>
      </c>
      <c r="AD423" s="88">
        <v>72.64</v>
      </c>
      <c r="AE423" s="89">
        <f t="shared" si="119"/>
        <v>0</v>
      </c>
      <c r="AF423" s="90">
        <v>6.5000000000000002E-2</v>
      </c>
      <c r="AG423" s="4">
        <f t="shared" si="115"/>
        <v>0</v>
      </c>
      <c r="AH423" s="49">
        <f t="shared" si="120"/>
        <v>0</v>
      </c>
      <c r="AI423" s="89">
        <f t="shared" si="121"/>
        <v>0</v>
      </c>
      <c r="AJ423" s="91">
        <v>0.18</v>
      </c>
      <c r="AK423" s="5">
        <f t="shared" si="122"/>
        <v>0</v>
      </c>
      <c r="AL423" s="89">
        <f t="shared" si="123"/>
        <v>0</v>
      </c>
      <c r="AP423" s="92"/>
    </row>
    <row r="424" spans="1:42" hidden="1" x14ac:dyDescent="0.35">
      <c r="A424" s="98"/>
      <c r="C424" s="87"/>
      <c r="D424" s="99"/>
      <c r="E424" s="3"/>
      <c r="F424" s="96"/>
      <c r="G424" s="96"/>
      <c r="H424" s="96"/>
      <c r="I424" s="3"/>
      <c r="J424" s="52"/>
      <c r="K424" s="105"/>
      <c r="L424" s="105"/>
      <c r="M424" s="105"/>
      <c r="N424" s="104">
        <f t="shared" si="117"/>
        <v>0</v>
      </c>
      <c r="O424" s="86"/>
      <c r="P424" s="105"/>
      <c r="Q424" s="105"/>
      <c r="R424" s="104">
        <f t="shared" si="116"/>
        <v>0</v>
      </c>
      <c r="S424" s="86">
        <f t="shared" si="118"/>
        <v>0</v>
      </c>
      <c r="T424" s="87"/>
      <c r="U424" s="87"/>
      <c r="V424" s="87"/>
      <c r="W424" s="88"/>
      <c r="X424" s="87"/>
      <c r="Y424" s="87"/>
      <c r="Z424" s="87"/>
      <c r="AA424" s="88"/>
      <c r="AB424" s="88">
        <v>39.270000000000003</v>
      </c>
      <c r="AC424" s="88">
        <v>52.462499999999999</v>
      </c>
      <c r="AD424" s="88">
        <v>72.64</v>
      </c>
      <c r="AE424" s="89">
        <f t="shared" si="119"/>
        <v>0</v>
      </c>
      <c r="AF424" s="90">
        <v>6.5000000000000002E-2</v>
      </c>
      <c r="AG424" s="4">
        <f t="shared" si="115"/>
        <v>0</v>
      </c>
      <c r="AH424" s="49">
        <f t="shared" si="120"/>
        <v>0</v>
      </c>
      <c r="AI424" s="89">
        <f t="shared" si="121"/>
        <v>0</v>
      </c>
      <c r="AJ424" s="91">
        <v>0.18</v>
      </c>
      <c r="AK424" s="5">
        <f t="shared" si="122"/>
        <v>0</v>
      </c>
      <c r="AL424" s="89">
        <f t="shared" si="123"/>
        <v>0</v>
      </c>
      <c r="AP424" s="92"/>
    </row>
    <row r="425" spans="1:42" hidden="1" x14ac:dyDescent="0.35">
      <c r="A425" s="98"/>
      <c r="C425" s="87"/>
      <c r="D425" s="99"/>
      <c r="E425" s="3"/>
      <c r="F425" s="96"/>
      <c r="G425" s="96"/>
      <c r="H425" s="96"/>
      <c r="I425" s="3"/>
      <c r="J425" s="52"/>
      <c r="K425" s="105"/>
      <c r="L425" s="105"/>
      <c r="M425" s="105"/>
      <c r="N425" s="104">
        <f t="shared" si="117"/>
        <v>0</v>
      </c>
      <c r="O425" s="86"/>
      <c r="P425" s="86"/>
      <c r="Q425" s="86"/>
      <c r="R425" s="104">
        <f t="shared" si="116"/>
        <v>0</v>
      </c>
      <c r="S425" s="86">
        <f t="shared" si="118"/>
        <v>0</v>
      </c>
      <c r="T425" s="87"/>
      <c r="U425" s="87"/>
      <c r="V425" s="87"/>
      <c r="W425" s="88"/>
      <c r="X425" s="87"/>
      <c r="Y425" s="87"/>
      <c r="Z425" s="87"/>
      <c r="AA425" s="88"/>
      <c r="AB425" s="88">
        <v>39.270000000000003</v>
      </c>
      <c r="AC425" s="88">
        <v>52.462499999999999</v>
      </c>
      <c r="AD425" s="88">
        <v>72.64</v>
      </c>
      <c r="AE425" s="89">
        <f t="shared" si="119"/>
        <v>0</v>
      </c>
      <c r="AF425" s="90">
        <v>6.5000000000000002E-2</v>
      </c>
      <c r="AG425" s="4">
        <f t="shared" si="115"/>
        <v>0</v>
      </c>
      <c r="AH425" s="49">
        <f t="shared" si="120"/>
        <v>0</v>
      </c>
      <c r="AI425" s="89">
        <f t="shared" si="121"/>
        <v>0</v>
      </c>
      <c r="AJ425" s="91">
        <v>0.18</v>
      </c>
      <c r="AK425" s="5">
        <f t="shared" si="122"/>
        <v>0</v>
      </c>
      <c r="AL425" s="89">
        <f t="shared" si="123"/>
        <v>0</v>
      </c>
      <c r="AP425" s="92"/>
    </row>
    <row r="426" spans="1:42" hidden="1" x14ac:dyDescent="0.35">
      <c r="A426" s="98"/>
      <c r="C426" s="87"/>
      <c r="D426" s="99"/>
      <c r="E426" s="3"/>
      <c r="F426" s="96"/>
      <c r="G426" s="96"/>
      <c r="H426" s="96"/>
      <c r="I426" s="3"/>
      <c r="J426" s="52"/>
      <c r="K426" s="86"/>
      <c r="L426" s="86"/>
      <c r="M426" s="86"/>
      <c r="N426" s="104">
        <f t="shared" si="117"/>
        <v>0</v>
      </c>
      <c r="O426" s="86"/>
      <c r="P426" s="86"/>
      <c r="Q426" s="86"/>
      <c r="R426" s="104">
        <f t="shared" si="116"/>
        <v>0</v>
      </c>
      <c r="S426" s="86">
        <f t="shared" si="118"/>
        <v>0</v>
      </c>
      <c r="T426" s="87"/>
      <c r="U426" s="87"/>
      <c r="V426" s="87"/>
      <c r="W426" s="88"/>
      <c r="X426" s="87"/>
      <c r="Y426" s="87"/>
      <c r="Z426" s="87"/>
      <c r="AA426" s="88"/>
      <c r="AB426" s="88">
        <v>39.270000000000003</v>
      </c>
      <c r="AC426" s="88">
        <v>52.462499999999999</v>
      </c>
      <c r="AD426" s="88">
        <v>72.64</v>
      </c>
      <c r="AE426" s="89">
        <f t="shared" si="119"/>
        <v>0</v>
      </c>
      <c r="AF426" s="90">
        <v>6.5000000000000002E-2</v>
      </c>
      <c r="AG426" s="4">
        <f t="shared" si="115"/>
        <v>0</v>
      </c>
      <c r="AH426" s="49">
        <f t="shared" si="120"/>
        <v>0</v>
      </c>
      <c r="AI426" s="89">
        <f t="shared" si="121"/>
        <v>0</v>
      </c>
      <c r="AJ426" s="91">
        <v>0.18</v>
      </c>
      <c r="AK426" s="5">
        <f t="shared" si="122"/>
        <v>0</v>
      </c>
      <c r="AL426" s="89">
        <f t="shared" si="123"/>
        <v>0</v>
      </c>
      <c r="AP426" s="92"/>
    </row>
    <row r="427" spans="1:42" hidden="1" x14ac:dyDescent="0.35">
      <c r="A427" s="98"/>
      <c r="C427" s="87"/>
      <c r="D427" s="99"/>
      <c r="E427" s="3"/>
      <c r="F427" s="96"/>
      <c r="G427" s="96"/>
      <c r="H427" s="96"/>
      <c r="I427" s="3"/>
      <c r="J427" s="52"/>
      <c r="K427" s="86"/>
      <c r="L427" s="86"/>
      <c r="M427" s="86"/>
      <c r="N427" s="104">
        <f t="shared" si="117"/>
        <v>0</v>
      </c>
      <c r="O427" s="86"/>
      <c r="P427" s="86"/>
      <c r="Q427" s="86"/>
      <c r="R427" s="104">
        <f t="shared" si="116"/>
        <v>0</v>
      </c>
      <c r="S427" s="86">
        <f t="shared" si="118"/>
        <v>0</v>
      </c>
      <c r="T427" s="87"/>
      <c r="U427" s="87"/>
      <c r="V427" s="87"/>
      <c r="W427" s="88"/>
      <c r="X427" s="87"/>
      <c r="Y427" s="87"/>
      <c r="Z427" s="87"/>
      <c r="AA427" s="88"/>
      <c r="AB427" s="88">
        <v>39.270000000000003</v>
      </c>
      <c r="AC427" s="88">
        <v>52.462499999999999</v>
      </c>
      <c r="AD427" s="88">
        <v>72.64</v>
      </c>
      <c r="AE427" s="89">
        <f t="shared" si="119"/>
        <v>0</v>
      </c>
      <c r="AF427" s="90">
        <v>6.5000000000000002E-2</v>
      </c>
      <c r="AG427" s="4">
        <f t="shared" si="115"/>
        <v>0</v>
      </c>
      <c r="AH427" s="49">
        <f t="shared" si="120"/>
        <v>0</v>
      </c>
      <c r="AI427" s="89">
        <f t="shared" si="121"/>
        <v>0</v>
      </c>
      <c r="AJ427" s="91">
        <v>0.18</v>
      </c>
      <c r="AK427" s="5">
        <f t="shared" si="122"/>
        <v>0</v>
      </c>
      <c r="AL427" s="89">
        <f t="shared" si="123"/>
        <v>0</v>
      </c>
      <c r="AP427" s="92"/>
    </row>
    <row r="428" spans="1:42" hidden="1" x14ac:dyDescent="0.35">
      <c r="A428" s="98"/>
      <c r="C428" s="87"/>
      <c r="D428" s="99"/>
      <c r="E428" s="3"/>
      <c r="F428" s="96"/>
      <c r="G428" s="96"/>
      <c r="H428" s="96"/>
      <c r="I428" s="3"/>
      <c r="J428" s="52"/>
      <c r="K428" s="86"/>
      <c r="L428" s="86"/>
      <c r="M428" s="86"/>
      <c r="N428" s="104">
        <f t="shared" si="117"/>
        <v>0</v>
      </c>
      <c r="O428" s="86"/>
      <c r="P428" s="86"/>
      <c r="Q428" s="86"/>
      <c r="R428" s="104">
        <f t="shared" si="116"/>
        <v>0</v>
      </c>
      <c r="S428" s="86">
        <f t="shared" si="118"/>
        <v>0</v>
      </c>
      <c r="T428" s="87"/>
      <c r="U428" s="87"/>
      <c r="V428" s="87"/>
      <c r="W428" s="88"/>
      <c r="X428" s="87"/>
      <c r="Y428" s="87"/>
      <c r="Z428" s="87"/>
      <c r="AA428" s="88"/>
      <c r="AB428" s="88">
        <v>39.270000000000003</v>
      </c>
      <c r="AC428" s="88">
        <v>52.462499999999999</v>
      </c>
      <c r="AD428" s="88">
        <v>72.64</v>
      </c>
      <c r="AE428" s="89">
        <f t="shared" si="119"/>
        <v>0</v>
      </c>
      <c r="AF428" s="90">
        <v>6.5000000000000002E-2</v>
      </c>
      <c r="AG428" s="4">
        <f t="shared" si="115"/>
        <v>0</v>
      </c>
      <c r="AH428" s="49">
        <f t="shared" si="120"/>
        <v>0</v>
      </c>
      <c r="AI428" s="89">
        <f t="shared" si="121"/>
        <v>0</v>
      </c>
      <c r="AJ428" s="91">
        <v>0.18</v>
      </c>
      <c r="AK428" s="5">
        <f t="shared" si="122"/>
        <v>0</v>
      </c>
      <c r="AL428" s="89">
        <f t="shared" si="123"/>
        <v>0</v>
      </c>
      <c r="AP428" s="92"/>
    </row>
    <row r="429" spans="1:42" hidden="1" x14ac:dyDescent="0.35">
      <c r="A429" s="98"/>
      <c r="C429" s="87"/>
      <c r="D429" s="99"/>
      <c r="E429" s="3"/>
      <c r="F429" s="96"/>
      <c r="G429" s="96"/>
      <c r="H429" s="96"/>
      <c r="I429" s="3"/>
      <c r="J429" s="52"/>
      <c r="K429" s="105"/>
      <c r="L429" s="105"/>
      <c r="M429" s="105"/>
      <c r="N429" s="104">
        <f t="shared" si="117"/>
        <v>0</v>
      </c>
      <c r="O429" s="86"/>
      <c r="P429" s="86"/>
      <c r="Q429" s="86"/>
      <c r="R429" s="104">
        <f t="shared" si="116"/>
        <v>0</v>
      </c>
      <c r="S429" s="86">
        <f t="shared" si="118"/>
        <v>0</v>
      </c>
      <c r="T429" s="87"/>
      <c r="U429" s="87"/>
      <c r="V429" s="87"/>
      <c r="W429" s="88"/>
      <c r="X429" s="87"/>
      <c r="Y429" s="87"/>
      <c r="Z429" s="87"/>
      <c r="AA429" s="88"/>
      <c r="AB429" s="88">
        <v>39.270000000000003</v>
      </c>
      <c r="AC429" s="88">
        <v>52.462499999999999</v>
      </c>
      <c r="AD429" s="88">
        <v>72.64</v>
      </c>
      <c r="AE429" s="89">
        <f t="shared" si="119"/>
        <v>0</v>
      </c>
      <c r="AF429" s="90">
        <v>0.08</v>
      </c>
      <c r="AG429" s="4">
        <f t="shared" ref="AG429:AG432" si="124">AE429*AF429</f>
        <v>0</v>
      </c>
      <c r="AH429" s="49">
        <f t="shared" si="120"/>
        <v>0</v>
      </c>
      <c r="AI429" s="89">
        <f t="shared" si="121"/>
        <v>0</v>
      </c>
      <c r="AJ429" s="91">
        <v>0.18</v>
      </c>
      <c r="AK429" s="5">
        <f t="shared" si="122"/>
        <v>0</v>
      </c>
      <c r="AL429" s="89">
        <f t="shared" si="123"/>
        <v>0</v>
      </c>
      <c r="AP429" s="92"/>
    </row>
    <row r="430" spans="1:42" hidden="1" x14ac:dyDescent="0.35">
      <c r="A430" s="98"/>
      <c r="C430" s="87"/>
      <c r="D430" s="99"/>
      <c r="E430" s="3"/>
      <c r="F430" s="96"/>
      <c r="G430" s="96"/>
      <c r="H430" s="96"/>
      <c r="I430" s="3"/>
      <c r="J430" s="52"/>
      <c r="K430" s="105"/>
      <c r="L430" s="105"/>
      <c r="M430" s="105"/>
      <c r="N430" s="104">
        <f t="shared" si="117"/>
        <v>0</v>
      </c>
      <c r="O430" s="105"/>
      <c r="P430" s="105"/>
      <c r="Q430" s="86"/>
      <c r="R430" s="104">
        <f t="shared" si="116"/>
        <v>0</v>
      </c>
      <c r="S430" s="86">
        <f t="shared" si="118"/>
        <v>0</v>
      </c>
      <c r="T430" s="87"/>
      <c r="U430" s="87"/>
      <c r="V430" s="87"/>
      <c r="W430" s="88"/>
      <c r="X430" s="87"/>
      <c r="Y430" s="87"/>
      <c r="Z430" s="87"/>
      <c r="AA430" s="88"/>
      <c r="AB430" s="88">
        <v>39.270000000000003</v>
      </c>
      <c r="AC430" s="88">
        <v>52.462499999999999</v>
      </c>
      <c r="AD430" s="88">
        <v>72.64</v>
      </c>
      <c r="AE430" s="89">
        <f t="shared" si="119"/>
        <v>0</v>
      </c>
      <c r="AF430" s="90">
        <v>0.13769999999999999</v>
      </c>
      <c r="AG430" s="4">
        <f t="shared" si="124"/>
        <v>0</v>
      </c>
      <c r="AH430" s="49">
        <f t="shared" si="120"/>
        <v>0</v>
      </c>
      <c r="AI430" s="89">
        <f t="shared" si="121"/>
        <v>0</v>
      </c>
      <c r="AJ430" s="91">
        <v>0.18</v>
      </c>
      <c r="AK430" s="5">
        <f t="shared" si="122"/>
        <v>0</v>
      </c>
      <c r="AL430" s="89">
        <f t="shared" si="123"/>
        <v>0</v>
      </c>
      <c r="AP430" s="92"/>
    </row>
    <row r="431" spans="1:42" hidden="1" x14ac:dyDescent="0.35">
      <c r="A431" s="98"/>
      <c r="C431" s="87"/>
      <c r="D431" s="99"/>
      <c r="E431" s="3"/>
      <c r="F431" s="96"/>
      <c r="G431" s="96"/>
      <c r="H431" s="96"/>
      <c r="I431" s="3"/>
      <c r="J431" s="52"/>
      <c r="K431" s="105"/>
      <c r="L431" s="105"/>
      <c r="M431" s="105"/>
      <c r="N431" s="104">
        <f t="shared" si="117"/>
        <v>0</v>
      </c>
      <c r="O431" s="86"/>
      <c r="P431" s="105"/>
      <c r="Q431" s="105"/>
      <c r="R431" s="104">
        <f t="shared" si="116"/>
        <v>0</v>
      </c>
      <c r="S431" s="86">
        <f t="shared" si="118"/>
        <v>0</v>
      </c>
      <c r="T431" s="87"/>
      <c r="U431" s="87"/>
      <c r="V431" s="87"/>
      <c r="W431" s="88"/>
      <c r="X431" s="87"/>
      <c r="Y431" s="87"/>
      <c r="Z431" s="87"/>
      <c r="AA431" s="88"/>
      <c r="AB431" s="88">
        <v>39.270000000000003</v>
      </c>
      <c r="AC431" s="88">
        <v>52.462499999999999</v>
      </c>
      <c r="AD431" s="88">
        <v>72.64</v>
      </c>
      <c r="AE431" s="89">
        <f t="shared" si="119"/>
        <v>0</v>
      </c>
      <c r="AF431" s="90">
        <v>0.13853299999999999</v>
      </c>
      <c r="AG431" s="4">
        <f t="shared" si="124"/>
        <v>0</v>
      </c>
      <c r="AH431" s="49">
        <f t="shared" si="120"/>
        <v>0</v>
      </c>
      <c r="AI431" s="89">
        <f t="shared" si="121"/>
        <v>0</v>
      </c>
      <c r="AJ431" s="91">
        <v>0.18</v>
      </c>
      <c r="AK431" s="5">
        <f t="shared" si="122"/>
        <v>0</v>
      </c>
      <c r="AL431" s="89">
        <f t="shared" si="123"/>
        <v>0</v>
      </c>
      <c r="AP431" s="92"/>
    </row>
    <row r="432" spans="1:42" hidden="1" x14ac:dyDescent="0.35">
      <c r="A432" s="98"/>
      <c r="C432" s="87"/>
      <c r="D432" s="99"/>
      <c r="E432" s="3"/>
      <c r="F432" s="96"/>
      <c r="G432" s="96"/>
      <c r="H432" s="96"/>
      <c r="I432" s="3"/>
      <c r="J432" s="52"/>
      <c r="K432" s="86"/>
      <c r="L432" s="105"/>
      <c r="M432" s="86"/>
      <c r="N432" s="104">
        <f t="shared" si="117"/>
        <v>0</v>
      </c>
      <c r="O432" s="86"/>
      <c r="P432" s="105"/>
      <c r="Q432" s="105"/>
      <c r="R432" s="104">
        <f t="shared" si="116"/>
        <v>0</v>
      </c>
      <c r="S432" s="86">
        <f t="shared" si="118"/>
        <v>0</v>
      </c>
      <c r="T432" s="87"/>
      <c r="U432" s="87"/>
      <c r="V432" s="87"/>
      <c r="W432" s="88"/>
      <c r="X432" s="87"/>
      <c r="Y432" s="87"/>
      <c r="Z432" s="87"/>
      <c r="AA432" s="88"/>
      <c r="AB432" s="88">
        <v>39.270000000000003</v>
      </c>
      <c r="AC432" s="88">
        <v>52.462499999999999</v>
      </c>
      <c r="AD432" s="88">
        <v>72.64</v>
      </c>
      <c r="AE432" s="89">
        <f t="shared" si="119"/>
        <v>0</v>
      </c>
      <c r="AF432" s="90">
        <v>0.12</v>
      </c>
      <c r="AG432" s="4">
        <f t="shared" si="124"/>
        <v>0</v>
      </c>
      <c r="AH432" s="49">
        <f t="shared" si="120"/>
        <v>0</v>
      </c>
      <c r="AI432" s="89">
        <f t="shared" si="121"/>
        <v>0</v>
      </c>
      <c r="AJ432" s="91">
        <v>0.18</v>
      </c>
      <c r="AK432" s="5">
        <f t="shared" si="122"/>
        <v>0</v>
      </c>
      <c r="AL432" s="89">
        <f t="shared" si="123"/>
        <v>0</v>
      </c>
      <c r="AP432" s="92"/>
    </row>
    <row r="433" spans="1:42" hidden="1" x14ac:dyDescent="0.35">
      <c r="A433" s="100"/>
      <c r="B433" s="77"/>
      <c r="C433" s="100"/>
      <c r="D433" s="101"/>
      <c r="E433" s="100"/>
      <c r="F433" s="100"/>
      <c r="G433" s="100"/>
      <c r="H433" s="100"/>
      <c r="I433" s="100"/>
      <c r="J433" s="107"/>
      <c r="K433" s="107"/>
      <c r="L433" s="107"/>
      <c r="M433" s="107"/>
      <c r="N433" s="104">
        <f t="shared" si="117"/>
        <v>0</v>
      </c>
      <c r="O433" s="107"/>
      <c r="P433" s="107"/>
      <c r="Q433" s="107"/>
      <c r="R433" s="104">
        <f t="shared" si="116"/>
        <v>0</v>
      </c>
      <c r="S433" s="86">
        <f t="shared" si="118"/>
        <v>0</v>
      </c>
      <c r="T433" s="3"/>
      <c r="U433" s="3"/>
      <c r="V433" s="3"/>
      <c r="W433" s="3"/>
      <c r="X433" s="3"/>
      <c r="Y433" s="3"/>
      <c r="Z433" s="3"/>
      <c r="AA433" s="3"/>
      <c r="AB433" s="100"/>
      <c r="AC433" s="100"/>
      <c r="AD433" s="100"/>
      <c r="AE433" s="100">
        <f>SUM(AE3:AE432)</f>
        <v>3385606.3474999992</v>
      </c>
      <c r="AF433" s="78"/>
      <c r="AG433" s="100">
        <f>SUM(AG3:AG432)</f>
        <v>245755.58265000008</v>
      </c>
      <c r="AH433" s="100">
        <f>SUM(AH3:AH432)</f>
        <v>10889.767349999998</v>
      </c>
      <c r="AI433" s="100">
        <f>SUM(AI3:AI432)</f>
        <v>3139850.7648500004</v>
      </c>
      <c r="AK433" s="100">
        <f>SUM(AK3:AK432)</f>
        <v>565173.13767299964</v>
      </c>
      <c r="AL433" s="100">
        <f>SUM(AL3:AL432)</f>
        <v>3705023.9025229961</v>
      </c>
      <c r="AP433" s="92"/>
    </row>
    <row r="434" spans="1:42" x14ac:dyDescent="0.35">
      <c r="A434" s="85">
        <v>46207</v>
      </c>
      <c r="B434" s="51" t="s">
        <v>85</v>
      </c>
      <c r="C434" s="97">
        <v>61123995.678571403</v>
      </c>
      <c r="D434" s="97">
        <v>87119.5</v>
      </c>
      <c r="E434" s="48" t="s">
        <v>86</v>
      </c>
      <c r="F434" s="78" t="s">
        <v>87</v>
      </c>
      <c r="G434" s="118" t="s">
        <v>425</v>
      </c>
      <c r="H434" s="52" t="s">
        <v>89</v>
      </c>
      <c r="I434" s="118" t="s">
        <v>426</v>
      </c>
      <c r="J434" s="52"/>
      <c r="K434" s="52">
        <v>200</v>
      </c>
      <c r="L434" s="52">
        <v>200</v>
      </c>
      <c r="M434" s="52"/>
      <c r="N434" s="104">
        <f t="shared" si="117"/>
        <v>400</v>
      </c>
      <c r="O434" s="52">
        <v>400</v>
      </c>
      <c r="P434" s="52">
        <v>400</v>
      </c>
      <c r="Q434" s="52">
        <v>400</v>
      </c>
      <c r="R434" s="104">
        <f t="shared" si="116"/>
        <v>1200</v>
      </c>
      <c r="S434" s="86">
        <f t="shared" si="118"/>
        <v>1600</v>
      </c>
      <c r="AB434" s="88">
        <v>39.270000000000003</v>
      </c>
      <c r="AC434" s="88">
        <v>52.462499999999999</v>
      </c>
      <c r="AD434" s="88">
        <v>72.64</v>
      </c>
      <c r="AE434" s="89">
        <f t="shared" ref="AE434:AE497" si="125">(J434*AB434)+(N434*AC434)+(AD434*S434)</f>
        <v>137209</v>
      </c>
      <c r="AF434" s="90">
        <v>6.5000000000000002E-2</v>
      </c>
      <c r="AG434" s="4">
        <f t="shared" ref="AG434:AG497" si="126">AE434*AF434</f>
        <v>8918.5850000000009</v>
      </c>
      <c r="AH434" s="49">
        <f t="shared" ref="AH434:AH497" si="127">(AB434*J434)*$AH$1</f>
        <v>0</v>
      </c>
      <c r="AI434" s="89">
        <f t="shared" ref="AI434:AI497" si="128">AE434-AG434</f>
        <v>128290.41499999999</v>
      </c>
      <c r="AJ434" s="91">
        <v>0.18</v>
      </c>
      <c r="AK434" s="5">
        <f t="shared" ref="AK434:AK497" si="129">AI434*AJ434</f>
        <v>23092.274699999998</v>
      </c>
      <c r="AL434" s="89">
        <f t="shared" ref="AL434:AL497" si="130">AI434+AK434</f>
        <v>151382.68969999999</v>
      </c>
      <c r="AP434" s="7"/>
    </row>
    <row r="435" spans="1:42" hidden="1" x14ac:dyDescent="0.35">
      <c r="A435" s="85">
        <v>46216</v>
      </c>
      <c r="B435" s="51" t="s">
        <v>85</v>
      </c>
      <c r="C435" s="97">
        <v>61123995.678571403</v>
      </c>
      <c r="D435" s="97">
        <v>87119.5</v>
      </c>
      <c r="E435" s="48" t="s">
        <v>86</v>
      </c>
      <c r="F435" s="94" t="s">
        <v>109</v>
      </c>
      <c r="G435" s="94" t="s">
        <v>187</v>
      </c>
      <c r="H435" s="94" t="s">
        <v>433</v>
      </c>
      <c r="I435" s="94" t="s">
        <v>434</v>
      </c>
      <c r="J435" s="52">
        <v>40</v>
      </c>
      <c r="K435" s="52"/>
      <c r="L435" s="52"/>
      <c r="M435" s="52"/>
      <c r="N435" s="104">
        <f t="shared" si="117"/>
        <v>0</v>
      </c>
      <c r="O435" s="52">
        <v>10</v>
      </c>
      <c r="P435" s="52">
        <v>10</v>
      </c>
      <c r="Q435" s="52">
        <v>20</v>
      </c>
      <c r="R435" s="104">
        <f t="shared" si="116"/>
        <v>40</v>
      </c>
      <c r="S435" s="86">
        <f t="shared" si="118"/>
        <v>80</v>
      </c>
      <c r="AB435" s="88">
        <v>39.270000000000003</v>
      </c>
      <c r="AC435" s="88">
        <v>52.462499999999999</v>
      </c>
      <c r="AD435" s="88">
        <v>72.64</v>
      </c>
      <c r="AE435" s="89">
        <f t="shared" si="125"/>
        <v>7382</v>
      </c>
      <c r="AF435" s="90">
        <v>6.5000000000000002E-2</v>
      </c>
      <c r="AG435" s="4">
        <f t="shared" si="126"/>
        <v>479.83000000000004</v>
      </c>
      <c r="AH435" s="49">
        <f t="shared" si="127"/>
        <v>54.978000000000009</v>
      </c>
      <c r="AI435" s="89">
        <f t="shared" si="128"/>
        <v>6902.17</v>
      </c>
      <c r="AJ435" s="91">
        <v>0.18</v>
      </c>
      <c r="AK435" s="5">
        <f t="shared" si="129"/>
        <v>1242.3905999999999</v>
      </c>
      <c r="AL435" s="89">
        <f t="shared" si="130"/>
        <v>8144.5605999999998</v>
      </c>
      <c r="AP435" s="7"/>
    </row>
    <row r="436" spans="1:42" hidden="1" x14ac:dyDescent="0.35">
      <c r="A436" s="85">
        <v>46216</v>
      </c>
      <c r="B436" s="51" t="s">
        <v>85</v>
      </c>
      <c r="C436" s="97">
        <v>61123995.678571403</v>
      </c>
      <c r="D436" s="97">
        <v>87119.5</v>
      </c>
      <c r="E436" s="48" t="s">
        <v>86</v>
      </c>
      <c r="F436" s="94" t="s">
        <v>108</v>
      </c>
      <c r="G436" s="94" t="s">
        <v>427</v>
      </c>
      <c r="H436" s="94" t="s">
        <v>433</v>
      </c>
      <c r="I436" s="94" t="s">
        <v>434</v>
      </c>
      <c r="J436" s="52">
        <v>12</v>
      </c>
      <c r="K436" s="52"/>
      <c r="L436" s="52"/>
      <c r="M436" s="52"/>
      <c r="N436" s="104">
        <f t="shared" si="117"/>
        <v>0</v>
      </c>
      <c r="O436" s="52"/>
      <c r="P436" s="52"/>
      <c r="Q436" s="52"/>
      <c r="R436" s="104">
        <f t="shared" si="116"/>
        <v>0</v>
      </c>
      <c r="S436" s="86">
        <f t="shared" si="118"/>
        <v>12</v>
      </c>
      <c r="AB436" s="88">
        <v>39.270000000000003</v>
      </c>
      <c r="AC436" s="88">
        <v>52.462499999999999</v>
      </c>
      <c r="AD436" s="88">
        <v>72.64</v>
      </c>
      <c r="AE436" s="89">
        <f t="shared" si="125"/>
        <v>1342.92</v>
      </c>
      <c r="AF436" s="90">
        <v>6.5000000000000002E-2</v>
      </c>
      <c r="AG436" s="4">
        <f t="shared" si="126"/>
        <v>87.289800000000014</v>
      </c>
      <c r="AH436" s="49">
        <f t="shared" si="127"/>
        <v>16.493400000000001</v>
      </c>
      <c r="AI436" s="89">
        <f t="shared" si="128"/>
        <v>1255.6302000000001</v>
      </c>
      <c r="AJ436" s="91">
        <v>0.18</v>
      </c>
      <c r="AK436" s="5">
        <f t="shared" si="129"/>
        <v>226.01343600000001</v>
      </c>
      <c r="AL436" s="89">
        <f t="shared" si="130"/>
        <v>1481.643636</v>
      </c>
      <c r="AP436" s="7"/>
    </row>
    <row r="437" spans="1:42" hidden="1" x14ac:dyDescent="0.35">
      <c r="A437" s="85">
        <v>46216</v>
      </c>
      <c r="B437" s="51" t="s">
        <v>85</v>
      </c>
      <c r="C437" s="97">
        <v>61123995.678571403</v>
      </c>
      <c r="D437" s="97">
        <v>87119.5</v>
      </c>
      <c r="E437" s="48" t="s">
        <v>86</v>
      </c>
      <c r="F437" s="94" t="s">
        <v>109</v>
      </c>
      <c r="G437" s="94" t="s">
        <v>428</v>
      </c>
      <c r="H437" s="94" t="s">
        <v>433</v>
      </c>
      <c r="I437" s="94" t="s">
        <v>434</v>
      </c>
      <c r="J437" s="52"/>
      <c r="K437" s="52"/>
      <c r="L437" s="52"/>
      <c r="M437" s="52"/>
      <c r="N437" s="104">
        <f t="shared" si="117"/>
        <v>0</v>
      </c>
      <c r="O437" s="52">
        <v>10</v>
      </c>
      <c r="P437" s="52">
        <v>15</v>
      </c>
      <c r="Q437" s="52">
        <v>15</v>
      </c>
      <c r="R437" s="104">
        <f t="shared" si="116"/>
        <v>40</v>
      </c>
      <c r="S437" s="86">
        <f t="shared" si="118"/>
        <v>40</v>
      </c>
      <c r="AB437" s="88">
        <v>39.270000000000003</v>
      </c>
      <c r="AC437" s="88">
        <v>52.462499999999999</v>
      </c>
      <c r="AD437" s="88">
        <v>72.64</v>
      </c>
      <c r="AE437" s="89">
        <f t="shared" si="125"/>
        <v>2905.6</v>
      </c>
      <c r="AF437" s="90">
        <v>6.5000000000000002E-2</v>
      </c>
      <c r="AG437" s="4">
        <f t="shared" si="126"/>
        <v>188.864</v>
      </c>
      <c r="AH437" s="49">
        <f t="shared" si="127"/>
        <v>0</v>
      </c>
      <c r="AI437" s="89">
        <f t="shared" si="128"/>
        <v>2716.7359999999999</v>
      </c>
      <c r="AJ437" s="91">
        <v>0.18</v>
      </c>
      <c r="AK437" s="5">
        <f t="shared" si="129"/>
        <v>489.01247999999998</v>
      </c>
      <c r="AL437" s="89">
        <f t="shared" si="130"/>
        <v>3205.7484799999997</v>
      </c>
      <c r="AP437" s="7"/>
    </row>
    <row r="438" spans="1:42" hidden="1" x14ac:dyDescent="0.35">
      <c r="A438" s="85">
        <v>46216</v>
      </c>
      <c r="B438" s="51" t="s">
        <v>85</v>
      </c>
      <c r="C438" s="97">
        <v>61123995.678571403</v>
      </c>
      <c r="D438" s="97">
        <v>87119.5</v>
      </c>
      <c r="E438" s="48" t="s">
        <v>86</v>
      </c>
      <c r="F438" s="94" t="s">
        <v>109</v>
      </c>
      <c r="G438" s="94" t="s">
        <v>429</v>
      </c>
      <c r="H438" s="94" t="s">
        <v>433</v>
      </c>
      <c r="I438" s="94" t="s">
        <v>434</v>
      </c>
      <c r="J438" s="52"/>
      <c r="K438" s="52">
        <v>40</v>
      </c>
      <c r="L438" s="52">
        <v>40</v>
      </c>
      <c r="M438" s="52"/>
      <c r="N438" s="104">
        <f t="shared" si="117"/>
        <v>80</v>
      </c>
      <c r="O438" s="52">
        <v>40</v>
      </c>
      <c r="P438" s="52">
        <v>40</v>
      </c>
      <c r="Q438" s="52">
        <v>40</v>
      </c>
      <c r="R438" s="104">
        <f t="shared" si="116"/>
        <v>120</v>
      </c>
      <c r="S438" s="86">
        <f t="shared" si="118"/>
        <v>200</v>
      </c>
      <c r="AB438" s="88">
        <v>39.270000000000003</v>
      </c>
      <c r="AC438" s="88">
        <v>52.462499999999999</v>
      </c>
      <c r="AD438" s="88">
        <v>72.64</v>
      </c>
      <c r="AE438" s="89">
        <f t="shared" si="125"/>
        <v>18725</v>
      </c>
      <c r="AF438" s="90">
        <v>6.5000000000000002E-2</v>
      </c>
      <c r="AG438" s="4">
        <f t="shared" si="126"/>
        <v>1217.125</v>
      </c>
      <c r="AH438" s="49">
        <f t="shared" si="127"/>
        <v>0</v>
      </c>
      <c r="AI438" s="89">
        <f t="shared" si="128"/>
        <v>17507.875</v>
      </c>
      <c r="AJ438" s="91">
        <v>0.18</v>
      </c>
      <c r="AK438" s="5">
        <f t="shared" si="129"/>
        <v>3151.4175</v>
      </c>
      <c r="AL438" s="89">
        <f t="shared" si="130"/>
        <v>20659.2925</v>
      </c>
      <c r="AP438" s="7"/>
    </row>
    <row r="439" spans="1:42" hidden="1" x14ac:dyDescent="0.35">
      <c r="A439" s="85">
        <v>46216</v>
      </c>
      <c r="B439" s="51" t="s">
        <v>85</v>
      </c>
      <c r="C439" s="97">
        <v>61123995.678571403</v>
      </c>
      <c r="D439" s="97">
        <v>87119.5</v>
      </c>
      <c r="E439" s="48" t="s">
        <v>86</v>
      </c>
      <c r="F439" s="94" t="s">
        <v>108</v>
      </c>
      <c r="G439" s="94" t="s">
        <v>210</v>
      </c>
      <c r="H439" s="94" t="s">
        <v>433</v>
      </c>
      <c r="I439" s="94" t="s">
        <v>434</v>
      </c>
      <c r="J439" s="52">
        <v>40</v>
      </c>
      <c r="K439" s="52"/>
      <c r="L439" s="52"/>
      <c r="M439" s="52"/>
      <c r="N439" s="104">
        <f t="shared" si="117"/>
        <v>0</v>
      </c>
      <c r="O439" s="52"/>
      <c r="P439" s="52"/>
      <c r="Q439" s="52"/>
      <c r="R439" s="104">
        <f t="shared" si="116"/>
        <v>0</v>
      </c>
      <c r="S439" s="86">
        <f t="shared" si="118"/>
        <v>40</v>
      </c>
      <c r="AB439" s="88">
        <v>39.270000000000003</v>
      </c>
      <c r="AC439" s="88">
        <v>52.462499999999999</v>
      </c>
      <c r="AD439" s="88">
        <v>72.64</v>
      </c>
      <c r="AE439" s="89">
        <f t="shared" si="125"/>
        <v>4476.3999999999996</v>
      </c>
      <c r="AF439" s="90">
        <v>6.5000000000000002E-2</v>
      </c>
      <c r="AG439" s="4">
        <f t="shared" si="126"/>
        <v>290.96600000000001</v>
      </c>
      <c r="AH439" s="49">
        <f t="shared" si="127"/>
        <v>54.978000000000009</v>
      </c>
      <c r="AI439" s="89">
        <f t="shared" si="128"/>
        <v>4185.4339999999993</v>
      </c>
      <c r="AJ439" s="91">
        <v>0.18</v>
      </c>
      <c r="AK439" s="5">
        <f t="shared" si="129"/>
        <v>753.37811999999985</v>
      </c>
      <c r="AL439" s="89">
        <f t="shared" si="130"/>
        <v>4938.8121199999987</v>
      </c>
      <c r="AP439" s="7"/>
    </row>
    <row r="440" spans="1:42" hidden="1" x14ac:dyDescent="0.35">
      <c r="A440" s="85">
        <v>46216</v>
      </c>
      <c r="B440" s="51" t="s">
        <v>85</v>
      </c>
      <c r="C440" s="97">
        <v>61123995.678571403</v>
      </c>
      <c r="D440" s="97">
        <v>87119.5</v>
      </c>
      <c r="E440" s="48" t="s">
        <v>86</v>
      </c>
      <c r="F440" s="94" t="s">
        <v>108</v>
      </c>
      <c r="G440" s="94" t="s">
        <v>430</v>
      </c>
      <c r="H440" s="94" t="s">
        <v>433</v>
      </c>
      <c r="I440" s="94" t="s">
        <v>434</v>
      </c>
      <c r="J440" s="52"/>
      <c r="K440" s="52">
        <v>6</v>
      </c>
      <c r="L440" s="52">
        <v>6</v>
      </c>
      <c r="M440" s="52"/>
      <c r="N440" s="104">
        <f t="shared" si="117"/>
        <v>12</v>
      </c>
      <c r="O440" s="52"/>
      <c r="P440" s="52"/>
      <c r="Q440" s="52"/>
      <c r="R440" s="104">
        <f t="shared" si="116"/>
        <v>0</v>
      </c>
      <c r="S440" s="86">
        <f t="shared" si="118"/>
        <v>12</v>
      </c>
      <c r="AB440" s="88">
        <v>39.270000000000003</v>
      </c>
      <c r="AC440" s="88">
        <v>52.462499999999999</v>
      </c>
      <c r="AD440" s="88">
        <v>72.64</v>
      </c>
      <c r="AE440" s="89">
        <f t="shared" si="125"/>
        <v>1501.23</v>
      </c>
      <c r="AF440" s="90">
        <v>6.5000000000000002E-2</v>
      </c>
      <c r="AG440" s="4">
        <f t="shared" si="126"/>
        <v>97.579950000000011</v>
      </c>
      <c r="AH440" s="49">
        <f t="shared" si="127"/>
        <v>0</v>
      </c>
      <c r="AI440" s="89">
        <f t="shared" si="128"/>
        <v>1403.65005</v>
      </c>
      <c r="AJ440" s="91">
        <v>0.18</v>
      </c>
      <c r="AK440" s="5">
        <f t="shared" si="129"/>
        <v>252.65700899999999</v>
      </c>
      <c r="AL440" s="89">
        <f t="shared" si="130"/>
        <v>1656.307059</v>
      </c>
      <c r="AP440" s="7"/>
    </row>
    <row r="441" spans="1:42" hidden="1" x14ac:dyDescent="0.35">
      <c r="A441" s="85">
        <v>46216</v>
      </c>
      <c r="B441" s="51" t="s">
        <v>85</v>
      </c>
      <c r="C441" s="97">
        <v>61123995.678571403</v>
      </c>
      <c r="D441" s="97">
        <v>87119.5</v>
      </c>
      <c r="E441" s="48" t="s">
        <v>86</v>
      </c>
      <c r="F441" s="94" t="s">
        <v>108</v>
      </c>
      <c r="G441" s="94" t="s">
        <v>194</v>
      </c>
      <c r="H441" s="94" t="s">
        <v>433</v>
      </c>
      <c r="I441" s="94" t="s">
        <v>434</v>
      </c>
      <c r="J441" s="52">
        <v>40</v>
      </c>
      <c r="K441" s="52"/>
      <c r="L441" s="52"/>
      <c r="M441" s="52"/>
      <c r="N441" s="104">
        <f t="shared" si="117"/>
        <v>0</v>
      </c>
      <c r="O441" s="52"/>
      <c r="P441" s="52"/>
      <c r="Q441" s="52"/>
      <c r="R441" s="104">
        <f t="shared" si="116"/>
        <v>0</v>
      </c>
      <c r="S441" s="86">
        <f t="shared" si="118"/>
        <v>40</v>
      </c>
      <c r="AB441" s="88">
        <v>39.270000000000003</v>
      </c>
      <c r="AC441" s="88">
        <v>52.462499999999999</v>
      </c>
      <c r="AD441" s="88">
        <v>72.64</v>
      </c>
      <c r="AE441" s="89">
        <f t="shared" si="125"/>
        <v>4476.3999999999996</v>
      </c>
      <c r="AF441" s="90">
        <v>6.5000000000000002E-2</v>
      </c>
      <c r="AG441" s="4">
        <f t="shared" si="126"/>
        <v>290.96600000000001</v>
      </c>
      <c r="AH441" s="49">
        <f t="shared" si="127"/>
        <v>54.978000000000009</v>
      </c>
      <c r="AI441" s="89">
        <f t="shared" si="128"/>
        <v>4185.4339999999993</v>
      </c>
      <c r="AJ441" s="91">
        <v>0.18</v>
      </c>
      <c r="AK441" s="5">
        <f t="shared" si="129"/>
        <v>753.37811999999985</v>
      </c>
      <c r="AL441" s="89">
        <f t="shared" si="130"/>
        <v>4938.8121199999987</v>
      </c>
      <c r="AP441" s="7"/>
    </row>
    <row r="442" spans="1:42" hidden="1" x14ac:dyDescent="0.35">
      <c r="A442" s="85">
        <v>46216</v>
      </c>
      <c r="B442" s="51" t="s">
        <v>85</v>
      </c>
      <c r="C442" s="97">
        <v>61123995.678571403</v>
      </c>
      <c r="D442" s="97">
        <v>87119.5</v>
      </c>
      <c r="E442" s="48" t="s">
        <v>86</v>
      </c>
      <c r="F442" s="94" t="s">
        <v>108</v>
      </c>
      <c r="G442" s="94" t="s">
        <v>432</v>
      </c>
      <c r="H442" s="94" t="s">
        <v>433</v>
      </c>
      <c r="I442" s="94" t="s">
        <v>434</v>
      </c>
      <c r="J442" s="52">
        <v>40</v>
      </c>
      <c r="K442" s="52"/>
      <c r="L442" s="52"/>
      <c r="M442" s="52"/>
      <c r="N442" s="104">
        <f t="shared" si="117"/>
        <v>0</v>
      </c>
      <c r="O442" s="52">
        <v>40</v>
      </c>
      <c r="P442" s="52">
        <v>40</v>
      </c>
      <c r="Q442" s="52">
        <v>40</v>
      </c>
      <c r="R442" s="104">
        <f t="shared" si="116"/>
        <v>120</v>
      </c>
      <c r="S442" s="86">
        <f t="shared" si="118"/>
        <v>160</v>
      </c>
      <c r="AB442" s="88">
        <v>39.270000000000003</v>
      </c>
      <c r="AC442" s="88">
        <v>52.462499999999999</v>
      </c>
      <c r="AD442" s="88">
        <v>72.64</v>
      </c>
      <c r="AE442" s="89">
        <f t="shared" si="125"/>
        <v>13193.2</v>
      </c>
      <c r="AF442" s="90">
        <v>6.5000000000000002E-2</v>
      </c>
      <c r="AG442" s="4">
        <f t="shared" si="126"/>
        <v>857.55800000000011</v>
      </c>
      <c r="AH442" s="49">
        <f t="shared" si="127"/>
        <v>54.978000000000009</v>
      </c>
      <c r="AI442" s="89">
        <f t="shared" si="128"/>
        <v>12335.642</v>
      </c>
      <c r="AJ442" s="91">
        <v>0.18</v>
      </c>
      <c r="AK442" s="5">
        <f t="shared" si="129"/>
        <v>2220.4155599999999</v>
      </c>
      <c r="AL442" s="89">
        <f t="shared" si="130"/>
        <v>14556.057559999999</v>
      </c>
      <c r="AP442" s="7"/>
    </row>
    <row r="443" spans="1:42" hidden="1" x14ac:dyDescent="0.35">
      <c r="A443" s="85">
        <v>46216</v>
      </c>
      <c r="B443" s="51" t="s">
        <v>85</v>
      </c>
      <c r="C443" s="97">
        <v>61123995.678571403</v>
      </c>
      <c r="D443" s="97">
        <v>87119.5</v>
      </c>
      <c r="E443" s="48" t="s">
        <v>86</v>
      </c>
      <c r="F443" s="94" t="s">
        <v>109</v>
      </c>
      <c r="G443" s="94" t="s">
        <v>431</v>
      </c>
      <c r="H443" s="94" t="s">
        <v>433</v>
      </c>
      <c r="I443" s="94" t="s">
        <v>434</v>
      </c>
      <c r="J443" s="52">
        <v>10</v>
      </c>
      <c r="K443" s="52"/>
      <c r="L443" s="52"/>
      <c r="M443" s="52"/>
      <c r="N443" s="104">
        <f t="shared" si="117"/>
        <v>0</v>
      </c>
      <c r="O443" s="52">
        <v>15</v>
      </c>
      <c r="P443" s="52">
        <v>10</v>
      </c>
      <c r="Q443" s="52">
        <v>15</v>
      </c>
      <c r="R443" s="104">
        <f t="shared" si="116"/>
        <v>40</v>
      </c>
      <c r="S443" s="86">
        <f t="shared" si="118"/>
        <v>50</v>
      </c>
      <c r="AB443" s="88">
        <v>39.270000000000003</v>
      </c>
      <c r="AC443" s="88">
        <v>52.462499999999999</v>
      </c>
      <c r="AD443" s="88">
        <v>72.64</v>
      </c>
      <c r="AE443" s="89">
        <f t="shared" si="125"/>
        <v>4024.7</v>
      </c>
      <c r="AF443" s="90">
        <v>6.5000000000000002E-2</v>
      </c>
      <c r="AG443" s="4">
        <f t="shared" si="126"/>
        <v>261.60550000000001</v>
      </c>
      <c r="AH443" s="49">
        <f t="shared" si="127"/>
        <v>13.744500000000002</v>
      </c>
      <c r="AI443" s="89">
        <f t="shared" si="128"/>
        <v>3763.0944999999997</v>
      </c>
      <c r="AJ443" s="91">
        <v>0.18</v>
      </c>
      <c r="AK443" s="5">
        <f t="shared" si="129"/>
        <v>677.35700999999995</v>
      </c>
      <c r="AL443" s="89">
        <f t="shared" si="130"/>
        <v>4440.4515099999999</v>
      </c>
      <c r="AP443" s="7"/>
    </row>
    <row r="444" spans="1:42" hidden="1" x14ac:dyDescent="0.35">
      <c r="A444" s="85">
        <v>46216</v>
      </c>
      <c r="B444" s="51" t="s">
        <v>85</v>
      </c>
      <c r="C444" s="97">
        <v>61123995.678571403</v>
      </c>
      <c r="D444" s="97">
        <v>87119.5</v>
      </c>
      <c r="E444" s="48" t="s">
        <v>86</v>
      </c>
      <c r="F444" s="94" t="s">
        <v>109</v>
      </c>
      <c r="G444" s="94" t="s">
        <v>436</v>
      </c>
      <c r="H444" s="94" t="s">
        <v>435</v>
      </c>
      <c r="I444" s="94" t="s">
        <v>273</v>
      </c>
      <c r="J444" s="52"/>
      <c r="K444" s="52"/>
      <c r="L444" s="52"/>
      <c r="M444" s="52"/>
      <c r="N444" s="104">
        <f t="shared" si="117"/>
        <v>0</v>
      </c>
      <c r="O444" s="52"/>
      <c r="P444" s="52"/>
      <c r="Q444" s="52">
        <v>10</v>
      </c>
      <c r="R444" s="104">
        <f t="shared" si="116"/>
        <v>10</v>
      </c>
      <c r="S444" s="86">
        <f t="shared" si="118"/>
        <v>10</v>
      </c>
      <c r="AB444" s="88">
        <v>39.270000000000003</v>
      </c>
      <c r="AC444" s="88">
        <v>52.462499999999999</v>
      </c>
      <c r="AD444" s="88">
        <v>72.64</v>
      </c>
      <c r="AE444" s="89">
        <f t="shared" si="125"/>
        <v>726.4</v>
      </c>
      <c r="AF444" s="90">
        <v>6.5000000000000002E-2</v>
      </c>
      <c r="AG444" s="4">
        <f t="shared" si="126"/>
        <v>47.216000000000001</v>
      </c>
      <c r="AH444" s="49">
        <f t="shared" si="127"/>
        <v>0</v>
      </c>
      <c r="AI444" s="89">
        <f t="shared" si="128"/>
        <v>679.18399999999997</v>
      </c>
      <c r="AJ444" s="91">
        <v>0.18</v>
      </c>
      <c r="AK444" s="5">
        <f t="shared" si="129"/>
        <v>122.25312</v>
      </c>
      <c r="AL444" s="89">
        <f t="shared" si="130"/>
        <v>801.43711999999994</v>
      </c>
      <c r="AP444" s="7"/>
    </row>
    <row r="445" spans="1:42" hidden="1" x14ac:dyDescent="0.35">
      <c r="A445" s="85">
        <v>46216</v>
      </c>
      <c r="B445" s="51" t="s">
        <v>85</v>
      </c>
      <c r="C445" s="97">
        <v>61123995.678571403</v>
      </c>
      <c r="D445" s="97">
        <v>87119.5</v>
      </c>
      <c r="E445" s="48" t="s">
        <v>86</v>
      </c>
      <c r="F445" s="94" t="s">
        <v>109</v>
      </c>
      <c r="G445" s="94" t="s">
        <v>267</v>
      </c>
      <c r="H445" s="94" t="s">
        <v>435</v>
      </c>
      <c r="I445" s="94" t="s">
        <v>273</v>
      </c>
      <c r="J445" s="52"/>
      <c r="K445" s="52"/>
      <c r="L445" s="52"/>
      <c r="M445" s="52"/>
      <c r="N445" s="104">
        <f t="shared" si="117"/>
        <v>0</v>
      </c>
      <c r="O445" s="52"/>
      <c r="P445" s="52"/>
      <c r="Q445" s="52">
        <v>10</v>
      </c>
      <c r="R445" s="104">
        <f t="shared" si="116"/>
        <v>10</v>
      </c>
      <c r="S445" s="86">
        <f t="shared" si="118"/>
        <v>10</v>
      </c>
      <c r="AB445" s="88">
        <v>39.270000000000003</v>
      </c>
      <c r="AC445" s="88">
        <v>52.462499999999999</v>
      </c>
      <c r="AD445" s="88">
        <v>72.64</v>
      </c>
      <c r="AE445" s="89">
        <f t="shared" si="125"/>
        <v>726.4</v>
      </c>
      <c r="AF445" s="90">
        <v>6.5000000000000002E-2</v>
      </c>
      <c r="AG445" s="4">
        <f t="shared" si="126"/>
        <v>47.216000000000001</v>
      </c>
      <c r="AH445" s="49">
        <f t="shared" si="127"/>
        <v>0</v>
      </c>
      <c r="AI445" s="89">
        <f t="shared" si="128"/>
        <v>679.18399999999997</v>
      </c>
      <c r="AJ445" s="91">
        <v>0.18</v>
      </c>
      <c r="AK445" s="5">
        <f t="shared" si="129"/>
        <v>122.25312</v>
      </c>
      <c r="AL445" s="89">
        <f t="shared" si="130"/>
        <v>801.43711999999994</v>
      </c>
      <c r="AP445" s="7"/>
    </row>
    <row r="446" spans="1:42" hidden="1" x14ac:dyDescent="0.35">
      <c r="A446" s="85">
        <v>46216</v>
      </c>
      <c r="B446" s="51" t="s">
        <v>85</v>
      </c>
      <c r="C446" s="97">
        <v>61123995.678571403</v>
      </c>
      <c r="D446" s="97">
        <v>87119.5</v>
      </c>
      <c r="E446" s="48" t="s">
        <v>86</v>
      </c>
      <c r="F446" s="94" t="s">
        <v>109</v>
      </c>
      <c r="G446" s="94" t="s">
        <v>437</v>
      </c>
      <c r="H446" s="94" t="s">
        <v>435</v>
      </c>
      <c r="I446" s="94" t="s">
        <v>273</v>
      </c>
      <c r="J446" s="52">
        <v>40</v>
      </c>
      <c r="K446" s="52">
        <v>23</v>
      </c>
      <c r="L446" s="52"/>
      <c r="M446" s="52"/>
      <c r="N446" s="104">
        <f t="shared" si="117"/>
        <v>23</v>
      </c>
      <c r="O446" s="52">
        <v>40</v>
      </c>
      <c r="P446" s="52">
        <v>40</v>
      </c>
      <c r="Q446" s="52">
        <v>40</v>
      </c>
      <c r="R446" s="104">
        <f t="shared" si="116"/>
        <v>120</v>
      </c>
      <c r="S446" s="86">
        <f t="shared" si="118"/>
        <v>183</v>
      </c>
      <c r="AB446" s="88">
        <v>39.270000000000003</v>
      </c>
      <c r="AC446" s="88">
        <v>52.462499999999999</v>
      </c>
      <c r="AD446" s="88">
        <v>72.64</v>
      </c>
      <c r="AE446" s="89">
        <f t="shared" si="125"/>
        <v>16070.557500000001</v>
      </c>
      <c r="AF446" s="90">
        <v>6.5000000000000002E-2</v>
      </c>
      <c r="AG446" s="4">
        <f t="shared" si="126"/>
        <v>1044.5862375000002</v>
      </c>
      <c r="AH446" s="49">
        <f t="shared" si="127"/>
        <v>54.978000000000009</v>
      </c>
      <c r="AI446" s="89">
        <f t="shared" si="128"/>
        <v>15025.971262500001</v>
      </c>
      <c r="AJ446" s="91">
        <v>0.18</v>
      </c>
      <c r="AK446" s="5">
        <f t="shared" si="129"/>
        <v>2704.6748272499999</v>
      </c>
      <c r="AL446" s="89">
        <f t="shared" si="130"/>
        <v>17730.64608975</v>
      </c>
      <c r="AP446" s="7"/>
    </row>
    <row r="447" spans="1:42" hidden="1" x14ac:dyDescent="0.35">
      <c r="A447" s="85">
        <v>46216</v>
      </c>
      <c r="B447" s="51" t="s">
        <v>85</v>
      </c>
      <c r="C447" s="97">
        <v>61123995.678571403</v>
      </c>
      <c r="D447" s="97">
        <v>87119.5</v>
      </c>
      <c r="E447" s="48" t="s">
        <v>86</v>
      </c>
      <c r="F447" s="94" t="s">
        <v>108</v>
      </c>
      <c r="G447" s="94" t="s">
        <v>438</v>
      </c>
      <c r="H447" s="94" t="s">
        <v>435</v>
      </c>
      <c r="I447" s="94" t="s">
        <v>273</v>
      </c>
      <c r="J447" s="52"/>
      <c r="K447" s="52"/>
      <c r="L447" s="52"/>
      <c r="M447" s="52"/>
      <c r="N447" s="104">
        <f t="shared" si="117"/>
        <v>0</v>
      </c>
      <c r="O447" s="52"/>
      <c r="P447" s="52"/>
      <c r="Q447" s="52">
        <v>40</v>
      </c>
      <c r="R447" s="104">
        <f t="shared" si="116"/>
        <v>40</v>
      </c>
      <c r="S447" s="86">
        <f t="shared" si="118"/>
        <v>40</v>
      </c>
      <c r="AB447" s="88">
        <v>39.270000000000003</v>
      </c>
      <c r="AC447" s="88">
        <v>52.462499999999999</v>
      </c>
      <c r="AD447" s="88">
        <v>72.64</v>
      </c>
      <c r="AE447" s="89">
        <f t="shared" si="125"/>
        <v>2905.6</v>
      </c>
      <c r="AF447" s="90">
        <v>6.5000000000000002E-2</v>
      </c>
      <c r="AG447" s="4">
        <f t="shared" si="126"/>
        <v>188.864</v>
      </c>
      <c r="AH447" s="49">
        <f t="shared" si="127"/>
        <v>0</v>
      </c>
      <c r="AI447" s="89">
        <f t="shared" si="128"/>
        <v>2716.7359999999999</v>
      </c>
      <c r="AJ447" s="91">
        <v>0.18</v>
      </c>
      <c r="AK447" s="5">
        <f t="shared" si="129"/>
        <v>489.01247999999998</v>
      </c>
      <c r="AL447" s="89">
        <f t="shared" si="130"/>
        <v>3205.7484799999997</v>
      </c>
      <c r="AP447" s="7"/>
    </row>
    <row r="448" spans="1:42" hidden="1" x14ac:dyDescent="0.35">
      <c r="A448" s="85">
        <v>46216</v>
      </c>
      <c r="B448" s="51" t="s">
        <v>85</v>
      </c>
      <c r="C448" s="97">
        <v>61123995.678571403</v>
      </c>
      <c r="D448" s="97">
        <v>87119.5</v>
      </c>
      <c r="E448" s="48" t="s">
        <v>86</v>
      </c>
      <c r="F448" s="94" t="s">
        <v>108</v>
      </c>
      <c r="G448" s="94" t="s">
        <v>177</v>
      </c>
      <c r="H448" s="94" t="s">
        <v>435</v>
      </c>
      <c r="I448" s="94" t="s">
        <v>273</v>
      </c>
      <c r="J448" s="52">
        <v>20</v>
      </c>
      <c r="K448" s="52">
        <v>20</v>
      </c>
      <c r="L448" s="52">
        <v>20</v>
      </c>
      <c r="M448" s="52"/>
      <c r="N448" s="104">
        <f t="shared" si="117"/>
        <v>40</v>
      </c>
      <c r="O448" s="52">
        <v>15</v>
      </c>
      <c r="P448" s="52">
        <v>10</v>
      </c>
      <c r="Q448" s="52">
        <v>15</v>
      </c>
      <c r="R448" s="104">
        <f t="shared" si="116"/>
        <v>40</v>
      </c>
      <c r="S448" s="86">
        <f t="shared" si="118"/>
        <v>100</v>
      </c>
      <c r="AB448" s="88">
        <v>39.270000000000003</v>
      </c>
      <c r="AC448" s="88">
        <v>52.462499999999999</v>
      </c>
      <c r="AD448" s="88">
        <v>72.64</v>
      </c>
      <c r="AE448" s="89">
        <f t="shared" si="125"/>
        <v>10147.9</v>
      </c>
      <c r="AF448" s="90">
        <v>6.5000000000000002E-2</v>
      </c>
      <c r="AG448" s="4">
        <f t="shared" si="126"/>
        <v>659.61350000000004</v>
      </c>
      <c r="AH448" s="49">
        <f t="shared" si="127"/>
        <v>27.489000000000004</v>
      </c>
      <c r="AI448" s="89">
        <f t="shared" si="128"/>
        <v>9488.2865000000002</v>
      </c>
      <c r="AJ448" s="91">
        <v>0.18</v>
      </c>
      <c r="AK448" s="5">
        <f t="shared" si="129"/>
        <v>1707.89157</v>
      </c>
      <c r="AL448" s="89">
        <f t="shared" si="130"/>
        <v>11196.17807</v>
      </c>
      <c r="AP448" s="7"/>
    </row>
    <row r="449" spans="1:42" hidden="1" x14ac:dyDescent="0.35">
      <c r="A449" s="85">
        <v>46216</v>
      </c>
      <c r="B449" s="51" t="s">
        <v>85</v>
      </c>
      <c r="C449" s="97">
        <v>61123995.678571403</v>
      </c>
      <c r="D449" s="97">
        <v>87119.5</v>
      </c>
      <c r="E449" s="48" t="s">
        <v>86</v>
      </c>
      <c r="F449" s="94" t="s">
        <v>109</v>
      </c>
      <c r="G449" s="94" t="s">
        <v>439</v>
      </c>
      <c r="H449" s="94" t="s">
        <v>435</v>
      </c>
      <c r="I449" s="94" t="s">
        <v>273</v>
      </c>
      <c r="J449" s="52">
        <v>15</v>
      </c>
      <c r="K449" s="52">
        <v>10</v>
      </c>
      <c r="L449" s="52">
        <v>10</v>
      </c>
      <c r="M449" s="52"/>
      <c r="N449" s="104">
        <f t="shared" si="117"/>
        <v>20</v>
      </c>
      <c r="O449" s="52">
        <v>15</v>
      </c>
      <c r="P449" s="52">
        <v>10</v>
      </c>
      <c r="Q449" s="52">
        <v>15</v>
      </c>
      <c r="R449" s="104">
        <f t="shared" si="116"/>
        <v>40</v>
      </c>
      <c r="S449" s="86">
        <f t="shared" si="118"/>
        <v>75</v>
      </c>
      <c r="AB449" s="88">
        <v>39.270000000000003</v>
      </c>
      <c r="AC449" s="88">
        <v>52.462499999999999</v>
      </c>
      <c r="AD449" s="88">
        <v>72.64</v>
      </c>
      <c r="AE449" s="89">
        <f t="shared" si="125"/>
        <v>7086.3</v>
      </c>
      <c r="AF449" s="90">
        <v>6.5000000000000002E-2</v>
      </c>
      <c r="AG449" s="4">
        <f t="shared" si="126"/>
        <v>460.60950000000003</v>
      </c>
      <c r="AH449" s="49">
        <f t="shared" si="127"/>
        <v>20.616750000000003</v>
      </c>
      <c r="AI449" s="89">
        <f t="shared" si="128"/>
        <v>6625.6905000000006</v>
      </c>
      <c r="AJ449" s="91">
        <v>0.18</v>
      </c>
      <c r="AK449" s="5">
        <f t="shared" si="129"/>
        <v>1192.62429</v>
      </c>
      <c r="AL449" s="89">
        <f t="shared" si="130"/>
        <v>7818.3147900000004</v>
      </c>
      <c r="AP449" s="7"/>
    </row>
    <row r="450" spans="1:42" hidden="1" x14ac:dyDescent="0.35">
      <c r="A450" s="85">
        <v>46216</v>
      </c>
      <c r="B450" s="51" t="s">
        <v>85</v>
      </c>
      <c r="C450" s="97">
        <v>61123995.678571403</v>
      </c>
      <c r="D450" s="97">
        <v>87119.5</v>
      </c>
      <c r="E450" s="48" t="s">
        <v>86</v>
      </c>
      <c r="F450" s="94" t="s">
        <v>108</v>
      </c>
      <c r="G450" s="94" t="s">
        <v>270</v>
      </c>
      <c r="H450" s="94" t="s">
        <v>435</v>
      </c>
      <c r="I450" s="94" t="s">
        <v>273</v>
      </c>
      <c r="J450" s="52"/>
      <c r="K450" s="52"/>
      <c r="L450" s="52"/>
      <c r="M450" s="52"/>
      <c r="N450" s="104">
        <f t="shared" si="117"/>
        <v>0</v>
      </c>
      <c r="O450" s="52">
        <v>10</v>
      </c>
      <c r="P450" s="52"/>
      <c r="Q450" s="52"/>
      <c r="R450" s="104">
        <f t="shared" si="116"/>
        <v>10</v>
      </c>
      <c r="S450" s="86">
        <f t="shared" si="118"/>
        <v>10</v>
      </c>
      <c r="AB450" s="88">
        <v>39.270000000000003</v>
      </c>
      <c r="AC450" s="88">
        <v>52.462499999999999</v>
      </c>
      <c r="AD450" s="88">
        <v>72.64</v>
      </c>
      <c r="AE450" s="89">
        <f t="shared" si="125"/>
        <v>726.4</v>
      </c>
      <c r="AF450" s="90">
        <v>6.5000000000000002E-2</v>
      </c>
      <c r="AG450" s="4">
        <f t="shared" si="126"/>
        <v>47.216000000000001</v>
      </c>
      <c r="AH450" s="49">
        <f t="shared" si="127"/>
        <v>0</v>
      </c>
      <c r="AI450" s="89">
        <f t="shared" si="128"/>
        <v>679.18399999999997</v>
      </c>
      <c r="AJ450" s="91">
        <v>0.18</v>
      </c>
      <c r="AK450" s="5">
        <f t="shared" si="129"/>
        <v>122.25312</v>
      </c>
      <c r="AL450" s="89">
        <f t="shared" si="130"/>
        <v>801.43711999999994</v>
      </c>
      <c r="AP450" s="7"/>
    </row>
    <row r="451" spans="1:42" hidden="1" x14ac:dyDescent="0.35">
      <c r="A451" s="85">
        <v>46216</v>
      </c>
      <c r="B451" s="51" t="s">
        <v>85</v>
      </c>
      <c r="C451" s="97">
        <v>61123995.678571403</v>
      </c>
      <c r="D451" s="97">
        <v>87119.5</v>
      </c>
      <c r="E451" s="48" t="s">
        <v>86</v>
      </c>
      <c r="F451" s="94" t="s">
        <v>108</v>
      </c>
      <c r="G451" s="94" t="s">
        <v>440</v>
      </c>
      <c r="H451" s="94" t="s">
        <v>435</v>
      </c>
      <c r="I451" s="94" t="s">
        <v>273</v>
      </c>
      <c r="J451" s="52">
        <v>80</v>
      </c>
      <c r="K451" s="52"/>
      <c r="L451" s="52"/>
      <c r="M451" s="52"/>
      <c r="N451" s="104">
        <f t="shared" si="117"/>
        <v>0</v>
      </c>
      <c r="O451" s="52">
        <v>120</v>
      </c>
      <c r="P451" s="52">
        <v>40</v>
      </c>
      <c r="Q451" s="52">
        <v>160</v>
      </c>
      <c r="R451" s="104">
        <f t="shared" si="116"/>
        <v>320</v>
      </c>
      <c r="S451" s="86">
        <f t="shared" si="118"/>
        <v>400</v>
      </c>
      <c r="AB451" s="88">
        <v>39.270000000000003</v>
      </c>
      <c r="AC451" s="88">
        <v>52.462499999999999</v>
      </c>
      <c r="AD451" s="88">
        <v>72.64</v>
      </c>
      <c r="AE451" s="89">
        <f t="shared" si="125"/>
        <v>32197.599999999999</v>
      </c>
      <c r="AF451" s="90">
        <v>6.5000000000000002E-2</v>
      </c>
      <c r="AG451" s="4">
        <f t="shared" si="126"/>
        <v>2092.8440000000001</v>
      </c>
      <c r="AH451" s="49">
        <f t="shared" si="127"/>
        <v>109.95600000000002</v>
      </c>
      <c r="AI451" s="89">
        <f t="shared" si="128"/>
        <v>30104.755999999998</v>
      </c>
      <c r="AJ451" s="91">
        <v>0.18</v>
      </c>
      <c r="AK451" s="5">
        <f t="shared" si="129"/>
        <v>5418.8560799999996</v>
      </c>
      <c r="AL451" s="89">
        <f t="shared" si="130"/>
        <v>35523.612079999999</v>
      </c>
      <c r="AP451" s="7"/>
    </row>
    <row r="452" spans="1:42" x14ac:dyDescent="0.35">
      <c r="A452" s="85">
        <v>46216</v>
      </c>
      <c r="B452" s="51" t="s">
        <v>85</v>
      </c>
      <c r="C452" s="97">
        <v>61123995.678571403</v>
      </c>
      <c r="D452" s="97">
        <v>87119.5</v>
      </c>
      <c r="E452" s="48" t="s">
        <v>86</v>
      </c>
      <c r="F452" s="94" t="s">
        <v>87</v>
      </c>
      <c r="G452" s="94" t="s">
        <v>441</v>
      </c>
      <c r="H452" s="94" t="s">
        <v>89</v>
      </c>
      <c r="I452" s="94" t="s">
        <v>445</v>
      </c>
      <c r="J452" s="52"/>
      <c r="K452" s="52">
        <v>20</v>
      </c>
      <c r="L452" s="52">
        <v>80</v>
      </c>
      <c r="M452" s="52"/>
      <c r="N452" s="104">
        <f t="shared" si="117"/>
        <v>100</v>
      </c>
      <c r="O452" s="52">
        <v>20</v>
      </c>
      <c r="P452" s="52">
        <v>80</v>
      </c>
      <c r="Q452" s="52">
        <v>80</v>
      </c>
      <c r="R452" s="104">
        <f t="shared" ref="R452:R515" si="131">SUM(O452:Q452)</f>
        <v>180</v>
      </c>
      <c r="S452" s="86">
        <f t="shared" si="118"/>
        <v>280</v>
      </c>
      <c r="AB452" s="88">
        <v>39.270000000000003</v>
      </c>
      <c r="AC452" s="88">
        <v>52.462499999999999</v>
      </c>
      <c r="AD452" s="88">
        <v>72.64</v>
      </c>
      <c r="AE452" s="89">
        <f t="shared" si="125"/>
        <v>25585.45</v>
      </c>
      <c r="AF452" s="90">
        <v>6.5000000000000002E-2</v>
      </c>
      <c r="AG452" s="4">
        <f t="shared" si="126"/>
        <v>1663.0542500000001</v>
      </c>
      <c r="AH452" s="49">
        <f t="shared" si="127"/>
        <v>0</v>
      </c>
      <c r="AI452" s="89">
        <f t="shared" si="128"/>
        <v>23922.39575</v>
      </c>
      <c r="AJ452" s="91">
        <v>0.18</v>
      </c>
      <c r="AK452" s="5">
        <f t="shared" si="129"/>
        <v>4306.0312349999995</v>
      </c>
      <c r="AL452" s="89">
        <f t="shared" si="130"/>
        <v>28228.426984999998</v>
      </c>
      <c r="AP452" s="7"/>
    </row>
    <row r="453" spans="1:42" x14ac:dyDescent="0.35">
      <c r="A453" s="85">
        <v>46216</v>
      </c>
      <c r="B453" s="51" t="s">
        <v>85</v>
      </c>
      <c r="C453" s="97">
        <v>61123995.678571403</v>
      </c>
      <c r="D453" s="97">
        <v>87119.5</v>
      </c>
      <c r="E453" s="48" t="s">
        <v>86</v>
      </c>
      <c r="F453" s="94" t="s">
        <v>87</v>
      </c>
      <c r="G453" s="94" t="s">
        <v>442</v>
      </c>
      <c r="H453" s="94" t="s">
        <v>89</v>
      </c>
      <c r="I453" s="94" t="s">
        <v>446</v>
      </c>
      <c r="J453" s="52"/>
      <c r="K453" s="52"/>
      <c r="L453" s="52"/>
      <c r="M453" s="52"/>
      <c r="N453" s="104">
        <f t="shared" ref="N453:N516" si="132">K453+L453+M453</f>
        <v>0</v>
      </c>
      <c r="O453" s="52">
        <v>200</v>
      </c>
      <c r="P453" s="52"/>
      <c r="Q453" s="52"/>
      <c r="R453" s="104">
        <f t="shared" si="131"/>
        <v>200</v>
      </c>
      <c r="S453" s="86">
        <f t="shared" ref="S453:S516" si="133">R453+N453+J453</f>
        <v>200</v>
      </c>
      <c r="AB453" s="88">
        <v>39.270000000000003</v>
      </c>
      <c r="AC453" s="88">
        <v>52.462499999999999</v>
      </c>
      <c r="AD453" s="88">
        <v>72.64</v>
      </c>
      <c r="AE453" s="89">
        <f t="shared" si="125"/>
        <v>14528</v>
      </c>
      <c r="AF453" s="90">
        <v>6.5000000000000002E-2</v>
      </c>
      <c r="AG453" s="4">
        <f t="shared" si="126"/>
        <v>944.32</v>
      </c>
      <c r="AH453" s="49">
        <f t="shared" si="127"/>
        <v>0</v>
      </c>
      <c r="AI453" s="89">
        <f t="shared" si="128"/>
        <v>13583.68</v>
      </c>
      <c r="AJ453" s="91">
        <v>0.18</v>
      </c>
      <c r="AK453" s="5">
        <f t="shared" si="129"/>
        <v>2445.0623999999998</v>
      </c>
      <c r="AL453" s="89">
        <f t="shared" si="130"/>
        <v>16028.742399999999</v>
      </c>
      <c r="AP453" s="7"/>
    </row>
    <row r="454" spans="1:42" x14ac:dyDescent="0.35">
      <c r="A454" s="85">
        <v>46216</v>
      </c>
      <c r="B454" s="51" t="s">
        <v>85</v>
      </c>
      <c r="C454" s="97">
        <v>61123995.678571403</v>
      </c>
      <c r="D454" s="97">
        <v>87119.5</v>
      </c>
      <c r="E454" s="48" t="s">
        <v>86</v>
      </c>
      <c r="F454" s="94" t="s">
        <v>87</v>
      </c>
      <c r="G454" s="94" t="s">
        <v>443</v>
      </c>
      <c r="H454" s="94" t="s">
        <v>89</v>
      </c>
      <c r="I454" s="94" t="s">
        <v>447</v>
      </c>
      <c r="J454" s="52">
        <v>160</v>
      </c>
      <c r="K454" s="52">
        <v>120</v>
      </c>
      <c r="L454" s="52">
        <v>120</v>
      </c>
      <c r="M454" s="52"/>
      <c r="N454" s="104">
        <f t="shared" si="132"/>
        <v>240</v>
      </c>
      <c r="O454" s="52">
        <v>120</v>
      </c>
      <c r="P454" s="52">
        <v>120</v>
      </c>
      <c r="Q454" s="52">
        <v>200</v>
      </c>
      <c r="R454" s="104">
        <f t="shared" si="131"/>
        <v>440</v>
      </c>
      <c r="S454" s="86">
        <f t="shared" si="133"/>
        <v>840</v>
      </c>
      <c r="AB454" s="88">
        <v>39.270000000000003</v>
      </c>
      <c r="AC454" s="88">
        <v>52.462499999999999</v>
      </c>
      <c r="AD454" s="88">
        <v>72.64</v>
      </c>
      <c r="AE454" s="89">
        <f t="shared" si="125"/>
        <v>79891.8</v>
      </c>
      <c r="AF454" s="90">
        <v>6.5000000000000002E-2</v>
      </c>
      <c r="AG454" s="4">
        <f t="shared" si="126"/>
        <v>5192.9670000000006</v>
      </c>
      <c r="AH454" s="49">
        <f t="shared" si="127"/>
        <v>219.91200000000003</v>
      </c>
      <c r="AI454" s="89">
        <f t="shared" si="128"/>
        <v>74698.832999999999</v>
      </c>
      <c r="AJ454" s="91">
        <v>0.18</v>
      </c>
      <c r="AK454" s="5">
        <f t="shared" si="129"/>
        <v>13445.789939999999</v>
      </c>
      <c r="AL454" s="89">
        <f t="shared" si="130"/>
        <v>88144.622940000001</v>
      </c>
      <c r="AP454" s="7"/>
    </row>
    <row r="455" spans="1:42" x14ac:dyDescent="0.35">
      <c r="A455" s="85">
        <v>46216</v>
      </c>
      <c r="B455" s="51" t="s">
        <v>85</v>
      </c>
      <c r="C455" s="97">
        <v>61123995.678571403</v>
      </c>
      <c r="D455" s="97">
        <v>87119.5</v>
      </c>
      <c r="E455" s="48" t="s">
        <v>86</v>
      </c>
      <c r="F455" s="94" t="s">
        <v>87</v>
      </c>
      <c r="G455" s="94" t="s">
        <v>444</v>
      </c>
      <c r="H455" s="94" t="s">
        <v>89</v>
      </c>
      <c r="I455" s="94" t="s">
        <v>245</v>
      </c>
      <c r="J455" s="52">
        <v>80</v>
      </c>
      <c r="K455" s="52"/>
      <c r="L455" s="52"/>
      <c r="M455" s="52"/>
      <c r="N455" s="104">
        <f t="shared" si="132"/>
        <v>0</v>
      </c>
      <c r="O455" s="52">
        <v>80</v>
      </c>
      <c r="P455" s="52">
        <v>80</v>
      </c>
      <c r="Q455" s="52">
        <v>80</v>
      </c>
      <c r="R455" s="104">
        <f t="shared" si="131"/>
        <v>240</v>
      </c>
      <c r="S455" s="86">
        <f t="shared" si="133"/>
        <v>320</v>
      </c>
      <c r="AB455" s="88">
        <v>39.270000000000003</v>
      </c>
      <c r="AC455" s="88">
        <v>52.462499999999999</v>
      </c>
      <c r="AD455" s="88">
        <v>72.64</v>
      </c>
      <c r="AE455" s="89">
        <f t="shared" si="125"/>
        <v>26386.400000000001</v>
      </c>
      <c r="AF455" s="90">
        <v>6.5000000000000002E-2</v>
      </c>
      <c r="AG455" s="4">
        <f t="shared" si="126"/>
        <v>1715.1160000000002</v>
      </c>
      <c r="AH455" s="49">
        <f t="shared" si="127"/>
        <v>109.95600000000002</v>
      </c>
      <c r="AI455" s="89">
        <f t="shared" si="128"/>
        <v>24671.284</v>
      </c>
      <c r="AJ455" s="91">
        <v>0.18</v>
      </c>
      <c r="AK455" s="5">
        <f t="shared" si="129"/>
        <v>4440.8311199999998</v>
      </c>
      <c r="AL455" s="89">
        <f t="shared" si="130"/>
        <v>29112.115119999999</v>
      </c>
      <c r="AP455" s="7"/>
    </row>
    <row r="456" spans="1:42" x14ac:dyDescent="0.35">
      <c r="A456" s="85">
        <v>46216</v>
      </c>
      <c r="B456" s="51" t="s">
        <v>85</v>
      </c>
      <c r="C456" s="97">
        <v>61123995.678571403</v>
      </c>
      <c r="D456" s="97">
        <v>87119.5</v>
      </c>
      <c r="E456" s="48" t="s">
        <v>86</v>
      </c>
      <c r="F456" s="94" t="s">
        <v>87</v>
      </c>
      <c r="G456" s="94" t="s">
        <v>411</v>
      </c>
      <c r="H456" s="94" t="s">
        <v>89</v>
      </c>
      <c r="I456" s="94" t="s">
        <v>448</v>
      </c>
      <c r="J456" s="52"/>
      <c r="K456" s="52"/>
      <c r="L456" s="52"/>
      <c r="M456" s="52"/>
      <c r="N456" s="104">
        <f t="shared" si="132"/>
        <v>0</v>
      </c>
      <c r="O456" s="52">
        <v>40</v>
      </c>
      <c r="P456" s="52">
        <v>40</v>
      </c>
      <c r="Q456" s="52">
        <v>80</v>
      </c>
      <c r="R456" s="104">
        <f t="shared" si="131"/>
        <v>160</v>
      </c>
      <c r="S456" s="86">
        <f t="shared" si="133"/>
        <v>160</v>
      </c>
      <c r="AB456" s="88">
        <v>39.270000000000003</v>
      </c>
      <c r="AC456" s="88">
        <v>52.462499999999999</v>
      </c>
      <c r="AD456" s="88">
        <v>72.64</v>
      </c>
      <c r="AE456" s="89">
        <f t="shared" si="125"/>
        <v>11622.4</v>
      </c>
      <c r="AF456" s="90">
        <v>6.5000000000000002E-2</v>
      </c>
      <c r="AG456" s="4">
        <f t="shared" si="126"/>
        <v>755.45600000000002</v>
      </c>
      <c r="AH456" s="49">
        <f t="shared" si="127"/>
        <v>0</v>
      </c>
      <c r="AI456" s="89">
        <f t="shared" si="128"/>
        <v>10866.944</v>
      </c>
      <c r="AJ456" s="91">
        <v>0.18</v>
      </c>
      <c r="AK456" s="5">
        <f t="shared" si="129"/>
        <v>1956.0499199999999</v>
      </c>
      <c r="AL456" s="89">
        <f t="shared" si="130"/>
        <v>12822.993919999999</v>
      </c>
      <c r="AP456" s="7"/>
    </row>
    <row r="457" spans="1:42" x14ac:dyDescent="0.35">
      <c r="A457" s="85">
        <v>46216</v>
      </c>
      <c r="B457" s="51" t="s">
        <v>85</v>
      </c>
      <c r="C457" s="97">
        <v>61123995.678571403</v>
      </c>
      <c r="D457" s="97">
        <v>87119.5</v>
      </c>
      <c r="E457" s="48" t="s">
        <v>86</v>
      </c>
      <c r="F457" s="94" t="s">
        <v>87</v>
      </c>
      <c r="G457" s="94" t="s">
        <v>450</v>
      </c>
      <c r="H457" s="94" t="s">
        <v>89</v>
      </c>
      <c r="I457" s="94" t="s">
        <v>449</v>
      </c>
      <c r="J457" s="52"/>
      <c r="K457" s="52"/>
      <c r="L457" s="52">
        <v>80</v>
      </c>
      <c r="M457" s="52"/>
      <c r="N457" s="104">
        <f t="shared" si="132"/>
        <v>80</v>
      </c>
      <c r="O457" s="52">
        <v>40</v>
      </c>
      <c r="P457" s="52"/>
      <c r="Q457" s="52">
        <v>40</v>
      </c>
      <c r="R457" s="104">
        <f t="shared" si="131"/>
        <v>80</v>
      </c>
      <c r="S457" s="86">
        <f t="shared" si="133"/>
        <v>160</v>
      </c>
      <c r="AB457" s="88">
        <v>39.270000000000003</v>
      </c>
      <c r="AC457" s="88">
        <v>52.462499999999999</v>
      </c>
      <c r="AD457" s="88">
        <v>72.64</v>
      </c>
      <c r="AE457" s="89">
        <f t="shared" si="125"/>
        <v>15819.4</v>
      </c>
      <c r="AF457" s="90">
        <v>6.5000000000000002E-2</v>
      </c>
      <c r="AG457" s="4">
        <f t="shared" si="126"/>
        <v>1028.261</v>
      </c>
      <c r="AH457" s="49">
        <f t="shared" si="127"/>
        <v>0</v>
      </c>
      <c r="AI457" s="89">
        <f t="shared" si="128"/>
        <v>14791.138999999999</v>
      </c>
      <c r="AJ457" s="91">
        <v>0.18</v>
      </c>
      <c r="AK457" s="5">
        <f t="shared" si="129"/>
        <v>2662.4050199999997</v>
      </c>
      <c r="AL457" s="89">
        <f t="shared" si="130"/>
        <v>17453.544019999998</v>
      </c>
      <c r="AP457" s="7"/>
    </row>
    <row r="458" spans="1:42" x14ac:dyDescent="0.35">
      <c r="A458" s="85">
        <v>46217</v>
      </c>
      <c r="B458" s="51" t="s">
        <v>85</v>
      </c>
      <c r="C458" s="97">
        <v>61123995.678571403</v>
      </c>
      <c r="D458" s="97">
        <v>87119.5</v>
      </c>
      <c r="E458" s="48" t="s">
        <v>86</v>
      </c>
      <c r="F458" s="94" t="s">
        <v>87</v>
      </c>
      <c r="G458" s="94" t="s">
        <v>452</v>
      </c>
      <c r="H458" s="94" t="s">
        <v>89</v>
      </c>
      <c r="I458" s="94" t="s">
        <v>451</v>
      </c>
      <c r="J458" s="52"/>
      <c r="K458" s="52">
        <v>120</v>
      </c>
      <c r="L458" s="52"/>
      <c r="M458" s="52"/>
      <c r="N458" s="104">
        <f t="shared" si="132"/>
        <v>120</v>
      </c>
      <c r="O458" s="52">
        <v>360</v>
      </c>
      <c r="P458" s="52">
        <v>600</v>
      </c>
      <c r="Q458" s="52">
        <v>320</v>
      </c>
      <c r="R458" s="104">
        <f t="shared" si="131"/>
        <v>1280</v>
      </c>
      <c r="S458" s="86">
        <f t="shared" si="133"/>
        <v>1400</v>
      </c>
      <c r="AB458" s="88">
        <v>39.270000000000003</v>
      </c>
      <c r="AC458" s="88">
        <v>52.462499999999999</v>
      </c>
      <c r="AD458" s="88">
        <v>72.64</v>
      </c>
      <c r="AE458" s="89">
        <f t="shared" si="125"/>
        <v>107991.5</v>
      </c>
      <c r="AF458" s="90">
        <v>6.5000000000000002E-2</v>
      </c>
      <c r="AG458" s="4">
        <f t="shared" si="126"/>
        <v>7019.4475000000002</v>
      </c>
      <c r="AH458" s="49">
        <f t="shared" si="127"/>
        <v>0</v>
      </c>
      <c r="AI458" s="89">
        <f t="shared" si="128"/>
        <v>100972.05250000001</v>
      </c>
      <c r="AJ458" s="91">
        <v>0.18</v>
      </c>
      <c r="AK458" s="5">
        <f t="shared" si="129"/>
        <v>18174.969450000001</v>
      </c>
      <c r="AL458" s="89">
        <f t="shared" si="130"/>
        <v>119147.02195000001</v>
      </c>
      <c r="AP458" s="7"/>
    </row>
    <row r="459" spans="1:42" hidden="1" x14ac:dyDescent="0.35">
      <c r="A459" s="85">
        <v>46217</v>
      </c>
      <c r="B459" s="51" t="s">
        <v>85</v>
      </c>
      <c r="C459" s="97">
        <v>61123995.678571403</v>
      </c>
      <c r="D459" s="97">
        <v>87119.5</v>
      </c>
      <c r="E459" s="48" t="s">
        <v>86</v>
      </c>
      <c r="F459" s="94" t="s">
        <v>108</v>
      </c>
      <c r="G459" s="94" t="s">
        <v>453</v>
      </c>
      <c r="H459" s="94" t="s">
        <v>460</v>
      </c>
      <c r="I459" s="94" t="s">
        <v>461</v>
      </c>
      <c r="J459" s="52">
        <v>12</v>
      </c>
      <c r="K459" s="52">
        <v>12</v>
      </c>
      <c r="L459" s="52"/>
      <c r="M459" s="52"/>
      <c r="N459" s="104">
        <f t="shared" si="132"/>
        <v>12</v>
      </c>
      <c r="O459" s="52"/>
      <c r="P459" s="52"/>
      <c r="Q459" s="52"/>
      <c r="R459" s="104">
        <f t="shared" si="131"/>
        <v>0</v>
      </c>
      <c r="S459" s="86">
        <f t="shared" si="133"/>
        <v>24</v>
      </c>
      <c r="AB459" s="88">
        <v>39.270000000000003</v>
      </c>
      <c r="AC459" s="88">
        <v>52.462499999999999</v>
      </c>
      <c r="AD459" s="88">
        <v>72.64</v>
      </c>
      <c r="AE459" s="89">
        <f t="shared" si="125"/>
        <v>2844.15</v>
      </c>
      <c r="AF459" s="90">
        <v>6.5000000000000002E-2</v>
      </c>
      <c r="AG459" s="4">
        <f t="shared" si="126"/>
        <v>184.86975000000001</v>
      </c>
      <c r="AH459" s="49">
        <f t="shared" si="127"/>
        <v>16.493400000000001</v>
      </c>
      <c r="AI459" s="89">
        <f t="shared" si="128"/>
        <v>2659.2802500000003</v>
      </c>
      <c r="AJ459" s="91">
        <v>0.18</v>
      </c>
      <c r="AK459" s="5">
        <f t="shared" si="129"/>
        <v>478.67044500000003</v>
      </c>
      <c r="AL459" s="89">
        <f t="shared" si="130"/>
        <v>3137.9506950000005</v>
      </c>
      <c r="AP459" s="7"/>
    </row>
    <row r="460" spans="1:42" hidden="1" x14ac:dyDescent="0.35">
      <c r="A460" s="85">
        <v>46217</v>
      </c>
      <c r="B460" s="51" t="s">
        <v>85</v>
      </c>
      <c r="C460" s="97">
        <v>61123995.678571403</v>
      </c>
      <c r="D460" s="97">
        <v>87119.5</v>
      </c>
      <c r="E460" s="48" t="s">
        <v>86</v>
      </c>
      <c r="F460" s="94" t="s">
        <v>108</v>
      </c>
      <c r="G460" s="94" t="s">
        <v>139</v>
      </c>
      <c r="H460" s="94" t="s">
        <v>460</v>
      </c>
      <c r="I460" s="94" t="s">
        <v>461</v>
      </c>
      <c r="J460" s="52">
        <v>6</v>
      </c>
      <c r="K460" s="52"/>
      <c r="L460" s="52"/>
      <c r="M460" s="52"/>
      <c r="N460" s="104">
        <f t="shared" si="132"/>
        <v>0</v>
      </c>
      <c r="O460" s="52">
        <v>6</v>
      </c>
      <c r="P460" s="52">
        <v>6</v>
      </c>
      <c r="Q460" s="52">
        <v>12</v>
      </c>
      <c r="R460" s="104">
        <f t="shared" si="131"/>
        <v>24</v>
      </c>
      <c r="S460" s="86">
        <f t="shared" si="133"/>
        <v>30</v>
      </c>
      <c r="AB460" s="88">
        <v>39.270000000000003</v>
      </c>
      <c r="AC460" s="88">
        <v>52.462499999999999</v>
      </c>
      <c r="AD460" s="88">
        <v>72.64</v>
      </c>
      <c r="AE460" s="89">
        <f t="shared" si="125"/>
        <v>2414.8199999999997</v>
      </c>
      <c r="AF460" s="90">
        <v>6.5000000000000002E-2</v>
      </c>
      <c r="AG460" s="4">
        <f t="shared" si="126"/>
        <v>156.96329999999998</v>
      </c>
      <c r="AH460" s="49">
        <f t="shared" si="127"/>
        <v>8.2467000000000006</v>
      </c>
      <c r="AI460" s="89">
        <f t="shared" si="128"/>
        <v>2257.8566999999998</v>
      </c>
      <c r="AJ460" s="91">
        <v>0.18</v>
      </c>
      <c r="AK460" s="5">
        <f t="shared" si="129"/>
        <v>406.41420599999998</v>
      </c>
      <c r="AL460" s="89">
        <f t="shared" si="130"/>
        <v>2664.2709059999997</v>
      </c>
      <c r="AP460" s="7"/>
    </row>
    <row r="461" spans="1:42" hidden="1" x14ac:dyDescent="0.35">
      <c r="A461" s="85">
        <v>46217</v>
      </c>
      <c r="B461" s="51" t="s">
        <v>85</v>
      </c>
      <c r="C461" s="97">
        <v>61123995.678571403</v>
      </c>
      <c r="D461" s="97">
        <v>87119.5</v>
      </c>
      <c r="E461" s="48" t="s">
        <v>86</v>
      </c>
      <c r="F461" s="94" t="s">
        <v>108</v>
      </c>
      <c r="G461" s="94" t="s">
        <v>454</v>
      </c>
      <c r="H461" s="94" t="s">
        <v>460</v>
      </c>
      <c r="I461" s="94" t="s">
        <v>461</v>
      </c>
      <c r="J461" s="52">
        <v>24</v>
      </c>
      <c r="K461" s="52"/>
      <c r="L461" s="52"/>
      <c r="M461" s="52"/>
      <c r="N461" s="104">
        <f t="shared" si="132"/>
        <v>0</v>
      </c>
      <c r="O461" s="52"/>
      <c r="P461" s="52"/>
      <c r="Q461" s="52"/>
      <c r="R461" s="104">
        <f t="shared" si="131"/>
        <v>0</v>
      </c>
      <c r="S461" s="86">
        <f t="shared" si="133"/>
        <v>24</v>
      </c>
      <c r="AB461" s="88">
        <v>39.270000000000003</v>
      </c>
      <c r="AC461" s="88">
        <v>52.462499999999999</v>
      </c>
      <c r="AD461" s="88">
        <v>72.64</v>
      </c>
      <c r="AE461" s="89">
        <f t="shared" si="125"/>
        <v>2685.84</v>
      </c>
      <c r="AF461" s="90">
        <v>6.5000000000000002E-2</v>
      </c>
      <c r="AG461" s="4">
        <f t="shared" si="126"/>
        <v>174.57960000000003</v>
      </c>
      <c r="AH461" s="49">
        <f t="shared" si="127"/>
        <v>32.986800000000002</v>
      </c>
      <c r="AI461" s="89">
        <f t="shared" si="128"/>
        <v>2511.2604000000001</v>
      </c>
      <c r="AJ461" s="91">
        <v>0.18</v>
      </c>
      <c r="AK461" s="5">
        <f t="shared" si="129"/>
        <v>452.02687200000003</v>
      </c>
      <c r="AL461" s="89">
        <f t="shared" si="130"/>
        <v>2963.287272</v>
      </c>
      <c r="AP461" s="7"/>
    </row>
    <row r="462" spans="1:42" hidden="1" x14ac:dyDescent="0.35">
      <c r="A462" s="85">
        <v>46217</v>
      </c>
      <c r="B462" s="51" t="s">
        <v>85</v>
      </c>
      <c r="C462" s="97">
        <v>61123995.678571403</v>
      </c>
      <c r="D462" s="97">
        <v>87119.5</v>
      </c>
      <c r="E462" s="48" t="s">
        <v>86</v>
      </c>
      <c r="F462" s="94" t="s">
        <v>108</v>
      </c>
      <c r="G462" s="94" t="s">
        <v>455</v>
      </c>
      <c r="H462" s="94" t="s">
        <v>460</v>
      </c>
      <c r="I462" s="94" t="s">
        <v>461</v>
      </c>
      <c r="J462" s="52">
        <v>24</v>
      </c>
      <c r="K462" s="52"/>
      <c r="L462" s="52"/>
      <c r="M462" s="52"/>
      <c r="N462" s="104">
        <f t="shared" si="132"/>
        <v>0</v>
      </c>
      <c r="O462" s="52"/>
      <c r="P462" s="52"/>
      <c r="Q462" s="52">
        <v>24</v>
      </c>
      <c r="R462" s="104">
        <f t="shared" si="131"/>
        <v>24</v>
      </c>
      <c r="S462" s="86">
        <f t="shared" si="133"/>
        <v>48</v>
      </c>
      <c r="AB462" s="88">
        <v>39.270000000000003</v>
      </c>
      <c r="AC462" s="88">
        <v>52.462499999999999</v>
      </c>
      <c r="AD462" s="88">
        <v>72.64</v>
      </c>
      <c r="AE462" s="89">
        <f t="shared" si="125"/>
        <v>4429.2000000000007</v>
      </c>
      <c r="AF462" s="90">
        <v>6.5000000000000002E-2</v>
      </c>
      <c r="AG462" s="4">
        <f t="shared" si="126"/>
        <v>287.89800000000008</v>
      </c>
      <c r="AH462" s="49">
        <f t="shared" si="127"/>
        <v>32.986800000000002</v>
      </c>
      <c r="AI462" s="89">
        <f t="shared" si="128"/>
        <v>4141.3020000000006</v>
      </c>
      <c r="AJ462" s="91">
        <v>0.18</v>
      </c>
      <c r="AK462" s="5">
        <f t="shared" si="129"/>
        <v>745.43436000000008</v>
      </c>
      <c r="AL462" s="89">
        <f t="shared" si="130"/>
        <v>4886.7363600000008</v>
      </c>
      <c r="AP462" s="7"/>
    </row>
    <row r="463" spans="1:42" hidden="1" x14ac:dyDescent="0.35">
      <c r="A463" s="85">
        <v>46217</v>
      </c>
      <c r="B463" s="51" t="s">
        <v>85</v>
      </c>
      <c r="C463" s="97">
        <v>61123995.678571403</v>
      </c>
      <c r="D463" s="97">
        <v>87119.5</v>
      </c>
      <c r="E463" s="48" t="s">
        <v>86</v>
      </c>
      <c r="F463" s="94" t="s">
        <v>108</v>
      </c>
      <c r="G463" s="94" t="s">
        <v>456</v>
      </c>
      <c r="H463" s="94" t="s">
        <v>460</v>
      </c>
      <c r="I463" s="94" t="s">
        <v>461</v>
      </c>
      <c r="J463" s="52">
        <v>24</v>
      </c>
      <c r="K463" s="52"/>
      <c r="L463" s="52"/>
      <c r="M463" s="52"/>
      <c r="N463" s="104">
        <f t="shared" si="132"/>
        <v>0</v>
      </c>
      <c r="O463" s="52"/>
      <c r="P463" s="52"/>
      <c r="Q463" s="52"/>
      <c r="R463" s="104">
        <f t="shared" si="131"/>
        <v>0</v>
      </c>
      <c r="S463" s="86">
        <f t="shared" si="133"/>
        <v>24</v>
      </c>
      <c r="AB463" s="88">
        <v>39.270000000000003</v>
      </c>
      <c r="AC463" s="88">
        <v>52.462499999999999</v>
      </c>
      <c r="AD463" s="88">
        <v>72.64</v>
      </c>
      <c r="AE463" s="89">
        <f t="shared" si="125"/>
        <v>2685.84</v>
      </c>
      <c r="AF463" s="90">
        <v>6.5000000000000002E-2</v>
      </c>
      <c r="AG463" s="4">
        <f t="shared" si="126"/>
        <v>174.57960000000003</v>
      </c>
      <c r="AH463" s="49">
        <f t="shared" si="127"/>
        <v>32.986800000000002</v>
      </c>
      <c r="AI463" s="89">
        <f t="shared" si="128"/>
        <v>2511.2604000000001</v>
      </c>
      <c r="AJ463" s="91">
        <v>0.18</v>
      </c>
      <c r="AK463" s="5">
        <f t="shared" si="129"/>
        <v>452.02687200000003</v>
      </c>
      <c r="AL463" s="89">
        <f t="shared" si="130"/>
        <v>2963.287272</v>
      </c>
      <c r="AP463" s="7"/>
    </row>
    <row r="464" spans="1:42" hidden="1" x14ac:dyDescent="0.35">
      <c r="A464" s="85">
        <v>46217</v>
      </c>
      <c r="B464" s="51" t="s">
        <v>85</v>
      </c>
      <c r="C464" s="97">
        <v>61123995.678571403</v>
      </c>
      <c r="D464" s="97">
        <v>87119.5</v>
      </c>
      <c r="E464" s="48" t="s">
        <v>86</v>
      </c>
      <c r="F464" s="94" t="s">
        <v>108</v>
      </c>
      <c r="G464" s="94" t="s">
        <v>457</v>
      </c>
      <c r="H464" s="94" t="s">
        <v>460</v>
      </c>
      <c r="I464" s="94" t="s">
        <v>461</v>
      </c>
      <c r="J464" s="52">
        <v>40</v>
      </c>
      <c r="K464" s="52"/>
      <c r="L464" s="52"/>
      <c r="M464" s="52"/>
      <c r="N464" s="104">
        <f t="shared" si="132"/>
        <v>0</v>
      </c>
      <c r="O464" s="52">
        <v>3</v>
      </c>
      <c r="P464" s="52">
        <v>3</v>
      </c>
      <c r="Q464" s="52">
        <v>3</v>
      </c>
      <c r="R464" s="104">
        <f t="shared" si="131"/>
        <v>9</v>
      </c>
      <c r="S464" s="86">
        <f t="shared" si="133"/>
        <v>49</v>
      </c>
      <c r="AB464" s="88">
        <v>39.270000000000003</v>
      </c>
      <c r="AC464" s="88">
        <v>52.462499999999999</v>
      </c>
      <c r="AD464" s="88">
        <v>72.64</v>
      </c>
      <c r="AE464" s="89">
        <f t="shared" si="125"/>
        <v>5130.16</v>
      </c>
      <c r="AF464" s="90">
        <v>6.5000000000000002E-2</v>
      </c>
      <c r="AG464" s="4">
        <f t="shared" si="126"/>
        <v>333.46039999999999</v>
      </c>
      <c r="AH464" s="49">
        <f t="shared" si="127"/>
        <v>54.978000000000009</v>
      </c>
      <c r="AI464" s="89">
        <f t="shared" si="128"/>
        <v>4796.6995999999999</v>
      </c>
      <c r="AJ464" s="91">
        <v>0.18</v>
      </c>
      <c r="AK464" s="5">
        <f t="shared" si="129"/>
        <v>863.4059279999999</v>
      </c>
      <c r="AL464" s="89">
        <f t="shared" si="130"/>
        <v>5660.105528</v>
      </c>
      <c r="AP464" s="7"/>
    </row>
    <row r="465" spans="1:42" hidden="1" x14ac:dyDescent="0.35">
      <c r="A465" s="85">
        <v>46217</v>
      </c>
      <c r="B465" s="51" t="s">
        <v>85</v>
      </c>
      <c r="C465" s="97">
        <v>61123995.678571403</v>
      </c>
      <c r="D465" s="97">
        <v>87119.5</v>
      </c>
      <c r="E465" s="48" t="s">
        <v>86</v>
      </c>
      <c r="F465" s="94" t="s">
        <v>108</v>
      </c>
      <c r="G465" s="94" t="s">
        <v>184</v>
      </c>
      <c r="H465" s="94" t="s">
        <v>460</v>
      </c>
      <c r="I465" s="94" t="s">
        <v>461</v>
      </c>
      <c r="J465" s="52"/>
      <c r="K465" s="52"/>
      <c r="L465" s="52"/>
      <c r="M465" s="52"/>
      <c r="N465" s="104">
        <f t="shared" si="132"/>
        <v>0</v>
      </c>
      <c r="O465" s="52">
        <v>6</v>
      </c>
      <c r="P465" s="52">
        <v>6</v>
      </c>
      <c r="Q465" s="52">
        <v>6</v>
      </c>
      <c r="R465" s="104">
        <f t="shared" si="131"/>
        <v>18</v>
      </c>
      <c r="S465" s="86">
        <f t="shared" si="133"/>
        <v>18</v>
      </c>
      <c r="AB465" s="88">
        <v>39.270000000000003</v>
      </c>
      <c r="AC465" s="88">
        <v>52.462499999999999</v>
      </c>
      <c r="AD465" s="88">
        <v>72.64</v>
      </c>
      <c r="AE465" s="89">
        <f t="shared" si="125"/>
        <v>1307.52</v>
      </c>
      <c r="AF465" s="90">
        <v>6.5000000000000002E-2</v>
      </c>
      <c r="AG465" s="4">
        <f t="shared" si="126"/>
        <v>84.988799999999998</v>
      </c>
      <c r="AH465" s="49">
        <f t="shared" si="127"/>
        <v>0</v>
      </c>
      <c r="AI465" s="89">
        <f t="shared" si="128"/>
        <v>1222.5311999999999</v>
      </c>
      <c r="AJ465" s="91">
        <v>0.18</v>
      </c>
      <c r="AK465" s="5">
        <f t="shared" si="129"/>
        <v>220.05561599999999</v>
      </c>
      <c r="AL465" s="89">
        <f t="shared" si="130"/>
        <v>1442.586816</v>
      </c>
      <c r="AP465" s="7"/>
    </row>
    <row r="466" spans="1:42" hidden="1" x14ac:dyDescent="0.35">
      <c r="A466" s="85">
        <v>46217</v>
      </c>
      <c r="B466" s="51" t="s">
        <v>85</v>
      </c>
      <c r="C466" s="97">
        <v>61123995.678571403</v>
      </c>
      <c r="D466" s="97">
        <v>87119.5</v>
      </c>
      <c r="E466" s="48" t="s">
        <v>86</v>
      </c>
      <c r="F466" s="94" t="s">
        <v>108</v>
      </c>
      <c r="G466" s="94" t="s">
        <v>458</v>
      </c>
      <c r="H466" s="94" t="s">
        <v>460</v>
      </c>
      <c r="I466" s="94" t="s">
        <v>461</v>
      </c>
      <c r="J466" s="52"/>
      <c r="K466" s="52"/>
      <c r="L466" s="52"/>
      <c r="M466" s="52"/>
      <c r="N466" s="104">
        <f t="shared" si="132"/>
        <v>0</v>
      </c>
      <c r="O466" s="52">
        <v>15</v>
      </c>
      <c r="P466" s="52">
        <v>10</v>
      </c>
      <c r="Q466" s="52">
        <v>15</v>
      </c>
      <c r="R466" s="104">
        <f t="shared" si="131"/>
        <v>40</v>
      </c>
      <c r="S466" s="86">
        <f t="shared" si="133"/>
        <v>40</v>
      </c>
      <c r="AB466" s="88">
        <v>39.270000000000003</v>
      </c>
      <c r="AC466" s="88">
        <v>52.462499999999999</v>
      </c>
      <c r="AD466" s="88">
        <v>72.64</v>
      </c>
      <c r="AE466" s="89">
        <f t="shared" si="125"/>
        <v>2905.6</v>
      </c>
      <c r="AF466" s="90">
        <v>6.5000000000000002E-2</v>
      </c>
      <c r="AG466" s="4">
        <f t="shared" si="126"/>
        <v>188.864</v>
      </c>
      <c r="AH466" s="49">
        <f t="shared" si="127"/>
        <v>0</v>
      </c>
      <c r="AI466" s="89">
        <f t="shared" si="128"/>
        <v>2716.7359999999999</v>
      </c>
      <c r="AJ466" s="91">
        <v>0.18</v>
      </c>
      <c r="AK466" s="5">
        <f t="shared" si="129"/>
        <v>489.01247999999998</v>
      </c>
      <c r="AL466" s="89">
        <f t="shared" si="130"/>
        <v>3205.7484799999997</v>
      </c>
      <c r="AP466" s="7"/>
    </row>
    <row r="467" spans="1:42" hidden="1" x14ac:dyDescent="0.35">
      <c r="A467" s="85">
        <v>46217</v>
      </c>
      <c r="B467" s="51" t="s">
        <v>85</v>
      </c>
      <c r="C467" s="97">
        <v>61123995.678571403</v>
      </c>
      <c r="D467" s="97">
        <v>87119.5</v>
      </c>
      <c r="E467" s="48" t="s">
        <v>86</v>
      </c>
      <c r="F467" s="94" t="s">
        <v>108</v>
      </c>
      <c r="G467" s="94" t="s">
        <v>459</v>
      </c>
      <c r="H467" s="94" t="s">
        <v>460</v>
      </c>
      <c r="I467" s="94" t="s">
        <v>461</v>
      </c>
      <c r="J467" s="52">
        <v>12</v>
      </c>
      <c r="K467" s="52"/>
      <c r="L467" s="52"/>
      <c r="M467" s="52"/>
      <c r="N467" s="104">
        <f t="shared" si="132"/>
        <v>0</v>
      </c>
      <c r="O467" s="52"/>
      <c r="P467" s="52"/>
      <c r="Q467" s="52"/>
      <c r="R467" s="104">
        <f t="shared" si="131"/>
        <v>0</v>
      </c>
      <c r="S467" s="86">
        <f t="shared" si="133"/>
        <v>12</v>
      </c>
      <c r="AB467" s="88">
        <v>39.270000000000003</v>
      </c>
      <c r="AC467" s="88">
        <v>52.462499999999999</v>
      </c>
      <c r="AD467" s="88">
        <v>72.64</v>
      </c>
      <c r="AE467" s="89">
        <f t="shared" si="125"/>
        <v>1342.92</v>
      </c>
      <c r="AF467" s="90">
        <v>6.5000000000000002E-2</v>
      </c>
      <c r="AG467" s="4">
        <f t="shared" si="126"/>
        <v>87.289800000000014</v>
      </c>
      <c r="AH467" s="49">
        <f t="shared" si="127"/>
        <v>16.493400000000001</v>
      </c>
      <c r="AI467" s="89">
        <f t="shared" si="128"/>
        <v>1255.6302000000001</v>
      </c>
      <c r="AJ467" s="91">
        <v>0.18</v>
      </c>
      <c r="AK467" s="5">
        <f t="shared" si="129"/>
        <v>226.01343600000001</v>
      </c>
      <c r="AL467" s="89">
        <f t="shared" si="130"/>
        <v>1481.643636</v>
      </c>
      <c r="AP467" s="7"/>
    </row>
    <row r="468" spans="1:42" hidden="1" x14ac:dyDescent="0.35">
      <c r="A468" s="85">
        <v>46217</v>
      </c>
      <c r="B468" s="51" t="s">
        <v>85</v>
      </c>
      <c r="C468" s="97">
        <v>61123995.678571403</v>
      </c>
      <c r="D468" s="97">
        <v>87119.5</v>
      </c>
      <c r="E468" s="48" t="s">
        <v>86</v>
      </c>
      <c r="F468" s="94" t="s">
        <v>108</v>
      </c>
      <c r="G468" s="94" t="s">
        <v>204</v>
      </c>
      <c r="H468" s="94" t="s">
        <v>112</v>
      </c>
      <c r="I468" s="94" t="s">
        <v>466</v>
      </c>
      <c r="J468" s="52">
        <v>15</v>
      </c>
      <c r="K468" s="52">
        <v>1</v>
      </c>
      <c r="L468" s="52"/>
      <c r="M468" s="52"/>
      <c r="N468" s="104">
        <f t="shared" si="132"/>
        <v>1</v>
      </c>
      <c r="O468" s="52"/>
      <c r="P468" s="52"/>
      <c r="Q468" s="52"/>
      <c r="R468" s="104">
        <f t="shared" si="131"/>
        <v>0</v>
      </c>
      <c r="S468" s="86">
        <f t="shared" si="133"/>
        <v>16</v>
      </c>
      <c r="AB468" s="88">
        <v>39.270000000000003</v>
      </c>
      <c r="AC468" s="88">
        <v>52.462499999999999</v>
      </c>
      <c r="AD468" s="88">
        <v>72.64</v>
      </c>
      <c r="AE468" s="89">
        <f t="shared" si="125"/>
        <v>1803.7525000000001</v>
      </c>
      <c r="AF468" s="90">
        <v>6.5000000000000002E-2</v>
      </c>
      <c r="AG468" s="4">
        <f t="shared" si="126"/>
        <v>117.24391250000001</v>
      </c>
      <c r="AH468" s="49">
        <f t="shared" si="127"/>
        <v>20.616750000000003</v>
      </c>
      <c r="AI468" s="89">
        <f t="shared" si="128"/>
        <v>1686.5085875</v>
      </c>
      <c r="AJ468" s="91">
        <v>0.18</v>
      </c>
      <c r="AK468" s="5">
        <f t="shared" si="129"/>
        <v>303.57154574999998</v>
      </c>
      <c r="AL468" s="89">
        <f t="shared" si="130"/>
        <v>1990.08013325</v>
      </c>
      <c r="AP468" s="7"/>
    </row>
    <row r="469" spans="1:42" hidden="1" x14ac:dyDescent="0.35">
      <c r="A469" s="85">
        <v>46217</v>
      </c>
      <c r="B469" s="51" t="s">
        <v>85</v>
      </c>
      <c r="C469" s="97">
        <v>61123995.678571403</v>
      </c>
      <c r="D469" s="97">
        <v>87119.5</v>
      </c>
      <c r="E469" s="48" t="s">
        <v>86</v>
      </c>
      <c r="F469" s="94" t="s">
        <v>108</v>
      </c>
      <c r="G469" s="94" t="s">
        <v>462</v>
      </c>
      <c r="H469" s="94" t="s">
        <v>112</v>
      </c>
      <c r="I469" s="94" t="s">
        <v>466</v>
      </c>
      <c r="J469" s="52"/>
      <c r="K469" s="52"/>
      <c r="L469" s="52"/>
      <c r="M469" s="52"/>
      <c r="N469" s="104">
        <f t="shared" si="132"/>
        <v>0</v>
      </c>
      <c r="O469" s="52">
        <v>4</v>
      </c>
      <c r="P469" s="52">
        <v>4</v>
      </c>
      <c r="Q469" s="52">
        <v>12</v>
      </c>
      <c r="R469" s="104">
        <f t="shared" si="131"/>
        <v>20</v>
      </c>
      <c r="S469" s="86">
        <f t="shared" si="133"/>
        <v>20</v>
      </c>
      <c r="AB469" s="88">
        <v>39.270000000000003</v>
      </c>
      <c r="AC469" s="88">
        <v>52.462499999999999</v>
      </c>
      <c r="AD469" s="88">
        <v>72.64</v>
      </c>
      <c r="AE469" s="89">
        <f t="shared" si="125"/>
        <v>1452.8</v>
      </c>
      <c r="AF469" s="90">
        <v>6.5000000000000002E-2</v>
      </c>
      <c r="AG469" s="4">
        <f t="shared" si="126"/>
        <v>94.432000000000002</v>
      </c>
      <c r="AH469" s="49">
        <f t="shared" si="127"/>
        <v>0</v>
      </c>
      <c r="AI469" s="89">
        <f t="shared" si="128"/>
        <v>1358.3679999999999</v>
      </c>
      <c r="AJ469" s="91">
        <v>0.18</v>
      </c>
      <c r="AK469" s="5">
        <f t="shared" si="129"/>
        <v>244.50623999999999</v>
      </c>
      <c r="AL469" s="89">
        <f t="shared" si="130"/>
        <v>1602.8742399999999</v>
      </c>
      <c r="AP469" s="7"/>
    </row>
    <row r="470" spans="1:42" hidden="1" x14ac:dyDescent="0.35">
      <c r="A470" s="85">
        <v>46217</v>
      </c>
      <c r="B470" s="51" t="s">
        <v>85</v>
      </c>
      <c r="C470" s="97">
        <v>61123995.678571403</v>
      </c>
      <c r="D470" s="97">
        <v>87119.5</v>
      </c>
      <c r="E470" s="48" t="s">
        <v>86</v>
      </c>
      <c r="F470" s="94" t="s">
        <v>108</v>
      </c>
      <c r="G470" s="94" t="s">
        <v>463</v>
      </c>
      <c r="H470" s="94" t="s">
        <v>112</v>
      </c>
      <c r="I470" s="94" t="s">
        <v>466</v>
      </c>
      <c r="J470" s="52">
        <v>80</v>
      </c>
      <c r="K470" s="52"/>
      <c r="L470" s="52"/>
      <c r="M470" s="52"/>
      <c r="N470" s="104">
        <f t="shared" si="132"/>
        <v>0</v>
      </c>
      <c r="O470" s="52"/>
      <c r="P470" s="52"/>
      <c r="Q470" s="52">
        <v>77</v>
      </c>
      <c r="R470" s="104">
        <f t="shared" si="131"/>
        <v>77</v>
      </c>
      <c r="S470" s="86">
        <f t="shared" si="133"/>
        <v>157</v>
      </c>
      <c r="AB470" s="88">
        <v>39.270000000000003</v>
      </c>
      <c r="AC470" s="88">
        <v>52.462499999999999</v>
      </c>
      <c r="AD470" s="88">
        <v>72.64</v>
      </c>
      <c r="AE470" s="89">
        <f t="shared" si="125"/>
        <v>14546.08</v>
      </c>
      <c r="AF470" s="90">
        <v>6.5000000000000002E-2</v>
      </c>
      <c r="AG470" s="4">
        <f t="shared" si="126"/>
        <v>945.49520000000007</v>
      </c>
      <c r="AH470" s="49">
        <f t="shared" si="127"/>
        <v>109.95600000000002</v>
      </c>
      <c r="AI470" s="89">
        <f t="shared" si="128"/>
        <v>13600.584800000001</v>
      </c>
      <c r="AJ470" s="91">
        <v>0.18</v>
      </c>
      <c r="AK470" s="5">
        <f t="shared" si="129"/>
        <v>2448.1052639999998</v>
      </c>
      <c r="AL470" s="89">
        <f t="shared" si="130"/>
        <v>16048.690064</v>
      </c>
      <c r="AP470" s="7"/>
    </row>
    <row r="471" spans="1:42" hidden="1" x14ac:dyDescent="0.35">
      <c r="A471" s="85">
        <v>46217</v>
      </c>
      <c r="B471" s="51" t="s">
        <v>85</v>
      </c>
      <c r="C471" s="97">
        <v>61123995.678571403</v>
      </c>
      <c r="D471" s="97">
        <v>87119.5</v>
      </c>
      <c r="E471" s="48" t="s">
        <v>86</v>
      </c>
      <c r="F471" s="94" t="s">
        <v>108</v>
      </c>
      <c r="G471" s="94" t="s">
        <v>203</v>
      </c>
      <c r="H471" s="94" t="s">
        <v>112</v>
      </c>
      <c r="I471" s="94" t="s">
        <v>466</v>
      </c>
      <c r="J471" s="52">
        <v>39</v>
      </c>
      <c r="K471" s="52"/>
      <c r="L471" s="52"/>
      <c r="M471" s="52"/>
      <c r="N471" s="104">
        <f t="shared" si="132"/>
        <v>0</v>
      </c>
      <c r="O471" s="52"/>
      <c r="P471" s="52"/>
      <c r="Q471" s="52"/>
      <c r="R471" s="104">
        <f t="shared" si="131"/>
        <v>0</v>
      </c>
      <c r="S471" s="86">
        <f t="shared" si="133"/>
        <v>39</v>
      </c>
      <c r="AB471" s="88">
        <v>39.270000000000003</v>
      </c>
      <c r="AC471" s="88">
        <v>52.462499999999999</v>
      </c>
      <c r="AD471" s="88">
        <v>72.64</v>
      </c>
      <c r="AE471" s="89">
        <f t="shared" si="125"/>
        <v>4364.49</v>
      </c>
      <c r="AF471" s="90">
        <v>6.5000000000000002E-2</v>
      </c>
      <c r="AG471" s="4">
        <f t="shared" si="126"/>
        <v>283.69184999999999</v>
      </c>
      <c r="AH471" s="49">
        <f t="shared" si="127"/>
        <v>53.603550000000013</v>
      </c>
      <c r="AI471" s="89">
        <f t="shared" si="128"/>
        <v>4080.7981499999996</v>
      </c>
      <c r="AJ471" s="91">
        <v>0.18</v>
      </c>
      <c r="AK471" s="5">
        <f t="shared" si="129"/>
        <v>734.54366699999991</v>
      </c>
      <c r="AL471" s="89">
        <f t="shared" si="130"/>
        <v>4815.3418169999995</v>
      </c>
      <c r="AP471" s="7"/>
    </row>
    <row r="472" spans="1:42" hidden="1" x14ac:dyDescent="0.35">
      <c r="A472" s="85">
        <v>46217</v>
      </c>
      <c r="B472" s="51" t="s">
        <v>85</v>
      </c>
      <c r="C472" s="97">
        <v>61123995.678571403</v>
      </c>
      <c r="D472" s="97">
        <v>87119.5</v>
      </c>
      <c r="E472" s="48" t="s">
        <v>86</v>
      </c>
      <c r="F472" s="94" t="s">
        <v>109</v>
      </c>
      <c r="G472" s="94" t="s">
        <v>464</v>
      </c>
      <c r="H472" s="94" t="s">
        <v>112</v>
      </c>
      <c r="I472" s="94" t="s">
        <v>466</v>
      </c>
      <c r="J472" s="52">
        <v>40</v>
      </c>
      <c r="K472" s="52">
        <v>40</v>
      </c>
      <c r="L472" s="52"/>
      <c r="M472" s="52"/>
      <c r="N472" s="104">
        <f t="shared" si="132"/>
        <v>40</v>
      </c>
      <c r="O472" s="52">
        <v>40</v>
      </c>
      <c r="P472" s="52"/>
      <c r="Q472" s="52"/>
      <c r="R472" s="104">
        <f t="shared" si="131"/>
        <v>40</v>
      </c>
      <c r="S472" s="86">
        <f t="shared" si="133"/>
        <v>120</v>
      </c>
      <c r="AB472" s="88">
        <v>39.270000000000003</v>
      </c>
      <c r="AC472" s="88">
        <v>52.462499999999999</v>
      </c>
      <c r="AD472" s="88">
        <v>72.64</v>
      </c>
      <c r="AE472" s="89">
        <f t="shared" si="125"/>
        <v>12386.099999999999</v>
      </c>
      <c r="AF472" s="90">
        <v>6.5000000000000002E-2</v>
      </c>
      <c r="AG472" s="4">
        <f t="shared" si="126"/>
        <v>805.09649999999988</v>
      </c>
      <c r="AH472" s="49">
        <f t="shared" si="127"/>
        <v>54.978000000000009</v>
      </c>
      <c r="AI472" s="89">
        <f t="shared" si="128"/>
        <v>11581.003499999999</v>
      </c>
      <c r="AJ472" s="91">
        <v>0.18</v>
      </c>
      <c r="AK472" s="5">
        <f t="shared" si="129"/>
        <v>2084.5806299999999</v>
      </c>
      <c r="AL472" s="89">
        <f t="shared" si="130"/>
        <v>13665.584129999999</v>
      </c>
      <c r="AP472" s="7"/>
    </row>
    <row r="473" spans="1:42" hidden="1" x14ac:dyDescent="0.35">
      <c r="A473" s="85">
        <v>46217</v>
      </c>
      <c r="B473" s="51" t="s">
        <v>85</v>
      </c>
      <c r="C473" s="97">
        <v>61123995.678571403</v>
      </c>
      <c r="D473" s="97">
        <v>87119.5</v>
      </c>
      <c r="E473" s="48" t="s">
        <v>86</v>
      </c>
      <c r="F473" s="94" t="s">
        <v>108</v>
      </c>
      <c r="G473" s="94" t="s">
        <v>465</v>
      </c>
      <c r="H473" s="94" t="s">
        <v>112</v>
      </c>
      <c r="I473" s="94" t="s">
        <v>466</v>
      </c>
      <c r="J473" s="52"/>
      <c r="K473" s="52"/>
      <c r="L473" s="52"/>
      <c r="M473" s="52"/>
      <c r="N473" s="104">
        <f t="shared" si="132"/>
        <v>0</v>
      </c>
      <c r="O473" s="52">
        <v>13</v>
      </c>
      <c r="P473" s="52">
        <v>12</v>
      </c>
      <c r="Q473" s="52">
        <v>15</v>
      </c>
      <c r="R473" s="104">
        <f t="shared" si="131"/>
        <v>40</v>
      </c>
      <c r="S473" s="86">
        <f t="shared" si="133"/>
        <v>40</v>
      </c>
      <c r="AB473" s="88">
        <v>39.270000000000003</v>
      </c>
      <c r="AC473" s="88">
        <v>52.462499999999999</v>
      </c>
      <c r="AD473" s="88">
        <v>72.64</v>
      </c>
      <c r="AE473" s="89">
        <f t="shared" si="125"/>
        <v>2905.6</v>
      </c>
      <c r="AF473" s="90">
        <v>6.5000000000000002E-2</v>
      </c>
      <c r="AG473" s="4">
        <f t="shared" si="126"/>
        <v>188.864</v>
      </c>
      <c r="AH473" s="49">
        <f t="shared" si="127"/>
        <v>0</v>
      </c>
      <c r="AI473" s="89">
        <f t="shared" si="128"/>
        <v>2716.7359999999999</v>
      </c>
      <c r="AJ473" s="91">
        <v>0.18</v>
      </c>
      <c r="AK473" s="5">
        <f t="shared" si="129"/>
        <v>489.01247999999998</v>
      </c>
      <c r="AL473" s="89">
        <f t="shared" si="130"/>
        <v>3205.7484799999997</v>
      </c>
      <c r="AP473" s="7"/>
    </row>
    <row r="474" spans="1:42" hidden="1" x14ac:dyDescent="0.35">
      <c r="A474" s="85">
        <v>46217</v>
      </c>
      <c r="B474" s="51" t="s">
        <v>85</v>
      </c>
      <c r="C474" s="97">
        <v>61123995.678571403</v>
      </c>
      <c r="D474" s="97">
        <v>87119.5</v>
      </c>
      <c r="E474" s="48" t="s">
        <v>86</v>
      </c>
      <c r="F474" s="94" t="s">
        <v>108</v>
      </c>
      <c r="G474" s="94" t="s">
        <v>422</v>
      </c>
      <c r="H474" s="94" t="s">
        <v>467</v>
      </c>
      <c r="I474" s="94" t="s">
        <v>422</v>
      </c>
      <c r="J474" s="52"/>
      <c r="K474" s="52">
        <v>20</v>
      </c>
      <c r="L474" s="52">
        <v>20</v>
      </c>
      <c r="M474" s="52"/>
      <c r="N474" s="104">
        <f t="shared" si="132"/>
        <v>40</v>
      </c>
      <c r="O474" s="52"/>
      <c r="P474" s="52"/>
      <c r="Q474" s="52"/>
      <c r="R474" s="104">
        <f t="shared" si="131"/>
        <v>0</v>
      </c>
      <c r="S474" s="86">
        <f t="shared" si="133"/>
        <v>40</v>
      </c>
      <c r="AB474" s="88">
        <v>39.270000000000003</v>
      </c>
      <c r="AC474" s="88">
        <v>52.462499999999999</v>
      </c>
      <c r="AD474" s="88">
        <v>72.64</v>
      </c>
      <c r="AE474" s="89">
        <f t="shared" si="125"/>
        <v>5004.1000000000004</v>
      </c>
      <c r="AF474" s="90">
        <v>6.5000000000000002E-2</v>
      </c>
      <c r="AG474" s="4">
        <f t="shared" si="126"/>
        <v>325.26650000000001</v>
      </c>
      <c r="AH474" s="49">
        <f t="shared" si="127"/>
        <v>0</v>
      </c>
      <c r="AI474" s="89">
        <f t="shared" si="128"/>
        <v>4678.8335000000006</v>
      </c>
      <c r="AJ474" s="91">
        <v>0.18</v>
      </c>
      <c r="AK474" s="5">
        <f t="shared" si="129"/>
        <v>842.19003000000009</v>
      </c>
      <c r="AL474" s="89">
        <f t="shared" si="130"/>
        <v>5521.0235300000004</v>
      </c>
      <c r="AP474" s="7"/>
    </row>
    <row r="475" spans="1:42" hidden="1" x14ac:dyDescent="0.35">
      <c r="A475" s="85">
        <v>46217</v>
      </c>
      <c r="B475" s="51" t="s">
        <v>85</v>
      </c>
      <c r="C475" s="97">
        <v>61123995.678571403</v>
      </c>
      <c r="D475" s="97">
        <v>87119.5</v>
      </c>
      <c r="E475" s="48" t="s">
        <v>86</v>
      </c>
      <c r="F475" s="94" t="s">
        <v>108</v>
      </c>
      <c r="G475" s="94" t="s">
        <v>296</v>
      </c>
      <c r="H475" s="94" t="s">
        <v>433</v>
      </c>
      <c r="I475" s="94" t="s">
        <v>297</v>
      </c>
      <c r="J475" s="52"/>
      <c r="K475" s="52"/>
      <c r="L475" s="52"/>
      <c r="M475" s="52"/>
      <c r="N475" s="104">
        <f t="shared" si="132"/>
        <v>0</v>
      </c>
      <c r="O475" s="52"/>
      <c r="P475" s="52"/>
      <c r="Q475" s="52">
        <v>20</v>
      </c>
      <c r="R475" s="104">
        <f t="shared" si="131"/>
        <v>20</v>
      </c>
      <c r="S475" s="86">
        <f t="shared" si="133"/>
        <v>20</v>
      </c>
      <c r="AB475" s="88">
        <v>39.270000000000003</v>
      </c>
      <c r="AC475" s="88">
        <v>52.462499999999999</v>
      </c>
      <c r="AD475" s="88">
        <v>72.64</v>
      </c>
      <c r="AE475" s="89">
        <f t="shared" si="125"/>
        <v>1452.8</v>
      </c>
      <c r="AF475" s="90">
        <v>6.5000000000000002E-2</v>
      </c>
      <c r="AG475" s="4">
        <f t="shared" si="126"/>
        <v>94.432000000000002</v>
      </c>
      <c r="AH475" s="49">
        <f t="shared" si="127"/>
        <v>0</v>
      </c>
      <c r="AI475" s="89">
        <f t="shared" si="128"/>
        <v>1358.3679999999999</v>
      </c>
      <c r="AJ475" s="91">
        <v>0.18</v>
      </c>
      <c r="AK475" s="5">
        <f t="shared" si="129"/>
        <v>244.50623999999999</v>
      </c>
      <c r="AL475" s="89">
        <f t="shared" si="130"/>
        <v>1602.8742399999999</v>
      </c>
      <c r="AP475" s="7"/>
    </row>
    <row r="476" spans="1:42" hidden="1" x14ac:dyDescent="0.35">
      <c r="A476" s="85">
        <v>46217</v>
      </c>
      <c r="B476" s="51" t="s">
        <v>85</v>
      </c>
      <c r="C476" s="97">
        <v>61123995.678571403</v>
      </c>
      <c r="D476" s="97">
        <v>87119.5</v>
      </c>
      <c r="E476" s="48" t="s">
        <v>86</v>
      </c>
      <c r="F476" s="94" t="s">
        <v>108</v>
      </c>
      <c r="G476" s="94" t="s">
        <v>468</v>
      </c>
      <c r="H476" s="94" t="s">
        <v>433</v>
      </c>
      <c r="I476" s="94" t="s">
        <v>297</v>
      </c>
      <c r="J476" s="52">
        <v>40</v>
      </c>
      <c r="K476" s="52"/>
      <c r="L476" s="52"/>
      <c r="M476" s="52"/>
      <c r="N476" s="104">
        <f t="shared" si="132"/>
        <v>0</v>
      </c>
      <c r="O476" s="52"/>
      <c r="P476" s="52"/>
      <c r="Q476" s="52"/>
      <c r="R476" s="104">
        <f t="shared" si="131"/>
        <v>0</v>
      </c>
      <c r="S476" s="86">
        <f t="shared" si="133"/>
        <v>40</v>
      </c>
      <c r="AB476" s="88">
        <v>39.270000000000003</v>
      </c>
      <c r="AC476" s="88">
        <v>52.462499999999999</v>
      </c>
      <c r="AD476" s="88">
        <v>72.64</v>
      </c>
      <c r="AE476" s="89">
        <f t="shared" si="125"/>
        <v>4476.3999999999996</v>
      </c>
      <c r="AF476" s="90">
        <v>6.5000000000000002E-2</v>
      </c>
      <c r="AG476" s="4">
        <f t="shared" si="126"/>
        <v>290.96600000000001</v>
      </c>
      <c r="AH476" s="49">
        <f t="shared" si="127"/>
        <v>54.978000000000009</v>
      </c>
      <c r="AI476" s="89">
        <f t="shared" si="128"/>
        <v>4185.4339999999993</v>
      </c>
      <c r="AJ476" s="91">
        <v>0.18</v>
      </c>
      <c r="AK476" s="5">
        <f t="shared" si="129"/>
        <v>753.37811999999985</v>
      </c>
      <c r="AL476" s="89">
        <f t="shared" si="130"/>
        <v>4938.8121199999987</v>
      </c>
      <c r="AP476" s="7"/>
    </row>
    <row r="477" spans="1:42" hidden="1" x14ac:dyDescent="0.35">
      <c r="A477" s="85">
        <v>46217</v>
      </c>
      <c r="B477" s="51" t="s">
        <v>85</v>
      </c>
      <c r="C477" s="97">
        <v>61123995.678571403</v>
      </c>
      <c r="D477" s="97">
        <v>87119.5</v>
      </c>
      <c r="E477" s="48" t="s">
        <v>86</v>
      </c>
      <c r="F477" s="94" t="s">
        <v>108</v>
      </c>
      <c r="G477" s="94" t="s">
        <v>293</v>
      </c>
      <c r="H477" s="94" t="s">
        <v>433</v>
      </c>
      <c r="I477" s="94" t="s">
        <v>297</v>
      </c>
      <c r="J477" s="52">
        <v>12</v>
      </c>
      <c r="K477" s="52"/>
      <c r="L477" s="52"/>
      <c r="M477" s="52"/>
      <c r="N477" s="104">
        <f t="shared" si="132"/>
        <v>0</v>
      </c>
      <c r="O477" s="52"/>
      <c r="P477" s="52"/>
      <c r="Q477" s="52"/>
      <c r="R477" s="104">
        <f t="shared" si="131"/>
        <v>0</v>
      </c>
      <c r="S477" s="86">
        <f t="shared" si="133"/>
        <v>12</v>
      </c>
      <c r="AB477" s="88">
        <v>39.270000000000003</v>
      </c>
      <c r="AC477" s="88">
        <v>52.462499999999999</v>
      </c>
      <c r="AD477" s="88">
        <v>72.64</v>
      </c>
      <c r="AE477" s="89">
        <f t="shared" si="125"/>
        <v>1342.92</v>
      </c>
      <c r="AF477" s="90">
        <v>6.5000000000000002E-2</v>
      </c>
      <c r="AG477" s="4">
        <f t="shared" si="126"/>
        <v>87.289800000000014</v>
      </c>
      <c r="AH477" s="49">
        <f t="shared" si="127"/>
        <v>16.493400000000001</v>
      </c>
      <c r="AI477" s="89">
        <f t="shared" si="128"/>
        <v>1255.6302000000001</v>
      </c>
      <c r="AJ477" s="91">
        <v>0.18</v>
      </c>
      <c r="AK477" s="5">
        <f t="shared" si="129"/>
        <v>226.01343600000001</v>
      </c>
      <c r="AL477" s="89">
        <f t="shared" si="130"/>
        <v>1481.643636</v>
      </c>
      <c r="AP477" s="7"/>
    </row>
    <row r="478" spans="1:42" hidden="1" x14ac:dyDescent="0.35">
      <c r="A478" s="85">
        <v>46217</v>
      </c>
      <c r="B478" s="51" t="s">
        <v>85</v>
      </c>
      <c r="C478" s="97">
        <v>61123995.678571403</v>
      </c>
      <c r="D478" s="97">
        <v>87119.5</v>
      </c>
      <c r="E478" s="48" t="s">
        <v>86</v>
      </c>
      <c r="F478" s="94" t="s">
        <v>108</v>
      </c>
      <c r="G478" s="94" t="s">
        <v>194</v>
      </c>
      <c r="H478" s="94" t="s">
        <v>433</v>
      </c>
      <c r="I478" s="94" t="s">
        <v>297</v>
      </c>
      <c r="J478" s="52">
        <v>5</v>
      </c>
      <c r="K478" s="52"/>
      <c r="L478" s="52"/>
      <c r="M478" s="52"/>
      <c r="N478" s="104">
        <f t="shared" si="132"/>
        <v>0</v>
      </c>
      <c r="O478" s="52"/>
      <c r="P478" s="52"/>
      <c r="Q478" s="52"/>
      <c r="R478" s="104">
        <f t="shared" si="131"/>
        <v>0</v>
      </c>
      <c r="S478" s="86">
        <f t="shared" si="133"/>
        <v>5</v>
      </c>
      <c r="AB478" s="88">
        <v>39.270000000000003</v>
      </c>
      <c r="AC478" s="88">
        <v>52.462499999999999</v>
      </c>
      <c r="AD478" s="88">
        <v>72.64</v>
      </c>
      <c r="AE478" s="89">
        <f t="shared" si="125"/>
        <v>559.54999999999995</v>
      </c>
      <c r="AF478" s="90">
        <v>6.5000000000000002E-2</v>
      </c>
      <c r="AG478" s="4">
        <f t="shared" si="126"/>
        <v>36.370750000000001</v>
      </c>
      <c r="AH478" s="49">
        <f t="shared" si="127"/>
        <v>6.8722500000000011</v>
      </c>
      <c r="AI478" s="89">
        <f t="shared" si="128"/>
        <v>523.17924999999991</v>
      </c>
      <c r="AJ478" s="91">
        <v>0.18</v>
      </c>
      <c r="AK478" s="5">
        <f t="shared" si="129"/>
        <v>94.172264999999982</v>
      </c>
      <c r="AL478" s="89">
        <f t="shared" si="130"/>
        <v>617.35151499999984</v>
      </c>
      <c r="AP478" s="7"/>
    </row>
    <row r="479" spans="1:42" hidden="1" x14ac:dyDescent="0.35">
      <c r="A479" s="85">
        <v>46217</v>
      </c>
      <c r="B479" s="51" t="s">
        <v>85</v>
      </c>
      <c r="C479" s="97">
        <v>61123995.678571403</v>
      </c>
      <c r="D479" s="97">
        <v>87119.5</v>
      </c>
      <c r="E479" s="48" t="s">
        <v>86</v>
      </c>
      <c r="F479" s="94" t="s">
        <v>108</v>
      </c>
      <c r="G479" s="94" t="s">
        <v>469</v>
      </c>
      <c r="H479" s="94" t="s">
        <v>433</v>
      </c>
      <c r="I479" s="94" t="s">
        <v>297</v>
      </c>
      <c r="J479" s="52">
        <v>12</v>
      </c>
      <c r="K479" s="52"/>
      <c r="L479" s="52"/>
      <c r="M479" s="52"/>
      <c r="N479" s="104">
        <f t="shared" si="132"/>
        <v>0</v>
      </c>
      <c r="O479" s="52"/>
      <c r="P479" s="52"/>
      <c r="Q479" s="52"/>
      <c r="R479" s="104">
        <f t="shared" si="131"/>
        <v>0</v>
      </c>
      <c r="S479" s="86">
        <f t="shared" si="133"/>
        <v>12</v>
      </c>
      <c r="AB479" s="88">
        <v>39.270000000000003</v>
      </c>
      <c r="AC479" s="88">
        <v>52.462499999999999</v>
      </c>
      <c r="AD479" s="88">
        <v>72.64</v>
      </c>
      <c r="AE479" s="89">
        <f t="shared" si="125"/>
        <v>1342.92</v>
      </c>
      <c r="AF479" s="90">
        <v>6.5000000000000002E-2</v>
      </c>
      <c r="AG479" s="4">
        <f t="shared" si="126"/>
        <v>87.289800000000014</v>
      </c>
      <c r="AH479" s="49">
        <f t="shared" si="127"/>
        <v>16.493400000000001</v>
      </c>
      <c r="AI479" s="89">
        <f t="shared" si="128"/>
        <v>1255.6302000000001</v>
      </c>
      <c r="AJ479" s="91">
        <v>0.18</v>
      </c>
      <c r="AK479" s="5">
        <f t="shared" si="129"/>
        <v>226.01343600000001</v>
      </c>
      <c r="AL479" s="89">
        <f t="shared" si="130"/>
        <v>1481.643636</v>
      </c>
      <c r="AP479" s="7"/>
    </row>
    <row r="480" spans="1:42" hidden="1" x14ac:dyDescent="0.35">
      <c r="A480" s="85">
        <v>46217</v>
      </c>
      <c r="B480" s="51" t="s">
        <v>85</v>
      </c>
      <c r="C480" s="97">
        <v>61123995.678571403</v>
      </c>
      <c r="D480" s="97">
        <v>87119.5</v>
      </c>
      <c r="E480" s="48" t="s">
        <v>86</v>
      </c>
      <c r="F480" s="94" t="s">
        <v>108</v>
      </c>
      <c r="G480" s="94" t="s">
        <v>470</v>
      </c>
      <c r="H480" s="94" t="s">
        <v>433</v>
      </c>
      <c r="I480" s="94" t="s">
        <v>297</v>
      </c>
      <c r="J480" s="52">
        <v>6</v>
      </c>
      <c r="K480" s="52"/>
      <c r="L480" s="52"/>
      <c r="M480" s="52"/>
      <c r="N480" s="104">
        <f t="shared" si="132"/>
        <v>0</v>
      </c>
      <c r="O480" s="52"/>
      <c r="P480" s="52"/>
      <c r="Q480" s="52"/>
      <c r="R480" s="104">
        <f t="shared" si="131"/>
        <v>0</v>
      </c>
      <c r="S480" s="86">
        <f t="shared" si="133"/>
        <v>6</v>
      </c>
      <c r="AB480" s="88">
        <v>39.270000000000003</v>
      </c>
      <c r="AC480" s="88">
        <v>52.462499999999999</v>
      </c>
      <c r="AD480" s="88">
        <v>72.64</v>
      </c>
      <c r="AE480" s="89">
        <f t="shared" si="125"/>
        <v>671.46</v>
      </c>
      <c r="AF480" s="90">
        <v>6.5000000000000002E-2</v>
      </c>
      <c r="AG480" s="4">
        <f t="shared" si="126"/>
        <v>43.644900000000007</v>
      </c>
      <c r="AH480" s="49">
        <f t="shared" si="127"/>
        <v>8.2467000000000006</v>
      </c>
      <c r="AI480" s="89">
        <f t="shared" si="128"/>
        <v>627.81510000000003</v>
      </c>
      <c r="AJ480" s="91">
        <v>0.18</v>
      </c>
      <c r="AK480" s="5">
        <f t="shared" si="129"/>
        <v>113.00671800000001</v>
      </c>
      <c r="AL480" s="89">
        <f t="shared" si="130"/>
        <v>740.82181800000001</v>
      </c>
      <c r="AP480" s="7"/>
    </row>
    <row r="481" spans="1:42" hidden="1" x14ac:dyDescent="0.35">
      <c r="A481" s="85">
        <v>46217</v>
      </c>
      <c r="B481" s="51" t="s">
        <v>85</v>
      </c>
      <c r="C481" s="97">
        <v>61123995.678571403</v>
      </c>
      <c r="D481" s="97">
        <v>87119.5</v>
      </c>
      <c r="E481" s="48" t="s">
        <v>86</v>
      </c>
      <c r="F481" s="94" t="s">
        <v>109</v>
      </c>
      <c r="G481" s="94" t="s">
        <v>471</v>
      </c>
      <c r="H481" s="94" t="s">
        <v>433</v>
      </c>
      <c r="I481" s="94" t="s">
        <v>297</v>
      </c>
      <c r="J481" s="52"/>
      <c r="K481" s="52"/>
      <c r="L481" s="52"/>
      <c r="M481" s="52"/>
      <c r="N481" s="104">
        <f t="shared" si="132"/>
        <v>0</v>
      </c>
      <c r="O481" s="52">
        <v>20</v>
      </c>
      <c r="P481" s="52"/>
      <c r="Q481" s="52">
        <v>20</v>
      </c>
      <c r="R481" s="104">
        <f t="shared" si="131"/>
        <v>40</v>
      </c>
      <c r="S481" s="86">
        <f t="shared" si="133"/>
        <v>40</v>
      </c>
      <c r="AB481" s="88">
        <v>39.270000000000003</v>
      </c>
      <c r="AC481" s="88">
        <v>52.462499999999999</v>
      </c>
      <c r="AD481" s="88">
        <v>72.64</v>
      </c>
      <c r="AE481" s="89">
        <f t="shared" si="125"/>
        <v>2905.6</v>
      </c>
      <c r="AF481" s="90">
        <v>6.5000000000000002E-2</v>
      </c>
      <c r="AG481" s="4">
        <f t="shared" si="126"/>
        <v>188.864</v>
      </c>
      <c r="AH481" s="49">
        <f t="shared" si="127"/>
        <v>0</v>
      </c>
      <c r="AI481" s="89">
        <f t="shared" si="128"/>
        <v>2716.7359999999999</v>
      </c>
      <c r="AJ481" s="91">
        <v>0.18</v>
      </c>
      <c r="AK481" s="5">
        <f t="shared" si="129"/>
        <v>489.01247999999998</v>
      </c>
      <c r="AL481" s="89">
        <f t="shared" si="130"/>
        <v>3205.7484799999997</v>
      </c>
      <c r="AP481" s="7"/>
    </row>
    <row r="482" spans="1:42" hidden="1" x14ac:dyDescent="0.35">
      <c r="A482" s="85">
        <v>46217</v>
      </c>
      <c r="B482" s="51" t="s">
        <v>85</v>
      </c>
      <c r="C482" s="97">
        <v>61123995.678571403</v>
      </c>
      <c r="D482" s="97">
        <v>87119.5</v>
      </c>
      <c r="E482" s="48" t="s">
        <v>86</v>
      </c>
      <c r="F482" s="94" t="s">
        <v>108</v>
      </c>
      <c r="G482" s="94" t="s">
        <v>472</v>
      </c>
      <c r="H482" s="94" t="s">
        <v>433</v>
      </c>
      <c r="I482" s="94" t="s">
        <v>297</v>
      </c>
      <c r="J482" s="52">
        <v>40</v>
      </c>
      <c r="K482" s="52"/>
      <c r="L482" s="52"/>
      <c r="M482" s="52"/>
      <c r="N482" s="104">
        <f t="shared" si="132"/>
        <v>0</v>
      </c>
      <c r="O482" s="52"/>
      <c r="P482" s="52"/>
      <c r="Q482" s="52"/>
      <c r="R482" s="104">
        <f t="shared" si="131"/>
        <v>0</v>
      </c>
      <c r="S482" s="86">
        <f t="shared" si="133"/>
        <v>40</v>
      </c>
      <c r="AB482" s="88">
        <v>39.270000000000003</v>
      </c>
      <c r="AC482" s="88">
        <v>52.462499999999999</v>
      </c>
      <c r="AD482" s="88">
        <v>72.64</v>
      </c>
      <c r="AE482" s="89">
        <f t="shared" si="125"/>
        <v>4476.3999999999996</v>
      </c>
      <c r="AF482" s="90">
        <v>6.5000000000000002E-2</v>
      </c>
      <c r="AG482" s="4">
        <f t="shared" si="126"/>
        <v>290.96600000000001</v>
      </c>
      <c r="AH482" s="49">
        <f t="shared" si="127"/>
        <v>54.978000000000009</v>
      </c>
      <c r="AI482" s="89">
        <f t="shared" si="128"/>
        <v>4185.4339999999993</v>
      </c>
      <c r="AJ482" s="91">
        <v>0.18</v>
      </c>
      <c r="AK482" s="5">
        <f t="shared" si="129"/>
        <v>753.37811999999985</v>
      </c>
      <c r="AL482" s="89">
        <f t="shared" si="130"/>
        <v>4938.8121199999987</v>
      </c>
      <c r="AP482" s="7"/>
    </row>
    <row r="483" spans="1:42" hidden="1" x14ac:dyDescent="0.35">
      <c r="A483" s="85">
        <v>46217</v>
      </c>
      <c r="B483" s="51" t="s">
        <v>85</v>
      </c>
      <c r="C483" s="97">
        <v>61123995.678571403</v>
      </c>
      <c r="D483" s="97">
        <v>87119.5</v>
      </c>
      <c r="E483" s="48" t="s">
        <v>86</v>
      </c>
      <c r="F483" s="94" t="s">
        <v>108</v>
      </c>
      <c r="G483" s="94" t="s">
        <v>473</v>
      </c>
      <c r="H483" s="94" t="s">
        <v>433</v>
      </c>
      <c r="I483" s="94" t="s">
        <v>297</v>
      </c>
      <c r="J483" s="52">
        <v>12</v>
      </c>
      <c r="K483" s="52">
        <v>6</v>
      </c>
      <c r="L483" s="52">
        <v>6</v>
      </c>
      <c r="M483" s="52"/>
      <c r="N483" s="104">
        <f t="shared" si="132"/>
        <v>12</v>
      </c>
      <c r="O483" s="52"/>
      <c r="P483" s="52"/>
      <c r="Q483" s="52"/>
      <c r="R483" s="104">
        <f t="shared" si="131"/>
        <v>0</v>
      </c>
      <c r="S483" s="86">
        <f t="shared" si="133"/>
        <v>24</v>
      </c>
      <c r="AB483" s="88">
        <v>39.270000000000003</v>
      </c>
      <c r="AC483" s="88">
        <v>52.462499999999999</v>
      </c>
      <c r="AD483" s="88">
        <v>72.64</v>
      </c>
      <c r="AE483" s="89">
        <f t="shared" si="125"/>
        <v>2844.15</v>
      </c>
      <c r="AF483" s="90">
        <v>6.5000000000000002E-2</v>
      </c>
      <c r="AG483" s="4">
        <f t="shared" si="126"/>
        <v>184.86975000000001</v>
      </c>
      <c r="AH483" s="49">
        <f t="shared" si="127"/>
        <v>16.493400000000001</v>
      </c>
      <c r="AI483" s="89">
        <f t="shared" si="128"/>
        <v>2659.2802500000003</v>
      </c>
      <c r="AJ483" s="91">
        <v>0.18</v>
      </c>
      <c r="AK483" s="5">
        <f t="shared" si="129"/>
        <v>478.67044500000003</v>
      </c>
      <c r="AL483" s="89">
        <f t="shared" si="130"/>
        <v>3137.9506950000005</v>
      </c>
      <c r="AP483" s="7"/>
    </row>
    <row r="484" spans="1:42" hidden="1" x14ac:dyDescent="0.35">
      <c r="A484" s="85">
        <v>46217</v>
      </c>
      <c r="B484" s="51" t="s">
        <v>85</v>
      </c>
      <c r="C484" s="97">
        <v>61123995.678571403</v>
      </c>
      <c r="D484" s="97">
        <v>87119.5</v>
      </c>
      <c r="E484" s="48" t="s">
        <v>86</v>
      </c>
      <c r="F484" s="94" t="s">
        <v>108</v>
      </c>
      <c r="G484" s="94" t="s">
        <v>474</v>
      </c>
      <c r="H484" s="94" t="s">
        <v>433</v>
      </c>
      <c r="I484" s="94" t="s">
        <v>297</v>
      </c>
      <c r="J484" s="52">
        <v>40</v>
      </c>
      <c r="K484" s="52">
        <v>40</v>
      </c>
      <c r="L484" s="52">
        <v>40</v>
      </c>
      <c r="M484" s="52"/>
      <c r="N484" s="104">
        <f t="shared" si="132"/>
        <v>80</v>
      </c>
      <c r="O484" s="52"/>
      <c r="P484" s="52"/>
      <c r="Q484" s="52"/>
      <c r="R484" s="104">
        <f t="shared" si="131"/>
        <v>0</v>
      </c>
      <c r="S484" s="86">
        <f t="shared" si="133"/>
        <v>120</v>
      </c>
      <c r="AB484" s="88">
        <v>39.270000000000003</v>
      </c>
      <c r="AC484" s="88">
        <v>52.462499999999999</v>
      </c>
      <c r="AD484" s="88">
        <v>72.64</v>
      </c>
      <c r="AE484" s="89">
        <f t="shared" si="125"/>
        <v>14484.599999999999</v>
      </c>
      <c r="AF484" s="90">
        <v>6.5000000000000002E-2</v>
      </c>
      <c r="AG484" s="4">
        <f t="shared" si="126"/>
        <v>941.49899999999991</v>
      </c>
      <c r="AH484" s="49">
        <f t="shared" si="127"/>
        <v>54.978000000000009</v>
      </c>
      <c r="AI484" s="89">
        <f t="shared" si="128"/>
        <v>13543.100999999999</v>
      </c>
      <c r="AJ484" s="91">
        <v>0.18</v>
      </c>
      <c r="AK484" s="5">
        <f t="shared" si="129"/>
        <v>2437.7581799999998</v>
      </c>
      <c r="AL484" s="89">
        <f t="shared" si="130"/>
        <v>15980.859179999999</v>
      </c>
      <c r="AP484" s="7"/>
    </row>
    <row r="485" spans="1:42" hidden="1" x14ac:dyDescent="0.35">
      <c r="A485" s="85">
        <v>46217</v>
      </c>
      <c r="B485" s="51" t="s">
        <v>85</v>
      </c>
      <c r="C485" s="97">
        <v>61123995.678571403</v>
      </c>
      <c r="D485" s="97">
        <v>87119.5</v>
      </c>
      <c r="E485" s="48" t="s">
        <v>86</v>
      </c>
      <c r="F485" s="94" t="s">
        <v>108</v>
      </c>
      <c r="G485" s="94" t="s">
        <v>475</v>
      </c>
      <c r="H485" s="94" t="s">
        <v>433</v>
      </c>
      <c r="I485" s="94" t="s">
        <v>297</v>
      </c>
      <c r="J485" s="52">
        <v>40</v>
      </c>
      <c r="K485" s="52"/>
      <c r="L485" s="52"/>
      <c r="M485" s="52"/>
      <c r="N485" s="104">
        <f t="shared" si="132"/>
        <v>0</v>
      </c>
      <c r="O485" s="52"/>
      <c r="P485" s="52"/>
      <c r="Q485" s="52"/>
      <c r="R485" s="104">
        <f t="shared" si="131"/>
        <v>0</v>
      </c>
      <c r="S485" s="86">
        <f t="shared" si="133"/>
        <v>40</v>
      </c>
      <c r="AB485" s="88">
        <v>39.270000000000003</v>
      </c>
      <c r="AC485" s="88">
        <v>52.462499999999999</v>
      </c>
      <c r="AD485" s="88">
        <v>72.64</v>
      </c>
      <c r="AE485" s="89">
        <f t="shared" si="125"/>
        <v>4476.3999999999996</v>
      </c>
      <c r="AF485" s="90">
        <v>6.5000000000000002E-2</v>
      </c>
      <c r="AG485" s="4">
        <f t="shared" si="126"/>
        <v>290.96600000000001</v>
      </c>
      <c r="AH485" s="49">
        <f t="shared" si="127"/>
        <v>54.978000000000009</v>
      </c>
      <c r="AI485" s="89">
        <f t="shared" si="128"/>
        <v>4185.4339999999993</v>
      </c>
      <c r="AJ485" s="91">
        <v>0.18</v>
      </c>
      <c r="AK485" s="5">
        <f t="shared" si="129"/>
        <v>753.37811999999985</v>
      </c>
      <c r="AL485" s="89">
        <f t="shared" si="130"/>
        <v>4938.8121199999987</v>
      </c>
      <c r="AP485" s="7"/>
    </row>
    <row r="486" spans="1:42" hidden="1" x14ac:dyDescent="0.35">
      <c r="A486" s="85">
        <v>46217</v>
      </c>
      <c r="B486" s="51" t="s">
        <v>85</v>
      </c>
      <c r="C486" s="97">
        <v>61123995.678571403</v>
      </c>
      <c r="D486" s="97">
        <v>87119.5</v>
      </c>
      <c r="E486" s="48" t="s">
        <v>86</v>
      </c>
      <c r="F486" s="94" t="s">
        <v>108</v>
      </c>
      <c r="G486" s="94" t="s">
        <v>476</v>
      </c>
      <c r="H486" s="94" t="s">
        <v>433</v>
      </c>
      <c r="I486" s="94" t="s">
        <v>297</v>
      </c>
      <c r="J486" s="52">
        <v>40</v>
      </c>
      <c r="K486" s="52"/>
      <c r="L486" s="52"/>
      <c r="M486" s="52"/>
      <c r="N486" s="104">
        <f t="shared" si="132"/>
        <v>0</v>
      </c>
      <c r="O486" s="52"/>
      <c r="P486" s="52"/>
      <c r="Q486" s="52"/>
      <c r="R486" s="104">
        <f t="shared" si="131"/>
        <v>0</v>
      </c>
      <c r="S486" s="86">
        <f t="shared" si="133"/>
        <v>40</v>
      </c>
      <c r="AB486" s="88">
        <v>39.270000000000003</v>
      </c>
      <c r="AC486" s="88">
        <v>52.462499999999999</v>
      </c>
      <c r="AD486" s="88">
        <v>72.64</v>
      </c>
      <c r="AE486" s="89">
        <f t="shared" si="125"/>
        <v>4476.3999999999996</v>
      </c>
      <c r="AF486" s="90">
        <v>6.5000000000000002E-2</v>
      </c>
      <c r="AG486" s="4">
        <f t="shared" si="126"/>
        <v>290.96600000000001</v>
      </c>
      <c r="AH486" s="49">
        <f t="shared" si="127"/>
        <v>54.978000000000009</v>
      </c>
      <c r="AI486" s="89">
        <f t="shared" si="128"/>
        <v>4185.4339999999993</v>
      </c>
      <c r="AJ486" s="91">
        <v>0.18</v>
      </c>
      <c r="AK486" s="5">
        <f t="shared" si="129"/>
        <v>753.37811999999985</v>
      </c>
      <c r="AL486" s="89">
        <f t="shared" si="130"/>
        <v>4938.8121199999987</v>
      </c>
      <c r="AP486" s="7"/>
    </row>
    <row r="487" spans="1:42" hidden="1" x14ac:dyDescent="0.35">
      <c r="A487" s="85">
        <v>46217</v>
      </c>
      <c r="B487" s="51" t="s">
        <v>85</v>
      </c>
      <c r="C487" s="97">
        <v>61123995.678571403</v>
      </c>
      <c r="D487" s="97">
        <v>87119.5</v>
      </c>
      <c r="E487" s="48" t="s">
        <v>86</v>
      </c>
      <c r="F487" s="94" t="s">
        <v>108</v>
      </c>
      <c r="G487" s="94" t="s">
        <v>477</v>
      </c>
      <c r="H487" s="94" t="s">
        <v>433</v>
      </c>
      <c r="I487" s="94" t="s">
        <v>297</v>
      </c>
      <c r="J487" s="52">
        <v>40</v>
      </c>
      <c r="K487" s="52"/>
      <c r="L487" s="52"/>
      <c r="M487" s="52"/>
      <c r="N487" s="104">
        <f t="shared" si="132"/>
        <v>0</v>
      </c>
      <c r="O487" s="52"/>
      <c r="P487" s="52"/>
      <c r="Q487" s="52"/>
      <c r="R487" s="104">
        <f t="shared" si="131"/>
        <v>0</v>
      </c>
      <c r="S487" s="86">
        <f t="shared" si="133"/>
        <v>40</v>
      </c>
      <c r="AB487" s="88">
        <v>39.270000000000003</v>
      </c>
      <c r="AC487" s="88">
        <v>52.462499999999999</v>
      </c>
      <c r="AD487" s="88">
        <v>72.64</v>
      </c>
      <c r="AE487" s="89">
        <f t="shared" si="125"/>
        <v>4476.3999999999996</v>
      </c>
      <c r="AF487" s="90">
        <v>6.5000000000000002E-2</v>
      </c>
      <c r="AG487" s="4">
        <f t="shared" si="126"/>
        <v>290.96600000000001</v>
      </c>
      <c r="AH487" s="49">
        <f t="shared" si="127"/>
        <v>54.978000000000009</v>
      </c>
      <c r="AI487" s="89">
        <f t="shared" si="128"/>
        <v>4185.4339999999993</v>
      </c>
      <c r="AJ487" s="91">
        <v>0.18</v>
      </c>
      <c r="AK487" s="5">
        <f t="shared" si="129"/>
        <v>753.37811999999985</v>
      </c>
      <c r="AL487" s="89">
        <f t="shared" si="130"/>
        <v>4938.8121199999987</v>
      </c>
      <c r="AP487" s="7"/>
    </row>
    <row r="488" spans="1:42" hidden="1" x14ac:dyDescent="0.35">
      <c r="A488" s="85">
        <v>46217</v>
      </c>
      <c r="B488" s="51" t="s">
        <v>85</v>
      </c>
      <c r="C488" s="97">
        <v>61123995.678571403</v>
      </c>
      <c r="D488" s="97">
        <v>87119.5</v>
      </c>
      <c r="E488" s="48" t="s">
        <v>86</v>
      </c>
      <c r="F488" s="94" t="s">
        <v>108</v>
      </c>
      <c r="G488" s="94" t="s">
        <v>478</v>
      </c>
      <c r="H488" s="94" t="s">
        <v>433</v>
      </c>
      <c r="I488" s="94" t="s">
        <v>297</v>
      </c>
      <c r="J488" s="52">
        <v>20</v>
      </c>
      <c r="K488" s="52"/>
      <c r="L488" s="52"/>
      <c r="M488" s="52"/>
      <c r="N488" s="104">
        <f t="shared" si="132"/>
        <v>0</v>
      </c>
      <c r="O488" s="52"/>
      <c r="P488" s="52"/>
      <c r="Q488" s="52"/>
      <c r="R488" s="104">
        <f t="shared" si="131"/>
        <v>0</v>
      </c>
      <c r="S488" s="86">
        <f t="shared" si="133"/>
        <v>20</v>
      </c>
      <c r="AB488" s="88">
        <v>39.270000000000003</v>
      </c>
      <c r="AC488" s="88">
        <v>52.462499999999999</v>
      </c>
      <c r="AD488" s="88">
        <v>72.64</v>
      </c>
      <c r="AE488" s="89">
        <f t="shared" si="125"/>
        <v>2238.1999999999998</v>
      </c>
      <c r="AF488" s="90">
        <v>6.5000000000000002E-2</v>
      </c>
      <c r="AG488" s="4">
        <f t="shared" si="126"/>
        <v>145.483</v>
      </c>
      <c r="AH488" s="49">
        <f t="shared" si="127"/>
        <v>27.489000000000004</v>
      </c>
      <c r="AI488" s="89">
        <f t="shared" si="128"/>
        <v>2092.7169999999996</v>
      </c>
      <c r="AJ488" s="91">
        <v>0.18</v>
      </c>
      <c r="AK488" s="5">
        <f t="shared" si="129"/>
        <v>376.68905999999993</v>
      </c>
      <c r="AL488" s="89">
        <f t="shared" si="130"/>
        <v>2469.4060599999993</v>
      </c>
      <c r="AP488" s="7"/>
    </row>
    <row r="489" spans="1:42" hidden="1" x14ac:dyDescent="0.35">
      <c r="A489" s="85">
        <v>46217</v>
      </c>
      <c r="B489" s="51" t="s">
        <v>85</v>
      </c>
      <c r="C489" s="97">
        <v>61123995.678571403</v>
      </c>
      <c r="D489" s="97">
        <v>87119.5</v>
      </c>
      <c r="E489" s="48" t="s">
        <v>86</v>
      </c>
      <c r="F489" s="94" t="s">
        <v>108</v>
      </c>
      <c r="G489" s="94" t="s">
        <v>299</v>
      </c>
      <c r="H489" s="94" t="s">
        <v>435</v>
      </c>
      <c r="I489" s="94" t="s">
        <v>273</v>
      </c>
      <c r="J489" s="52"/>
      <c r="K489" s="52"/>
      <c r="L489" s="52"/>
      <c r="M489" s="52"/>
      <c r="N489" s="104">
        <f t="shared" si="132"/>
        <v>0</v>
      </c>
      <c r="O489" s="52"/>
      <c r="P489" s="52"/>
      <c r="Q489" s="52">
        <v>80</v>
      </c>
      <c r="R489" s="104">
        <f t="shared" si="131"/>
        <v>80</v>
      </c>
      <c r="S489" s="86">
        <f t="shared" si="133"/>
        <v>80</v>
      </c>
      <c r="AB489" s="88">
        <v>39.270000000000003</v>
      </c>
      <c r="AC489" s="88">
        <v>52.462499999999999</v>
      </c>
      <c r="AD489" s="88">
        <v>72.64</v>
      </c>
      <c r="AE489" s="89">
        <f t="shared" si="125"/>
        <v>5811.2</v>
      </c>
      <c r="AF489" s="90">
        <v>6.5000000000000002E-2</v>
      </c>
      <c r="AG489" s="4">
        <f t="shared" si="126"/>
        <v>377.72800000000001</v>
      </c>
      <c r="AH489" s="49">
        <f t="shared" si="127"/>
        <v>0</v>
      </c>
      <c r="AI489" s="89">
        <f t="shared" si="128"/>
        <v>5433.4719999999998</v>
      </c>
      <c r="AJ489" s="91">
        <v>0.18</v>
      </c>
      <c r="AK489" s="5">
        <f t="shared" si="129"/>
        <v>978.02495999999996</v>
      </c>
      <c r="AL489" s="89">
        <f t="shared" si="130"/>
        <v>6411.4969599999995</v>
      </c>
      <c r="AP489" s="7"/>
    </row>
    <row r="490" spans="1:42" hidden="1" x14ac:dyDescent="0.35">
      <c r="A490" s="85">
        <v>46217</v>
      </c>
      <c r="B490" s="51" t="s">
        <v>85</v>
      </c>
      <c r="C490" s="97">
        <v>61123995.678571403</v>
      </c>
      <c r="D490" s="97">
        <v>87119.5</v>
      </c>
      <c r="E490" s="48" t="s">
        <v>86</v>
      </c>
      <c r="F490" s="94" t="s">
        <v>108</v>
      </c>
      <c r="G490" s="94" t="s">
        <v>271</v>
      </c>
      <c r="H490" s="94" t="s">
        <v>435</v>
      </c>
      <c r="I490" s="94" t="s">
        <v>273</v>
      </c>
      <c r="J490" s="52"/>
      <c r="K490" s="52">
        <v>10</v>
      </c>
      <c r="L490" s="52"/>
      <c r="M490" s="52"/>
      <c r="N490" s="104">
        <f t="shared" si="132"/>
        <v>10</v>
      </c>
      <c r="O490" s="52"/>
      <c r="P490" s="52"/>
      <c r="Q490" s="52"/>
      <c r="R490" s="104">
        <f t="shared" si="131"/>
        <v>0</v>
      </c>
      <c r="S490" s="86">
        <f t="shared" si="133"/>
        <v>10</v>
      </c>
      <c r="AB490" s="88">
        <v>39.270000000000003</v>
      </c>
      <c r="AC490" s="88">
        <v>52.462499999999999</v>
      </c>
      <c r="AD490" s="88">
        <v>72.64</v>
      </c>
      <c r="AE490" s="89">
        <f t="shared" si="125"/>
        <v>1251.0250000000001</v>
      </c>
      <c r="AF490" s="90">
        <v>6.5000000000000002E-2</v>
      </c>
      <c r="AG490" s="4">
        <f t="shared" si="126"/>
        <v>81.316625000000002</v>
      </c>
      <c r="AH490" s="49">
        <f t="shared" si="127"/>
        <v>0</v>
      </c>
      <c r="AI490" s="89">
        <f t="shared" si="128"/>
        <v>1169.7083750000002</v>
      </c>
      <c r="AJ490" s="91">
        <v>0.18</v>
      </c>
      <c r="AK490" s="5">
        <f t="shared" si="129"/>
        <v>210.54750750000002</v>
      </c>
      <c r="AL490" s="89">
        <f t="shared" si="130"/>
        <v>1380.2558825000001</v>
      </c>
      <c r="AP490" s="7"/>
    </row>
    <row r="491" spans="1:42" hidden="1" x14ac:dyDescent="0.35">
      <c r="A491" s="85">
        <v>46217</v>
      </c>
      <c r="B491" s="51" t="s">
        <v>85</v>
      </c>
      <c r="C491" s="97">
        <v>61123995.678571403</v>
      </c>
      <c r="D491" s="97">
        <v>87119.5</v>
      </c>
      <c r="E491" s="48" t="s">
        <v>86</v>
      </c>
      <c r="F491" s="94" t="s">
        <v>108</v>
      </c>
      <c r="G491" s="94" t="s">
        <v>139</v>
      </c>
      <c r="H491" s="94" t="s">
        <v>435</v>
      </c>
      <c r="I491" s="94" t="s">
        <v>273</v>
      </c>
      <c r="J491" s="52"/>
      <c r="K491" s="52"/>
      <c r="L491" s="52">
        <v>10</v>
      </c>
      <c r="M491" s="52"/>
      <c r="N491" s="104">
        <f t="shared" si="132"/>
        <v>10</v>
      </c>
      <c r="O491" s="52"/>
      <c r="P491" s="52"/>
      <c r="Q491" s="52"/>
      <c r="R491" s="104">
        <f t="shared" si="131"/>
        <v>0</v>
      </c>
      <c r="S491" s="86">
        <f t="shared" si="133"/>
        <v>10</v>
      </c>
      <c r="AB491" s="88">
        <v>39.270000000000003</v>
      </c>
      <c r="AC491" s="88">
        <v>52.462499999999999</v>
      </c>
      <c r="AD491" s="88">
        <v>72.64</v>
      </c>
      <c r="AE491" s="89">
        <f t="shared" si="125"/>
        <v>1251.0250000000001</v>
      </c>
      <c r="AF491" s="90">
        <v>6.5000000000000002E-2</v>
      </c>
      <c r="AG491" s="4">
        <f t="shared" si="126"/>
        <v>81.316625000000002</v>
      </c>
      <c r="AH491" s="49">
        <f t="shared" si="127"/>
        <v>0</v>
      </c>
      <c r="AI491" s="89">
        <f t="shared" si="128"/>
        <v>1169.7083750000002</v>
      </c>
      <c r="AJ491" s="91">
        <v>0.18</v>
      </c>
      <c r="AK491" s="5">
        <f t="shared" si="129"/>
        <v>210.54750750000002</v>
      </c>
      <c r="AL491" s="89">
        <f t="shared" si="130"/>
        <v>1380.2558825000001</v>
      </c>
      <c r="AP491" s="7"/>
    </row>
    <row r="492" spans="1:42" hidden="1" x14ac:dyDescent="0.35">
      <c r="A492" s="85">
        <v>46217</v>
      </c>
      <c r="B492" s="51" t="s">
        <v>85</v>
      </c>
      <c r="C492" s="97">
        <v>61123995.678571403</v>
      </c>
      <c r="D492" s="97">
        <v>87119.5</v>
      </c>
      <c r="E492" s="48" t="s">
        <v>86</v>
      </c>
      <c r="F492" s="94" t="s">
        <v>108</v>
      </c>
      <c r="G492" s="94" t="s">
        <v>302</v>
      </c>
      <c r="H492" s="94" t="s">
        <v>435</v>
      </c>
      <c r="I492" s="94" t="s">
        <v>273</v>
      </c>
      <c r="J492" s="52"/>
      <c r="K492" s="52">
        <v>10</v>
      </c>
      <c r="L492" s="52"/>
      <c r="M492" s="52"/>
      <c r="N492" s="104">
        <f t="shared" si="132"/>
        <v>10</v>
      </c>
      <c r="O492" s="52"/>
      <c r="P492" s="52"/>
      <c r="Q492" s="52"/>
      <c r="R492" s="104">
        <f t="shared" si="131"/>
        <v>0</v>
      </c>
      <c r="S492" s="86">
        <f t="shared" si="133"/>
        <v>10</v>
      </c>
      <c r="AB492" s="88">
        <v>39.270000000000003</v>
      </c>
      <c r="AC492" s="88">
        <v>52.462499999999999</v>
      </c>
      <c r="AD492" s="88">
        <v>72.64</v>
      </c>
      <c r="AE492" s="89">
        <f t="shared" si="125"/>
        <v>1251.0250000000001</v>
      </c>
      <c r="AF492" s="90">
        <v>6.5000000000000002E-2</v>
      </c>
      <c r="AG492" s="4">
        <f t="shared" si="126"/>
        <v>81.316625000000002</v>
      </c>
      <c r="AH492" s="49">
        <f t="shared" si="127"/>
        <v>0</v>
      </c>
      <c r="AI492" s="89">
        <f t="shared" si="128"/>
        <v>1169.7083750000002</v>
      </c>
      <c r="AJ492" s="91">
        <v>0.18</v>
      </c>
      <c r="AK492" s="5">
        <f t="shared" si="129"/>
        <v>210.54750750000002</v>
      </c>
      <c r="AL492" s="89">
        <f t="shared" si="130"/>
        <v>1380.2558825000001</v>
      </c>
      <c r="AP492" s="7"/>
    </row>
    <row r="493" spans="1:42" hidden="1" x14ac:dyDescent="0.35">
      <c r="A493" s="85">
        <v>46217</v>
      </c>
      <c r="B493" s="51" t="s">
        <v>85</v>
      </c>
      <c r="C493" s="97">
        <v>61123995.678571403</v>
      </c>
      <c r="D493" s="97">
        <v>87119.5</v>
      </c>
      <c r="E493" s="48" t="s">
        <v>86</v>
      </c>
      <c r="F493" s="94" t="s">
        <v>108</v>
      </c>
      <c r="G493" s="94" t="s">
        <v>177</v>
      </c>
      <c r="H493" s="94" t="s">
        <v>435</v>
      </c>
      <c r="I493" s="94" t="s">
        <v>273</v>
      </c>
      <c r="J493" s="52"/>
      <c r="K493" s="52"/>
      <c r="L493" s="52">
        <v>10</v>
      </c>
      <c r="M493" s="52"/>
      <c r="N493" s="104">
        <f t="shared" si="132"/>
        <v>10</v>
      </c>
      <c r="O493" s="52"/>
      <c r="P493" s="52"/>
      <c r="Q493" s="52"/>
      <c r="R493" s="104">
        <f t="shared" si="131"/>
        <v>0</v>
      </c>
      <c r="S493" s="86">
        <f t="shared" si="133"/>
        <v>10</v>
      </c>
      <c r="AB493" s="88">
        <v>39.270000000000003</v>
      </c>
      <c r="AC493" s="88">
        <v>52.462499999999999</v>
      </c>
      <c r="AD493" s="88">
        <v>72.64</v>
      </c>
      <c r="AE493" s="89">
        <f t="shared" si="125"/>
        <v>1251.0250000000001</v>
      </c>
      <c r="AF493" s="90">
        <v>6.5000000000000002E-2</v>
      </c>
      <c r="AG493" s="4">
        <f t="shared" si="126"/>
        <v>81.316625000000002</v>
      </c>
      <c r="AH493" s="49">
        <f t="shared" si="127"/>
        <v>0</v>
      </c>
      <c r="AI493" s="89">
        <f t="shared" si="128"/>
        <v>1169.7083750000002</v>
      </c>
      <c r="AJ493" s="91">
        <v>0.18</v>
      </c>
      <c r="AK493" s="5">
        <f t="shared" si="129"/>
        <v>210.54750750000002</v>
      </c>
      <c r="AL493" s="89">
        <f t="shared" si="130"/>
        <v>1380.2558825000001</v>
      </c>
      <c r="AP493" s="7"/>
    </row>
    <row r="494" spans="1:42" hidden="1" x14ac:dyDescent="0.35">
      <c r="A494" s="85">
        <v>46217</v>
      </c>
      <c r="B494" s="51" t="s">
        <v>85</v>
      </c>
      <c r="C494" s="97">
        <v>61123995.678571403</v>
      </c>
      <c r="D494" s="97">
        <v>87119.5</v>
      </c>
      <c r="E494" s="48" t="s">
        <v>86</v>
      </c>
      <c r="F494" s="94" t="s">
        <v>109</v>
      </c>
      <c r="G494" s="94" t="s">
        <v>479</v>
      </c>
      <c r="H494" s="94" t="s">
        <v>435</v>
      </c>
      <c r="I494" s="94" t="s">
        <v>273</v>
      </c>
      <c r="J494" s="52"/>
      <c r="K494" s="52"/>
      <c r="L494" s="52"/>
      <c r="M494" s="52"/>
      <c r="N494" s="104">
        <f t="shared" si="132"/>
        <v>0</v>
      </c>
      <c r="O494" s="52">
        <v>15</v>
      </c>
      <c r="P494" s="52">
        <v>10</v>
      </c>
      <c r="Q494" s="52">
        <v>15</v>
      </c>
      <c r="R494" s="104">
        <f t="shared" si="131"/>
        <v>40</v>
      </c>
      <c r="S494" s="86">
        <f t="shared" si="133"/>
        <v>40</v>
      </c>
      <c r="AB494" s="88">
        <v>39.270000000000003</v>
      </c>
      <c r="AC494" s="88">
        <v>52.462499999999999</v>
      </c>
      <c r="AD494" s="88">
        <v>72.64</v>
      </c>
      <c r="AE494" s="89">
        <f t="shared" si="125"/>
        <v>2905.6</v>
      </c>
      <c r="AF494" s="90">
        <v>6.5000000000000002E-2</v>
      </c>
      <c r="AG494" s="4">
        <f t="shared" si="126"/>
        <v>188.864</v>
      </c>
      <c r="AH494" s="49">
        <f t="shared" si="127"/>
        <v>0</v>
      </c>
      <c r="AI494" s="89">
        <f t="shared" si="128"/>
        <v>2716.7359999999999</v>
      </c>
      <c r="AJ494" s="91">
        <v>0.18</v>
      </c>
      <c r="AK494" s="5">
        <f t="shared" si="129"/>
        <v>489.01247999999998</v>
      </c>
      <c r="AL494" s="89">
        <f t="shared" si="130"/>
        <v>3205.7484799999997</v>
      </c>
      <c r="AP494" s="7"/>
    </row>
    <row r="495" spans="1:42" hidden="1" x14ac:dyDescent="0.35">
      <c r="A495" s="85">
        <v>46217</v>
      </c>
      <c r="B495" s="51" t="s">
        <v>85</v>
      </c>
      <c r="C495" s="97">
        <v>61123995.678571403</v>
      </c>
      <c r="D495" s="97">
        <v>87119.5</v>
      </c>
      <c r="E495" s="48" t="s">
        <v>86</v>
      </c>
      <c r="F495" s="94" t="s">
        <v>109</v>
      </c>
      <c r="G495" s="94" t="s">
        <v>167</v>
      </c>
      <c r="H495" s="94" t="s">
        <v>435</v>
      </c>
      <c r="I495" s="94" t="s">
        <v>273</v>
      </c>
      <c r="J495" s="52"/>
      <c r="K495" s="52">
        <v>20</v>
      </c>
      <c r="L495" s="52">
        <v>20</v>
      </c>
      <c r="M495" s="52"/>
      <c r="N495" s="104">
        <f t="shared" si="132"/>
        <v>40</v>
      </c>
      <c r="O495" s="52">
        <v>15</v>
      </c>
      <c r="P495" s="52">
        <v>10</v>
      </c>
      <c r="Q495" s="52">
        <v>15</v>
      </c>
      <c r="R495" s="104">
        <f t="shared" si="131"/>
        <v>40</v>
      </c>
      <c r="S495" s="86">
        <f t="shared" si="133"/>
        <v>80</v>
      </c>
      <c r="AB495" s="88">
        <v>39.270000000000003</v>
      </c>
      <c r="AC495" s="88">
        <v>52.462499999999999</v>
      </c>
      <c r="AD495" s="88">
        <v>72.64</v>
      </c>
      <c r="AE495" s="89">
        <f t="shared" si="125"/>
        <v>7909.7</v>
      </c>
      <c r="AF495" s="90">
        <v>6.5000000000000002E-2</v>
      </c>
      <c r="AG495" s="4">
        <f t="shared" si="126"/>
        <v>514.13049999999998</v>
      </c>
      <c r="AH495" s="49">
        <f t="shared" si="127"/>
        <v>0</v>
      </c>
      <c r="AI495" s="89">
        <f t="shared" si="128"/>
        <v>7395.5694999999996</v>
      </c>
      <c r="AJ495" s="91">
        <v>0.18</v>
      </c>
      <c r="AK495" s="5">
        <f t="shared" si="129"/>
        <v>1331.2025099999998</v>
      </c>
      <c r="AL495" s="89">
        <f t="shared" si="130"/>
        <v>8726.7720099999988</v>
      </c>
      <c r="AP495" s="7"/>
    </row>
    <row r="496" spans="1:42" hidden="1" x14ac:dyDescent="0.35">
      <c r="A496" s="85">
        <v>46217</v>
      </c>
      <c r="B496" s="51" t="s">
        <v>85</v>
      </c>
      <c r="C496" s="97">
        <v>61123995.678571403</v>
      </c>
      <c r="D496" s="97">
        <v>87119.5</v>
      </c>
      <c r="E496" s="48" t="s">
        <v>86</v>
      </c>
      <c r="F496" s="94" t="s">
        <v>108</v>
      </c>
      <c r="G496" s="94" t="s">
        <v>480</v>
      </c>
      <c r="H496" s="94" t="s">
        <v>435</v>
      </c>
      <c r="I496" s="94" t="s">
        <v>273</v>
      </c>
      <c r="J496" s="52">
        <v>80</v>
      </c>
      <c r="K496" s="52">
        <v>40</v>
      </c>
      <c r="L496" s="52">
        <v>40</v>
      </c>
      <c r="M496" s="52"/>
      <c r="N496" s="104">
        <f t="shared" si="132"/>
        <v>80</v>
      </c>
      <c r="O496" s="52">
        <v>40</v>
      </c>
      <c r="P496" s="52">
        <v>40</v>
      </c>
      <c r="Q496" s="52">
        <v>40</v>
      </c>
      <c r="R496" s="104">
        <f t="shared" si="131"/>
        <v>120</v>
      </c>
      <c r="S496" s="86">
        <f t="shared" si="133"/>
        <v>280</v>
      </c>
      <c r="AB496" s="88">
        <v>39.270000000000003</v>
      </c>
      <c r="AC496" s="88">
        <v>52.462499999999999</v>
      </c>
      <c r="AD496" s="88">
        <v>72.64</v>
      </c>
      <c r="AE496" s="89">
        <f t="shared" si="125"/>
        <v>27677.800000000003</v>
      </c>
      <c r="AF496" s="90">
        <v>6.5000000000000002E-2</v>
      </c>
      <c r="AG496" s="4">
        <f t="shared" si="126"/>
        <v>1799.0570000000002</v>
      </c>
      <c r="AH496" s="49">
        <f t="shared" si="127"/>
        <v>109.95600000000002</v>
      </c>
      <c r="AI496" s="89">
        <f t="shared" si="128"/>
        <v>25878.743000000002</v>
      </c>
      <c r="AJ496" s="91">
        <v>0.18</v>
      </c>
      <c r="AK496" s="5">
        <f t="shared" si="129"/>
        <v>4658.1737400000002</v>
      </c>
      <c r="AL496" s="89">
        <f t="shared" si="130"/>
        <v>30536.916740000001</v>
      </c>
      <c r="AP496" s="7"/>
    </row>
    <row r="497" spans="1:42" hidden="1" x14ac:dyDescent="0.35">
      <c r="A497" s="85">
        <v>46217</v>
      </c>
      <c r="B497" s="51" t="s">
        <v>85</v>
      </c>
      <c r="C497" s="97">
        <v>61123995.678571403</v>
      </c>
      <c r="D497" s="97">
        <v>87119.5</v>
      </c>
      <c r="E497" s="48" t="s">
        <v>86</v>
      </c>
      <c r="F497" s="94" t="s">
        <v>109</v>
      </c>
      <c r="G497" s="94" t="s">
        <v>168</v>
      </c>
      <c r="H497" s="94" t="s">
        <v>435</v>
      </c>
      <c r="I497" s="94" t="s">
        <v>273</v>
      </c>
      <c r="J497" s="52"/>
      <c r="K497" s="52">
        <v>10</v>
      </c>
      <c r="L497" s="52"/>
      <c r="M497" s="52"/>
      <c r="N497" s="104">
        <f t="shared" si="132"/>
        <v>10</v>
      </c>
      <c r="O497" s="52"/>
      <c r="P497" s="52"/>
      <c r="Q497" s="52"/>
      <c r="R497" s="104">
        <f t="shared" si="131"/>
        <v>0</v>
      </c>
      <c r="S497" s="86">
        <f t="shared" si="133"/>
        <v>10</v>
      </c>
      <c r="AB497" s="88">
        <v>39.270000000000003</v>
      </c>
      <c r="AC497" s="88">
        <v>52.462499999999999</v>
      </c>
      <c r="AD497" s="88">
        <v>72.64</v>
      </c>
      <c r="AE497" s="89">
        <f t="shared" si="125"/>
        <v>1251.0250000000001</v>
      </c>
      <c r="AF497" s="90">
        <v>6.5000000000000002E-2</v>
      </c>
      <c r="AG497" s="4">
        <f t="shared" si="126"/>
        <v>81.316625000000002</v>
      </c>
      <c r="AH497" s="49">
        <f t="shared" si="127"/>
        <v>0</v>
      </c>
      <c r="AI497" s="89">
        <f t="shared" si="128"/>
        <v>1169.7083750000002</v>
      </c>
      <c r="AJ497" s="91">
        <v>0.18</v>
      </c>
      <c r="AK497" s="5">
        <f t="shared" si="129"/>
        <v>210.54750750000002</v>
      </c>
      <c r="AL497" s="89">
        <f t="shared" si="130"/>
        <v>1380.2558825000001</v>
      </c>
      <c r="AP497" s="7"/>
    </row>
    <row r="498" spans="1:42" hidden="1" x14ac:dyDescent="0.35">
      <c r="A498" s="85">
        <v>46217</v>
      </c>
      <c r="B498" s="51" t="s">
        <v>85</v>
      </c>
      <c r="C498" s="97">
        <v>61123995.678571403</v>
      </c>
      <c r="D498" s="97">
        <v>87119.5</v>
      </c>
      <c r="E498" s="48" t="s">
        <v>86</v>
      </c>
      <c r="F498" s="94" t="s">
        <v>108</v>
      </c>
      <c r="G498" s="94" t="s">
        <v>481</v>
      </c>
      <c r="H498" s="94" t="s">
        <v>435</v>
      </c>
      <c r="I498" s="94" t="s">
        <v>273</v>
      </c>
      <c r="J498" s="52"/>
      <c r="K498" s="52">
        <v>10</v>
      </c>
      <c r="L498" s="52"/>
      <c r="M498" s="52"/>
      <c r="N498" s="104">
        <f t="shared" si="132"/>
        <v>10</v>
      </c>
      <c r="O498" s="52"/>
      <c r="P498" s="52"/>
      <c r="Q498" s="52"/>
      <c r="R498" s="104">
        <f t="shared" si="131"/>
        <v>0</v>
      </c>
      <c r="S498" s="86">
        <f t="shared" si="133"/>
        <v>10</v>
      </c>
      <c r="AB498" s="88">
        <v>39.270000000000003</v>
      </c>
      <c r="AC498" s="88">
        <v>52.462499999999999</v>
      </c>
      <c r="AD498" s="88">
        <v>72.64</v>
      </c>
      <c r="AE498" s="89">
        <f t="shared" ref="AE498:AE561" si="134">(J498*AB498)+(N498*AC498)+(AD498*S498)</f>
        <v>1251.0250000000001</v>
      </c>
      <c r="AF498" s="90">
        <v>6.5000000000000002E-2</v>
      </c>
      <c r="AG498" s="4">
        <f t="shared" ref="AG498:AG561" si="135">AE498*AF498</f>
        <v>81.316625000000002</v>
      </c>
      <c r="AH498" s="49">
        <f t="shared" ref="AH498:AH561" si="136">(AB498*J498)*$AH$1</f>
        <v>0</v>
      </c>
      <c r="AI498" s="89">
        <f t="shared" ref="AI498:AI561" si="137">AE498-AG498</f>
        <v>1169.7083750000002</v>
      </c>
      <c r="AJ498" s="91">
        <v>0.18</v>
      </c>
      <c r="AK498" s="5">
        <f t="shared" ref="AK498:AK561" si="138">AI498*AJ498</f>
        <v>210.54750750000002</v>
      </c>
      <c r="AL498" s="89">
        <f t="shared" ref="AL498:AL561" si="139">AI498+AK498</f>
        <v>1380.2558825000001</v>
      </c>
      <c r="AP498" s="7"/>
    </row>
    <row r="499" spans="1:42" hidden="1" x14ac:dyDescent="0.35">
      <c r="A499" s="85">
        <v>46217</v>
      </c>
      <c r="B499" s="51" t="s">
        <v>85</v>
      </c>
      <c r="C499" s="97">
        <v>61123995.678571403</v>
      </c>
      <c r="D499" s="97">
        <v>87119.5</v>
      </c>
      <c r="E499" s="48" t="s">
        <v>86</v>
      </c>
      <c r="F499" s="94" t="s">
        <v>108</v>
      </c>
      <c r="G499" s="94" t="s">
        <v>267</v>
      </c>
      <c r="H499" s="94" t="s">
        <v>435</v>
      </c>
      <c r="I499" s="94" t="s">
        <v>273</v>
      </c>
      <c r="J499" s="52"/>
      <c r="K499" s="52">
        <v>10</v>
      </c>
      <c r="L499" s="52"/>
      <c r="M499" s="52"/>
      <c r="N499" s="104">
        <f t="shared" si="132"/>
        <v>10</v>
      </c>
      <c r="O499" s="52"/>
      <c r="P499" s="52"/>
      <c r="Q499" s="52"/>
      <c r="R499" s="104">
        <f t="shared" si="131"/>
        <v>0</v>
      </c>
      <c r="S499" s="86">
        <f t="shared" si="133"/>
        <v>10</v>
      </c>
      <c r="AB499" s="88">
        <v>39.270000000000003</v>
      </c>
      <c r="AC499" s="88">
        <v>52.462499999999999</v>
      </c>
      <c r="AD499" s="88">
        <v>72.64</v>
      </c>
      <c r="AE499" s="89">
        <f t="shared" si="134"/>
        <v>1251.0250000000001</v>
      </c>
      <c r="AF499" s="90">
        <v>6.5000000000000002E-2</v>
      </c>
      <c r="AG499" s="4">
        <f t="shared" si="135"/>
        <v>81.316625000000002</v>
      </c>
      <c r="AH499" s="49">
        <f t="shared" si="136"/>
        <v>0</v>
      </c>
      <c r="AI499" s="89">
        <f t="shared" si="137"/>
        <v>1169.7083750000002</v>
      </c>
      <c r="AJ499" s="91">
        <v>0.18</v>
      </c>
      <c r="AK499" s="5">
        <f t="shared" si="138"/>
        <v>210.54750750000002</v>
      </c>
      <c r="AL499" s="89">
        <f t="shared" si="139"/>
        <v>1380.2558825000001</v>
      </c>
      <c r="AP499" s="7"/>
    </row>
    <row r="500" spans="1:42" hidden="1" x14ac:dyDescent="0.35">
      <c r="A500" s="85">
        <v>46217</v>
      </c>
      <c r="B500" s="51" t="s">
        <v>85</v>
      </c>
      <c r="C500" s="97">
        <v>61123995.678571403</v>
      </c>
      <c r="D500" s="97">
        <v>87119.5</v>
      </c>
      <c r="E500" s="48" t="s">
        <v>86</v>
      </c>
      <c r="F500" s="94" t="s">
        <v>108</v>
      </c>
      <c r="G500" s="94" t="s">
        <v>482</v>
      </c>
      <c r="H500" s="94" t="s">
        <v>435</v>
      </c>
      <c r="I500" s="94" t="s">
        <v>273</v>
      </c>
      <c r="J500" s="52"/>
      <c r="K500" s="52">
        <v>10</v>
      </c>
      <c r="L500" s="52"/>
      <c r="M500" s="52"/>
      <c r="N500" s="104">
        <f t="shared" si="132"/>
        <v>10</v>
      </c>
      <c r="O500" s="52"/>
      <c r="P500" s="52"/>
      <c r="Q500" s="52"/>
      <c r="R500" s="104">
        <f t="shared" si="131"/>
        <v>0</v>
      </c>
      <c r="S500" s="86">
        <f t="shared" si="133"/>
        <v>10</v>
      </c>
      <c r="AB500" s="88">
        <v>39.270000000000003</v>
      </c>
      <c r="AC500" s="88">
        <v>52.462499999999999</v>
      </c>
      <c r="AD500" s="88">
        <v>72.64</v>
      </c>
      <c r="AE500" s="89">
        <f t="shared" si="134"/>
        <v>1251.0250000000001</v>
      </c>
      <c r="AF500" s="90">
        <v>6.5000000000000002E-2</v>
      </c>
      <c r="AG500" s="4">
        <f t="shared" si="135"/>
        <v>81.316625000000002</v>
      </c>
      <c r="AH500" s="49">
        <f t="shared" si="136"/>
        <v>0</v>
      </c>
      <c r="AI500" s="89">
        <f t="shared" si="137"/>
        <v>1169.7083750000002</v>
      </c>
      <c r="AJ500" s="91">
        <v>0.18</v>
      </c>
      <c r="AK500" s="5">
        <f t="shared" si="138"/>
        <v>210.54750750000002</v>
      </c>
      <c r="AL500" s="89">
        <f t="shared" si="139"/>
        <v>1380.2558825000001</v>
      </c>
      <c r="AP500" s="7"/>
    </row>
    <row r="501" spans="1:42" hidden="1" x14ac:dyDescent="0.35">
      <c r="A501" s="85">
        <v>46217</v>
      </c>
      <c r="B501" s="51" t="s">
        <v>85</v>
      </c>
      <c r="C501" s="97">
        <v>61123995.678571403</v>
      </c>
      <c r="D501" s="97">
        <v>87119.5</v>
      </c>
      <c r="E501" s="48" t="s">
        <v>86</v>
      </c>
      <c r="F501" s="94" t="s">
        <v>108</v>
      </c>
      <c r="G501" s="94" t="s">
        <v>301</v>
      </c>
      <c r="H501" s="94" t="s">
        <v>435</v>
      </c>
      <c r="I501" s="94" t="s">
        <v>273</v>
      </c>
      <c r="J501" s="52"/>
      <c r="K501" s="52"/>
      <c r="L501" s="52"/>
      <c r="M501" s="52"/>
      <c r="N501" s="104">
        <f t="shared" si="132"/>
        <v>0</v>
      </c>
      <c r="O501" s="52"/>
      <c r="P501" s="52"/>
      <c r="Q501" s="52">
        <v>20</v>
      </c>
      <c r="R501" s="104">
        <f t="shared" si="131"/>
        <v>20</v>
      </c>
      <c r="S501" s="86">
        <f t="shared" si="133"/>
        <v>20</v>
      </c>
      <c r="AB501" s="88">
        <v>39.270000000000003</v>
      </c>
      <c r="AC501" s="88">
        <v>52.462499999999999</v>
      </c>
      <c r="AD501" s="88">
        <v>72.64</v>
      </c>
      <c r="AE501" s="89">
        <f t="shared" si="134"/>
        <v>1452.8</v>
      </c>
      <c r="AF501" s="90">
        <v>6.5000000000000002E-2</v>
      </c>
      <c r="AG501" s="4">
        <f t="shared" si="135"/>
        <v>94.432000000000002</v>
      </c>
      <c r="AH501" s="49">
        <f t="shared" si="136"/>
        <v>0</v>
      </c>
      <c r="AI501" s="89">
        <f t="shared" si="137"/>
        <v>1358.3679999999999</v>
      </c>
      <c r="AJ501" s="91">
        <v>0.18</v>
      </c>
      <c r="AK501" s="5">
        <f t="shared" si="138"/>
        <v>244.50623999999999</v>
      </c>
      <c r="AL501" s="89">
        <f t="shared" si="139"/>
        <v>1602.8742399999999</v>
      </c>
      <c r="AP501" s="7"/>
    </row>
    <row r="502" spans="1:42" hidden="1" x14ac:dyDescent="0.35">
      <c r="A502" s="85">
        <v>46218</v>
      </c>
      <c r="B502" s="51" t="s">
        <v>85</v>
      </c>
      <c r="C502" s="97">
        <v>61123995.678571403</v>
      </c>
      <c r="D502" s="97">
        <v>87119.5</v>
      </c>
      <c r="E502" s="48" t="s">
        <v>86</v>
      </c>
      <c r="F502" s="94" t="s">
        <v>108</v>
      </c>
      <c r="G502" s="94" t="s">
        <v>483</v>
      </c>
      <c r="H502" s="94" t="s">
        <v>460</v>
      </c>
      <c r="I502" s="94" t="s">
        <v>424</v>
      </c>
      <c r="J502" s="52"/>
      <c r="K502" s="52"/>
      <c r="L502" s="52"/>
      <c r="M502" s="52"/>
      <c r="N502" s="104">
        <f t="shared" si="132"/>
        <v>0</v>
      </c>
      <c r="O502" s="52">
        <v>15</v>
      </c>
      <c r="P502" s="52">
        <v>10</v>
      </c>
      <c r="Q502" s="52">
        <v>15</v>
      </c>
      <c r="R502" s="104">
        <f t="shared" si="131"/>
        <v>40</v>
      </c>
      <c r="S502" s="86">
        <f t="shared" si="133"/>
        <v>40</v>
      </c>
      <c r="AB502" s="88">
        <v>39.270000000000003</v>
      </c>
      <c r="AC502" s="88">
        <v>52.462499999999999</v>
      </c>
      <c r="AD502" s="88">
        <v>72.64</v>
      </c>
      <c r="AE502" s="89">
        <f t="shared" si="134"/>
        <v>2905.6</v>
      </c>
      <c r="AF502" s="90">
        <v>6.5000000000000002E-2</v>
      </c>
      <c r="AG502" s="4">
        <f t="shared" si="135"/>
        <v>188.864</v>
      </c>
      <c r="AH502" s="49">
        <f t="shared" si="136"/>
        <v>0</v>
      </c>
      <c r="AI502" s="89">
        <f t="shared" si="137"/>
        <v>2716.7359999999999</v>
      </c>
      <c r="AJ502" s="91">
        <v>0.18</v>
      </c>
      <c r="AK502" s="5">
        <f t="shared" si="138"/>
        <v>489.01247999999998</v>
      </c>
      <c r="AL502" s="89">
        <f t="shared" si="139"/>
        <v>3205.7484799999997</v>
      </c>
      <c r="AP502" s="7"/>
    </row>
    <row r="503" spans="1:42" hidden="1" x14ac:dyDescent="0.35">
      <c r="A503" s="85">
        <v>46218</v>
      </c>
      <c r="B503" s="51" t="s">
        <v>85</v>
      </c>
      <c r="C503" s="97">
        <v>61123995.678571403</v>
      </c>
      <c r="D503" s="97">
        <v>87119.5</v>
      </c>
      <c r="E503" s="48" t="s">
        <v>86</v>
      </c>
      <c r="F503" s="94" t="s">
        <v>108</v>
      </c>
      <c r="G503" s="94" t="s">
        <v>484</v>
      </c>
      <c r="H503" s="94" t="s">
        <v>460</v>
      </c>
      <c r="I503" s="94" t="s">
        <v>424</v>
      </c>
      <c r="J503" s="52"/>
      <c r="K503" s="52"/>
      <c r="L503" s="52"/>
      <c r="M503" s="52"/>
      <c r="N503" s="104">
        <f t="shared" si="132"/>
        <v>0</v>
      </c>
      <c r="O503" s="52"/>
      <c r="P503" s="52"/>
      <c r="Q503" s="52">
        <v>40</v>
      </c>
      <c r="R503" s="104">
        <f t="shared" si="131"/>
        <v>40</v>
      </c>
      <c r="S503" s="86">
        <f t="shared" si="133"/>
        <v>40</v>
      </c>
      <c r="AB503" s="88">
        <v>39.270000000000003</v>
      </c>
      <c r="AC503" s="88">
        <v>52.462499999999999</v>
      </c>
      <c r="AD503" s="88">
        <v>72.64</v>
      </c>
      <c r="AE503" s="89">
        <f t="shared" si="134"/>
        <v>2905.6</v>
      </c>
      <c r="AF503" s="90">
        <v>6.5000000000000002E-2</v>
      </c>
      <c r="AG503" s="4">
        <f t="shared" si="135"/>
        <v>188.864</v>
      </c>
      <c r="AH503" s="49">
        <f t="shared" si="136"/>
        <v>0</v>
      </c>
      <c r="AI503" s="89">
        <f t="shared" si="137"/>
        <v>2716.7359999999999</v>
      </c>
      <c r="AJ503" s="91">
        <v>0.18</v>
      </c>
      <c r="AK503" s="5">
        <f t="shared" si="138"/>
        <v>489.01247999999998</v>
      </c>
      <c r="AL503" s="89">
        <f t="shared" si="139"/>
        <v>3205.7484799999997</v>
      </c>
      <c r="AP503" s="7"/>
    </row>
    <row r="504" spans="1:42" hidden="1" x14ac:dyDescent="0.35">
      <c r="A504" s="85">
        <v>46218</v>
      </c>
      <c r="B504" s="51" t="s">
        <v>85</v>
      </c>
      <c r="C504" s="97">
        <v>61123995.678571403</v>
      </c>
      <c r="D504" s="97">
        <v>87119.5</v>
      </c>
      <c r="E504" s="48" t="s">
        <v>86</v>
      </c>
      <c r="F504" s="94" t="s">
        <v>108</v>
      </c>
      <c r="G504" s="94" t="s">
        <v>106</v>
      </c>
      <c r="H504" s="94" t="s">
        <v>460</v>
      </c>
      <c r="I504" s="94" t="s">
        <v>424</v>
      </c>
      <c r="J504" s="52"/>
      <c r="K504" s="52"/>
      <c r="L504" s="52"/>
      <c r="M504" s="52"/>
      <c r="N504" s="104">
        <f t="shared" si="132"/>
        <v>0</v>
      </c>
      <c r="O504" s="52">
        <v>16</v>
      </c>
      <c r="P504" s="52">
        <v>12</v>
      </c>
      <c r="Q504" s="52">
        <v>16</v>
      </c>
      <c r="R504" s="104">
        <f t="shared" si="131"/>
        <v>44</v>
      </c>
      <c r="S504" s="86">
        <f t="shared" si="133"/>
        <v>44</v>
      </c>
      <c r="AB504" s="88">
        <v>39.270000000000003</v>
      </c>
      <c r="AC504" s="88">
        <v>52.462499999999999</v>
      </c>
      <c r="AD504" s="88">
        <v>72.64</v>
      </c>
      <c r="AE504" s="89">
        <f t="shared" si="134"/>
        <v>3196.16</v>
      </c>
      <c r="AF504" s="90">
        <v>6.5000000000000002E-2</v>
      </c>
      <c r="AG504" s="4">
        <f t="shared" si="135"/>
        <v>207.75039999999998</v>
      </c>
      <c r="AH504" s="49">
        <f t="shared" si="136"/>
        <v>0</v>
      </c>
      <c r="AI504" s="89">
        <f t="shared" si="137"/>
        <v>2988.4096</v>
      </c>
      <c r="AJ504" s="91">
        <v>0.18</v>
      </c>
      <c r="AK504" s="5">
        <f t="shared" si="138"/>
        <v>537.91372799999999</v>
      </c>
      <c r="AL504" s="89">
        <f t="shared" si="139"/>
        <v>3526.3233279999999</v>
      </c>
      <c r="AP504" s="7"/>
    </row>
    <row r="505" spans="1:42" hidden="1" x14ac:dyDescent="0.35">
      <c r="A505" s="85">
        <v>46218</v>
      </c>
      <c r="B505" s="51" t="s">
        <v>85</v>
      </c>
      <c r="C505" s="97">
        <v>61123995.678571403</v>
      </c>
      <c r="D505" s="97">
        <v>87119.5</v>
      </c>
      <c r="E505" s="48" t="s">
        <v>86</v>
      </c>
      <c r="F505" s="94" t="s">
        <v>108</v>
      </c>
      <c r="G505" s="94" t="s">
        <v>142</v>
      </c>
      <c r="H505" s="94" t="s">
        <v>460</v>
      </c>
      <c r="I505" s="94" t="s">
        <v>424</v>
      </c>
      <c r="J505" s="52"/>
      <c r="K505" s="52"/>
      <c r="L505" s="52"/>
      <c r="M505" s="52"/>
      <c r="N505" s="104">
        <f t="shared" si="132"/>
        <v>0</v>
      </c>
      <c r="O505" s="52"/>
      <c r="P505" s="52">
        <v>20</v>
      </c>
      <c r="Q505" s="52">
        <v>20</v>
      </c>
      <c r="R505" s="104">
        <f t="shared" si="131"/>
        <v>40</v>
      </c>
      <c r="S505" s="86">
        <f t="shared" si="133"/>
        <v>40</v>
      </c>
      <c r="AB505" s="88">
        <v>39.270000000000003</v>
      </c>
      <c r="AC505" s="88">
        <v>52.462499999999999</v>
      </c>
      <c r="AD505" s="88">
        <v>72.64</v>
      </c>
      <c r="AE505" s="89">
        <f t="shared" si="134"/>
        <v>2905.6</v>
      </c>
      <c r="AF505" s="90">
        <v>6.5000000000000002E-2</v>
      </c>
      <c r="AG505" s="4">
        <f t="shared" si="135"/>
        <v>188.864</v>
      </c>
      <c r="AH505" s="49">
        <f t="shared" si="136"/>
        <v>0</v>
      </c>
      <c r="AI505" s="89">
        <f t="shared" si="137"/>
        <v>2716.7359999999999</v>
      </c>
      <c r="AJ505" s="91">
        <v>0.18</v>
      </c>
      <c r="AK505" s="5">
        <f t="shared" si="138"/>
        <v>489.01247999999998</v>
      </c>
      <c r="AL505" s="89">
        <f t="shared" si="139"/>
        <v>3205.7484799999997</v>
      </c>
      <c r="AP505" s="7"/>
    </row>
    <row r="506" spans="1:42" hidden="1" x14ac:dyDescent="0.35">
      <c r="A506" s="85">
        <v>46218</v>
      </c>
      <c r="B506" s="51" t="s">
        <v>85</v>
      </c>
      <c r="C506" s="97">
        <v>61123995.678571403</v>
      </c>
      <c r="D506" s="97">
        <v>87119.5</v>
      </c>
      <c r="E506" s="48" t="s">
        <v>86</v>
      </c>
      <c r="F506" s="94" t="s">
        <v>108</v>
      </c>
      <c r="G506" s="94" t="s">
        <v>485</v>
      </c>
      <c r="H506" s="94" t="s">
        <v>460</v>
      </c>
      <c r="I506" s="94" t="s">
        <v>424</v>
      </c>
      <c r="J506" s="52"/>
      <c r="K506" s="52"/>
      <c r="L506" s="52"/>
      <c r="M506" s="52"/>
      <c r="N506" s="104">
        <f t="shared" si="132"/>
        <v>0</v>
      </c>
      <c r="O506" s="52">
        <v>15</v>
      </c>
      <c r="P506" s="52">
        <v>10</v>
      </c>
      <c r="Q506" s="52">
        <v>15</v>
      </c>
      <c r="R506" s="104">
        <f t="shared" si="131"/>
        <v>40</v>
      </c>
      <c r="S506" s="86">
        <f t="shared" si="133"/>
        <v>40</v>
      </c>
      <c r="AB506" s="88">
        <v>39.270000000000003</v>
      </c>
      <c r="AC506" s="88">
        <v>52.462499999999999</v>
      </c>
      <c r="AD506" s="88">
        <v>72.64</v>
      </c>
      <c r="AE506" s="89">
        <f t="shared" si="134"/>
        <v>2905.6</v>
      </c>
      <c r="AF506" s="90">
        <v>6.5000000000000002E-2</v>
      </c>
      <c r="AG506" s="4">
        <f t="shared" si="135"/>
        <v>188.864</v>
      </c>
      <c r="AH506" s="49">
        <f t="shared" si="136"/>
        <v>0</v>
      </c>
      <c r="AI506" s="89">
        <f t="shared" si="137"/>
        <v>2716.7359999999999</v>
      </c>
      <c r="AJ506" s="91">
        <v>0.18</v>
      </c>
      <c r="AK506" s="5">
        <f t="shared" si="138"/>
        <v>489.01247999999998</v>
      </c>
      <c r="AL506" s="89">
        <f t="shared" si="139"/>
        <v>3205.7484799999997</v>
      </c>
      <c r="AP506" s="7"/>
    </row>
    <row r="507" spans="1:42" hidden="1" x14ac:dyDescent="0.35">
      <c r="A507" s="85">
        <v>46218</v>
      </c>
      <c r="B507" s="51" t="s">
        <v>85</v>
      </c>
      <c r="C507" s="97">
        <v>61123995.678571403</v>
      </c>
      <c r="D507" s="97">
        <v>87119.5</v>
      </c>
      <c r="E507" s="48" t="s">
        <v>86</v>
      </c>
      <c r="F507" s="94" t="s">
        <v>108</v>
      </c>
      <c r="G507" s="94" t="s">
        <v>486</v>
      </c>
      <c r="H507" s="94" t="s">
        <v>460</v>
      </c>
      <c r="I507" s="94" t="s">
        <v>424</v>
      </c>
      <c r="J507" s="52">
        <v>40</v>
      </c>
      <c r="K507" s="52">
        <v>39</v>
      </c>
      <c r="L507" s="52">
        <v>40</v>
      </c>
      <c r="M507" s="52"/>
      <c r="N507" s="104">
        <f t="shared" si="132"/>
        <v>79</v>
      </c>
      <c r="O507" s="52">
        <v>40</v>
      </c>
      <c r="P507" s="52">
        <v>40</v>
      </c>
      <c r="Q507" s="52">
        <v>40</v>
      </c>
      <c r="R507" s="104">
        <f t="shared" si="131"/>
        <v>120</v>
      </c>
      <c r="S507" s="86">
        <f t="shared" si="133"/>
        <v>239</v>
      </c>
      <c r="AB507" s="88">
        <v>39.270000000000003</v>
      </c>
      <c r="AC507" s="88">
        <v>52.462499999999999</v>
      </c>
      <c r="AD507" s="88">
        <v>72.64</v>
      </c>
      <c r="AE507" s="89">
        <f t="shared" si="134"/>
        <v>23076.297500000001</v>
      </c>
      <c r="AF507" s="90">
        <v>6.5000000000000002E-2</v>
      </c>
      <c r="AG507" s="4">
        <f t="shared" si="135"/>
        <v>1499.9593375000002</v>
      </c>
      <c r="AH507" s="49">
        <f t="shared" si="136"/>
        <v>54.978000000000009</v>
      </c>
      <c r="AI507" s="89">
        <f t="shared" si="137"/>
        <v>21576.3381625</v>
      </c>
      <c r="AJ507" s="91">
        <v>0.18</v>
      </c>
      <c r="AK507" s="5">
        <f t="shared" si="138"/>
        <v>3883.7408692499998</v>
      </c>
      <c r="AL507" s="89">
        <f t="shared" si="139"/>
        <v>25460.07903175</v>
      </c>
      <c r="AP507" s="7"/>
    </row>
    <row r="508" spans="1:42" hidden="1" x14ac:dyDescent="0.35">
      <c r="A508" s="85">
        <v>46218</v>
      </c>
      <c r="B508" s="51" t="s">
        <v>85</v>
      </c>
      <c r="C508" s="97">
        <v>61123995.678571403</v>
      </c>
      <c r="D508" s="97">
        <v>87119.5</v>
      </c>
      <c r="E508" s="48" t="s">
        <v>86</v>
      </c>
      <c r="F508" s="94" t="s">
        <v>108</v>
      </c>
      <c r="G508" s="94" t="s">
        <v>327</v>
      </c>
      <c r="H508" s="94" t="s">
        <v>112</v>
      </c>
      <c r="I508" s="94" t="s">
        <v>246</v>
      </c>
      <c r="J508" s="52"/>
      <c r="K508" s="52">
        <v>40</v>
      </c>
      <c r="L508" s="52">
        <v>40</v>
      </c>
      <c r="M508" s="52"/>
      <c r="N508" s="104">
        <f t="shared" si="132"/>
        <v>80</v>
      </c>
      <c r="O508" s="52"/>
      <c r="P508" s="52"/>
      <c r="Q508" s="52"/>
      <c r="R508" s="104">
        <f t="shared" si="131"/>
        <v>0</v>
      </c>
      <c r="S508" s="86">
        <f t="shared" si="133"/>
        <v>80</v>
      </c>
      <c r="AB508" s="88">
        <v>39.270000000000003</v>
      </c>
      <c r="AC508" s="88">
        <v>52.462499999999999</v>
      </c>
      <c r="AD508" s="88">
        <v>72.64</v>
      </c>
      <c r="AE508" s="89">
        <f t="shared" si="134"/>
        <v>10008.200000000001</v>
      </c>
      <c r="AF508" s="90">
        <v>6.5000000000000002E-2</v>
      </c>
      <c r="AG508" s="4">
        <f t="shared" si="135"/>
        <v>650.53300000000002</v>
      </c>
      <c r="AH508" s="49">
        <f t="shared" si="136"/>
        <v>0</v>
      </c>
      <c r="AI508" s="89">
        <f t="shared" si="137"/>
        <v>9357.6670000000013</v>
      </c>
      <c r="AJ508" s="91">
        <v>0.18</v>
      </c>
      <c r="AK508" s="5">
        <f t="shared" si="138"/>
        <v>1684.3800600000002</v>
      </c>
      <c r="AL508" s="89">
        <f t="shared" si="139"/>
        <v>11042.047060000001</v>
      </c>
      <c r="AP508" s="7"/>
    </row>
    <row r="509" spans="1:42" hidden="1" x14ac:dyDescent="0.35">
      <c r="A509" s="85">
        <v>46218</v>
      </c>
      <c r="B509" s="51" t="s">
        <v>85</v>
      </c>
      <c r="C509" s="97">
        <v>61123995.678571403</v>
      </c>
      <c r="D509" s="97">
        <v>87119.5</v>
      </c>
      <c r="E509" s="48" t="s">
        <v>86</v>
      </c>
      <c r="F509" s="94" t="s">
        <v>108</v>
      </c>
      <c r="G509" s="94" t="s">
        <v>487</v>
      </c>
      <c r="H509" s="94" t="s">
        <v>112</v>
      </c>
      <c r="I509" s="94" t="s">
        <v>246</v>
      </c>
      <c r="J509" s="52"/>
      <c r="K509" s="52"/>
      <c r="L509" s="52"/>
      <c r="M509" s="52"/>
      <c r="N509" s="104">
        <f t="shared" si="132"/>
        <v>0</v>
      </c>
      <c r="O509" s="52">
        <v>13</v>
      </c>
      <c r="P509" s="52">
        <v>12</v>
      </c>
      <c r="Q509" s="52">
        <v>15</v>
      </c>
      <c r="R509" s="104">
        <f t="shared" si="131"/>
        <v>40</v>
      </c>
      <c r="S509" s="86">
        <f t="shared" si="133"/>
        <v>40</v>
      </c>
      <c r="AB509" s="88">
        <v>39.270000000000003</v>
      </c>
      <c r="AC509" s="88">
        <v>52.462499999999999</v>
      </c>
      <c r="AD509" s="88">
        <v>72.64</v>
      </c>
      <c r="AE509" s="89">
        <f t="shared" si="134"/>
        <v>2905.6</v>
      </c>
      <c r="AF509" s="90">
        <v>6.5000000000000002E-2</v>
      </c>
      <c r="AG509" s="4">
        <f t="shared" si="135"/>
        <v>188.864</v>
      </c>
      <c r="AH509" s="49">
        <f t="shared" si="136"/>
        <v>0</v>
      </c>
      <c r="AI509" s="89">
        <f t="shared" si="137"/>
        <v>2716.7359999999999</v>
      </c>
      <c r="AJ509" s="91">
        <v>0.18</v>
      </c>
      <c r="AK509" s="5">
        <f t="shared" si="138"/>
        <v>489.01247999999998</v>
      </c>
      <c r="AL509" s="89">
        <f t="shared" si="139"/>
        <v>3205.7484799999997</v>
      </c>
      <c r="AP509" s="7"/>
    </row>
    <row r="510" spans="1:42" hidden="1" x14ac:dyDescent="0.35">
      <c r="A510" s="85">
        <v>46218</v>
      </c>
      <c r="B510" s="51" t="s">
        <v>85</v>
      </c>
      <c r="C510" s="97">
        <v>61123995.678571403</v>
      </c>
      <c r="D510" s="97">
        <v>87119.5</v>
      </c>
      <c r="E510" s="48" t="s">
        <v>86</v>
      </c>
      <c r="F510" s="94" t="s">
        <v>108</v>
      </c>
      <c r="G510" s="94" t="s">
        <v>488</v>
      </c>
      <c r="H510" s="94" t="s">
        <v>112</v>
      </c>
      <c r="I510" s="94" t="s">
        <v>246</v>
      </c>
      <c r="J510" s="52">
        <v>40</v>
      </c>
      <c r="K510" s="52">
        <v>20</v>
      </c>
      <c r="L510" s="52">
        <v>20</v>
      </c>
      <c r="M510" s="52"/>
      <c r="N510" s="104">
        <f t="shared" si="132"/>
        <v>40</v>
      </c>
      <c r="O510" s="52"/>
      <c r="P510" s="52"/>
      <c r="Q510" s="52"/>
      <c r="R510" s="104">
        <f t="shared" si="131"/>
        <v>0</v>
      </c>
      <c r="S510" s="86">
        <f t="shared" si="133"/>
        <v>80</v>
      </c>
      <c r="AB510" s="88">
        <v>39.270000000000003</v>
      </c>
      <c r="AC510" s="88">
        <v>52.462499999999999</v>
      </c>
      <c r="AD510" s="88">
        <v>72.64</v>
      </c>
      <c r="AE510" s="89">
        <f t="shared" si="134"/>
        <v>9480.5</v>
      </c>
      <c r="AF510" s="90">
        <v>6.5000000000000002E-2</v>
      </c>
      <c r="AG510" s="4">
        <f t="shared" si="135"/>
        <v>616.23250000000007</v>
      </c>
      <c r="AH510" s="49">
        <f t="shared" si="136"/>
        <v>54.978000000000009</v>
      </c>
      <c r="AI510" s="89">
        <f t="shared" si="137"/>
        <v>8864.2674999999999</v>
      </c>
      <c r="AJ510" s="91">
        <v>0.18</v>
      </c>
      <c r="AK510" s="5">
        <f t="shared" si="138"/>
        <v>1595.5681499999998</v>
      </c>
      <c r="AL510" s="89">
        <f t="shared" si="139"/>
        <v>10459.835649999999</v>
      </c>
      <c r="AP510" s="7"/>
    </row>
    <row r="511" spans="1:42" hidden="1" x14ac:dyDescent="0.35">
      <c r="A511" s="85">
        <v>46218</v>
      </c>
      <c r="B511" s="51" t="s">
        <v>85</v>
      </c>
      <c r="C511" s="97">
        <v>61123995.678571403</v>
      </c>
      <c r="D511" s="97">
        <v>87119.5</v>
      </c>
      <c r="E511" s="48" t="s">
        <v>86</v>
      </c>
      <c r="F511" s="94" t="s">
        <v>108</v>
      </c>
      <c r="G511" s="94" t="s">
        <v>489</v>
      </c>
      <c r="H511" s="94" t="s">
        <v>112</v>
      </c>
      <c r="I511" s="94" t="s">
        <v>246</v>
      </c>
      <c r="J511" s="52">
        <v>12</v>
      </c>
      <c r="K511" s="52">
        <v>12</v>
      </c>
      <c r="L511" s="52">
        <v>6</v>
      </c>
      <c r="M511" s="52"/>
      <c r="N511" s="104">
        <f t="shared" si="132"/>
        <v>18</v>
      </c>
      <c r="O511" s="52">
        <v>6</v>
      </c>
      <c r="P511" s="52">
        <v>12</v>
      </c>
      <c r="Q511" s="52">
        <v>12</v>
      </c>
      <c r="R511" s="104">
        <f t="shared" si="131"/>
        <v>30</v>
      </c>
      <c r="S511" s="86">
        <f t="shared" si="133"/>
        <v>60</v>
      </c>
      <c r="AB511" s="88">
        <v>39.270000000000003</v>
      </c>
      <c r="AC511" s="88">
        <v>52.462499999999999</v>
      </c>
      <c r="AD511" s="88">
        <v>72.64</v>
      </c>
      <c r="AE511" s="89">
        <f t="shared" si="134"/>
        <v>5773.9650000000001</v>
      </c>
      <c r="AF511" s="90">
        <v>6.5000000000000002E-2</v>
      </c>
      <c r="AG511" s="4">
        <f t="shared" si="135"/>
        <v>375.307725</v>
      </c>
      <c r="AH511" s="49">
        <f t="shared" si="136"/>
        <v>16.493400000000001</v>
      </c>
      <c r="AI511" s="89">
        <f t="shared" si="137"/>
        <v>5398.6572750000005</v>
      </c>
      <c r="AJ511" s="91">
        <v>0.18</v>
      </c>
      <c r="AK511" s="5">
        <f t="shared" si="138"/>
        <v>971.7583095</v>
      </c>
      <c r="AL511" s="89">
        <f t="shared" si="139"/>
        <v>6370.4155845000005</v>
      </c>
      <c r="AP511" s="7"/>
    </row>
    <row r="512" spans="1:42" hidden="1" x14ac:dyDescent="0.35">
      <c r="A512" s="85">
        <v>46218</v>
      </c>
      <c r="B512" s="51" t="s">
        <v>85</v>
      </c>
      <c r="C512" s="97">
        <v>61123995.678571403</v>
      </c>
      <c r="D512" s="97">
        <v>87119.5</v>
      </c>
      <c r="E512" s="48" t="s">
        <v>86</v>
      </c>
      <c r="F512" s="94" t="s">
        <v>108</v>
      </c>
      <c r="G512" s="94" t="s">
        <v>327</v>
      </c>
      <c r="H512" s="94" t="s">
        <v>112</v>
      </c>
      <c r="I512" s="94" t="s">
        <v>491</v>
      </c>
      <c r="J512" s="52">
        <v>10</v>
      </c>
      <c r="K512" s="52">
        <v>20</v>
      </c>
      <c r="L512" s="52">
        <v>20</v>
      </c>
      <c r="M512" s="52"/>
      <c r="N512" s="104">
        <f t="shared" si="132"/>
        <v>40</v>
      </c>
      <c r="O512" s="52">
        <v>13</v>
      </c>
      <c r="P512" s="52">
        <v>12</v>
      </c>
      <c r="Q512" s="52">
        <v>15</v>
      </c>
      <c r="R512" s="104">
        <f t="shared" si="131"/>
        <v>40</v>
      </c>
      <c r="S512" s="86">
        <f t="shared" si="133"/>
        <v>90</v>
      </c>
      <c r="AB512" s="88">
        <v>39.270000000000003</v>
      </c>
      <c r="AC512" s="88">
        <v>52.462499999999999</v>
      </c>
      <c r="AD512" s="88">
        <v>72.64</v>
      </c>
      <c r="AE512" s="89">
        <f t="shared" si="134"/>
        <v>9028.7999999999993</v>
      </c>
      <c r="AF512" s="90">
        <v>6.5000000000000002E-2</v>
      </c>
      <c r="AG512" s="4">
        <f t="shared" si="135"/>
        <v>586.87199999999996</v>
      </c>
      <c r="AH512" s="49">
        <f t="shared" si="136"/>
        <v>13.744500000000002</v>
      </c>
      <c r="AI512" s="89">
        <f t="shared" si="137"/>
        <v>8441.9279999999999</v>
      </c>
      <c r="AJ512" s="91">
        <v>0.18</v>
      </c>
      <c r="AK512" s="5">
        <f t="shared" si="138"/>
        <v>1519.5470399999999</v>
      </c>
      <c r="AL512" s="89">
        <f t="shared" si="139"/>
        <v>9961.4750399999994</v>
      </c>
      <c r="AP512" s="7"/>
    </row>
    <row r="513" spans="1:42" hidden="1" x14ac:dyDescent="0.35">
      <c r="A513" s="85">
        <v>46218</v>
      </c>
      <c r="B513" s="51" t="s">
        <v>85</v>
      </c>
      <c r="C513" s="97">
        <v>61123995.678571403</v>
      </c>
      <c r="D513" s="97">
        <v>87119.5</v>
      </c>
      <c r="E513" s="48" t="s">
        <v>86</v>
      </c>
      <c r="F513" s="94" t="s">
        <v>109</v>
      </c>
      <c r="G513" s="94" t="s">
        <v>490</v>
      </c>
      <c r="H513" s="94" t="s">
        <v>112</v>
      </c>
      <c r="I513" s="94" t="s">
        <v>492</v>
      </c>
      <c r="J513" s="52">
        <v>40</v>
      </c>
      <c r="K513" s="52">
        <v>40</v>
      </c>
      <c r="L513" s="52">
        <v>40</v>
      </c>
      <c r="M513" s="52"/>
      <c r="N513" s="104">
        <f t="shared" si="132"/>
        <v>80</v>
      </c>
      <c r="O513" s="52">
        <v>40</v>
      </c>
      <c r="P513" s="52">
        <v>40</v>
      </c>
      <c r="Q513" s="52">
        <v>40</v>
      </c>
      <c r="R513" s="104">
        <f t="shared" si="131"/>
        <v>120</v>
      </c>
      <c r="S513" s="86">
        <f t="shared" si="133"/>
        <v>240</v>
      </c>
      <c r="AB513" s="88">
        <v>39.270000000000003</v>
      </c>
      <c r="AC513" s="88">
        <v>52.462499999999999</v>
      </c>
      <c r="AD513" s="88">
        <v>72.64</v>
      </c>
      <c r="AE513" s="89">
        <f t="shared" si="134"/>
        <v>23201.399999999998</v>
      </c>
      <c r="AF513" s="90">
        <v>6.5000000000000002E-2</v>
      </c>
      <c r="AG513" s="4">
        <f t="shared" si="135"/>
        <v>1508.0909999999999</v>
      </c>
      <c r="AH513" s="49">
        <f t="shared" si="136"/>
        <v>54.978000000000009</v>
      </c>
      <c r="AI513" s="89">
        <f t="shared" si="137"/>
        <v>21693.308999999997</v>
      </c>
      <c r="AJ513" s="91">
        <v>0.18</v>
      </c>
      <c r="AK513" s="5">
        <f t="shared" si="138"/>
        <v>3904.7956199999994</v>
      </c>
      <c r="AL513" s="89">
        <f t="shared" si="139"/>
        <v>25598.104619999998</v>
      </c>
      <c r="AP513" s="7"/>
    </row>
    <row r="514" spans="1:42" hidden="1" x14ac:dyDescent="0.35">
      <c r="A514" s="85">
        <v>46218</v>
      </c>
      <c r="B514" s="51" t="s">
        <v>85</v>
      </c>
      <c r="C514" s="97">
        <v>61123995.678571403</v>
      </c>
      <c r="D514" s="97">
        <v>87119.5</v>
      </c>
      <c r="E514" s="48" t="s">
        <v>86</v>
      </c>
      <c r="F514" s="94" t="s">
        <v>108</v>
      </c>
      <c r="G514" s="94" t="s">
        <v>493</v>
      </c>
      <c r="H514" s="94" t="s">
        <v>433</v>
      </c>
      <c r="I514" s="94" t="s">
        <v>128</v>
      </c>
      <c r="J514" s="52"/>
      <c r="K514" s="52">
        <v>20</v>
      </c>
      <c r="L514" s="52">
        <v>20</v>
      </c>
      <c r="M514" s="52"/>
      <c r="N514" s="104">
        <f t="shared" si="132"/>
        <v>40</v>
      </c>
      <c r="O514" s="52"/>
      <c r="P514" s="52"/>
      <c r="Q514" s="52"/>
      <c r="R514" s="104">
        <f t="shared" si="131"/>
        <v>0</v>
      </c>
      <c r="S514" s="86">
        <f t="shared" si="133"/>
        <v>40</v>
      </c>
      <c r="AB514" s="88">
        <v>39.270000000000003</v>
      </c>
      <c r="AC514" s="88">
        <v>52.462499999999999</v>
      </c>
      <c r="AD514" s="88">
        <v>72.64</v>
      </c>
      <c r="AE514" s="89">
        <f t="shared" si="134"/>
        <v>5004.1000000000004</v>
      </c>
      <c r="AF514" s="90">
        <v>6.5000000000000002E-2</v>
      </c>
      <c r="AG514" s="4">
        <f t="shared" si="135"/>
        <v>325.26650000000001</v>
      </c>
      <c r="AH514" s="49">
        <f t="shared" si="136"/>
        <v>0</v>
      </c>
      <c r="AI514" s="89">
        <f t="shared" si="137"/>
        <v>4678.8335000000006</v>
      </c>
      <c r="AJ514" s="91">
        <v>0.18</v>
      </c>
      <c r="AK514" s="5">
        <f t="shared" si="138"/>
        <v>842.19003000000009</v>
      </c>
      <c r="AL514" s="89">
        <f t="shared" si="139"/>
        <v>5521.0235300000004</v>
      </c>
      <c r="AP514" s="7"/>
    </row>
    <row r="515" spans="1:42" hidden="1" x14ac:dyDescent="0.35">
      <c r="A515" s="85">
        <v>46218</v>
      </c>
      <c r="B515" s="51" t="s">
        <v>85</v>
      </c>
      <c r="C515" s="97">
        <v>61123995.678571403</v>
      </c>
      <c r="D515" s="97">
        <v>87119.5</v>
      </c>
      <c r="E515" s="48" t="s">
        <v>86</v>
      </c>
      <c r="F515" s="94" t="s">
        <v>108</v>
      </c>
      <c r="G515" s="94" t="s">
        <v>494</v>
      </c>
      <c r="H515" s="94" t="s">
        <v>433</v>
      </c>
      <c r="I515" s="94" t="s">
        <v>128</v>
      </c>
      <c r="J515" s="52">
        <v>40</v>
      </c>
      <c r="K515" s="52"/>
      <c r="L515" s="52"/>
      <c r="M515" s="52"/>
      <c r="N515" s="104">
        <f t="shared" si="132"/>
        <v>0</v>
      </c>
      <c r="O515" s="52"/>
      <c r="P515" s="52"/>
      <c r="Q515" s="52"/>
      <c r="R515" s="104">
        <f t="shared" si="131"/>
        <v>0</v>
      </c>
      <c r="S515" s="86">
        <f t="shared" si="133"/>
        <v>40</v>
      </c>
      <c r="AB515" s="88">
        <v>39.270000000000003</v>
      </c>
      <c r="AC515" s="88">
        <v>52.462499999999999</v>
      </c>
      <c r="AD515" s="88">
        <v>72.64</v>
      </c>
      <c r="AE515" s="89">
        <f t="shared" si="134"/>
        <v>4476.3999999999996</v>
      </c>
      <c r="AF515" s="90">
        <v>6.5000000000000002E-2</v>
      </c>
      <c r="AG515" s="4">
        <f t="shared" si="135"/>
        <v>290.96600000000001</v>
      </c>
      <c r="AH515" s="49">
        <f t="shared" si="136"/>
        <v>54.978000000000009</v>
      </c>
      <c r="AI515" s="89">
        <f t="shared" si="137"/>
        <v>4185.4339999999993</v>
      </c>
      <c r="AJ515" s="91">
        <v>0.18</v>
      </c>
      <c r="AK515" s="5">
        <f t="shared" si="138"/>
        <v>753.37811999999985</v>
      </c>
      <c r="AL515" s="89">
        <f t="shared" si="139"/>
        <v>4938.8121199999987</v>
      </c>
      <c r="AP515" s="7"/>
    </row>
    <row r="516" spans="1:42" hidden="1" x14ac:dyDescent="0.35">
      <c r="A516" s="85">
        <v>46218</v>
      </c>
      <c r="B516" s="51" t="s">
        <v>85</v>
      </c>
      <c r="C516" s="97">
        <v>61123995.678571403</v>
      </c>
      <c r="D516" s="97">
        <v>87119.5</v>
      </c>
      <c r="E516" s="48" t="s">
        <v>86</v>
      </c>
      <c r="F516" s="94" t="s">
        <v>108</v>
      </c>
      <c r="G516" s="94" t="s">
        <v>495</v>
      </c>
      <c r="H516" s="94" t="s">
        <v>433</v>
      </c>
      <c r="I516" s="94" t="s">
        <v>128</v>
      </c>
      <c r="J516" s="52">
        <v>12</v>
      </c>
      <c r="K516" s="52"/>
      <c r="L516" s="52"/>
      <c r="M516" s="52"/>
      <c r="N516" s="104">
        <f t="shared" si="132"/>
        <v>0</v>
      </c>
      <c r="O516" s="52"/>
      <c r="P516" s="52"/>
      <c r="Q516" s="52"/>
      <c r="R516" s="104">
        <f t="shared" ref="R516:R579" si="140">SUM(O516:Q516)</f>
        <v>0</v>
      </c>
      <c r="S516" s="86">
        <f t="shared" si="133"/>
        <v>12</v>
      </c>
      <c r="AB516" s="88">
        <v>39.270000000000003</v>
      </c>
      <c r="AC516" s="88">
        <v>52.462499999999999</v>
      </c>
      <c r="AD516" s="88">
        <v>72.64</v>
      </c>
      <c r="AE516" s="89">
        <f t="shared" si="134"/>
        <v>1342.92</v>
      </c>
      <c r="AF516" s="90">
        <v>6.5000000000000002E-2</v>
      </c>
      <c r="AG516" s="4">
        <f t="shared" si="135"/>
        <v>87.289800000000014</v>
      </c>
      <c r="AH516" s="49">
        <f t="shared" si="136"/>
        <v>16.493400000000001</v>
      </c>
      <c r="AI516" s="89">
        <f t="shared" si="137"/>
        <v>1255.6302000000001</v>
      </c>
      <c r="AJ516" s="91">
        <v>0.18</v>
      </c>
      <c r="AK516" s="5">
        <f t="shared" si="138"/>
        <v>226.01343600000001</v>
      </c>
      <c r="AL516" s="89">
        <f t="shared" si="139"/>
        <v>1481.643636</v>
      </c>
      <c r="AP516" s="7"/>
    </row>
    <row r="517" spans="1:42" hidden="1" x14ac:dyDescent="0.35">
      <c r="A517" s="85">
        <v>46218</v>
      </c>
      <c r="B517" s="51" t="s">
        <v>85</v>
      </c>
      <c r="C517" s="97">
        <v>61123995.678571403</v>
      </c>
      <c r="D517" s="97">
        <v>87119.5</v>
      </c>
      <c r="E517" s="48" t="s">
        <v>86</v>
      </c>
      <c r="F517" s="94" t="s">
        <v>108</v>
      </c>
      <c r="G517" s="94" t="s">
        <v>496</v>
      </c>
      <c r="H517" s="94" t="s">
        <v>433</v>
      </c>
      <c r="I517" s="94" t="s">
        <v>500</v>
      </c>
      <c r="J517" s="52"/>
      <c r="K517" s="52"/>
      <c r="L517" s="52"/>
      <c r="M517" s="52"/>
      <c r="N517" s="104">
        <f t="shared" ref="N517:N580" si="141">K517+L517+M517</f>
        <v>0</v>
      </c>
      <c r="O517" s="52">
        <v>10</v>
      </c>
      <c r="P517" s="52"/>
      <c r="Q517" s="52">
        <v>10</v>
      </c>
      <c r="R517" s="104">
        <f t="shared" si="140"/>
        <v>20</v>
      </c>
      <c r="S517" s="86">
        <f t="shared" ref="S517:S580" si="142">R517+N517+J517</f>
        <v>20</v>
      </c>
      <c r="AB517" s="88">
        <v>39.270000000000003</v>
      </c>
      <c r="AC517" s="88">
        <v>52.462499999999999</v>
      </c>
      <c r="AD517" s="88">
        <v>72.64</v>
      </c>
      <c r="AE517" s="89">
        <f t="shared" si="134"/>
        <v>1452.8</v>
      </c>
      <c r="AF517" s="90">
        <v>6.5000000000000002E-2</v>
      </c>
      <c r="AG517" s="4">
        <f t="shared" si="135"/>
        <v>94.432000000000002</v>
      </c>
      <c r="AH517" s="49">
        <f t="shared" si="136"/>
        <v>0</v>
      </c>
      <c r="AI517" s="89">
        <f t="shared" si="137"/>
        <v>1358.3679999999999</v>
      </c>
      <c r="AJ517" s="91">
        <v>0.18</v>
      </c>
      <c r="AK517" s="5">
        <f t="shared" si="138"/>
        <v>244.50623999999999</v>
      </c>
      <c r="AL517" s="89">
        <f t="shared" si="139"/>
        <v>1602.8742399999999</v>
      </c>
      <c r="AP517" s="7"/>
    </row>
    <row r="518" spans="1:42" hidden="1" x14ac:dyDescent="0.35">
      <c r="A518" s="85">
        <v>46218</v>
      </c>
      <c r="B518" s="51" t="s">
        <v>85</v>
      </c>
      <c r="C518" s="97">
        <v>61123995.678571403</v>
      </c>
      <c r="D518" s="97">
        <v>87119.5</v>
      </c>
      <c r="E518" s="48" t="s">
        <v>86</v>
      </c>
      <c r="F518" s="94" t="s">
        <v>108</v>
      </c>
      <c r="G518" s="94" t="s">
        <v>497</v>
      </c>
      <c r="H518" s="94" t="s">
        <v>433</v>
      </c>
      <c r="I518" s="94" t="s">
        <v>128</v>
      </c>
      <c r="J518" s="52">
        <v>20</v>
      </c>
      <c r="K518" s="52"/>
      <c r="L518" s="52"/>
      <c r="M518" s="52"/>
      <c r="N518" s="104">
        <f t="shared" si="141"/>
        <v>0</v>
      </c>
      <c r="O518" s="52"/>
      <c r="P518" s="52"/>
      <c r="Q518" s="52"/>
      <c r="R518" s="104">
        <f t="shared" si="140"/>
        <v>0</v>
      </c>
      <c r="S518" s="86">
        <f t="shared" si="142"/>
        <v>20</v>
      </c>
      <c r="AB518" s="88">
        <v>39.270000000000003</v>
      </c>
      <c r="AC518" s="88">
        <v>52.462499999999999</v>
      </c>
      <c r="AD518" s="88">
        <v>72.64</v>
      </c>
      <c r="AE518" s="89">
        <f t="shared" si="134"/>
        <v>2238.1999999999998</v>
      </c>
      <c r="AF518" s="90">
        <v>6.5000000000000002E-2</v>
      </c>
      <c r="AG518" s="4">
        <f t="shared" si="135"/>
        <v>145.483</v>
      </c>
      <c r="AH518" s="49">
        <f t="shared" si="136"/>
        <v>27.489000000000004</v>
      </c>
      <c r="AI518" s="89">
        <f t="shared" si="137"/>
        <v>2092.7169999999996</v>
      </c>
      <c r="AJ518" s="91">
        <v>0.18</v>
      </c>
      <c r="AK518" s="5">
        <f t="shared" si="138"/>
        <v>376.68905999999993</v>
      </c>
      <c r="AL518" s="89">
        <f t="shared" si="139"/>
        <v>2469.4060599999993</v>
      </c>
      <c r="AP518" s="7"/>
    </row>
    <row r="519" spans="1:42" hidden="1" x14ac:dyDescent="0.35">
      <c r="A519" s="85">
        <v>46218</v>
      </c>
      <c r="B519" s="51" t="s">
        <v>85</v>
      </c>
      <c r="C519" s="97">
        <v>61123995.678571403</v>
      </c>
      <c r="D519" s="97">
        <v>87119.5</v>
      </c>
      <c r="E519" s="48" t="s">
        <v>86</v>
      </c>
      <c r="F519" s="94" t="s">
        <v>109</v>
      </c>
      <c r="G519" s="94" t="s">
        <v>498</v>
      </c>
      <c r="H519" s="94" t="s">
        <v>433</v>
      </c>
      <c r="I519" s="94" t="s">
        <v>128</v>
      </c>
      <c r="J519" s="52"/>
      <c r="K519" s="52"/>
      <c r="L519" s="52"/>
      <c r="M519" s="52"/>
      <c r="N519" s="104">
        <f t="shared" si="141"/>
        <v>0</v>
      </c>
      <c r="O519" s="52">
        <v>6</v>
      </c>
      <c r="P519" s="52">
        <v>6</v>
      </c>
      <c r="Q519" s="52">
        <v>6</v>
      </c>
      <c r="R519" s="104">
        <f t="shared" si="140"/>
        <v>18</v>
      </c>
      <c r="S519" s="86">
        <f t="shared" si="142"/>
        <v>18</v>
      </c>
      <c r="AB519" s="88">
        <v>39.270000000000003</v>
      </c>
      <c r="AC519" s="88">
        <v>52.462499999999999</v>
      </c>
      <c r="AD519" s="88">
        <v>72.64</v>
      </c>
      <c r="AE519" s="89">
        <f t="shared" si="134"/>
        <v>1307.52</v>
      </c>
      <c r="AF519" s="90">
        <v>6.5000000000000002E-2</v>
      </c>
      <c r="AG519" s="4">
        <f t="shared" si="135"/>
        <v>84.988799999999998</v>
      </c>
      <c r="AH519" s="49">
        <f t="shared" si="136"/>
        <v>0</v>
      </c>
      <c r="AI519" s="89">
        <f t="shared" si="137"/>
        <v>1222.5311999999999</v>
      </c>
      <c r="AJ519" s="91">
        <v>0.18</v>
      </c>
      <c r="AK519" s="5">
        <f t="shared" si="138"/>
        <v>220.05561599999999</v>
      </c>
      <c r="AL519" s="89">
        <f t="shared" si="139"/>
        <v>1442.586816</v>
      </c>
      <c r="AP519" s="7"/>
    </row>
    <row r="520" spans="1:42" hidden="1" x14ac:dyDescent="0.35">
      <c r="A520" s="85">
        <v>46218</v>
      </c>
      <c r="B520" s="51" t="s">
        <v>85</v>
      </c>
      <c r="C520" s="97">
        <v>61123995.678571403</v>
      </c>
      <c r="D520" s="97">
        <v>87119.5</v>
      </c>
      <c r="E520" s="48" t="s">
        <v>86</v>
      </c>
      <c r="F520" s="94" t="s">
        <v>108</v>
      </c>
      <c r="G520" s="94" t="s">
        <v>499</v>
      </c>
      <c r="H520" s="94" t="s">
        <v>433</v>
      </c>
      <c r="I520" s="94" t="s">
        <v>128</v>
      </c>
      <c r="J520" s="52"/>
      <c r="K520" s="52"/>
      <c r="L520" s="52"/>
      <c r="M520" s="52"/>
      <c r="N520" s="104">
        <f t="shared" si="141"/>
        <v>0</v>
      </c>
      <c r="O520" s="52">
        <v>8</v>
      </c>
      <c r="P520" s="52">
        <v>8</v>
      </c>
      <c r="Q520" s="52">
        <v>8</v>
      </c>
      <c r="R520" s="104">
        <f t="shared" si="140"/>
        <v>24</v>
      </c>
      <c r="S520" s="86">
        <f t="shared" si="142"/>
        <v>24</v>
      </c>
      <c r="AB520" s="88">
        <v>39.270000000000003</v>
      </c>
      <c r="AC520" s="88">
        <v>52.462499999999999</v>
      </c>
      <c r="AD520" s="88">
        <v>72.64</v>
      </c>
      <c r="AE520" s="89">
        <f t="shared" si="134"/>
        <v>1743.3600000000001</v>
      </c>
      <c r="AF520" s="90">
        <v>6.5000000000000002E-2</v>
      </c>
      <c r="AG520" s="4">
        <f t="shared" si="135"/>
        <v>113.31840000000001</v>
      </c>
      <c r="AH520" s="49">
        <f t="shared" si="136"/>
        <v>0</v>
      </c>
      <c r="AI520" s="89">
        <f t="shared" si="137"/>
        <v>1630.0416</v>
      </c>
      <c r="AJ520" s="91">
        <v>0.18</v>
      </c>
      <c r="AK520" s="5">
        <f t="shared" si="138"/>
        <v>293.407488</v>
      </c>
      <c r="AL520" s="89">
        <f t="shared" si="139"/>
        <v>1923.4490880000001</v>
      </c>
      <c r="AP520" s="7"/>
    </row>
    <row r="521" spans="1:42" hidden="1" x14ac:dyDescent="0.35">
      <c r="A521" s="85">
        <v>46218</v>
      </c>
      <c r="B521" s="51" t="s">
        <v>85</v>
      </c>
      <c r="C521" s="97">
        <v>61123995.678571403</v>
      </c>
      <c r="D521" s="97">
        <v>87119.5</v>
      </c>
      <c r="E521" s="48" t="s">
        <v>86</v>
      </c>
      <c r="F521" s="94" t="s">
        <v>109</v>
      </c>
      <c r="G521" s="94" t="s">
        <v>315</v>
      </c>
      <c r="H521" s="94" t="s">
        <v>433</v>
      </c>
      <c r="I521" s="94" t="s">
        <v>128</v>
      </c>
      <c r="J521" s="52"/>
      <c r="K521" s="52"/>
      <c r="L521" s="52"/>
      <c r="M521" s="52"/>
      <c r="N521" s="104">
        <f t="shared" si="141"/>
        <v>0</v>
      </c>
      <c r="O521" s="52">
        <v>20</v>
      </c>
      <c r="P521" s="52">
        <v>20</v>
      </c>
      <c r="Q521" s="52"/>
      <c r="R521" s="104">
        <f t="shared" si="140"/>
        <v>40</v>
      </c>
      <c r="S521" s="86">
        <f t="shared" si="142"/>
        <v>40</v>
      </c>
      <c r="AB521" s="88">
        <v>39.270000000000003</v>
      </c>
      <c r="AC521" s="88">
        <v>52.462499999999999</v>
      </c>
      <c r="AD521" s="88">
        <v>72.64</v>
      </c>
      <c r="AE521" s="89">
        <f t="shared" si="134"/>
        <v>2905.6</v>
      </c>
      <c r="AF521" s="90">
        <v>6.5000000000000002E-2</v>
      </c>
      <c r="AG521" s="4">
        <f t="shared" si="135"/>
        <v>188.864</v>
      </c>
      <c r="AH521" s="49">
        <f t="shared" si="136"/>
        <v>0</v>
      </c>
      <c r="AI521" s="89">
        <f t="shared" si="137"/>
        <v>2716.7359999999999</v>
      </c>
      <c r="AJ521" s="91">
        <v>0.18</v>
      </c>
      <c r="AK521" s="5">
        <f t="shared" si="138"/>
        <v>489.01247999999998</v>
      </c>
      <c r="AL521" s="89">
        <f t="shared" si="139"/>
        <v>3205.7484799999997</v>
      </c>
      <c r="AP521" s="7"/>
    </row>
    <row r="522" spans="1:42" hidden="1" x14ac:dyDescent="0.35">
      <c r="A522" s="85">
        <v>46218</v>
      </c>
      <c r="B522" s="51" t="s">
        <v>85</v>
      </c>
      <c r="C522" s="97">
        <v>61123995.678571403</v>
      </c>
      <c r="D522" s="97">
        <v>87119.5</v>
      </c>
      <c r="E522" s="48" t="s">
        <v>86</v>
      </c>
      <c r="F522" s="94" t="s">
        <v>108</v>
      </c>
      <c r="G522" s="94" t="s">
        <v>501</v>
      </c>
      <c r="H522" s="94" t="s">
        <v>435</v>
      </c>
      <c r="I522" s="94" t="s">
        <v>508</v>
      </c>
      <c r="J522" s="52"/>
      <c r="K522" s="52"/>
      <c r="L522" s="52"/>
      <c r="M522" s="52"/>
      <c r="N522" s="104">
        <f t="shared" si="141"/>
        <v>0</v>
      </c>
      <c r="O522" s="52">
        <v>10</v>
      </c>
      <c r="P522" s="52">
        <v>5</v>
      </c>
      <c r="Q522" s="52"/>
      <c r="R522" s="104">
        <f t="shared" si="140"/>
        <v>15</v>
      </c>
      <c r="S522" s="86">
        <f t="shared" si="142"/>
        <v>15</v>
      </c>
      <c r="AB522" s="88">
        <v>39.270000000000003</v>
      </c>
      <c r="AC522" s="88">
        <v>52.462499999999999</v>
      </c>
      <c r="AD522" s="88">
        <v>72.64</v>
      </c>
      <c r="AE522" s="89">
        <f t="shared" si="134"/>
        <v>1089.5999999999999</v>
      </c>
      <c r="AF522" s="90">
        <v>6.5000000000000002E-2</v>
      </c>
      <c r="AG522" s="4">
        <f t="shared" si="135"/>
        <v>70.823999999999998</v>
      </c>
      <c r="AH522" s="49">
        <f t="shared" si="136"/>
        <v>0</v>
      </c>
      <c r="AI522" s="89">
        <f t="shared" si="137"/>
        <v>1018.776</v>
      </c>
      <c r="AJ522" s="91">
        <v>0.18</v>
      </c>
      <c r="AK522" s="5">
        <f t="shared" si="138"/>
        <v>183.37967999999998</v>
      </c>
      <c r="AL522" s="89">
        <f t="shared" si="139"/>
        <v>1202.1556799999998</v>
      </c>
      <c r="AP522" s="7"/>
    </row>
    <row r="523" spans="1:42" hidden="1" x14ac:dyDescent="0.35">
      <c r="A523" s="85">
        <v>46218</v>
      </c>
      <c r="B523" s="51" t="s">
        <v>85</v>
      </c>
      <c r="C523" s="97">
        <v>61123995.678571403</v>
      </c>
      <c r="D523" s="97">
        <v>87119.5</v>
      </c>
      <c r="E523" s="48" t="s">
        <v>86</v>
      </c>
      <c r="F523" s="94" t="s">
        <v>108</v>
      </c>
      <c r="G523" s="94" t="s">
        <v>502</v>
      </c>
      <c r="H523" s="94" t="s">
        <v>435</v>
      </c>
      <c r="I523" s="94" t="s">
        <v>508</v>
      </c>
      <c r="J523" s="52">
        <v>12</v>
      </c>
      <c r="K523" s="52"/>
      <c r="L523" s="52"/>
      <c r="M523" s="52"/>
      <c r="N523" s="104">
        <f t="shared" si="141"/>
        <v>0</v>
      </c>
      <c r="O523" s="52">
        <v>3</v>
      </c>
      <c r="P523" s="52"/>
      <c r="Q523" s="52"/>
      <c r="R523" s="104">
        <f t="shared" si="140"/>
        <v>3</v>
      </c>
      <c r="S523" s="86">
        <f t="shared" si="142"/>
        <v>15</v>
      </c>
      <c r="AB523" s="88">
        <v>39.270000000000003</v>
      </c>
      <c r="AC523" s="88">
        <v>52.462499999999999</v>
      </c>
      <c r="AD523" s="88">
        <v>72.64</v>
      </c>
      <c r="AE523" s="89">
        <f t="shared" si="134"/>
        <v>1560.84</v>
      </c>
      <c r="AF523" s="90">
        <v>6.5000000000000002E-2</v>
      </c>
      <c r="AG523" s="4">
        <f t="shared" si="135"/>
        <v>101.4546</v>
      </c>
      <c r="AH523" s="49">
        <f t="shared" si="136"/>
        <v>16.493400000000001</v>
      </c>
      <c r="AI523" s="89">
        <f t="shared" si="137"/>
        <v>1459.3853999999999</v>
      </c>
      <c r="AJ523" s="91">
        <v>0.18</v>
      </c>
      <c r="AK523" s="5">
        <f t="shared" si="138"/>
        <v>262.68937199999999</v>
      </c>
      <c r="AL523" s="89">
        <f t="shared" si="139"/>
        <v>1722.0747719999999</v>
      </c>
      <c r="AP523" s="7"/>
    </row>
    <row r="524" spans="1:42" hidden="1" x14ac:dyDescent="0.35">
      <c r="A524" s="85">
        <v>46218</v>
      </c>
      <c r="B524" s="51" t="s">
        <v>85</v>
      </c>
      <c r="C524" s="97">
        <v>61123995.678571403</v>
      </c>
      <c r="D524" s="97">
        <v>87119.5</v>
      </c>
      <c r="E524" s="48" t="s">
        <v>86</v>
      </c>
      <c r="F524" s="94" t="s">
        <v>108</v>
      </c>
      <c r="G524" s="94" t="s">
        <v>503</v>
      </c>
      <c r="H524" s="94" t="s">
        <v>435</v>
      </c>
      <c r="I524" s="94" t="s">
        <v>508</v>
      </c>
      <c r="J524" s="52"/>
      <c r="K524" s="52">
        <v>15</v>
      </c>
      <c r="L524" s="52">
        <v>15</v>
      </c>
      <c r="M524" s="52"/>
      <c r="N524" s="104">
        <f t="shared" si="141"/>
        <v>30</v>
      </c>
      <c r="O524" s="52"/>
      <c r="P524" s="52"/>
      <c r="Q524" s="52"/>
      <c r="R524" s="104">
        <f t="shared" si="140"/>
        <v>0</v>
      </c>
      <c r="S524" s="86">
        <f t="shared" si="142"/>
        <v>30</v>
      </c>
      <c r="AB524" s="88">
        <v>39.270000000000003</v>
      </c>
      <c r="AC524" s="88">
        <v>52.462499999999999</v>
      </c>
      <c r="AD524" s="88">
        <v>72.64</v>
      </c>
      <c r="AE524" s="89">
        <f t="shared" si="134"/>
        <v>3753.0749999999998</v>
      </c>
      <c r="AF524" s="90">
        <v>6.5000000000000002E-2</v>
      </c>
      <c r="AG524" s="4">
        <f t="shared" si="135"/>
        <v>243.94987499999999</v>
      </c>
      <c r="AH524" s="49">
        <f t="shared" si="136"/>
        <v>0</v>
      </c>
      <c r="AI524" s="89">
        <f t="shared" si="137"/>
        <v>3509.125125</v>
      </c>
      <c r="AJ524" s="91">
        <v>0.18</v>
      </c>
      <c r="AK524" s="5">
        <f t="shared" si="138"/>
        <v>631.64252249999993</v>
      </c>
      <c r="AL524" s="89">
        <f t="shared" si="139"/>
        <v>4140.7676474999998</v>
      </c>
      <c r="AP524" s="7"/>
    </row>
    <row r="525" spans="1:42" hidden="1" x14ac:dyDescent="0.35">
      <c r="A525" s="85">
        <v>46218</v>
      </c>
      <c r="B525" s="51" t="s">
        <v>85</v>
      </c>
      <c r="C525" s="97">
        <v>61123995.678571403</v>
      </c>
      <c r="D525" s="97">
        <v>87119.5</v>
      </c>
      <c r="E525" s="48" t="s">
        <v>86</v>
      </c>
      <c r="F525" s="94" t="s">
        <v>108</v>
      </c>
      <c r="G525" s="94" t="s">
        <v>504</v>
      </c>
      <c r="H525" s="94" t="s">
        <v>435</v>
      </c>
      <c r="I525" s="94" t="s">
        <v>508</v>
      </c>
      <c r="J525" s="52">
        <v>40</v>
      </c>
      <c r="K525" s="52"/>
      <c r="L525" s="52"/>
      <c r="M525" s="52"/>
      <c r="N525" s="104">
        <f t="shared" si="141"/>
        <v>0</v>
      </c>
      <c r="O525" s="52"/>
      <c r="P525" s="52"/>
      <c r="Q525" s="52"/>
      <c r="R525" s="104">
        <f t="shared" si="140"/>
        <v>0</v>
      </c>
      <c r="S525" s="86">
        <f t="shared" si="142"/>
        <v>40</v>
      </c>
      <c r="AB525" s="88">
        <v>39.270000000000003</v>
      </c>
      <c r="AC525" s="88">
        <v>52.462499999999999</v>
      </c>
      <c r="AD525" s="88">
        <v>72.64</v>
      </c>
      <c r="AE525" s="89">
        <f t="shared" si="134"/>
        <v>4476.3999999999996</v>
      </c>
      <c r="AF525" s="90">
        <v>6.5000000000000002E-2</v>
      </c>
      <c r="AG525" s="4">
        <f t="shared" si="135"/>
        <v>290.96600000000001</v>
      </c>
      <c r="AH525" s="49">
        <f t="shared" si="136"/>
        <v>54.978000000000009</v>
      </c>
      <c r="AI525" s="89">
        <f t="shared" si="137"/>
        <v>4185.4339999999993</v>
      </c>
      <c r="AJ525" s="91">
        <v>0.18</v>
      </c>
      <c r="AK525" s="5">
        <f t="shared" si="138"/>
        <v>753.37811999999985</v>
      </c>
      <c r="AL525" s="89">
        <f t="shared" si="139"/>
        <v>4938.8121199999987</v>
      </c>
      <c r="AP525" s="7"/>
    </row>
    <row r="526" spans="1:42" hidden="1" x14ac:dyDescent="0.35">
      <c r="A526" s="85">
        <v>46218</v>
      </c>
      <c r="B526" s="51" t="s">
        <v>85</v>
      </c>
      <c r="C526" s="97">
        <v>61123995.678571403</v>
      </c>
      <c r="D526" s="97">
        <v>87119.5</v>
      </c>
      <c r="E526" s="48" t="s">
        <v>86</v>
      </c>
      <c r="F526" s="94" t="s">
        <v>108</v>
      </c>
      <c r="G526" s="94" t="s">
        <v>505</v>
      </c>
      <c r="H526" s="94" t="s">
        <v>435</v>
      </c>
      <c r="I526" s="94" t="s">
        <v>508</v>
      </c>
      <c r="J526" s="52">
        <v>40</v>
      </c>
      <c r="K526" s="52"/>
      <c r="L526" s="52"/>
      <c r="M526" s="52"/>
      <c r="N526" s="104">
        <f t="shared" si="141"/>
        <v>0</v>
      </c>
      <c r="O526" s="52"/>
      <c r="P526" s="52">
        <v>6</v>
      </c>
      <c r="Q526" s="52">
        <v>6</v>
      </c>
      <c r="R526" s="104">
        <f t="shared" si="140"/>
        <v>12</v>
      </c>
      <c r="S526" s="86">
        <f t="shared" si="142"/>
        <v>52</v>
      </c>
      <c r="AB526" s="88">
        <v>39.270000000000003</v>
      </c>
      <c r="AC526" s="88">
        <v>52.462499999999999</v>
      </c>
      <c r="AD526" s="88">
        <v>72.64</v>
      </c>
      <c r="AE526" s="89">
        <f t="shared" si="134"/>
        <v>5348.08</v>
      </c>
      <c r="AF526" s="90">
        <v>6.5000000000000002E-2</v>
      </c>
      <c r="AG526" s="4">
        <f t="shared" si="135"/>
        <v>347.62520000000001</v>
      </c>
      <c r="AH526" s="49">
        <f t="shared" si="136"/>
        <v>54.978000000000009</v>
      </c>
      <c r="AI526" s="89">
        <f t="shared" si="137"/>
        <v>5000.4547999999995</v>
      </c>
      <c r="AJ526" s="91">
        <v>0.18</v>
      </c>
      <c r="AK526" s="5">
        <f t="shared" si="138"/>
        <v>900.08186399999988</v>
      </c>
      <c r="AL526" s="89">
        <f t="shared" si="139"/>
        <v>5900.5366639999993</v>
      </c>
      <c r="AP526" s="7"/>
    </row>
    <row r="527" spans="1:42" hidden="1" x14ac:dyDescent="0.35">
      <c r="A527" s="85">
        <v>46218</v>
      </c>
      <c r="B527" s="51" t="s">
        <v>85</v>
      </c>
      <c r="C527" s="97">
        <v>61123995.678571403</v>
      </c>
      <c r="D527" s="97">
        <v>87119.5</v>
      </c>
      <c r="E527" s="48" t="s">
        <v>86</v>
      </c>
      <c r="F527" s="94" t="s">
        <v>108</v>
      </c>
      <c r="G527" s="94" t="s">
        <v>506</v>
      </c>
      <c r="H527" s="94" t="s">
        <v>435</v>
      </c>
      <c r="I527" s="94" t="s">
        <v>508</v>
      </c>
      <c r="J527" s="52">
        <v>40</v>
      </c>
      <c r="K527" s="52"/>
      <c r="L527" s="52"/>
      <c r="M527" s="52"/>
      <c r="N527" s="104">
        <f t="shared" si="141"/>
        <v>0</v>
      </c>
      <c r="O527" s="52"/>
      <c r="P527" s="52"/>
      <c r="Q527" s="52"/>
      <c r="R527" s="104">
        <f t="shared" si="140"/>
        <v>0</v>
      </c>
      <c r="S527" s="86">
        <f t="shared" si="142"/>
        <v>40</v>
      </c>
      <c r="AB527" s="88">
        <v>39.270000000000003</v>
      </c>
      <c r="AC527" s="88">
        <v>52.462499999999999</v>
      </c>
      <c r="AD527" s="88">
        <v>72.64</v>
      </c>
      <c r="AE527" s="89">
        <f t="shared" si="134"/>
        <v>4476.3999999999996</v>
      </c>
      <c r="AF527" s="90">
        <v>6.5000000000000002E-2</v>
      </c>
      <c r="AG527" s="4">
        <f t="shared" si="135"/>
        <v>290.96600000000001</v>
      </c>
      <c r="AH527" s="49">
        <f t="shared" si="136"/>
        <v>54.978000000000009</v>
      </c>
      <c r="AI527" s="89">
        <f t="shared" si="137"/>
        <v>4185.4339999999993</v>
      </c>
      <c r="AJ527" s="91">
        <v>0.18</v>
      </c>
      <c r="AK527" s="5">
        <f t="shared" si="138"/>
        <v>753.37811999999985</v>
      </c>
      <c r="AL527" s="89">
        <f t="shared" si="139"/>
        <v>4938.8121199999987</v>
      </c>
      <c r="AP527" s="7"/>
    </row>
    <row r="528" spans="1:42" hidden="1" x14ac:dyDescent="0.35">
      <c r="A528" s="85">
        <v>46218</v>
      </c>
      <c r="B528" s="51" t="s">
        <v>85</v>
      </c>
      <c r="C528" s="97">
        <v>61123995.678571403</v>
      </c>
      <c r="D528" s="97">
        <v>87119.5</v>
      </c>
      <c r="E528" s="48" t="s">
        <v>86</v>
      </c>
      <c r="F528" s="94" t="s">
        <v>108</v>
      </c>
      <c r="G528" s="94" t="s">
        <v>139</v>
      </c>
      <c r="H528" s="94" t="s">
        <v>435</v>
      </c>
      <c r="I528" s="94" t="s">
        <v>508</v>
      </c>
      <c r="J528" s="52">
        <v>10</v>
      </c>
      <c r="K528" s="52"/>
      <c r="L528" s="52"/>
      <c r="M528" s="52"/>
      <c r="N528" s="104">
        <f t="shared" si="141"/>
        <v>0</v>
      </c>
      <c r="O528" s="52"/>
      <c r="P528" s="52"/>
      <c r="Q528" s="52"/>
      <c r="R528" s="104">
        <f t="shared" si="140"/>
        <v>0</v>
      </c>
      <c r="S528" s="86">
        <f t="shared" si="142"/>
        <v>10</v>
      </c>
      <c r="AB528" s="88">
        <v>39.270000000000003</v>
      </c>
      <c r="AC528" s="88">
        <v>52.462499999999999</v>
      </c>
      <c r="AD528" s="88">
        <v>72.64</v>
      </c>
      <c r="AE528" s="89">
        <f t="shared" si="134"/>
        <v>1119.0999999999999</v>
      </c>
      <c r="AF528" s="90">
        <v>6.5000000000000002E-2</v>
      </c>
      <c r="AG528" s="4">
        <f t="shared" si="135"/>
        <v>72.741500000000002</v>
      </c>
      <c r="AH528" s="49">
        <f t="shared" si="136"/>
        <v>13.744500000000002</v>
      </c>
      <c r="AI528" s="89">
        <f t="shared" si="137"/>
        <v>1046.3584999999998</v>
      </c>
      <c r="AJ528" s="91">
        <v>0.18</v>
      </c>
      <c r="AK528" s="5">
        <f t="shared" si="138"/>
        <v>188.34452999999996</v>
      </c>
      <c r="AL528" s="89">
        <f t="shared" si="139"/>
        <v>1234.7030299999997</v>
      </c>
      <c r="AP528" s="7"/>
    </row>
    <row r="529" spans="1:42" hidden="1" x14ac:dyDescent="0.35">
      <c r="A529" s="85">
        <v>46218</v>
      </c>
      <c r="B529" s="51" t="s">
        <v>85</v>
      </c>
      <c r="C529" s="97">
        <v>61123995.678571403</v>
      </c>
      <c r="D529" s="97">
        <v>87119.5</v>
      </c>
      <c r="E529" s="48" t="s">
        <v>86</v>
      </c>
      <c r="F529" s="94" t="s">
        <v>108</v>
      </c>
      <c r="G529" s="94" t="s">
        <v>507</v>
      </c>
      <c r="H529" s="94" t="s">
        <v>435</v>
      </c>
      <c r="I529" s="94" t="s">
        <v>508</v>
      </c>
      <c r="J529" s="52">
        <v>10</v>
      </c>
      <c r="K529" s="52"/>
      <c r="L529" s="52"/>
      <c r="M529" s="52"/>
      <c r="N529" s="104">
        <f t="shared" si="141"/>
        <v>0</v>
      </c>
      <c r="O529" s="52"/>
      <c r="P529" s="52"/>
      <c r="Q529" s="52"/>
      <c r="R529" s="104">
        <f t="shared" si="140"/>
        <v>0</v>
      </c>
      <c r="S529" s="86">
        <f t="shared" si="142"/>
        <v>10</v>
      </c>
      <c r="AB529" s="88">
        <v>39.270000000000003</v>
      </c>
      <c r="AC529" s="88">
        <v>52.462499999999999</v>
      </c>
      <c r="AD529" s="88">
        <v>72.64</v>
      </c>
      <c r="AE529" s="89">
        <f t="shared" si="134"/>
        <v>1119.0999999999999</v>
      </c>
      <c r="AF529" s="90">
        <v>6.5000000000000002E-2</v>
      </c>
      <c r="AG529" s="4">
        <f t="shared" si="135"/>
        <v>72.741500000000002</v>
      </c>
      <c r="AH529" s="49">
        <f t="shared" si="136"/>
        <v>13.744500000000002</v>
      </c>
      <c r="AI529" s="89">
        <f t="shared" si="137"/>
        <v>1046.3584999999998</v>
      </c>
      <c r="AJ529" s="91">
        <v>0.18</v>
      </c>
      <c r="AK529" s="5">
        <f t="shared" si="138"/>
        <v>188.34452999999996</v>
      </c>
      <c r="AL529" s="89">
        <f t="shared" si="139"/>
        <v>1234.7030299999997</v>
      </c>
      <c r="AP529" s="7"/>
    </row>
    <row r="530" spans="1:42" hidden="1" x14ac:dyDescent="0.35">
      <c r="A530" s="85">
        <v>46218</v>
      </c>
      <c r="B530" s="51" t="s">
        <v>85</v>
      </c>
      <c r="C530" s="97">
        <v>61123995.678571403</v>
      </c>
      <c r="D530" s="97">
        <v>87119.5</v>
      </c>
      <c r="E530" s="48" t="s">
        <v>86</v>
      </c>
      <c r="F530" s="94" t="s">
        <v>108</v>
      </c>
      <c r="G530" s="94" t="s">
        <v>481</v>
      </c>
      <c r="H530" s="94" t="s">
        <v>435</v>
      </c>
      <c r="I530" s="94" t="s">
        <v>508</v>
      </c>
      <c r="J530" s="52">
        <v>10</v>
      </c>
      <c r="K530" s="52"/>
      <c r="L530" s="52"/>
      <c r="M530" s="52"/>
      <c r="N530" s="104">
        <f t="shared" si="141"/>
        <v>0</v>
      </c>
      <c r="O530" s="52"/>
      <c r="P530" s="52"/>
      <c r="Q530" s="52"/>
      <c r="R530" s="104">
        <f t="shared" si="140"/>
        <v>0</v>
      </c>
      <c r="S530" s="86">
        <f t="shared" si="142"/>
        <v>10</v>
      </c>
      <c r="AB530" s="88">
        <v>39.270000000000003</v>
      </c>
      <c r="AC530" s="88">
        <v>52.462499999999999</v>
      </c>
      <c r="AD530" s="88">
        <v>72.64</v>
      </c>
      <c r="AE530" s="89">
        <f t="shared" si="134"/>
        <v>1119.0999999999999</v>
      </c>
      <c r="AF530" s="90">
        <v>6.5000000000000002E-2</v>
      </c>
      <c r="AG530" s="4">
        <f t="shared" si="135"/>
        <v>72.741500000000002</v>
      </c>
      <c r="AH530" s="49">
        <f t="shared" si="136"/>
        <v>13.744500000000002</v>
      </c>
      <c r="AI530" s="89">
        <f t="shared" si="137"/>
        <v>1046.3584999999998</v>
      </c>
      <c r="AJ530" s="91">
        <v>0.18</v>
      </c>
      <c r="AK530" s="5">
        <f t="shared" si="138"/>
        <v>188.34452999999996</v>
      </c>
      <c r="AL530" s="89">
        <f t="shared" si="139"/>
        <v>1234.7030299999997</v>
      </c>
      <c r="AP530" s="7"/>
    </row>
    <row r="531" spans="1:42" hidden="1" x14ac:dyDescent="0.35">
      <c r="A531" s="85">
        <v>46218</v>
      </c>
      <c r="B531" s="51" t="s">
        <v>85</v>
      </c>
      <c r="C531" s="97">
        <v>61123995.678571403</v>
      </c>
      <c r="D531" s="97">
        <v>87119.5</v>
      </c>
      <c r="E531" s="48" t="s">
        <v>86</v>
      </c>
      <c r="F531" s="94" t="s">
        <v>109</v>
      </c>
      <c r="G531" s="94" t="s">
        <v>464</v>
      </c>
      <c r="H531" s="94" t="s">
        <v>435</v>
      </c>
      <c r="I531" s="94" t="s">
        <v>508</v>
      </c>
      <c r="J531" s="52"/>
      <c r="K531" s="52">
        <v>20</v>
      </c>
      <c r="L531" s="52">
        <v>20</v>
      </c>
      <c r="M531" s="52"/>
      <c r="N531" s="104">
        <f t="shared" si="141"/>
        <v>40</v>
      </c>
      <c r="O531" s="52"/>
      <c r="P531" s="52"/>
      <c r="Q531" s="52"/>
      <c r="R531" s="104">
        <f t="shared" si="140"/>
        <v>0</v>
      </c>
      <c r="S531" s="86">
        <f t="shared" si="142"/>
        <v>40</v>
      </c>
      <c r="AB531" s="88">
        <v>39.270000000000003</v>
      </c>
      <c r="AC531" s="88">
        <v>52.462499999999999</v>
      </c>
      <c r="AD531" s="88">
        <v>72.64</v>
      </c>
      <c r="AE531" s="89">
        <f t="shared" si="134"/>
        <v>5004.1000000000004</v>
      </c>
      <c r="AF531" s="90">
        <v>6.5000000000000002E-2</v>
      </c>
      <c r="AG531" s="4">
        <f t="shared" si="135"/>
        <v>325.26650000000001</v>
      </c>
      <c r="AH531" s="49">
        <f t="shared" si="136"/>
        <v>0</v>
      </c>
      <c r="AI531" s="89">
        <f t="shared" si="137"/>
        <v>4678.8335000000006</v>
      </c>
      <c r="AJ531" s="91">
        <v>0.18</v>
      </c>
      <c r="AK531" s="5">
        <f t="shared" si="138"/>
        <v>842.19003000000009</v>
      </c>
      <c r="AL531" s="89">
        <f t="shared" si="139"/>
        <v>5521.0235300000004</v>
      </c>
      <c r="AP531" s="7"/>
    </row>
    <row r="532" spans="1:42" x14ac:dyDescent="0.35">
      <c r="A532" s="85">
        <v>46218</v>
      </c>
      <c r="B532" s="51" t="s">
        <v>85</v>
      </c>
      <c r="C532" s="97">
        <v>61123995.678571403</v>
      </c>
      <c r="D532" s="97">
        <v>87119.5</v>
      </c>
      <c r="E532" s="48" t="s">
        <v>86</v>
      </c>
      <c r="F532" s="94" t="s">
        <v>87</v>
      </c>
      <c r="G532" s="94" t="s">
        <v>509</v>
      </c>
      <c r="H532" s="94" t="s">
        <v>89</v>
      </c>
      <c r="I532" s="94" t="s">
        <v>510</v>
      </c>
      <c r="J532" s="52"/>
      <c r="K532" s="52">
        <f>25*40</f>
        <v>1000</v>
      </c>
      <c r="L532" s="52">
        <f>25*40</f>
        <v>1000</v>
      </c>
      <c r="M532" s="52"/>
      <c r="N532" s="104">
        <f t="shared" si="141"/>
        <v>2000</v>
      </c>
      <c r="O532" s="52">
        <f>25*40</f>
        <v>1000</v>
      </c>
      <c r="P532" s="52">
        <f>22*40</f>
        <v>880</v>
      </c>
      <c r="Q532" s="52">
        <f>25*40</f>
        <v>1000</v>
      </c>
      <c r="R532" s="104">
        <f t="shared" si="140"/>
        <v>2880</v>
      </c>
      <c r="S532" s="86">
        <f t="shared" si="142"/>
        <v>4880</v>
      </c>
      <c r="AB532" s="88">
        <v>39.270000000000003</v>
      </c>
      <c r="AC532" s="88">
        <v>52.462499999999999</v>
      </c>
      <c r="AD532" s="88">
        <v>72.64</v>
      </c>
      <c r="AE532" s="89">
        <f t="shared" si="134"/>
        <v>459408.2</v>
      </c>
      <c r="AF532" s="90">
        <v>6.5000000000000002E-2</v>
      </c>
      <c r="AG532" s="4">
        <f t="shared" si="135"/>
        <v>29861.533000000003</v>
      </c>
      <c r="AH532" s="49">
        <f t="shared" si="136"/>
        <v>0</v>
      </c>
      <c r="AI532" s="89">
        <f t="shared" si="137"/>
        <v>429546.66700000002</v>
      </c>
      <c r="AJ532" s="91">
        <v>0.18</v>
      </c>
      <c r="AK532" s="5">
        <f t="shared" si="138"/>
        <v>77318.40006</v>
      </c>
      <c r="AL532" s="89">
        <f t="shared" si="139"/>
        <v>506865.06706000003</v>
      </c>
      <c r="AP532" s="7"/>
    </row>
    <row r="533" spans="1:42" hidden="1" x14ac:dyDescent="0.35">
      <c r="A533" s="85">
        <v>46219</v>
      </c>
      <c r="B533" s="51" t="s">
        <v>85</v>
      </c>
      <c r="C533" s="97">
        <v>61123995.678571403</v>
      </c>
      <c r="D533" s="97">
        <v>87119.5</v>
      </c>
      <c r="E533" s="48" t="s">
        <v>86</v>
      </c>
      <c r="F533" s="94" t="s">
        <v>109</v>
      </c>
      <c r="G533" s="94" t="s">
        <v>512</v>
      </c>
      <c r="H533" s="94" t="s">
        <v>460</v>
      </c>
      <c r="I533" s="94" t="s">
        <v>511</v>
      </c>
      <c r="J533" s="52"/>
      <c r="K533" s="52">
        <v>40</v>
      </c>
      <c r="L533" s="52"/>
      <c r="M533" s="52"/>
      <c r="N533" s="104">
        <f t="shared" si="141"/>
        <v>40</v>
      </c>
      <c r="O533" s="52">
        <v>40</v>
      </c>
      <c r="P533" s="52"/>
      <c r="Q533" s="52">
        <v>20</v>
      </c>
      <c r="R533" s="104">
        <f t="shared" si="140"/>
        <v>60</v>
      </c>
      <c r="S533" s="86">
        <f t="shared" si="142"/>
        <v>100</v>
      </c>
      <c r="AB533" s="88">
        <v>39.270000000000003</v>
      </c>
      <c r="AC533" s="88">
        <v>52.462499999999999</v>
      </c>
      <c r="AD533" s="88">
        <v>72.64</v>
      </c>
      <c r="AE533" s="89">
        <f t="shared" si="134"/>
        <v>9362.5</v>
      </c>
      <c r="AF533" s="90">
        <v>6.5000000000000002E-2</v>
      </c>
      <c r="AG533" s="4">
        <f t="shared" si="135"/>
        <v>608.5625</v>
      </c>
      <c r="AH533" s="49">
        <f t="shared" si="136"/>
        <v>0</v>
      </c>
      <c r="AI533" s="89">
        <f t="shared" si="137"/>
        <v>8753.9375</v>
      </c>
      <c r="AJ533" s="91">
        <v>0.18</v>
      </c>
      <c r="AK533" s="5">
        <f t="shared" si="138"/>
        <v>1575.70875</v>
      </c>
      <c r="AL533" s="89">
        <f t="shared" si="139"/>
        <v>10329.64625</v>
      </c>
      <c r="AP533" s="7"/>
    </row>
    <row r="534" spans="1:42" hidden="1" x14ac:dyDescent="0.35">
      <c r="A534" s="85">
        <v>46219</v>
      </c>
      <c r="B534" s="51" t="s">
        <v>85</v>
      </c>
      <c r="C534" s="97">
        <v>61123995.678571403</v>
      </c>
      <c r="D534" s="97">
        <v>87119.5</v>
      </c>
      <c r="E534" s="48" t="s">
        <v>86</v>
      </c>
      <c r="F534" s="94" t="s">
        <v>108</v>
      </c>
      <c r="G534" s="94" t="s">
        <v>513</v>
      </c>
      <c r="H534" s="94" t="s">
        <v>460</v>
      </c>
      <c r="I534" s="94" t="s">
        <v>511</v>
      </c>
      <c r="J534" s="52">
        <v>40</v>
      </c>
      <c r="K534" s="52"/>
      <c r="L534" s="52"/>
      <c r="M534" s="52"/>
      <c r="N534" s="104">
        <f t="shared" si="141"/>
        <v>0</v>
      </c>
      <c r="O534" s="52"/>
      <c r="P534" s="52"/>
      <c r="Q534" s="52"/>
      <c r="R534" s="104">
        <f t="shared" si="140"/>
        <v>0</v>
      </c>
      <c r="S534" s="86">
        <f t="shared" si="142"/>
        <v>40</v>
      </c>
      <c r="AB534" s="88">
        <v>39.270000000000003</v>
      </c>
      <c r="AC534" s="88">
        <v>52.462499999999999</v>
      </c>
      <c r="AD534" s="88">
        <v>72.64</v>
      </c>
      <c r="AE534" s="89">
        <f t="shared" si="134"/>
        <v>4476.3999999999996</v>
      </c>
      <c r="AF534" s="90">
        <v>6.5000000000000002E-2</v>
      </c>
      <c r="AG534" s="4">
        <f t="shared" si="135"/>
        <v>290.96600000000001</v>
      </c>
      <c r="AH534" s="49">
        <f t="shared" si="136"/>
        <v>54.978000000000009</v>
      </c>
      <c r="AI534" s="89">
        <f t="shared" si="137"/>
        <v>4185.4339999999993</v>
      </c>
      <c r="AJ534" s="91">
        <v>0.18</v>
      </c>
      <c r="AK534" s="5">
        <f t="shared" si="138"/>
        <v>753.37811999999985</v>
      </c>
      <c r="AL534" s="89">
        <f t="shared" si="139"/>
        <v>4938.8121199999987</v>
      </c>
      <c r="AP534" s="7"/>
    </row>
    <row r="535" spans="1:42" hidden="1" x14ac:dyDescent="0.35">
      <c r="A535" s="85">
        <v>46219</v>
      </c>
      <c r="B535" s="51" t="s">
        <v>85</v>
      </c>
      <c r="C535" s="97">
        <v>61123995.678571403</v>
      </c>
      <c r="D535" s="97">
        <v>87119.5</v>
      </c>
      <c r="E535" s="48" t="s">
        <v>86</v>
      </c>
      <c r="F535" s="94" t="s">
        <v>108</v>
      </c>
      <c r="G535" s="94" t="s">
        <v>514</v>
      </c>
      <c r="H535" s="94" t="s">
        <v>460</v>
      </c>
      <c r="I535" s="94" t="s">
        <v>511</v>
      </c>
      <c r="J535" s="52"/>
      <c r="K535" s="52"/>
      <c r="L535" s="52"/>
      <c r="M535" s="52"/>
      <c r="N535" s="104">
        <f t="shared" si="141"/>
        <v>0</v>
      </c>
      <c r="O535" s="52">
        <v>15</v>
      </c>
      <c r="P535" s="52"/>
      <c r="Q535" s="52">
        <v>15</v>
      </c>
      <c r="R535" s="104">
        <f t="shared" si="140"/>
        <v>30</v>
      </c>
      <c r="S535" s="86">
        <f t="shared" si="142"/>
        <v>30</v>
      </c>
      <c r="AB535" s="88">
        <v>39.270000000000003</v>
      </c>
      <c r="AC535" s="88">
        <v>52.462499999999999</v>
      </c>
      <c r="AD535" s="88">
        <v>72.64</v>
      </c>
      <c r="AE535" s="89">
        <f t="shared" si="134"/>
        <v>2179.1999999999998</v>
      </c>
      <c r="AF535" s="90">
        <v>6.5000000000000002E-2</v>
      </c>
      <c r="AG535" s="4">
        <f t="shared" si="135"/>
        <v>141.648</v>
      </c>
      <c r="AH535" s="49">
        <f t="shared" si="136"/>
        <v>0</v>
      </c>
      <c r="AI535" s="89">
        <f t="shared" si="137"/>
        <v>2037.5519999999999</v>
      </c>
      <c r="AJ535" s="91">
        <v>0.18</v>
      </c>
      <c r="AK535" s="5">
        <f t="shared" si="138"/>
        <v>366.75935999999996</v>
      </c>
      <c r="AL535" s="89">
        <f t="shared" si="139"/>
        <v>2404.3113599999997</v>
      </c>
      <c r="AP535" s="7"/>
    </row>
    <row r="536" spans="1:42" hidden="1" x14ac:dyDescent="0.35">
      <c r="A536" s="85">
        <v>46219</v>
      </c>
      <c r="B536" s="51" t="s">
        <v>85</v>
      </c>
      <c r="C536" s="97">
        <v>61123995.678571403</v>
      </c>
      <c r="D536" s="97">
        <v>87119.5</v>
      </c>
      <c r="E536" s="48" t="s">
        <v>86</v>
      </c>
      <c r="F536" s="94" t="s">
        <v>108</v>
      </c>
      <c r="G536" s="94" t="s">
        <v>142</v>
      </c>
      <c r="H536" s="94" t="s">
        <v>460</v>
      </c>
      <c r="I536" s="94" t="s">
        <v>511</v>
      </c>
      <c r="J536" s="52"/>
      <c r="K536" s="52"/>
      <c r="L536" s="52"/>
      <c r="M536" s="52"/>
      <c r="N536" s="104">
        <f t="shared" si="141"/>
        <v>0</v>
      </c>
      <c r="O536" s="52">
        <v>40</v>
      </c>
      <c r="P536" s="52"/>
      <c r="Q536" s="52"/>
      <c r="R536" s="104">
        <f t="shared" si="140"/>
        <v>40</v>
      </c>
      <c r="S536" s="86">
        <f t="shared" si="142"/>
        <v>40</v>
      </c>
      <c r="AB536" s="88">
        <v>39.270000000000003</v>
      </c>
      <c r="AC536" s="88">
        <v>52.462499999999999</v>
      </c>
      <c r="AD536" s="88">
        <v>72.64</v>
      </c>
      <c r="AE536" s="89">
        <f t="shared" si="134"/>
        <v>2905.6</v>
      </c>
      <c r="AF536" s="90">
        <v>6.5000000000000002E-2</v>
      </c>
      <c r="AG536" s="4">
        <f t="shared" si="135"/>
        <v>188.864</v>
      </c>
      <c r="AH536" s="49">
        <f t="shared" si="136"/>
        <v>0</v>
      </c>
      <c r="AI536" s="89">
        <f t="shared" si="137"/>
        <v>2716.7359999999999</v>
      </c>
      <c r="AJ536" s="91">
        <v>0.18</v>
      </c>
      <c r="AK536" s="5">
        <f t="shared" si="138"/>
        <v>489.01247999999998</v>
      </c>
      <c r="AL536" s="89">
        <f t="shared" si="139"/>
        <v>3205.7484799999997</v>
      </c>
      <c r="AP536" s="7"/>
    </row>
    <row r="537" spans="1:42" hidden="1" x14ac:dyDescent="0.35">
      <c r="A537" s="85">
        <v>46219</v>
      </c>
      <c r="B537" s="51" t="s">
        <v>85</v>
      </c>
      <c r="C537" s="97">
        <v>61123995.678571403</v>
      </c>
      <c r="D537" s="97">
        <v>87119.5</v>
      </c>
      <c r="E537" s="48" t="s">
        <v>86</v>
      </c>
      <c r="F537" s="94" t="s">
        <v>108</v>
      </c>
      <c r="G537" s="94" t="s">
        <v>516</v>
      </c>
      <c r="H537" s="94" t="s">
        <v>112</v>
      </c>
      <c r="I537" s="94" t="s">
        <v>515</v>
      </c>
      <c r="J537" s="52"/>
      <c r="K537" s="52"/>
      <c r="L537" s="52"/>
      <c r="M537" s="52"/>
      <c r="N537" s="104">
        <f t="shared" si="141"/>
        <v>0</v>
      </c>
      <c r="O537" s="52">
        <v>13</v>
      </c>
      <c r="P537" s="52"/>
      <c r="Q537" s="52">
        <v>14</v>
      </c>
      <c r="R537" s="104">
        <f t="shared" si="140"/>
        <v>27</v>
      </c>
      <c r="S537" s="86">
        <f t="shared" si="142"/>
        <v>27</v>
      </c>
      <c r="AB537" s="88">
        <v>39.270000000000003</v>
      </c>
      <c r="AC537" s="88">
        <v>52.462499999999999</v>
      </c>
      <c r="AD537" s="88">
        <v>72.64</v>
      </c>
      <c r="AE537" s="89">
        <f t="shared" si="134"/>
        <v>1961.28</v>
      </c>
      <c r="AF537" s="90">
        <v>6.5000000000000002E-2</v>
      </c>
      <c r="AG537" s="4">
        <f t="shared" si="135"/>
        <v>127.4832</v>
      </c>
      <c r="AH537" s="49">
        <f t="shared" si="136"/>
        <v>0</v>
      </c>
      <c r="AI537" s="89">
        <f t="shared" si="137"/>
        <v>1833.7968000000001</v>
      </c>
      <c r="AJ537" s="91">
        <v>0.18</v>
      </c>
      <c r="AK537" s="5">
        <f t="shared" si="138"/>
        <v>330.08342399999998</v>
      </c>
      <c r="AL537" s="89">
        <f t="shared" si="139"/>
        <v>2163.880224</v>
      </c>
      <c r="AP537" s="7"/>
    </row>
    <row r="538" spans="1:42" hidden="1" x14ac:dyDescent="0.35">
      <c r="A538" s="85">
        <v>46219</v>
      </c>
      <c r="B538" s="51" t="s">
        <v>85</v>
      </c>
      <c r="C538" s="97">
        <v>61123995.678571403</v>
      </c>
      <c r="D538" s="97">
        <v>87119.5</v>
      </c>
      <c r="E538" s="48" t="s">
        <v>86</v>
      </c>
      <c r="F538" s="94" t="s">
        <v>108</v>
      </c>
      <c r="G538" s="94" t="s">
        <v>517</v>
      </c>
      <c r="H538" s="94" t="s">
        <v>112</v>
      </c>
      <c r="I538" s="94" t="s">
        <v>515</v>
      </c>
      <c r="J538" s="52"/>
      <c r="K538" s="52"/>
      <c r="L538" s="52"/>
      <c r="M538" s="52"/>
      <c r="N538" s="104">
        <f t="shared" si="141"/>
        <v>0</v>
      </c>
      <c r="O538" s="52">
        <v>13</v>
      </c>
      <c r="P538" s="52"/>
      <c r="Q538" s="52">
        <v>15</v>
      </c>
      <c r="R538" s="104">
        <f t="shared" si="140"/>
        <v>28</v>
      </c>
      <c r="S538" s="86">
        <f t="shared" si="142"/>
        <v>28</v>
      </c>
      <c r="AB538" s="88">
        <v>39.270000000000003</v>
      </c>
      <c r="AC538" s="88">
        <v>52.462499999999999</v>
      </c>
      <c r="AD538" s="88">
        <v>72.64</v>
      </c>
      <c r="AE538" s="89">
        <f t="shared" si="134"/>
        <v>2033.92</v>
      </c>
      <c r="AF538" s="90">
        <v>6.5000000000000002E-2</v>
      </c>
      <c r="AG538" s="4">
        <f t="shared" si="135"/>
        <v>132.20480000000001</v>
      </c>
      <c r="AH538" s="49">
        <f t="shared" si="136"/>
        <v>0</v>
      </c>
      <c r="AI538" s="89">
        <f t="shared" si="137"/>
        <v>1901.7152000000001</v>
      </c>
      <c r="AJ538" s="91">
        <v>0.18</v>
      </c>
      <c r="AK538" s="5">
        <f t="shared" si="138"/>
        <v>342.30873600000001</v>
      </c>
      <c r="AL538" s="89">
        <f t="shared" si="139"/>
        <v>2244.023936</v>
      </c>
      <c r="AP538" s="7"/>
    </row>
    <row r="539" spans="1:42" hidden="1" x14ac:dyDescent="0.35">
      <c r="A539" s="85">
        <v>46219</v>
      </c>
      <c r="B539" s="51" t="s">
        <v>85</v>
      </c>
      <c r="C539" s="97">
        <v>61123995.678571403</v>
      </c>
      <c r="D539" s="97">
        <v>87119.5</v>
      </c>
      <c r="E539" s="48" t="s">
        <v>86</v>
      </c>
      <c r="F539" s="94" t="s">
        <v>109</v>
      </c>
      <c r="G539" s="94" t="s">
        <v>518</v>
      </c>
      <c r="H539" s="94" t="s">
        <v>112</v>
      </c>
      <c r="I539" s="94" t="s">
        <v>515</v>
      </c>
      <c r="J539" s="52"/>
      <c r="K539" s="52">
        <v>40</v>
      </c>
      <c r="L539" s="52"/>
      <c r="M539" s="52"/>
      <c r="N539" s="104">
        <f t="shared" si="141"/>
        <v>40</v>
      </c>
      <c r="O539" s="52">
        <v>40</v>
      </c>
      <c r="P539" s="52"/>
      <c r="Q539" s="52"/>
      <c r="R539" s="104">
        <f t="shared" si="140"/>
        <v>40</v>
      </c>
      <c r="S539" s="86">
        <f t="shared" si="142"/>
        <v>80</v>
      </c>
      <c r="AB539" s="88">
        <v>39.270000000000003</v>
      </c>
      <c r="AC539" s="88">
        <v>52.462499999999999</v>
      </c>
      <c r="AD539" s="88">
        <v>72.64</v>
      </c>
      <c r="AE539" s="89">
        <f t="shared" si="134"/>
        <v>7909.7</v>
      </c>
      <c r="AF539" s="90">
        <v>6.5000000000000002E-2</v>
      </c>
      <c r="AG539" s="4">
        <f t="shared" si="135"/>
        <v>514.13049999999998</v>
      </c>
      <c r="AH539" s="49">
        <f t="shared" si="136"/>
        <v>0</v>
      </c>
      <c r="AI539" s="89">
        <f t="shared" si="137"/>
        <v>7395.5694999999996</v>
      </c>
      <c r="AJ539" s="91">
        <v>0.18</v>
      </c>
      <c r="AK539" s="5">
        <f t="shared" si="138"/>
        <v>1331.2025099999998</v>
      </c>
      <c r="AL539" s="89">
        <f t="shared" si="139"/>
        <v>8726.7720099999988</v>
      </c>
      <c r="AP539" s="7"/>
    </row>
    <row r="540" spans="1:42" hidden="1" x14ac:dyDescent="0.35">
      <c r="A540" s="85">
        <v>46219</v>
      </c>
      <c r="B540" s="51" t="s">
        <v>85</v>
      </c>
      <c r="C540" s="97">
        <v>61123995.678571403</v>
      </c>
      <c r="D540" s="97">
        <v>87119.5</v>
      </c>
      <c r="E540" s="48" t="s">
        <v>86</v>
      </c>
      <c r="F540" s="94" t="s">
        <v>108</v>
      </c>
      <c r="G540" s="94" t="s">
        <v>458</v>
      </c>
      <c r="H540" s="94" t="s">
        <v>112</v>
      </c>
      <c r="I540" s="94" t="s">
        <v>515</v>
      </c>
      <c r="J540" s="52"/>
      <c r="K540" s="52"/>
      <c r="L540" s="52"/>
      <c r="M540" s="52"/>
      <c r="N540" s="104">
        <f t="shared" si="141"/>
        <v>0</v>
      </c>
      <c r="O540" s="52">
        <v>13</v>
      </c>
      <c r="P540" s="52"/>
      <c r="Q540" s="52">
        <v>14</v>
      </c>
      <c r="R540" s="104">
        <f t="shared" si="140"/>
        <v>27</v>
      </c>
      <c r="S540" s="86">
        <f t="shared" si="142"/>
        <v>27</v>
      </c>
      <c r="AB540" s="88">
        <v>39.270000000000003</v>
      </c>
      <c r="AC540" s="88">
        <v>52.462499999999999</v>
      </c>
      <c r="AD540" s="88">
        <v>72.64</v>
      </c>
      <c r="AE540" s="89">
        <f t="shared" si="134"/>
        <v>1961.28</v>
      </c>
      <c r="AF540" s="90">
        <v>6.5000000000000002E-2</v>
      </c>
      <c r="AG540" s="4">
        <f t="shared" si="135"/>
        <v>127.4832</v>
      </c>
      <c r="AH540" s="49">
        <f t="shared" si="136"/>
        <v>0</v>
      </c>
      <c r="AI540" s="89">
        <f t="shared" si="137"/>
        <v>1833.7968000000001</v>
      </c>
      <c r="AJ540" s="91">
        <v>0.18</v>
      </c>
      <c r="AK540" s="5">
        <f t="shared" si="138"/>
        <v>330.08342399999998</v>
      </c>
      <c r="AL540" s="89">
        <f t="shared" si="139"/>
        <v>2163.880224</v>
      </c>
      <c r="AP540" s="7"/>
    </row>
    <row r="541" spans="1:42" hidden="1" x14ac:dyDescent="0.35">
      <c r="A541" s="85">
        <v>46219</v>
      </c>
      <c r="B541" s="51" t="s">
        <v>85</v>
      </c>
      <c r="C541" s="97">
        <v>61123995.678571403</v>
      </c>
      <c r="D541" s="97">
        <v>87119.5</v>
      </c>
      <c r="E541" s="48" t="s">
        <v>86</v>
      </c>
      <c r="F541" s="94" t="s">
        <v>108</v>
      </c>
      <c r="G541" s="94" t="s">
        <v>519</v>
      </c>
      <c r="H541" s="94" t="s">
        <v>112</v>
      </c>
      <c r="I541" s="94" t="s">
        <v>515</v>
      </c>
      <c r="J541" s="52"/>
      <c r="K541" s="52"/>
      <c r="L541" s="52"/>
      <c r="M541" s="52"/>
      <c r="N541" s="104">
        <f t="shared" si="141"/>
        <v>0</v>
      </c>
      <c r="O541" s="52">
        <v>20</v>
      </c>
      <c r="P541" s="52"/>
      <c r="Q541" s="52">
        <v>20</v>
      </c>
      <c r="R541" s="104">
        <f t="shared" si="140"/>
        <v>40</v>
      </c>
      <c r="S541" s="86">
        <f t="shared" si="142"/>
        <v>40</v>
      </c>
      <c r="AB541" s="88">
        <v>39.270000000000003</v>
      </c>
      <c r="AC541" s="88">
        <v>52.462499999999999</v>
      </c>
      <c r="AD541" s="88">
        <v>72.64</v>
      </c>
      <c r="AE541" s="89">
        <f t="shared" si="134"/>
        <v>2905.6</v>
      </c>
      <c r="AF541" s="90">
        <v>6.5000000000000002E-2</v>
      </c>
      <c r="AG541" s="4">
        <f t="shared" si="135"/>
        <v>188.864</v>
      </c>
      <c r="AH541" s="49">
        <f t="shared" si="136"/>
        <v>0</v>
      </c>
      <c r="AI541" s="89">
        <f t="shared" si="137"/>
        <v>2716.7359999999999</v>
      </c>
      <c r="AJ541" s="91">
        <v>0.18</v>
      </c>
      <c r="AK541" s="5">
        <f t="shared" si="138"/>
        <v>489.01247999999998</v>
      </c>
      <c r="AL541" s="89">
        <f t="shared" si="139"/>
        <v>3205.7484799999997</v>
      </c>
      <c r="AP541" s="7"/>
    </row>
    <row r="542" spans="1:42" hidden="1" x14ac:dyDescent="0.35">
      <c r="A542" s="85">
        <v>46219</v>
      </c>
      <c r="B542" s="51" t="s">
        <v>85</v>
      </c>
      <c r="C542" s="97">
        <v>61123995.678571403</v>
      </c>
      <c r="D542" s="97">
        <v>87119.5</v>
      </c>
      <c r="E542" s="48" t="s">
        <v>86</v>
      </c>
      <c r="F542" s="94" t="s">
        <v>108</v>
      </c>
      <c r="G542" s="94" t="s">
        <v>520</v>
      </c>
      <c r="H542" s="94" t="s">
        <v>112</v>
      </c>
      <c r="I542" s="94" t="s">
        <v>515</v>
      </c>
      <c r="J542" s="52"/>
      <c r="K542" s="52"/>
      <c r="L542" s="52"/>
      <c r="M542" s="52"/>
      <c r="N542" s="104">
        <f t="shared" si="141"/>
        <v>0</v>
      </c>
      <c r="O542" s="52">
        <v>10</v>
      </c>
      <c r="P542" s="52"/>
      <c r="Q542" s="52">
        <v>20</v>
      </c>
      <c r="R542" s="104">
        <f t="shared" si="140"/>
        <v>30</v>
      </c>
      <c r="S542" s="86">
        <f t="shared" si="142"/>
        <v>30</v>
      </c>
      <c r="AB542" s="88">
        <v>39.270000000000003</v>
      </c>
      <c r="AC542" s="88">
        <v>52.462499999999999</v>
      </c>
      <c r="AD542" s="88">
        <v>72.64</v>
      </c>
      <c r="AE542" s="89">
        <f t="shared" si="134"/>
        <v>2179.1999999999998</v>
      </c>
      <c r="AF542" s="90">
        <v>6.5000000000000002E-2</v>
      </c>
      <c r="AG542" s="4">
        <f t="shared" si="135"/>
        <v>141.648</v>
      </c>
      <c r="AH542" s="49">
        <f t="shared" si="136"/>
        <v>0</v>
      </c>
      <c r="AI542" s="89">
        <f t="shared" si="137"/>
        <v>2037.5519999999999</v>
      </c>
      <c r="AJ542" s="91">
        <v>0.18</v>
      </c>
      <c r="AK542" s="5">
        <f t="shared" si="138"/>
        <v>366.75935999999996</v>
      </c>
      <c r="AL542" s="89">
        <f t="shared" si="139"/>
        <v>2404.3113599999997</v>
      </c>
      <c r="AP542" s="7"/>
    </row>
    <row r="543" spans="1:42" hidden="1" x14ac:dyDescent="0.35">
      <c r="A543" s="85">
        <v>46219</v>
      </c>
      <c r="B543" s="51" t="s">
        <v>85</v>
      </c>
      <c r="C543" s="97">
        <v>61123995.678571403</v>
      </c>
      <c r="D543" s="97">
        <v>87119.5</v>
      </c>
      <c r="E543" s="48" t="s">
        <v>86</v>
      </c>
      <c r="F543" s="94" t="s">
        <v>109</v>
      </c>
      <c r="G543" s="94" t="s">
        <v>521</v>
      </c>
      <c r="H543" s="94" t="s">
        <v>112</v>
      </c>
      <c r="I543" s="94" t="s">
        <v>515</v>
      </c>
      <c r="J543" s="52"/>
      <c r="K543" s="52">
        <v>20</v>
      </c>
      <c r="L543" s="52">
        <v>20</v>
      </c>
      <c r="M543" s="52"/>
      <c r="N543" s="104">
        <f t="shared" si="141"/>
        <v>40</v>
      </c>
      <c r="O543" s="52"/>
      <c r="P543" s="52"/>
      <c r="Q543" s="52"/>
      <c r="R543" s="104">
        <f t="shared" si="140"/>
        <v>0</v>
      </c>
      <c r="S543" s="86">
        <f t="shared" si="142"/>
        <v>40</v>
      </c>
      <c r="AB543" s="88">
        <v>39.270000000000003</v>
      </c>
      <c r="AC543" s="88">
        <v>52.462499999999999</v>
      </c>
      <c r="AD543" s="88">
        <v>72.64</v>
      </c>
      <c r="AE543" s="89">
        <f t="shared" si="134"/>
        <v>5004.1000000000004</v>
      </c>
      <c r="AF543" s="90">
        <v>6.5000000000000002E-2</v>
      </c>
      <c r="AG543" s="4">
        <f t="shared" si="135"/>
        <v>325.26650000000001</v>
      </c>
      <c r="AH543" s="49">
        <f t="shared" si="136"/>
        <v>0</v>
      </c>
      <c r="AI543" s="89">
        <f t="shared" si="137"/>
        <v>4678.8335000000006</v>
      </c>
      <c r="AJ543" s="91">
        <v>0.18</v>
      </c>
      <c r="AK543" s="5">
        <f t="shared" si="138"/>
        <v>842.19003000000009</v>
      </c>
      <c r="AL543" s="89">
        <f t="shared" si="139"/>
        <v>5521.0235300000004</v>
      </c>
      <c r="AP543" s="7"/>
    </row>
    <row r="544" spans="1:42" hidden="1" x14ac:dyDescent="0.35">
      <c r="A544" s="85">
        <v>46219</v>
      </c>
      <c r="B544" s="51" t="s">
        <v>85</v>
      </c>
      <c r="C544" s="97">
        <v>61123995.678571403</v>
      </c>
      <c r="D544" s="97">
        <v>87119.5</v>
      </c>
      <c r="E544" s="48" t="s">
        <v>86</v>
      </c>
      <c r="F544" s="94" t="s">
        <v>108</v>
      </c>
      <c r="G544" s="94" t="s">
        <v>522</v>
      </c>
      <c r="H544" s="94" t="s">
        <v>129</v>
      </c>
      <c r="I544" s="94" t="s">
        <v>199</v>
      </c>
      <c r="J544" s="52">
        <v>20</v>
      </c>
      <c r="K544" s="52"/>
      <c r="L544" s="52"/>
      <c r="M544" s="52"/>
      <c r="N544" s="104">
        <f t="shared" si="141"/>
        <v>0</v>
      </c>
      <c r="O544" s="52"/>
      <c r="P544" s="52"/>
      <c r="Q544" s="52"/>
      <c r="R544" s="104">
        <f t="shared" si="140"/>
        <v>0</v>
      </c>
      <c r="S544" s="86">
        <f t="shared" si="142"/>
        <v>20</v>
      </c>
      <c r="AB544" s="88">
        <v>39.270000000000003</v>
      </c>
      <c r="AC544" s="88">
        <v>52.462499999999999</v>
      </c>
      <c r="AD544" s="88">
        <v>72.64</v>
      </c>
      <c r="AE544" s="89">
        <f t="shared" si="134"/>
        <v>2238.1999999999998</v>
      </c>
      <c r="AF544" s="90">
        <v>6.5000000000000002E-2</v>
      </c>
      <c r="AG544" s="4">
        <f t="shared" si="135"/>
        <v>145.483</v>
      </c>
      <c r="AH544" s="49">
        <f t="shared" si="136"/>
        <v>27.489000000000004</v>
      </c>
      <c r="AI544" s="89">
        <f t="shared" si="137"/>
        <v>2092.7169999999996</v>
      </c>
      <c r="AJ544" s="91">
        <v>0.18</v>
      </c>
      <c r="AK544" s="5">
        <f t="shared" si="138"/>
        <v>376.68905999999993</v>
      </c>
      <c r="AL544" s="89">
        <f t="shared" si="139"/>
        <v>2469.4060599999993</v>
      </c>
      <c r="AP544" s="7"/>
    </row>
    <row r="545" spans="1:42" hidden="1" x14ac:dyDescent="0.35">
      <c r="A545" s="85">
        <v>46219</v>
      </c>
      <c r="B545" s="51" t="s">
        <v>85</v>
      </c>
      <c r="C545" s="97">
        <v>61123995.678571403</v>
      </c>
      <c r="D545" s="97">
        <v>87119.5</v>
      </c>
      <c r="E545" s="48" t="s">
        <v>86</v>
      </c>
      <c r="F545" s="94" t="s">
        <v>109</v>
      </c>
      <c r="G545" s="94" t="s">
        <v>523</v>
      </c>
      <c r="H545" s="94" t="s">
        <v>129</v>
      </c>
      <c r="I545" s="94" t="s">
        <v>199</v>
      </c>
      <c r="J545" s="52"/>
      <c r="K545" s="52"/>
      <c r="L545" s="52"/>
      <c r="M545" s="52"/>
      <c r="N545" s="104">
        <f t="shared" si="141"/>
        <v>0</v>
      </c>
      <c r="O545" s="52">
        <v>15</v>
      </c>
      <c r="P545" s="52"/>
      <c r="Q545" s="52">
        <v>15</v>
      </c>
      <c r="R545" s="104">
        <f t="shared" si="140"/>
        <v>30</v>
      </c>
      <c r="S545" s="86">
        <f t="shared" si="142"/>
        <v>30</v>
      </c>
      <c r="AB545" s="88">
        <v>39.270000000000003</v>
      </c>
      <c r="AC545" s="88">
        <v>52.462499999999999</v>
      </c>
      <c r="AD545" s="88">
        <v>72.64</v>
      </c>
      <c r="AE545" s="89">
        <f t="shared" si="134"/>
        <v>2179.1999999999998</v>
      </c>
      <c r="AF545" s="90">
        <v>6.5000000000000002E-2</v>
      </c>
      <c r="AG545" s="4">
        <f t="shared" si="135"/>
        <v>141.648</v>
      </c>
      <c r="AH545" s="49">
        <f t="shared" si="136"/>
        <v>0</v>
      </c>
      <c r="AI545" s="89">
        <f t="shared" si="137"/>
        <v>2037.5519999999999</v>
      </c>
      <c r="AJ545" s="91">
        <v>0.18</v>
      </c>
      <c r="AK545" s="5">
        <f t="shared" si="138"/>
        <v>366.75935999999996</v>
      </c>
      <c r="AL545" s="89">
        <f t="shared" si="139"/>
        <v>2404.3113599999997</v>
      </c>
      <c r="AP545" s="7"/>
    </row>
    <row r="546" spans="1:42" hidden="1" x14ac:dyDescent="0.35">
      <c r="A546" s="85">
        <v>46219</v>
      </c>
      <c r="B546" s="51" t="s">
        <v>85</v>
      </c>
      <c r="C546" s="97">
        <v>61123995.678571403</v>
      </c>
      <c r="D546" s="97">
        <v>87119.5</v>
      </c>
      <c r="E546" s="48" t="s">
        <v>86</v>
      </c>
      <c r="F546" s="94" t="s">
        <v>109</v>
      </c>
      <c r="G546" s="94" t="s">
        <v>524</v>
      </c>
      <c r="H546" s="94" t="s">
        <v>129</v>
      </c>
      <c r="I546" s="94" t="s">
        <v>199</v>
      </c>
      <c r="J546" s="52"/>
      <c r="K546" s="52"/>
      <c r="L546" s="52"/>
      <c r="M546" s="52"/>
      <c r="N546" s="104">
        <f t="shared" si="141"/>
        <v>0</v>
      </c>
      <c r="O546" s="52"/>
      <c r="P546" s="52"/>
      <c r="Q546" s="52">
        <v>6</v>
      </c>
      <c r="R546" s="104">
        <f t="shared" si="140"/>
        <v>6</v>
      </c>
      <c r="S546" s="86">
        <f t="shared" si="142"/>
        <v>6</v>
      </c>
      <c r="AB546" s="88">
        <v>39.270000000000003</v>
      </c>
      <c r="AC546" s="88">
        <v>52.462499999999999</v>
      </c>
      <c r="AD546" s="88">
        <v>72.64</v>
      </c>
      <c r="AE546" s="89">
        <f t="shared" si="134"/>
        <v>435.84000000000003</v>
      </c>
      <c r="AF546" s="90">
        <v>6.5000000000000002E-2</v>
      </c>
      <c r="AG546" s="4">
        <f t="shared" si="135"/>
        <v>28.329600000000003</v>
      </c>
      <c r="AH546" s="49">
        <f t="shared" si="136"/>
        <v>0</v>
      </c>
      <c r="AI546" s="89">
        <f t="shared" si="137"/>
        <v>407.5104</v>
      </c>
      <c r="AJ546" s="91">
        <v>0.18</v>
      </c>
      <c r="AK546" s="5">
        <f t="shared" si="138"/>
        <v>73.351872</v>
      </c>
      <c r="AL546" s="89">
        <f t="shared" si="139"/>
        <v>480.86227200000002</v>
      </c>
      <c r="AP546" s="7"/>
    </row>
    <row r="547" spans="1:42" hidden="1" x14ac:dyDescent="0.35">
      <c r="A547" s="85">
        <v>46219</v>
      </c>
      <c r="B547" s="51" t="s">
        <v>85</v>
      </c>
      <c r="C547" s="97">
        <v>61123995.678571403</v>
      </c>
      <c r="D547" s="97">
        <v>87119.5</v>
      </c>
      <c r="E547" s="48" t="s">
        <v>86</v>
      </c>
      <c r="F547" s="94" t="s">
        <v>108</v>
      </c>
      <c r="G547" s="94" t="s">
        <v>342</v>
      </c>
      <c r="H547" s="94" t="s">
        <v>129</v>
      </c>
      <c r="I547" s="94" t="s">
        <v>199</v>
      </c>
      <c r="J547" s="52"/>
      <c r="K547" s="52"/>
      <c r="L547" s="52"/>
      <c r="M547" s="52"/>
      <c r="N547" s="104">
        <f t="shared" si="141"/>
        <v>0</v>
      </c>
      <c r="O547" s="52">
        <v>6</v>
      </c>
      <c r="P547" s="52"/>
      <c r="Q547" s="52"/>
      <c r="R547" s="104">
        <f t="shared" si="140"/>
        <v>6</v>
      </c>
      <c r="S547" s="86">
        <f t="shared" si="142"/>
        <v>6</v>
      </c>
      <c r="AB547" s="88">
        <v>39.270000000000003</v>
      </c>
      <c r="AC547" s="88">
        <v>52.462499999999999</v>
      </c>
      <c r="AD547" s="88">
        <v>72.64</v>
      </c>
      <c r="AE547" s="89">
        <f t="shared" si="134"/>
        <v>435.84000000000003</v>
      </c>
      <c r="AF547" s="90">
        <v>6.5000000000000002E-2</v>
      </c>
      <c r="AG547" s="4">
        <f t="shared" si="135"/>
        <v>28.329600000000003</v>
      </c>
      <c r="AH547" s="49">
        <f t="shared" si="136"/>
        <v>0</v>
      </c>
      <c r="AI547" s="89">
        <f t="shared" si="137"/>
        <v>407.5104</v>
      </c>
      <c r="AJ547" s="91">
        <v>0.18</v>
      </c>
      <c r="AK547" s="5">
        <f t="shared" si="138"/>
        <v>73.351872</v>
      </c>
      <c r="AL547" s="89">
        <f t="shared" si="139"/>
        <v>480.86227200000002</v>
      </c>
      <c r="AP547" s="7"/>
    </row>
    <row r="548" spans="1:42" hidden="1" x14ac:dyDescent="0.35">
      <c r="A548" s="85">
        <v>46219</v>
      </c>
      <c r="B548" s="51" t="s">
        <v>85</v>
      </c>
      <c r="C548" s="97">
        <v>61123995.678571403</v>
      </c>
      <c r="D548" s="97">
        <v>87119.5</v>
      </c>
      <c r="E548" s="48" t="s">
        <v>86</v>
      </c>
      <c r="F548" s="94" t="s">
        <v>108</v>
      </c>
      <c r="G548" s="94" t="s">
        <v>513</v>
      </c>
      <c r="H548" s="94" t="s">
        <v>129</v>
      </c>
      <c r="I548" s="94" t="s">
        <v>199</v>
      </c>
      <c r="J548" s="52"/>
      <c r="K548" s="52"/>
      <c r="L548" s="52"/>
      <c r="M548" s="52"/>
      <c r="N548" s="104">
        <f t="shared" si="141"/>
        <v>0</v>
      </c>
      <c r="O548" s="52"/>
      <c r="P548" s="52"/>
      <c r="Q548" s="52">
        <v>50</v>
      </c>
      <c r="R548" s="104">
        <f t="shared" si="140"/>
        <v>50</v>
      </c>
      <c r="S548" s="86">
        <f t="shared" si="142"/>
        <v>50</v>
      </c>
      <c r="AB548" s="88">
        <v>39.270000000000003</v>
      </c>
      <c r="AC548" s="88">
        <v>52.462499999999999</v>
      </c>
      <c r="AD548" s="88">
        <v>72.64</v>
      </c>
      <c r="AE548" s="89">
        <f t="shared" si="134"/>
        <v>3632</v>
      </c>
      <c r="AF548" s="90">
        <v>6.5000000000000002E-2</v>
      </c>
      <c r="AG548" s="4">
        <f t="shared" si="135"/>
        <v>236.08</v>
      </c>
      <c r="AH548" s="49">
        <f t="shared" si="136"/>
        <v>0</v>
      </c>
      <c r="AI548" s="89">
        <f t="shared" si="137"/>
        <v>3395.92</v>
      </c>
      <c r="AJ548" s="91">
        <v>0.18</v>
      </c>
      <c r="AK548" s="5">
        <f t="shared" si="138"/>
        <v>611.26559999999995</v>
      </c>
      <c r="AL548" s="89">
        <f t="shared" si="139"/>
        <v>4007.1855999999998</v>
      </c>
      <c r="AP548" s="7"/>
    </row>
    <row r="549" spans="1:42" hidden="1" x14ac:dyDescent="0.35">
      <c r="A549" s="85">
        <v>46219</v>
      </c>
      <c r="B549" s="51" t="s">
        <v>85</v>
      </c>
      <c r="C549" s="97">
        <v>61123995.678571403</v>
      </c>
      <c r="D549" s="97">
        <v>87119.5</v>
      </c>
      <c r="E549" s="48" t="s">
        <v>86</v>
      </c>
      <c r="F549" s="94" t="s">
        <v>108</v>
      </c>
      <c r="G549" s="94" t="s">
        <v>133</v>
      </c>
      <c r="H549" s="94" t="s">
        <v>129</v>
      </c>
      <c r="I549" s="94" t="s">
        <v>199</v>
      </c>
      <c r="J549" s="52"/>
      <c r="K549" s="52"/>
      <c r="L549" s="52">
        <v>40</v>
      </c>
      <c r="M549" s="52"/>
      <c r="N549" s="104">
        <f t="shared" si="141"/>
        <v>40</v>
      </c>
      <c r="O549" s="52">
        <v>40</v>
      </c>
      <c r="P549" s="52"/>
      <c r="Q549" s="52"/>
      <c r="R549" s="104">
        <f t="shared" si="140"/>
        <v>40</v>
      </c>
      <c r="S549" s="86">
        <f t="shared" si="142"/>
        <v>80</v>
      </c>
      <c r="AB549" s="88">
        <v>39.270000000000003</v>
      </c>
      <c r="AC549" s="88">
        <v>52.462499999999999</v>
      </c>
      <c r="AD549" s="88">
        <v>72.64</v>
      </c>
      <c r="AE549" s="89">
        <f t="shared" si="134"/>
        <v>7909.7</v>
      </c>
      <c r="AF549" s="90">
        <v>6.5000000000000002E-2</v>
      </c>
      <c r="AG549" s="4">
        <f t="shared" si="135"/>
        <v>514.13049999999998</v>
      </c>
      <c r="AH549" s="49">
        <f t="shared" si="136"/>
        <v>0</v>
      </c>
      <c r="AI549" s="89">
        <f t="shared" si="137"/>
        <v>7395.5694999999996</v>
      </c>
      <c r="AJ549" s="91">
        <v>0.18</v>
      </c>
      <c r="AK549" s="5">
        <f t="shared" si="138"/>
        <v>1331.2025099999998</v>
      </c>
      <c r="AL549" s="89">
        <f t="shared" si="139"/>
        <v>8726.7720099999988</v>
      </c>
      <c r="AP549" s="7"/>
    </row>
    <row r="550" spans="1:42" hidden="1" x14ac:dyDescent="0.35">
      <c r="A550" s="85">
        <v>46219</v>
      </c>
      <c r="B550" s="51" t="s">
        <v>85</v>
      </c>
      <c r="C550" s="97">
        <v>61123995.678571403</v>
      </c>
      <c r="D550" s="97">
        <v>87119.5</v>
      </c>
      <c r="E550" s="48" t="s">
        <v>86</v>
      </c>
      <c r="F550" s="94" t="s">
        <v>108</v>
      </c>
      <c r="G550" s="94" t="s">
        <v>142</v>
      </c>
      <c r="H550" s="94" t="s">
        <v>129</v>
      </c>
      <c r="I550" s="94" t="s">
        <v>199</v>
      </c>
      <c r="J550" s="52"/>
      <c r="K550" s="52"/>
      <c r="L550" s="52"/>
      <c r="M550" s="52"/>
      <c r="N550" s="104">
        <f t="shared" si="141"/>
        <v>0</v>
      </c>
      <c r="O550" s="52"/>
      <c r="P550" s="52"/>
      <c r="Q550" s="52">
        <v>10</v>
      </c>
      <c r="R550" s="104">
        <f t="shared" si="140"/>
        <v>10</v>
      </c>
      <c r="S550" s="86">
        <f t="shared" si="142"/>
        <v>10</v>
      </c>
      <c r="AB550" s="88">
        <v>39.270000000000003</v>
      </c>
      <c r="AC550" s="88">
        <v>52.462499999999999</v>
      </c>
      <c r="AD550" s="88">
        <v>72.64</v>
      </c>
      <c r="AE550" s="89">
        <f t="shared" si="134"/>
        <v>726.4</v>
      </c>
      <c r="AF550" s="90">
        <v>6.5000000000000002E-2</v>
      </c>
      <c r="AG550" s="4">
        <f t="shared" si="135"/>
        <v>47.216000000000001</v>
      </c>
      <c r="AH550" s="49">
        <f t="shared" si="136"/>
        <v>0</v>
      </c>
      <c r="AI550" s="89">
        <f t="shared" si="137"/>
        <v>679.18399999999997</v>
      </c>
      <c r="AJ550" s="91">
        <v>0.18</v>
      </c>
      <c r="AK550" s="5">
        <f t="shared" si="138"/>
        <v>122.25312</v>
      </c>
      <c r="AL550" s="89">
        <f t="shared" si="139"/>
        <v>801.43711999999994</v>
      </c>
      <c r="AP550" s="7"/>
    </row>
    <row r="551" spans="1:42" hidden="1" x14ac:dyDescent="0.35">
      <c r="A551" s="85">
        <v>46219</v>
      </c>
      <c r="B551" s="51" t="s">
        <v>85</v>
      </c>
      <c r="C551" s="97">
        <v>61123995.678571403</v>
      </c>
      <c r="D551" s="97">
        <v>87119.5</v>
      </c>
      <c r="E551" s="48" t="s">
        <v>86</v>
      </c>
      <c r="F551" s="94" t="s">
        <v>109</v>
      </c>
      <c r="G551" s="94" t="s">
        <v>525</v>
      </c>
      <c r="H551" s="94" t="s">
        <v>129</v>
      </c>
      <c r="I551" s="94" t="s">
        <v>199</v>
      </c>
      <c r="J551" s="52"/>
      <c r="K551" s="52"/>
      <c r="L551" s="52"/>
      <c r="M551" s="52"/>
      <c r="N551" s="104">
        <f t="shared" si="141"/>
        <v>0</v>
      </c>
      <c r="O551" s="52">
        <v>10</v>
      </c>
      <c r="P551" s="52"/>
      <c r="Q551" s="52"/>
      <c r="R551" s="104">
        <f t="shared" si="140"/>
        <v>10</v>
      </c>
      <c r="S551" s="86">
        <f t="shared" si="142"/>
        <v>10</v>
      </c>
      <c r="AB551" s="88">
        <v>39.270000000000003</v>
      </c>
      <c r="AC551" s="88">
        <v>52.462499999999999</v>
      </c>
      <c r="AD551" s="88">
        <v>72.64</v>
      </c>
      <c r="AE551" s="89">
        <f t="shared" si="134"/>
        <v>726.4</v>
      </c>
      <c r="AF551" s="90">
        <v>6.5000000000000002E-2</v>
      </c>
      <c r="AG551" s="4">
        <f t="shared" si="135"/>
        <v>47.216000000000001</v>
      </c>
      <c r="AH551" s="49">
        <f t="shared" si="136"/>
        <v>0</v>
      </c>
      <c r="AI551" s="89">
        <f t="shared" si="137"/>
        <v>679.18399999999997</v>
      </c>
      <c r="AJ551" s="91">
        <v>0.18</v>
      </c>
      <c r="AK551" s="5">
        <f t="shared" si="138"/>
        <v>122.25312</v>
      </c>
      <c r="AL551" s="89">
        <f t="shared" si="139"/>
        <v>801.43711999999994</v>
      </c>
      <c r="AP551" s="7"/>
    </row>
    <row r="552" spans="1:42" hidden="1" x14ac:dyDescent="0.35">
      <c r="A552" s="85">
        <v>46219</v>
      </c>
      <c r="B552" s="51" t="s">
        <v>85</v>
      </c>
      <c r="C552" s="97">
        <v>61123995.678571403</v>
      </c>
      <c r="D552" s="97">
        <v>87119.5</v>
      </c>
      <c r="E552" s="48" t="s">
        <v>86</v>
      </c>
      <c r="F552" s="94" t="s">
        <v>109</v>
      </c>
      <c r="G552" s="94" t="s">
        <v>526</v>
      </c>
      <c r="H552" s="94" t="s">
        <v>129</v>
      </c>
      <c r="I552" s="94" t="s">
        <v>199</v>
      </c>
      <c r="J552" s="52"/>
      <c r="K552" s="52"/>
      <c r="L552" s="52"/>
      <c r="M552" s="52"/>
      <c r="N552" s="104">
        <f t="shared" si="141"/>
        <v>0</v>
      </c>
      <c r="O552" s="52">
        <v>5</v>
      </c>
      <c r="P552" s="52"/>
      <c r="Q552" s="52">
        <v>5</v>
      </c>
      <c r="R552" s="104">
        <f t="shared" si="140"/>
        <v>10</v>
      </c>
      <c r="S552" s="86">
        <f t="shared" si="142"/>
        <v>10</v>
      </c>
      <c r="AB552" s="88">
        <v>39.270000000000003</v>
      </c>
      <c r="AC552" s="88">
        <v>52.462499999999999</v>
      </c>
      <c r="AD552" s="88">
        <v>72.64</v>
      </c>
      <c r="AE552" s="89">
        <f t="shared" si="134"/>
        <v>726.4</v>
      </c>
      <c r="AF552" s="90">
        <v>6.5000000000000002E-2</v>
      </c>
      <c r="AG552" s="4">
        <f t="shared" si="135"/>
        <v>47.216000000000001</v>
      </c>
      <c r="AH552" s="49">
        <f t="shared" si="136"/>
        <v>0</v>
      </c>
      <c r="AI552" s="89">
        <f t="shared" si="137"/>
        <v>679.18399999999997</v>
      </c>
      <c r="AJ552" s="91">
        <v>0.18</v>
      </c>
      <c r="AK552" s="5">
        <f t="shared" si="138"/>
        <v>122.25312</v>
      </c>
      <c r="AL552" s="89">
        <f t="shared" si="139"/>
        <v>801.43711999999994</v>
      </c>
      <c r="AP552" s="7"/>
    </row>
    <row r="553" spans="1:42" x14ac:dyDescent="0.35">
      <c r="A553" s="85">
        <v>46220</v>
      </c>
      <c r="B553" s="51" t="s">
        <v>85</v>
      </c>
      <c r="C553" s="97">
        <v>61123995.678571403</v>
      </c>
      <c r="D553" s="97">
        <v>87119.5</v>
      </c>
      <c r="E553" s="48" t="s">
        <v>86</v>
      </c>
      <c r="F553" s="94" t="s">
        <v>87</v>
      </c>
      <c r="G553" s="94" t="s">
        <v>347</v>
      </c>
      <c r="H553" s="94" t="s">
        <v>89</v>
      </c>
      <c r="I553" s="94" t="s">
        <v>94</v>
      </c>
      <c r="J553" s="52"/>
      <c r="K553" s="52">
        <v>160</v>
      </c>
      <c r="L553" s="52">
        <v>120</v>
      </c>
      <c r="M553" s="52"/>
      <c r="N553" s="104">
        <f t="shared" si="141"/>
        <v>280</v>
      </c>
      <c r="O553" s="52">
        <v>160</v>
      </c>
      <c r="P553" s="52"/>
      <c r="Q553" s="52">
        <v>280</v>
      </c>
      <c r="R553" s="104">
        <f t="shared" si="140"/>
        <v>440</v>
      </c>
      <c r="S553" s="86">
        <f t="shared" si="142"/>
        <v>720</v>
      </c>
      <c r="AB553" s="88">
        <v>39.270000000000003</v>
      </c>
      <c r="AC553" s="88">
        <v>52.462499999999999</v>
      </c>
      <c r="AD553" s="88">
        <v>72.64</v>
      </c>
      <c r="AE553" s="89">
        <f t="shared" si="134"/>
        <v>66990.3</v>
      </c>
      <c r="AF553" s="90">
        <v>6.5000000000000002E-2</v>
      </c>
      <c r="AG553" s="4">
        <f t="shared" si="135"/>
        <v>4354.3695000000007</v>
      </c>
      <c r="AH553" s="49">
        <f t="shared" si="136"/>
        <v>0</v>
      </c>
      <c r="AI553" s="89">
        <f t="shared" si="137"/>
        <v>62635.930500000002</v>
      </c>
      <c r="AJ553" s="91">
        <v>0.18</v>
      </c>
      <c r="AK553" s="5">
        <f t="shared" si="138"/>
        <v>11274.467489999999</v>
      </c>
      <c r="AL553" s="89">
        <f t="shared" si="139"/>
        <v>73910.397989999998</v>
      </c>
      <c r="AP553" s="7"/>
    </row>
    <row r="554" spans="1:42" x14ac:dyDescent="0.35">
      <c r="A554" s="85">
        <v>46220</v>
      </c>
      <c r="B554" s="51" t="s">
        <v>85</v>
      </c>
      <c r="C554" s="97">
        <v>61123995.678571403</v>
      </c>
      <c r="D554" s="97">
        <v>87119.5</v>
      </c>
      <c r="E554" s="48" t="s">
        <v>86</v>
      </c>
      <c r="F554" s="94" t="s">
        <v>87</v>
      </c>
      <c r="G554" s="94" t="s">
        <v>530</v>
      </c>
      <c r="H554" s="94" t="s">
        <v>89</v>
      </c>
      <c r="I554" s="94" t="s">
        <v>527</v>
      </c>
      <c r="J554" s="52"/>
      <c r="K554" s="52">
        <v>80</v>
      </c>
      <c r="L554" s="52">
        <v>80</v>
      </c>
      <c r="M554" s="52"/>
      <c r="N554" s="104">
        <f t="shared" si="141"/>
        <v>160</v>
      </c>
      <c r="O554" s="52">
        <v>80</v>
      </c>
      <c r="P554" s="52"/>
      <c r="Q554" s="52">
        <v>160</v>
      </c>
      <c r="R554" s="104">
        <f t="shared" si="140"/>
        <v>240</v>
      </c>
      <c r="S554" s="86">
        <f t="shared" si="142"/>
        <v>400</v>
      </c>
      <c r="AB554" s="88">
        <v>39.270000000000003</v>
      </c>
      <c r="AC554" s="88">
        <v>52.462499999999999</v>
      </c>
      <c r="AD554" s="88">
        <v>72.64</v>
      </c>
      <c r="AE554" s="89">
        <f t="shared" si="134"/>
        <v>37450</v>
      </c>
      <c r="AF554" s="90">
        <v>6.5000000000000002E-2</v>
      </c>
      <c r="AG554" s="4">
        <f t="shared" si="135"/>
        <v>2434.25</v>
      </c>
      <c r="AH554" s="49">
        <f t="shared" si="136"/>
        <v>0</v>
      </c>
      <c r="AI554" s="89">
        <f t="shared" si="137"/>
        <v>35015.75</v>
      </c>
      <c r="AJ554" s="91">
        <v>0.18</v>
      </c>
      <c r="AK554" s="5">
        <f t="shared" si="138"/>
        <v>6302.835</v>
      </c>
      <c r="AL554" s="89">
        <f t="shared" si="139"/>
        <v>41318.584999999999</v>
      </c>
      <c r="AP554" s="7"/>
    </row>
    <row r="555" spans="1:42" x14ac:dyDescent="0.35">
      <c r="A555" s="85">
        <v>46220</v>
      </c>
      <c r="B555" s="51" t="s">
        <v>85</v>
      </c>
      <c r="C555" s="97">
        <v>61123995.678571403</v>
      </c>
      <c r="D555" s="97">
        <v>87119.5</v>
      </c>
      <c r="E555" s="48" t="s">
        <v>86</v>
      </c>
      <c r="F555" s="94" t="s">
        <v>87</v>
      </c>
      <c r="G555" s="94" t="s">
        <v>531</v>
      </c>
      <c r="H555" s="94" t="s">
        <v>89</v>
      </c>
      <c r="I555" s="94" t="s">
        <v>529</v>
      </c>
      <c r="J555" s="52"/>
      <c r="K555" s="52">
        <v>80</v>
      </c>
      <c r="L555" s="52">
        <v>120</v>
      </c>
      <c r="M555" s="52"/>
      <c r="N555" s="104">
        <f t="shared" si="141"/>
        <v>200</v>
      </c>
      <c r="O555" s="52">
        <v>160</v>
      </c>
      <c r="P555" s="52"/>
      <c r="Q555" s="52">
        <v>320</v>
      </c>
      <c r="R555" s="104">
        <f t="shared" si="140"/>
        <v>480</v>
      </c>
      <c r="S555" s="86">
        <f t="shared" si="142"/>
        <v>680</v>
      </c>
      <c r="AB555" s="88">
        <v>39.270000000000003</v>
      </c>
      <c r="AC555" s="88">
        <v>52.462499999999999</v>
      </c>
      <c r="AD555" s="88">
        <v>72.64</v>
      </c>
      <c r="AE555" s="89">
        <f t="shared" si="134"/>
        <v>59887.7</v>
      </c>
      <c r="AF555" s="90">
        <v>6.5000000000000002E-2</v>
      </c>
      <c r="AG555" s="4">
        <f t="shared" si="135"/>
        <v>3892.7004999999999</v>
      </c>
      <c r="AH555" s="49">
        <f t="shared" si="136"/>
        <v>0</v>
      </c>
      <c r="AI555" s="89">
        <f t="shared" si="137"/>
        <v>55994.999499999998</v>
      </c>
      <c r="AJ555" s="91">
        <v>0.18</v>
      </c>
      <c r="AK555" s="5">
        <f t="shared" si="138"/>
        <v>10079.099909999999</v>
      </c>
      <c r="AL555" s="89">
        <f t="shared" si="139"/>
        <v>66074.099409999995</v>
      </c>
      <c r="AP555" s="7"/>
    </row>
    <row r="556" spans="1:42" x14ac:dyDescent="0.35">
      <c r="A556" s="85">
        <v>46220</v>
      </c>
      <c r="B556" s="51" t="s">
        <v>85</v>
      </c>
      <c r="C556" s="97">
        <v>61123995.678571403</v>
      </c>
      <c r="D556" s="97">
        <v>87119.5</v>
      </c>
      <c r="E556" s="48" t="s">
        <v>86</v>
      </c>
      <c r="F556" s="94" t="s">
        <v>87</v>
      </c>
      <c r="G556" s="94" t="s">
        <v>425</v>
      </c>
      <c r="H556" s="94" t="s">
        <v>89</v>
      </c>
      <c r="I556" s="94" t="s">
        <v>528</v>
      </c>
      <c r="J556" s="52"/>
      <c r="K556" s="52">
        <v>160</v>
      </c>
      <c r="L556" s="52">
        <v>160</v>
      </c>
      <c r="M556" s="52"/>
      <c r="N556" s="104">
        <f t="shared" si="141"/>
        <v>320</v>
      </c>
      <c r="O556" s="52">
        <v>120</v>
      </c>
      <c r="P556" s="52"/>
      <c r="Q556" s="52">
        <v>120</v>
      </c>
      <c r="R556" s="104">
        <f t="shared" si="140"/>
        <v>240</v>
      </c>
      <c r="S556" s="86">
        <f t="shared" si="142"/>
        <v>560</v>
      </c>
      <c r="AB556" s="88">
        <v>39.270000000000003</v>
      </c>
      <c r="AC556" s="88">
        <v>52.462499999999999</v>
      </c>
      <c r="AD556" s="88">
        <v>72.64</v>
      </c>
      <c r="AE556" s="89">
        <f t="shared" si="134"/>
        <v>57466.400000000001</v>
      </c>
      <c r="AF556" s="90">
        <v>6.5000000000000002E-2</v>
      </c>
      <c r="AG556" s="4">
        <f t="shared" si="135"/>
        <v>3735.3160000000003</v>
      </c>
      <c r="AH556" s="49">
        <f t="shared" si="136"/>
        <v>0</v>
      </c>
      <c r="AI556" s="89">
        <f t="shared" si="137"/>
        <v>53731.084000000003</v>
      </c>
      <c r="AJ556" s="91">
        <v>0.18</v>
      </c>
      <c r="AK556" s="5">
        <f t="shared" si="138"/>
        <v>9671.59512</v>
      </c>
      <c r="AL556" s="89">
        <f t="shared" si="139"/>
        <v>63402.679120000001</v>
      </c>
      <c r="AP556" s="7"/>
    </row>
    <row r="557" spans="1:42" x14ac:dyDescent="0.35">
      <c r="A557" s="85">
        <v>46220</v>
      </c>
      <c r="B557" s="51" t="s">
        <v>85</v>
      </c>
      <c r="C557" s="97">
        <v>61123995.678571403</v>
      </c>
      <c r="D557" s="97">
        <v>87119.5</v>
      </c>
      <c r="E557" s="48" t="s">
        <v>86</v>
      </c>
      <c r="F557" s="94" t="s">
        <v>87</v>
      </c>
      <c r="G557" s="94" t="s">
        <v>532</v>
      </c>
      <c r="H557" s="94" t="s">
        <v>89</v>
      </c>
      <c r="I557" s="94" t="s">
        <v>244</v>
      </c>
      <c r="J557" s="52"/>
      <c r="K557" s="52">
        <v>120</v>
      </c>
      <c r="L557" s="52">
        <v>120</v>
      </c>
      <c r="M557" s="52"/>
      <c r="N557" s="104">
        <f t="shared" si="141"/>
        <v>240</v>
      </c>
      <c r="O557" s="52">
        <v>120</v>
      </c>
      <c r="P557" s="52"/>
      <c r="Q557" s="52">
        <v>120</v>
      </c>
      <c r="R557" s="104">
        <f t="shared" si="140"/>
        <v>240</v>
      </c>
      <c r="S557" s="86">
        <f t="shared" si="142"/>
        <v>480</v>
      </c>
      <c r="AB557" s="88">
        <v>39.270000000000003</v>
      </c>
      <c r="AC557" s="88">
        <v>52.462499999999999</v>
      </c>
      <c r="AD557" s="88">
        <v>72.64</v>
      </c>
      <c r="AE557" s="89">
        <f t="shared" si="134"/>
        <v>47458.2</v>
      </c>
      <c r="AF557" s="90">
        <v>6.5000000000000002E-2</v>
      </c>
      <c r="AG557" s="4">
        <f t="shared" si="135"/>
        <v>3084.7829999999999</v>
      </c>
      <c r="AH557" s="49">
        <f t="shared" si="136"/>
        <v>0</v>
      </c>
      <c r="AI557" s="89">
        <f t="shared" si="137"/>
        <v>44373.416999999994</v>
      </c>
      <c r="AJ557" s="91">
        <v>0.18</v>
      </c>
      <c r="AK557" s="5">
        <f t="shared" si="138"/>
        <v>7987.2150599999986</v>
      </c>
      <c r="AL557" s="89">
        <f t="shared" si="139"/>
        <v>52360.632059999989</v>
      </c>
      <c r="AP557" s="7"/>
    </row>
    <row r="558" spans="1:42" hidden="1" x14ac:dyDescent="0.35">
      <c r="A558" s="85">
        <v>46220</v>
      </c>
      <c r="B558" s="51" t="s">
        <v>85</v>
      </c>
      <c r="C558" s="97">
        <v>61123995.678571403</v>
      </c>
      <c r="D558" s="97">
        <v>87119.5</v>
      </c>
      <c r="E558" s="48" t="s">
        <v>86</v>
      </c>
      <c r="F558" s="94" t="s">
        <v>109</v>
      </c>
      <c r="G558" s="94" t="s">
        <v>512</v>
      </c>
      <c r="H558" s="94" t="s">
        <v>460</v>
      </c>
      <c r="I558" s="94" t="s">
        <v>533</v>
      </c>
      <c r="J558" s="52"/>
      <c r="K558" s="52"/>
      <c r="L558" s="52"/>
      <c r="M558" s="52"/>
      <c r="N558" s="104">
        <f t="shared" si="141"/>
        <v>0</v>
      </c>
      <c r="O558" s="52">
        <v>20</v>
      </c>
      <c r="P558" s="52"/>
      <c r="Q558" s="52">
        <v>20</v>
      </c>
      <c r="R558" s="104">
        <f t="shared" si="140"/>
        <v>40</v>
      </c>
      <c r="S558" s="86">
        <f t="shared" si="142"/>
        <v>40</v>
      </c>
      <c r="AB558" s="88">
        <v>39.270000000000003</v>
      </c>
      <c r="AC558" s="88">
        <v>52.462499999999999</v>
      </c>
      <c r="AD558" s="88">
        <v>72.64</v>
      </c>
      <c r="AE558" s="89">
        <f t="shared" si="134"/>
        <v>2905.6</v>
      </c>
      <c r="AF558" s="90">
        <v>6.5000000000000002E-2</v>
      </c>
      <c r="AG558" s="4">
        <f t="shared" si="135"/>
        <v>188.864</v>
      </c>
      <c r="AH558" s="49">
        <f t="shared" si="136"/>
        <v>0</v>
      </c>
      <c r="AI558" s="89">
        <f t="shared" si="137"/>
        <v>2716.7359999999999</v>
      </c>
      <c r="AJ558" s="91">
        <v>0.18</v>
      </c>
      <c r="AK558" s="5">
        <f t="shared" si="138"/>
        <v>489.01247999999998</v>
      </c>
      <c r="AL558" s="89">
        <f t="shared" si="139"/>
        <v>3205.7484799999997</v>
      </c>
      <c r="AP558" s="7"/>
    </row>
    <row r="559" spans="1:42" hidden="1" x14ac:dyDescent="0.35">
      <c r="A559" s="85">
        <v>46220</v>
      </c>
      <c r="B559" s="51" t="s">
        <v>85</v>
      </c>
      <c r="C559" s="97">
        <v>61123995.678571403</v>
      </c>
      <c r="D559" s="97">
        <v>87119.5</v>
      </c>
      <c r="E559" s="48" t="s">
        <v>86</v>
      </c>
      <c r="F559" s="94" t="s">
        <v>108</v>
      </c>
      <c r="G559" s="94" t="s">
        <v>230</v>
      </c>
      <c r="H559" s="94" t="s">
        <v>460</v>
      </c>
      <c r="I559" s="94" t="s">
        <v>534</v>
      </c>
      <c r="J559" s="52"/>
      <c r="K559" s="52"/>
      <c r="L559" s="52"/>
      <c r="M559" s="52"/>
      <c r="N559" s="104">
        <f t="shared" si="141"/>
        <v>0</v>
      </c>
      <c r="O559" s="52">
        <v>40</v>
      </c>
      <c r="P559" s="52"/>
      <c r="Q559" s="52">
        <v>40</v>
      </c>
      <c r="R559" s="104">
        <f t="shared" si="140"/>
        <v>80</v>
      </c>
      <c r="S559" s="86">
        <f t="shared" si="142"/>
        <v>80</v>
      </c>
      <c r="AB559" s="88">
        <v>39.270000000000003</v>
      </c>
      <c r="AC559" s="88">
        <v>52.462499999999999</v>
      </c>
      <c r="AD559" s="88">
        <v>72.64</v>
      </c>
      <c r="AE559" s="89">
        <f t="shared" si="134"/>
        <v>5811.2</v>
      </c>
      <c r="AF559" s="90">
        <v>6.5000000000000002E-2</v>
      </c>
      <c r="AG559" s="4">
        <f t="shared" si="135"/>
        <v>377.72800000000001</v>
      </c>
      <c r="AH559" s="49">
        <f t="shared" si="136"/>
        <v>0</v>
      </c>
      <c r="AI559" s="89">
        <f t="shared" si="137"/>
        <v>5433.4719999999998</v>
      </c>
      <c r="AJ559" s="91">
        <v>0.18</v>
      </c>
      <c r="AK559" s="5">
        <f t="shared" si="138"/>
        <v>978.02495999999996</v>
      </c>
      <c r="AL559" s="89">
        <f t="shared" si="139"/>
        <v>6411.4969599999995</v>
      </c>
      <c r="AP559" s="7"/>
    </row>
    <row r="560" spans="1:42" hidden="1" x14ac:dyDescent="0.35">
      <c r="A560" s="85">
        <v>46220</v>
      </c>
      <c r="B560" s="51" t="s">
        <v>85</v>
      </c>
      <c r="C560" s="97">
        <v>61123995.678571403</v>
      </c>
      <c r="D560" s="97">
        <v>87119.5</v>
      </c>
      <c r="E560" s="48" t="s">
        <v>86</v>
      </c>
      <c r="F560" s="94" t="s">
        <v>108</v>
      </c>
      <c r="G560" s="94" t="s">
        <v>463</v>
      </c>
      <c r="H560" s="94" t="s">
        <v>112</v>
      </c>
      <c r="I560" s="94" t="s">
        <v>536</v>
      </c>
      <c r="J560" s="52">
        <v>40</v>
      </c>
      <c r="K560" s="52"/>
      <c r="L560" s="52"/>
      <c r="M560" s="52"/>
      <c r="N560" s="104">
        <f t="shared" si="141"/>
        <v>0</v>
      </c>
      <c r="O560" s="52">
        <v>40</v>
      </c>
      <c r="P560" s="52"/>
      <c r="Q560" s="52">
        <v>40</v>
      </c>
      <c r="R560" s="104">
        <f t="shared" si="140"/>
        <v>80</v>
      </c>
      <c r="S560" s="86">
        <f t="shared" si="142"/>
        <v>120</v>
      </c>
      <c r="AB560" s="88">
        <v>39.270000000000003</v>
      </c>
      <c r="AC560" s="88">
        <v>52.462499999999999</v>
      </c>
      <c r="AD560" s="88">
        <v>72.64</v>
      </c>
      <c r="AE560" s="89">
        <f t="shared" si="134"/>
        <v>10287.599999999999</v>
      </c>
      <c r="AF560" s="90">
        <v>6.5000000000000002E-2</v>
      </c>
      <c r="AG560" s="4">
        <f t="shared" si="135"/>
        <v>668.69399999999996</v>
      </c>
      <c r="AH560" s="49">
        <f t="shared" si="136"/>
        <v>54.978000000000009</v>
      </c>
      <c r="AI560" s="89">
        <f t="shared" si="137"/>
        <v>9618.905999999999</v>
      </c>
      <c r="AJ560" s="91">
        <v>0.18</v>
      </c>
      <c r="AK560" s="5">
        <f t="shared" si="138"/>
        <v>1731.4030799999998</v>
      </c>
      <c r="AL560" s="89">
        <f t="shared" si="139"/>
        <v>11350.309079999999</v>
      </c>
      <c r="AP560" s="7"/>
    </row>
    <row r="561" spans="1:42" hidden="1" x14ac:dyDescent="0.35">
      <c r="A561" s="85">
        <v>46220</v>
      </c>
      <c r="B561" s="51" t="s">
        <v>85</v>
      </c>
      <c r="C561" s="97">
        <v>61123995.678571403</v>
      </c>
      <c r="D561" s="97">
        <v>87119.5</v>
      </c>
      <c r="E561" s="48" t="s">
        <v>86</v>
      </c>
      <c r="F561" s="94" t="s">
        <v>108</v>
      </c>
      <c r="G561" s="94" t="s">
        <v>494</v>
      </c>
      <c r="H561" s="94" t="s">
        <v>112</v>
      </c>
      <c r="I561" s="94" t="s">
        <v>536</v>
      </c>
      <c r="J561" s="52"/>
      <c r="K561" s="52">
        <v>20</v>
      </c>
      <c r="L561" s="52">
        <v>20</v>
      </c>
      <c r="M561" s="52"/>
      <c r="N561" s="104">
        <f t="shared" si="141"/>
        <v>40</v>
      </c>
      <c r="O561" s="52"/>
      <c r="P561" s="52"/>
      <c r="Q561" s="52"/>
      <c r="R561" s="104">
        <f t="shared" si="140"/>
        <v>0</v>
      </c>
      <c r="S561" s="86">
        <f t="shared" si="142"/>
        <v>40</v>
      </c>
      <c r="AB561" s="88">
        <v>39.270000000000003</v>
      </c>
      <c r="AC561" s="88">
        <v>52.462499999999999</v>
      </c>
      <c r="AD561" s="88">
        <v>72.64</v>
      </c>
      <c r="AE561" s="89">
        <f t="shared" si="134"/>
        <v>5004.1000000000004</v>
      </c>
      <c r="AF561" s="90">
        <v>6.5000000000000002E-2</v>
      </c>
      <c r="AG561" s="4">
        <f t="shared" si="135"/>
        <v>325.26650000000001</v>
      </c>
      <c r="AH561" s="49">
        <f t="shared" si="136"/>
        <v>0</v>
      </c>
      <c r="AI561" s="89">
        <f t="shared" si="137"/>
        <v>4678.8335000000006</v>
      </c>
      <c r="AJ561" s="91">
        <v>0.18</v>
      </c>
      <c r="AK561" s="5">
        <f t="shared" si="138"/>
        <v>842.19003000000009</v>
      </c>
      <c r="AL561" s="89">
        <f t="shared" si="139"/>
        <v>5521.0235300000004</v>
      </c>
      <c r="AP561" s="7"/>
    </row>
    <row r="562" spans="1:42" hidden="1" x14ac:dyDescent="0.35">
      <c r="A562" s="85">
        <v>46220</v>
      </c>
      <c r="B562" s="51" t="s">
        <v>85</v>
      </c>
      <c r="C562" s="97">
        <v>61123995.678571403</v>
      </c>
      <c r="D562" s="97">
        <v>87119.5</v>
      </c>
      <c r="E562" s="48" t="s">
        <v>86</v>
      </c>
      <c r="F562" s="94" t="s">
        <v>108</v>
      </c>
      <c r="G562" s="94" t="s">
        <v>535</v>
      </c>
      <c r="H562" s="94" t="s">
        <v>112</v>
      </c>
      <c r="I562" s="94" t="s">
        <v>536</v>
      </c>
      <c r="J562" s="52">
        <v>12</v>
      </c>
      <c r="K562" s="52"/>
      <c r="L562" s="52"/>
      <c r="M562" s="52"/>
      <c r="N562" s="104">
        <f t="shared" si="141"/>
        <v>0</v>
      </c>
      <c r="O562" s="52">
        <v>12</v>
      </c>
      <c r="P562" s="52"/>
      <c r="Q562" s="52">
        <v>12</v>
      </c>
      <c r="R562" s="104">
        <f t="shared" si="140"/>
        <v>24</v>
      </c>
      <c r="S562" s="86">
        <f t="shared" si="142"/>
        <v>36</v>
      </c>
      <c r="AB562" s="88">
        <v>39.270000000000003</v>
      </c>
      <c r="AC562" s="88">
        <v>52.462499999999999</v>
      </c>
      <c r="AD562" s="88">
        <v>72.64</v>
      </c>
      <c r="AE562" s="89">
        <f t="shared" ref="AE562:AE859" si="143">(J562*AB562)+(N562*AC562)+(AD562*S562)</f>
        <v>3086.2799999999997</v>
      </c>
      <c r="AF562" s="90">
        <v>6.5000000000000002E-2</v>
      </c>
      <c r="AG562" s="4">
        <f t="shared" ref="AG562:AG859" si="144">AE562*AF562</f>
        <v>200.60819999999998</v>
      </c>
      <c r="AH562" s="49">
        <f t="shared" ref="AH562:AH859" si="145">(AB562*J562)*$AH$1</f>
        <v>16.493400000000001</v>
      </c>
      <c r="AI562" s="89">
        <f t="shared" ref="AI562:AI859" si="146">AE562-AG562</f>
        <v>2885.6717999999996</v>
      </c>
      <c r="AJ562" s="91">
        <v>0.18</v>
      </c>
      <c r="AK562" s="5">
        <f t="shared" ref="AK562:AK859" si="147">AI562*AJ562</f>
        <v>519.4209239999999</v>
      </c>
      <c r="AL562" s="89">
        <f t="shared" ref="AL562:AL859" si="148">AI562+AK562</f>
        <v>3405.0927239999996</v>
      </c>
      <c r="AP562" s="7"/>
    </row>
    <row r="563" spans="1:42" hidden="1" x14ac:dyDescent="0.35">
      <c r="A563" s="85">
        <v>46220</v>
      </c>
      <c r="B563" s="51" t="s">
        <v>85</v>
      </c>
      <c r="C563" s="97">
        <v>61123995.678571403</v>
      </c>
      <c r="D563" s="97">
        <v>87119.5</v>
      </c>
      <c r="E563" s="48" t="s">
        <v>86</v>
      </c>
      <c r="F563" s="94" t="s">
        <v>108</v>
      </c>
      <c r="G563" s="94" t="s">
        <v>203</v>
      </c>
      <c r="H563" s="94" t="s">
        <v>112</v>
      </c>
      <c r="I563" s="94" t="s">
        <v>536</v>
      </c>
      <c r="J563" s="52">
        <v>40</v>
      </c>
      <c r="K563" s="52">
        <v>20</v>
      </c>
      <c r="L563" s="52">
        <v>20</v>
      </c>
      <c r="M563" s="52"/>
      <c r="N563" s="104">
        <f t="shared" si="141"/>
        <v>40</v>
      </c>
      <c r="O563" s="52">
        <v>20</v>
      </c>
      <c r="P563" s="52"/>
      <c r="Q563" s="52">
        <v>40</v>
      </c>
      <c r="R563" s="104">
        <f t="shared" si="140"/>
        <v>60</v>
      </c>
      <c r="S563" s="86">
        <f t="shared" si="142"/>
        <v>140</v>
      </c>
      <c r="AB563" s="88">
        <v>39.270000000000003</v>
      </c>
      <c r="AC563" s="88">
        <v>52.462499999999999</v>
      </c>
      <c r="AD563" s="88">
        <v>72.64</v>
      </c>
      <c r="AE563" s="89">
        <f t="shared" si="143"/>
        <v>13838.900000000001</v>
      </c>
      <c r="AF563" s="90">
        <v>6.5000000000000002E-2</v>
      </c>
      <c r="AG563" s="4">
        <f t="shared" si="144"/>
        <v>899.52850000000012</v>
      </c>
      <c r="AH563" s="49">
        <f t="shared" si="145"/>
        <v>54.978000000000009</v>
      </c>
      <c r="AI563" s="89">
        <f t="shared" si="146"/>
        <v>12939.371500000001</v>
      </c>
      <c r="AJ563" s="91">
        <v>0.18</v>
      </c>
      <c r="AK563" s="5">
        <f t="shared" si="147"/>
        <v>2329.0868700000001</v>
      </c>
      <c r="AL563" s="89">
        <f t="shared" si="148"/>
        <v>15268.45837</v>
      </c>
      <c r="AP563" s="7"/>
    </row>
    <row r="564" spans="1:42" hidden="1" x14ac:dyDescent="0.35">
      <c r="A564" s="85">
        <v>46220</v>
      </c>
      <c r="B564" s="51" t="s">
        <v>85</v>
      </c>
      <c r="C564" s="97">
        <v>61123995.678571403</v>
      </c>
      <c r="D564" s="97">
        <v>87119.5</v>
      </c>
      <c r="E564" s="48" t="s">
        <v>86</v>
      </c>
      <c r="F564" s="94" t="s">
        <v>108</v>
      </c>
      <c r="G564" s="94" t="s">
        <v>537</v>
      </c>
      <c r="H564" s="94" t="s">
        <v>433</v>
      </c>
      <c r="I564" s="94" t="s">
        <v>544</v>
      </c>
      <c r="J564" s="52">
        <v>200</v>
      </c>
      <c r="K564" s="52"/>
      <c r="L564" s="52"/>
      <c r="M564" s="52"/>
      <c r="N564" s="104">
        <f t="shared" si="141"/>
        <v>0</v>
      </c>
      <c r="O564" s="52"/>
      <c r="P564" s="52"/>
      <c r="Q564" s="52"/>
      <c r="R564" s="104">
        <f t="shared" si="140"/>
        <v>0</v>
      </c>
      <c r="S564" s="86">
        <f t="shared" si="142"/>
        <v>200</v>
      </c>
      <c r="AB564" s="88">
        <v>39.270000000000003</v>
      </c>
      <c r="AC564" s="88">
        <v>52.462499999999999</v>
      </c>
      <c r="AD564" s="88">
        <v>72.64</v>
      </c>
      <c r="AE564" s="89">
        <f t="shared" si="143"/>
        <v>22382</v>
      </c>
      <c r="AF564" s="90">
        <v>6.5000000000000002E-2</v>
      </c>
      <c r="AG564" s="4">
        <f t="shared" si="144"/>
        <v>1454.8300000000002</v>
      </c>
      <c r="AH564" s="49">
        <f t="shared" si="145"/>
        <v>274.89000000000004</v>
      </c>
      <c r="AI564" s="89">
        <f t="shared" si="146"/>
        <v>20927.169999999998</v>
      </c>
      <c r="AJ564" s="91">
        <v>0.18</v>
      </c>
      <c r="AK564" s="5">
        <f t="shared" si="147"/>
        <v>3766.8905999999997</v>
      </c>
      <c r="AL564" s="89">
        <f t="shared" si="148"/>
        <v>24694.060599999997</v>
      </c>
      <c r="AP564" s="7"/>
    </row>
    <row r="565" spans="1:42" hidden="1" x14ac:dyDescent="0.35">
      <c r="A565" s="85">
        <v>46220</v>
      </c>
      <c r="B565" s="51" t="s">
        <v>85</v>
      </c>
      <c r="C565" s="97">
        <v>61123995.678571403</v>
      </c>
      <c r="D565" s="97">
        <v>87119.5</v>
      </c>
      <c r="E565" s="48" t="s">
        <v>86</v>
      </c>
      <c r="F565" s="94" t="s">
        <v>108</v>
      </c>
      <c r="G565" s="94" t="s">
        <v>538</v>
      </c>
      <c r="H565" s="94" t="s">
        <v>433</v>
      </c>
      <c r="I565" s="94" t="s">
        <v>544</v>
      </c>
      <c r="J565" s="52">
        <v>40</v>
      </c>
      <c r="K565" s="52"/>
      <c r="L565" s="52"/>
      <c r="M565" s="52"/>
      <c r="N565" s="104">
        <f t="shared" si="141"/>
        <v>0</v>
      </c>
      <c r="O565" s="52"/>
      <c r="P565" s="52"/>
      <c r="Q565" s="52"/>
      <c r="R565" s="104">
        <f t="shared" si="140"/>
        <v>0</v>
      </c>
      <c r="S565" s="86">
        <f t="shared" si="142"/>
        <v>40</v>
      </c>
      <c r="AB565" s="88">
        <v>39.270000000000003</v>
      </c>
      <c r="AC565" s="88">
        <v>52.462499999999999</v>
      </c>
      <c r="AD565" s="88">
        <v>72.64</v>
      </c>
      <c r="AE565" s="89">
        <f t="shared" si="143"/>
        <v>4476.3999999999996</v>
      </c>
      <c r="AF565" s="90">
        <v>6.5000000000000002E-2</v>
      </c>
      <c r="AG565" s="4">
        <f t="shared" si="144"/>
        <v>290.96600000000001</v>
      </c>
      <c r="AH565" s="49">
        <f t="shared" si="145"/>
        <v>54.978000000000009</v>
      </c>
      <c r="AI565" s="89">
        <f t="shared" si="146"/>
        <v>4185.4339999999993</v>
      </c>
      <c r="AJ565" s="91">
        <v>0.18</v>
      </c>
      <c r="AK565" s="5">
        <f t="shared" si="147"/>
        <v>753.37811999999985</v>
      </c>
      <c r="AL565" s="89">
        <f t="shared" si="148"/>
        <v>4938.8121199999987</v>
      </c>
      <c r="AP565" s="7"/>
    </row>
    <row r="566" spans="1:42" hidden="1" x14ac:dyDescent="0.35">
      <c r="A566" s="85">
        <v>46220</v>
      </c>
      <c r="B566" s="51" t="s">
        <v>85</v>
      </c>
      <c r="C566" s="97">
        <v>61123995.678571403</v>
      </c>
      <c r="D566" s="97">
        <v>87119.5</v>
      </c>
      <c r="E566" s="48" t="s">
        <v>86</v>
      </c>
      <c r="F566" s="94" t="s">
        <v>108</v>
      </c>
      <c r="G566" s="94" t="s">
        <v>539</v>
      </c>
      <c r="H566" s="94" t="s">
        <v>433</v>
      </c>
      <c r="I566" s="94" t="s">
        <v>544</v>
      </c>
      <c r="J566" s="52">
        <v>20</v>
      </c>
      <c r="K566" s="52"/>
      <c r="L566" s="52"/>
      <c r="M566" s="52"/>
      <c r="N566" s="104">
        <f t="shared" si="141"/>
        <v>0</v>
      </c>
      <c r="O566" s="52"/>
      <c r="P566" s="52"/>
      <c r="Q566" s="52"/>
      <c r="R566" s="104">
        <f t="shared" si="140"/>
        <v>0</v>
      </c>
      <c r="S566" s="86">
        <f t="shared" si="142"/>
        <v>20</v>
      </c>
      <c r="AB566" s="88">
        <v>39.270000000000003</v>
      </c>
      <c r="AC566" s="88">
        <v>52.462499999999999</v>
      </c>
      <c r="AD566" s="88">
        <v>72.64</v>
      </c>
      <c r="AE566" s="89">
        <f t="shared" si="143"/>
        <v>2238.1999999999998</v>
      </c>
      <c r="AF566" s="90">
        <v>6.5000000000000002E-2</v>
      </c>
      <c r="AG566" s="4">
        <f t="shared" si="144"/>
        <v>145.483</v>
      </c>
      <c r="AH566" s="49">
        <f t="shared" si="145"/>
        <v>27.489000000000004</v>
      </c>
      <c r="AI566" s="89">
        <f t="shared" si="146"/>
        <v>2092.7169999999996</v>
      </c>
      <c r="AJ566" s="91">
        <v>0.18</v>
      </c>
      <c r="AK566" s="5">
        <f t="shared" si="147"/>
        <v>376.68905999999993</v>
      </c>
      <c r="AL566" s="89">
        <f t="shared" si="148"/>
        <v>2469.4060599999993</v>
      </c>
      <c r="AP566" s="7"/>
    </row>
    <row r="567" spans="1:42" hidden="1" x14ac:dyDescent="0.35">
      <c r="A567" s="85">
        <v>46220</v>
      </c>
      <c r="B567" s="51" t="s">
        <v>85</v>
      </c>
      <c r="C567" s="97">
        <v>61123995.678571403</v>
      </c>
      <c r="D567" s="97">
        <v>87119.5</v>
      </c>
      <c r="E567" s="48" t="s">
        <v>86</v>
      </c>
      <c r="F567" s="94" t="s">
        <v>108</v>
      </c>
      <c r="G567" s="94" t="s">
        <v>275</v>
      </c>
      <c r="H567" s="94" t="s">
        <v>433</v>
      </c>
      <c r="I567" s="94" t="s">
        <v>544</v>
      </c>
      <c r="J567" s="52"/>
      <c r="K567" s="52"/>
      <c r="L567" s="52"/>
      <c r="M567" s="52"/>
      <c r="N567" s="104">
        <f t="shared" si="141"/>
        <v>0</v>
      </c>
      <c r="O567" s="52">
        <v>6</v>
      </c>
      <c r="P567" s="52"/>
      <c r="Q567" s="52"/>
      <c r="R567" s="104">
        <f t="shared" si="140"/>
        <v>6</v>
      </c>
      <c r="S567" s="86">
        <f t="shared" si="142"/>
        <v>6</v>
      </c>
      <c r="AB567" s="88">
        <v>39.270000000000003</v>
      </c>
      <c r="AC567" s="88">
        <v>52.462499999999999</v>
      </c>
      <c r="AD567" s="88">
        <v>72.64</v>
      </c>
      <c r="AE567" s="89">
        <f t="shared" si="143"/>
        <v>435.84000000000003</v>
      </c>
      <c r="AF567" s="90">
        <v>6.5000000000000002E-2</v>
      </c>
      <c r="AG567" s="4">
        <f t="shared" si="144"/>
        <v>28.329600000000003</v>
      </c>
      <c r="AH567" s="49">
        <f t="shared" si="145"/>
        <v>0</v>
      </c>
      <c r="AI567" s="89">
        <f t="shared" si="146"/>
        <v>407.5104</v>
      </c>
      <c r="AJ567" s="91">
        <v>0.18</v>
      </c>
      <c r="AK567" s="5">
        <f t="shared" si="147"/>
        <v>73.351872</v>
      </c>
      <c r="AL567" s="89">
        <f t="shared" si="148"/>
        <v>480.86227200000002</v>
      </c>
      <c r="AP567" s="7"/>
    </row>
    <row r="568" spans="1:42" hidden="1" x14ac:dyDescent="0.35">
      <c r="A568" s="85">
        <v>46220</v>
      </c>
      <c r="B568" s="51" t="s">
        <v>85</v>
      </c>
      <c r="C568" s="97">
        <v>61123995.678571403</v>
      </c>
      <c r="D568" s="97">
        <v>87119.5</v>
      </c>
      <c r="E568" s="48" t="s">
        <v>86</v>
      </c>
      <c r="F568" s="94" t="s">
        <v>108</v>
      </c>
      <c r="G568" s="94" t="s">
        <v>360</v>
      </c>
      <c r="H568" s="94" t="s">
        <v>433</v>
      </c>
      <c r="I568" s="94" t="s">
        <v>544</v>
      </c>
      <c r="J568" s="52"/>
      <c r="K568" s="52"/>
      <c r="L568" s="52"/>
      <c r="M568" s="52"/>
      <c r="N568" s="104">
        <f t="shared" si="141"/>
        <v>0</v>
      </c>
      <c r="O568" s="52">
        <v>40</v>
      </c>
      <c r="P568" s="52"/>
      <c r="Q568" s="52">
        <v>40</v>
      </c>
      <c r="R568" s="104">
        <f t="shared" si="140"/>
        <v>80</v>
      </c>
      <c r="S568" s="86">
        <f t="shared" si="142"/>
        <v>80</v>
      </c>
      <c r="AB568" s="88">
        <v>39.270000000000003</v>
      </c>
      <c r="AC568" s="88">
        <v>52.462499999999999</v>
      </c>
      <c r="AD568" s="88">
        <v>72.64</v>
      </c>
      <c r="AE568" s="89">
        <f t="shared" si="143"/>
        <v>5811.2</v>
      </c>
      <c r="AF568" s="90">
        <v>6.5000000000000002E-2</v>
      </c>
      <c r="AG568" s="4">
        <f t="shared" si="144"/>
        <v>377.72800000000001</v>
      </c>
      <c r="AH568" s="49">
        <f t="shared" si="145"/>
        <v>0</v>
      </c>
      <c r="AI568" s="89">
        <f t="shared" si="146"/>
        <v>5433.4719999999998</v>
      </c>
      <c r="AJ568" s="91">
        <v>0.18</v>
      </c>
      <c r="AK568" s="5">
        <f t="shared" si="147"/>
        <v>978.02495999999996</v>
      </c>
      <c r="AL568" s="89">
        <f t="shared" si="148"/>
        <v>6411.4969599999995</v>
      </c>
      <c r="AP568" s="7"/>
    </row>
    <row r="569" spans="1:42" hidden="1" x14ac:dyDescent="0.35">
      <c r="A569" s="85">
        <v>46220</v>
      </c>
      <c r="B569" s="51" t="s">
        <v>85</v>
      </c>
      <c r="C569" s="97">
        <v>61123995.678571403</v>
      </c>
      <c r="D569" s="97">
        <v>87119.5</v>
      </c>
      <c r="E569" s="48" t="s">
        <v>86</v>
      </c>
      <c r="F569" s="94" t="s">
        <v>108</v>
      </c>
      <c r="G569" s="94" t="s">
        <v>540</v>
      </c>
      <c r="H569" s="94" t="s">
        <v>433</v>
      </c>
      <c r="I569" s="94" t="s">
        <v>544</v>
      </c>
      <c r="J569" s="52">
        <v>20</v>
      </c>
      <c r="K569" s="52"/>
      <c r="L569" s="52"/>
      <c r="M569" s="52"/>
      <c r="N569" s="104">
        <f t="shared" si="141"/>
        <v>0</v>
      </c>
      <c r="O569" s="52"/>
      <c r="P569" s="52"/>
      <c r="Q569" s="52"/>
      <c r="R569" s="104">
        <f t="shared" si="140"/>
        <v>0</v>
      </c>
      <c r="S569" s="86">
        <f t="shared" si="142"/>
        <v>20</v>
      </c>
      <c r="AB569" s="88">
        <v>39.270000000000003</v>
      </c>
      <c r="AC569" s="88">
        <v>52.462499999999999</v>
      </c>
      <c r="AD569" s="88">
        <v>72.64</v>
      </c>
      <c r="AE569" s="89">
        <f t="shared" si="143"/>
        <v>2238.1999999999998</v>
      </c>
      <c r="AF569" s="90">
        <v>6.5000000000000002E-2</v>
      </c>
      <c r="AG569" s="4">
        <f t="shared" si="144"/>
        <v>145.483</v>
      </c>
      <c r="AH569" s="49">
        <f t="shared" si="145"/>
        <v>27.489000000000004</v>
      </c>
      <c r="AI569" s="89">
        <f t="shared" si="146"/>
        <v>2092.7169999999996</v>
      </c>
      <c r="AJ569" s="91">
        <v>0.18</v>
      </c>
      <c r="AK569" s="5">
        <f t="shared" si="147"/>
        <v>376.68905999999993</v>
      </c>
      <c r="AL569" s="89">
        <f t="shared" si="148"/>
        <v>2469.4060599999993</v>
      </c>
      <c r="AP569" s="7"/>
    </row>
    <row r="570" spans="1:42" hidden="1" x14ac:dyDescent="0.35">
      <c r="A570" s="85">
        <v>46220</v>
      </c>
      <c r="B570" s="51" t="s">
        <v>85</v>
      </c>
      <c r="C570" s="97">
        <v>61123995.678571403</v>
      </c>
      <c r="D570" s="97">
        <v>87119.5</v>
      </c>
      <c r="E570" s="48" t="s">
        <v>86</v>
      </c>
      <c r="F570" s="94" t="s">
        <v>108</v>
      </c>
      <c r="G570" s="94" t="s">
        <v>339</v>
      </c>
      <c r="H570" s="94" t="s">
        <v>433</v>
      </c>
      <c r="I570" s="94" t="s">
        <v>544</v>
      </c>
      <c r="J570" s="52">
        <v>40</v>
      </c>
      <c r="K570" s="52"/>
      <c r="L570" s="52"/>
      <c r="M570" s="52"/>
      <c r="N570" s="104">
        <f t="shared" si="141"/>
        <v>0</v>
      </c>
      <c r="O570" s="52"/>
      <c r="P570" s="52"/>
      <c r="Q570" s="52"/>
      <c r="R570" s="104">
        <f t="shared" si="140"/>
        <v>0</v>
      </c>
      <c r="S570" s="86">
        <f t="shared" si="142"/>
        <v>40</v>
      </c>
      <c r="AB570" s="88">
        <v>39.270000000000003</v>
      </c>
      <c r="AC570" s="88">
        <v>52.462499999999999</v>
      </c>
      <c r="AD570" s="88">
        <v>72.64</v>
      </c>
      <c r="AE570" s="89">
        <f t="shared" si="143"/>
        <v>4476.3999999999996</v>
      </c>
      <c r="AF570" s="90">
        <v>6.5000000000000002E-2</v>
      </c>
      <c r="AG570" s="4">
        <f t="shared" si="144"/>
        <v>290.96600000000001</v>
      </c>
      <c r="AH570" s="49">
        <f t="shared" si="145"/>
        <v>54.978000000000009</v>
      </c>
      <c r="AI570" s="89">
        <f t="shared" si="146"/>
        <v>4185.4339999999993</v>
      </c>
      <c r="AJ570" s="91">
        <v>0.18</v>
      </c>
      <c r="AK570" s="5">
        <f t="shared" si="147"/>
        <v>753.37811999999985</v>
      </c>
      <c r="AL570" s="89">
        <f t="shared" si="148"/>
        <v>4938.8121199999987</v>
      </c>
      <c r="AP570" s="7"/>
    </row>
    <row r="571" spans="1:42" hidden="1" x14ac:dyDescent="0.35">
      <c r="A571" s="85">
        <v>46220</v>
      </c>
      <c r="B571" s="51" t="s">
        <v>85</v>
      </c>
      <c r="C571" s="97">
        <v>61123995.678571403</v>
      </c>
      <c r="D571" s="97">
        <v>87119.5</v>
      </c>
      <c r="E571" s="48" t="s">
        <v>86</v>
      </c>
      <c r="F571" s="94" t="s">
        <v>108</v>
      </c>
      <c r="G571" s="94" t="s">
        <v>541</v>
      </c>
      <c r="H571" s="94" t="s">
        <v>433</v>
      </c>
      <c r="I571" s="94" t="s">
        <v>544</v>
      </c>
      <c r="J571" s="52">
        <v>40</v>
      </c>
      <c r="K571" s="52"/>
      <c r="L571" s="52"/>
      <c r="M571" s="52"/>
      <c r="N571" s="104">
        <f t="shared" si="141"/>
        <v>0</v>
      </c>
      <c r="O571" s="52"/>
      <c r="P571" s="52"/>
      <c r="Q571" s="52"/>
      <c r="R571" s="104">
        <f t="shared" si="140"/>
        <v>0</v>
      </c>
      <c r="S571" s="86">
        <f t="shared" si="142"/>
        <v>40</v>
      </c>
      <c r="AB571" s="88">
        <v>39.270000000000003</v>
      </c>
      <c r="AC571" s="88">
        <v>52.462499999999999</v>
      </c>
      <c r="AD571" s="88">
        <v>72.64</v>
      </c>
      <c r="AE571" s="89">
        <f t="shared" si="143"/>
        <v>4476.3999999999996</v>
      </c>
      <c r="AF571" s="90">
        <v>6.5000000000000002E-2</v>
      </c>
      <c r="AG571" s="4">
        <f t="shared" si="144"/>
        <v>290.96600000000001</v>
      </c>
      <c r="AH571" s="49">
        <f t="shared" si="145"/>
        <v>54.978000000000009</v>
      </c>
      <c r="AI571" s="89">
        <f t="shared" si="146"/>
        <v>4185.4339999999993</v>
      </c>
      <c r="AJ571" s="91">
        <v>0.18</v>
      </c>
      <c r="AK571" s="5">
        <f t="shared" si="147"/>
        <v>753.37811999999985</v>
      </c>
      <c r="AL571" s="89">
        <f t="shared" si="148"/>
        <v>4938.8121199999987</v>
      </c>
      <c r="AP571" s="7"/>
    </row>
    <row r="572" spans="1:42" hidden="1" x14ac:dyDescent="0.35">
      <c r="A572" s="85">
        <v>46220</v>
      </c>
      <c r="B572" s="51" t="s">
        <v>85</v>
      </c>
      <c r="C572" s="97">
        <v>61123995.678571403</v>
      </c>
      <c r="D572" s="97">
        <v>87119.5</v>
      </c>
      <c r="E572" s="48" t="s">
        <v>86</v>
      </c>
      <c r="F572" s="94" t="s">
        <v>108</v>
      </c>
      <c r="G572" s="94" t="s">
        <v>542</v>
      </c>
      <c r="H572" s="94" t="s">
        <v>433</v>
      </c>
      <c r="I572" s="94" t="s">
        <v>544</v>
      </c>
      <c r="J572" s="52">
        <v>20</v>
      </c>
      <c r="K572" s="52"/>
      <c r="L572" s="52"/>
      <c r="M572" s="52"/>
      <c r="N572" s="104">
        <f t="shared" si="141"/>
        <v>0</v>
      </c>
      <c r="O572" s="52"/>
      <c r="P572" s="52"/>
      <c r="Q572" s="52"/>
      <c r="R572" s="104">
        <f t="shared" si="140"/>
        <v>0</v>
      </c>
      <c r="S572" s="86">
        <f t="shared" si="142"/>
        <v>20</v>
      </c>
      <c r="AB572" s="88">
        <v>39.270000000000003</v>
      </c>
      <c r="AC572" s="88">
        <v>52.462499999999999</v>
      </c>
      <c r="AD572" s="88">
        <v>72.64</v>
      </c>
      <c r="AE572" s="89">
        <f t="shared" si="143"/>
        <v>2238.1999999999998</v>
      </c>
      <c r="AF572" s="90">
        <v>6.5000000000000002E-2</v>
      </c>
      <c r="AG572" s="4">
        <f t="shared" si="144"/>
        <v>145.483</v>
      </c>
      <c r="AH572" s="49">
        <f t="shared" si="145"/>
        <v>27.489000000000004</v>
      </c>
      <c r="AI572" s="89">
        <f t="shared" si="146"/>
        <v>2092.7169999999996</v>
      </c>
      <c r="AJ572" s="91">
        <v>0.18</v>
      </c>
      <c r="AK572" s="5">
        <f t="shared" si="147"/>
        <v>376.68905999999993</v>
      </c>
      <c r="AL572" s="89">
        <f t="shared" si="148"/>
        <v>2469.4060599999993</v>
      </c>
      <c r="AP572" s="7"/>
    </row>
    <row r="573" spans="1:42" hidden="1" x14ac:dyDescent="0.35">
      <c r="A573" s="85">
        <v>46220</v>
      </c>
      <c r="B573" s="51" t="s">
        <v>85</v>
      </c>
      <c r="C573" s="97">
        <v>61123995.678571403</v>
      </c>
      <c r="D573" s="97">
        <v>87119.5</v>
      </c>
      <c r="E573" s="48" t="s">
        <v>86</v>
      </c>
      <c r="F573" s="94" t="s">
        <v>108</v>
      </c>
      <c r="G573" s="94" t="s">
        <v>543</v>
      </c>
      <c r="H573" s="94" t="s">
        <v>433</v>
      </c>
      <c r="I573" s="94" t="s">
        <v>544</v>
      </c>
      <c r="J573" s="52">
        <v>80</v>
      </c>
      <c r="K573" s="52"/>
      <c r="L573" s="52"/>
      <c r="M573" s="52"/>
      <c r="N573" s="104">
        <f t="shared" si="141"/>
        <v>0</v>
      </c>
      <c r="O573" s="52">
        <v>40</v>
      </c>
      <c r="P573" s="52"/>
      <c r="Q573" s="52">
        <v>40</v>
      </c>
      <c r="R573" s="104">
        <f t="shared" si="140"/>
        <v>80</v>
      </c>
      <c r="S573" s="86">
        <f t="shared" si="142"/>
        <v>160</v>
      </c>
      <c r="AB573" s="88">
        <v>39.270000000000003</v>
      </c>
      <c r="AC573" s="88">
        <v>52.462499999999999</v>
      </c>
      <c r="AD573" s="88">
        <v>72.64</v>
      </c>
      <c r="AE573" s="89">
        <f t="shared" si="143"/>
        <v>14764</v>
      </c>
      <c r="AF573" s="90">
        <v>6.5000000000000002E-2</v>
      </c>
      <c r="AG573" s="4">
        <f t="shared" si="144"/>
        <v>959.66000000000008</v>
      </c>
      <c r="AH573" s="49">
        <f t="shared" si="145"/>
        <v>109.95600000000002</v>
      </c>
      <c r="AI573" s="89">
        <f t="shared" si="146"/>
        <v>13804.34</v>
      </c>
      <c r="AJ573" s="91">
        <v>0.18</v>
      </c>
      <c r="AK573" s="5">
        <f t="shared" si="147"/>
        <v>2484.7811999999999</v>
      </c>
      <c r="AL573" s="89">
        <f t="shared" si="148"/>
        <v>16289.1212</v>
      </c>
      <c r="AP573" s="7"/>
    </row>
    <row r="574" spans="1:42" hidden="1" x14ac:dyDescent="0.35">
      <c r="A574" s="85">
        <v>46220</v>
      </c>
      <c r="B574" s="51" t="s">
        <v>85</v>
      </c>
      <c r="C574" s="97">
        <v>61123995.678571403</v>
      </c>
      <c r="D574" s="97">
        <v>87119.5</v>
      </c>
      <c r="E574" s="48" t="s">
        <v>86</v>
      </c>
      <c r="F574" s="94" t="s">
        <v>108</v>
      </c>
      <c r="G574" s="94" t="s">
        <v>146</v>
      </c>
      <c r="H574" s="94" t="s">
        <v>129</v>
      </c>
      <c r="I574" s="94" t="s">
        <v>558</v>
      </c>
      <c r="J574" s="52">
        <v>10</v>
      </c>
      <c r="K574" s="52"/>
      <c r="L574" s="52"/>
      <c r="M574" s="52"/>
      <c r="N574" s="104">
        <f t="shared" si="141"/>
        <v>0</v>
      </c>
      <c r="O574" s="52"/>
      <c r="P574" s="52"/>
      <c r="Q574" s="52"/>
      <c r="R574" s="104">
        <f t="shared" si="140"/>
        <v>0</v>
      </c>
      <c r="S574" s="86">
        <f t="shared" si="142"/>
        <v>10</v>
      </c>
      <c r="AB574" s="88">
        <v>39.270000000000003</v>
      </c>
      <c r="AC574" s="88">
        <v>52.462499999999999</v>
      </c>
      <c r="AD574" s="88">
        <v>72.64</v>
      </c>
      <c r="AE574" s="89">
        <f t="shared" si="143"/>
        <v>1119.0999999999999</v>
      </c>
      <c r="AF574" s="90">
        <v>6.5000000000000002E-2</v>
      </c>
      <c r="AG574" s="4">
        <f t="shared" si="144"/>
        <v>72.741500000000002</v>
      </c>
      <c r="AH574" s="49">
        <f t="shared" si="145"/>
        <v>13.744500000000002</v>
      </c>
      <c r="AI574" s="89">
        <f t="shared" si="146"/>
        <v>1046.3584999999998</v>
      </c>
      <c r="AJ574" s="91">
        <v>0.18</v>
      </c>
      <c r="AK574" s="5">
        <f t="shared" si="147"/>
        <v>188.34452999999996</v>
      </c>
      <c r="AL574" s="89">
        <f t="shared" si="148"/>
        <v>1234.7030299999997</v>
      </c>
      <c r="AP574" s="7"/>
    </row>
    <row r="575" spans="1:42" hidden="1" x14ac:dyDescent="0.35">
      <c r="A575" s="85">
        <v>46220</v>
      </c>
      <c r="B575" s="51" t="s">
        <v>85</v>
      </c>
      <c r="C575" s="97">
        <v>61123995.678571403</v>
      </c>
      <c r="D575" s="97">
        <v>87119.5</v>
      </c>
      <c r="E575" s="48" t="s">
        <v>86</v>
      </c>
      <c r="F575" s="94" t="s">
        <v>108</v>
      </c>
      <c r="G575" s="94" t="s">
        <v>169</v>
      </c>
      <c r="H575" s="94" t="s">
        <v>129</v>
      </c>
      <c r="I575" s="94" t="s">
        <v>558</v>
      </c>
      <c r="J575" s="52"/>
      <c r="K575" s="52"/>
      <c r="L575" s="52"/>
      <c r="M575" s="52"/>
      <c r="N575" s="104">
        <f t="shared" si="141"/>
        <v>0</v>
      </c>
      <c r="O575" s="52">
        <v>10</v>
      </c>
      <c r="P575" s="52"/>
      <c r="Q575" s="52"/>
      <c r="R575" s="104">
        <f t="shared" si="140"/>
        <v>10</v>
      </c>
      <c r="S575" s="86">
        <f t="shared" si="142"/>
        <v>10</v>
      </c>
      <c r="AB575" s="88">
        <v>39.270000000000003</v>
      </c>
      <c r="AC575" s="88">
        <v>52.462499999999999</v>
      </c>
      <c r="AD575" s="88">
        <v>72.64</v>
      </c>
      <c r="AE575" s="89">
        <f t="shared" si="143"/>
        <v>726.4</v>
      </c>
      <c r="AF575" s="90">
        <v>6.5000000000000002E-2</v>
      </c>
      <c r="AG575" s="4">
        <f t="shared" si="144"/>
        <v>47.216000000000001</v>
      </c>
      <c r="AH575" s="49">
        <f t="shared" si="145"/>
        <v>0</v>
      </c>
      <c r="AI575" s="89">
        <f t="shared" si="146"/>
        <v>679.18399999999997</v>
      </c>
      <c r="AJ575" s="91">
        <v>0.18</v>
      </c>
      <c r="AK575" s="5">
        <f t="shared" si="147"/>
        <v>122.25312</v>
      </c>
      <c r="AL575" s="89">
        <f t="shared" si="148"/>
        <v>801.43711999999994</v>
      </c>
      <c r="AP575" s="7"/>
    </row>
    <row r="576" spans="1:42" hidden="1" x14ac:dyDescent="0.35">
      <c r="A576" s="85">
        <v>46220</v>
      </c>
      <c r="B576" s="51" t="s">
        <v>85</v>
      </c>
      <c r="C576" s="97">
        <v>61123995.678571403</v>
      </c>
      <c r="D576" s="97">
        <v>87119.5</v>
      </c>
      <c r="E576" s="48" t="s">
        <v>86</v>
      </c>
      <c r="F576" s="94" t="s">
        <v>108</v>
      </c>
      <c r="G576" s="94" t="s">
        <v>545</v>
      </c>
      <c r="H576" s="94" t="s">
        <v>129</v>
      </c>
      <c r="I576" s="94" t="s">
        <v>558</v>
      </c>
      <c r="J576" s="52">
        <v>24</v>
      </c>
      <c r="K576" s="52"/>
      <c r="L576" s="52"/>
      <c r="M576" s="52"/>
      <c r="N576" s="104">
        <f t="shared" si="141"/>
        <v>0</v>
      </c>
      <c r="O576" s="52">
        <v>20</v>
      </c>
      <c r="P576" s="52"/>
      <c r="Q576" s="52">
        <v>20</v>
      </c>
      <c r="R576" s="104">
        <f t="shared" si="140"/>
        <v>40</v>
      </c>
      <c r="S576" s="86">
        <f t="shared" si="142"/>
        <v>64</v>
      </c>
      <c r="AB576" s="88">
        <v>39.270000000000003</v>
      </c>
      <c r="AC576" s="88">
        <v>52.462499999999999</v>
      </c>
      <c r="AD576" s="88">
        <v>72.64</v>
      </c>
      <c r="AE576" s="89">
        <f t="shared" si="143"/>
        <v>5591.4400000000005</v>
      </c>
      <c r="AF576" s="90">
        <v>6.5000000000000002E-2</v>
      </c>
      <c r="AG576" s="4">
        <f t="shared" si="144"/>
        <v>363.44360000000006</v>
      </c>
      <c r="AH576" s="49">
        <f t="shared" si="145"/>
        <v>32.986800000000002</v>
      </c>
      <c r="AI576" s="89">
        <f t="shared" si="146"/>
        <v>5227.9964</v>
      </c>
      <c r="AJ576" s="91">
        <v>0.18</v>
      </c>
      <c r="AK576" s="5">
        <f t="shared" si="147"/>
        <v>941.03935200000001</v>
      </c>
      <c r="AL576" s="89">
        <f t="shared" si="148"/>
        <v>6169.0357519999998</v>
      </c>
      <c r="AP576" s="7"/>
    </row>
    <row r="577" spans="1:42" hidden="1" x14ac:dyDescent="0.35">
      <c r="A577" s="85">
        <v>46220</v>
      </c>
      <c r="B577" s="51" t="s">
        <v>85</v>
      </c>
      <c r="C577" s="97">
        <v>61123995.678571403</v>
      </c>
      <c r="D577" s="97">
        <v>87119.5</v>
      </c>
      <c r="E577" s="48" t="s">
        <v>86</v>
      </c>
      <c r="F577" s="94" t="s">
        <v>108</v>
      </c>
      <c r="G577" s="94" t="s">
        <v>546</v>
      </c>
      <c r="H577" s="94" t="s">
        <v>129</v>
      </c>
      <c r="I577" s="94" t="s">
        <v>558</v>
      </c>
      <c r="J577" s="52"/>
      <c r="K577" s="52"/>
      <c r="L577" s="52"/>
      <c r="M577" s="52"/>
      <c r="N577" s="104">
        <f t="shared" si="141"/>
        <v>0</v>
      </c>
      <c r="O577" s="52">
        <v>6</v>
      </c>
      <c r="P577" s="52"/>
      <c r="Q577" s="52">
        <v>12</v>
      </c>
      <c r="R577" s="104">
        <f t="shared" si="140"/>
        <v>18</v>
      </c>
      <c r="S577" s="86">
        <f t="shared" si="142"/>
        <v>18</v>
      </c>
      <c r="U577">
        <v>634</v>
      </c>
      <c r="AB577" s="88">
        <v>39.270000000000003</v>
      </c>
      <c r="AC577" s="88">
        <v>52.462499999999999</v>
      </c>
      <c r="AD577" s="88">
        <v>72.64</v>
      </c>
      <c r="AE577" s="89">
        <f t="shared" si="143"/>
        <v>1307.52</v>
      </c>
      <c r="AF577" s="90">
        <v>6.5000000000000002E-2</v>
      </c>
      <c r="AG577" s="4">
        <f t="shared" si="144"/>
        <v>84.988799999999998</v>
      </c>
      <c r="AH577" s="49">
        <f t="shared" si="145"/>
        <v>0</v>
      </c>
      <c r="AI577" s="89">
        <f t="shared" si="146"/>
        <v>1222.5311999999999</v>
      </c>
      <c r="AJ577" s="91">
        <v>0.18</v>
      </c>
      <c r="AK577" s="5">
        <f t="shared" si="147"/>
        <v>220.05561599999999</v>
      </c>
      <c r="AL577" s="89">
        <f t="shared" si="148"/>
        <v>1442.586816</v>
      </c>
      <c r="AP577" s="7"/>
    </row>
    <row r="578" spans="1:42" hidden="1" x14ac:dyDescent="0.35">
      <c r="A578" s="85">
        <v>46220</v>
      </c>
      <c r="B578" s="51" t="s">
        <v>85</v>
      </c>
      <c r="C578" s="97">
        <v>61123995.678571403</v>
      </c>
      <c r="D578" s="97">
        <v>87119.5</v>
      </c>
      <c r="E578" s="48" t="s">
        <v>86</v>
      </c>
      <c r="F578" s="94" t="s">
        <v>108</v>
      </c>
      <c r="G578" s="94" t="s">
        <v>131</v>
      </c>
      <c r="H578" s="94" t="s">
        <v>129</v>
      </c>
      <c r="I578" s="94" t="s">
        <v>558</v>
      </c>
      <c r="J578" s="52">
        <v>20</v>
      </c>
      <c r="K578" s="52">
        <v>20</v>
      </c>
      <c r="L578" s="52">
        <v>20</v>
      </c>
      <c r="M578" s="52"/>
      <c r="N578" s="104">
        <f t="shared" si="141"/>
        <v>40</v>
      </c>
      <c r="O578" s="52">
        <v>20</v>
      </c>
      <c r="P578" s="52"/>
      <c r="Q578" s="52">
        <v>20</v>
      </c>
      <c r="R578" s="104">
        <f t="shared" si="140"/>
        <v>40</v>
      </c>
      <c r="S578" s="86">
        <f t="shared" si="142"/>
        <v>100</v>
      </c>
      <c r="U578">
        <f>U577/40</f>
        <v>15.85</v>
      </c>
      <c r="AB578" s="88">
        <v>39.270000000000003</v>
      </c>
      <c r="AC578" s="88">
        <v>52.462499999999999</v>
      </c>
      <c r="AD578" s="88">
        <v>72.64</v>
      </c>
      <c r="AE578" s="89">
        <f t="shared" si="143"/>
        <v>10147.9</v>
      </c>
      <c r="AF578" s="90">
        <v>6.5000000000000002E-2</v>
      </c>
      <c r="AG578" s="4">
        <f t="shared" si="144"/>
        <v>659.61350000000004</v>
      </c>
      <c r="AH578" s="49">
        <f t="shared" si="145"/>
        <v>27.489000000000004</v>
      </c>
      <c r="AI578" s="89">
        <f t="shared" si="146"/>
        <v>9488.2865000000002</v>
      </c>
      <c r="AJ578" s="91">
        <v>0.18</v>
      </c>
      <c r="AK578" s="5">
        <f t="shared" si="147"/>
        <v>1707.89157</v>
      </c>
      <c r="AL578" s="89">
        <f t="shared" si="148"/>
        <v>11196.17807</v>
      </c>
      <c r="AP578" s="7"/>
    </row>
    <row r="579" spans="1:42" hidden="1" x14ac:dyDescent="0.35">
      <c r="A579" s="85">
        <v>46220</v>
      </c>
      <c r="B579" s="51" t="s">
        <v>85</v>
      </c>
      <c r="C579" s="97">
        <v>61123995.678571403</v>
      </c>
      <c r="D579" s="97">
        <v>87119.5</v>
      </c>
      <c r="E579" s="48" t="s">
        <v>86</v>
      </c>
      <c r="F579" s="94" t="s">
        <v>108</v>
      </c>
      <c r="G579" s="94" t="s">
        <v>547</v>
      </c>
      <c r="H579" s="94" t="s">
        <v>129</v>
      </c>
      <c r="I579" s="94" t="s">
        <v>558</v>
      </c>
      <c r="J579" s="52">
        <v>40</v>
      </c>
      <c r="K579" s="52"/>
      <c r="L579" s="52"/>
      <c r="M579" s="52"/>
      <c r="N579" s="104">
        <f t="shared" si="141"/>
        <v>0</v>
      </c>
      <c r="O579" s="52">
        <v>20</v>
      </c>
      <c r="P579" s="52"/>
      <c r="Q579" s="52">
        <v>20</v>
      </c>
      <c r="R579" s="104">
        <f t="shared" si="140"/>
        <v>40</v>
      </c>
      <c r="S579" s="86">
        <f t="shared" si="142"/>
        <v>80</v>
      </c>
      <c r="AB579" s="88">
        <v>39.270000000000003</v>
      </c>
      <c r="AC579" s="88">
        <v>52.462499999999999</v>
      </c>
      <c r="AD579" s="88">
        <v>72.64</v>
      </c>
      <c r="AE579" s="89">
        <f t="shared" si="143"/>
        <v>7382</v>
      </c>
      <c r="AF579" s="90">
        <v>6.5000000000000002E-2</v>
      </c>
      <c r="AG579" s="4">
        <f t="shared" si="144"/>
        <v>479.83000000000004</v>
      </c>
      <c r="AH579" s="49">
        <f t="shared" si="145"/>
        <v>54.978000000000009</v>
      </c>
      <c r="AI579" s="89">
        <f t="shared" si="146"/>
        <v>6902.17</v>
      </c>
      <c r="AJ579" s="91">
        <v>0.18</v>
      </c>
      <c r="AK579" s="5">
        <f t="shared" si="147"/>
        <v>1242.3905999999999</v>
      </c>
      <c r="AL579" s="89">
        <f t="shared" si="148"/>
        <v>8144.5605999999998</v>
      </c>
      <c r="AP579" s="7"/>
    </row>
    <row r="580" spans="1:42" hidden="1" x14ac:dyDescent="0.35">
      <c r="A580" s="85">
        <v>46220</v>
      </c>
      <c r="B580" s="51" t="s">
        <v>85</v>
      </c>
      <c r="C580" s="97">
        <v>61123995.678571403</v>
      </c>
      <c r="D580" s="97">
        <v>87119.5</v>
      </c>
      <c r="E580" s="48" t="s">
        <v>86</v>
      </c>
      <c r="F580" s="94" t="s">
        <v>108</v>
      </c>
      <c r="G580" s="94" t="s">
        <v>548</v>
      </c>
      <c r="H580" s="94" t="s">
        <v>129</v>
      </c>
      <c r="I580" s="94" t="s">
        <v>558</v>
      </c>
      <c r="J580" s="52">
        <v>10</v>
      </c>
      <c r="K580" s="52">
        <v>10</v>
      </c>
      <c r="L580" s="52">
        <v>10</v>
      </c>
      <c r="M580" s="52"/>
      <c r="N580" s="104">
        <f t="shared" si="141"/>
        <v>20</v>
      </c>
      <c r="O580" s="52">
        <v>10</v>
      </c>
      <c r="P580" s="52"/>
      <c r="Q580" s="52">
        <v>10</v>
      </c>
      <c r="R580" s="104">
        <f t="shared" ref="R580:R643" si="149">SUM(O580:Q580)</f>
        <v>20</v>
      </c>
      <c r="S580" s="86">
        <f t="shared" si="142"/>
        <v>50</v>
      </c>
      <c r="AB580" s="88">
        <v>39.270000000000003</v>
      </c>
      <c r="AC580" s="88">
        <v>52.462499999999999</v>
      </c>
      <c r="AD580" s="88">
        <v>72.64</v>
      </c>
      <c r="AE580" s="89">
        <f t="shared" si="143"/>
        <v>5073.95</v>
      </c>
      <c r="AF580" s="90">
        <v>6.5000000000000002E-2</v>
      </c>
      <c r="AG580" s="4">
        <f t="shared" si="144"/>
        <v>329.80675000000002</v>
      </c>
      <c r="AH580" s="49">
        <f t="shared" si="145"/>
        <v>13.744500000000002</v>
      </c>
      <c r="AI580" s="89">
        <f t="shared" si="146"/>
        <v>4744.1432500000001</v>
      </c>
      <c r="AJ580" s="91">
        <v>0.18</v>
      </c>
      <c r="AK580" s="5">
        <f t="shared" si="147"/>
        <v>853.945785</v>
      </c>
      <c r="AL580" s="89">
        <f t="shared" si="148"/>
        <v>5598.089035</v>
      </c>
      <c r="AP580" s="7"/>
    </row>
    <row r="581" spans="1:42" hidden="1" x14ac:dyDescent="0.35">
      <c r="A581" s="85">
        <v>46220</v>
      </c>
      <c r="B581" s="51" t="s">
        <v>85</v>
      </c>
      <c r="C581" s="97">
        <v>61123995.678571403</v>
      </c>
      <c r="D581" s="97">
        <v>87119.5</v>
      </c>
      <c r="E581" s="48" t="s">
        <v>86</v>
      </c>
      <c r="F581" s="94" t="s">
        <v>108</v>
      </c>
      <c r="G581" s="94" t="s">
        <v>549</v>
      </c>
      <c r="H581" s="94" t="s">
        <v>129</v>
      </c>
      <c r="I581" s="94" t="s">
        <v>558</v>
      </c>
      <c r="J581" s="52">
        <v>40</v>
      </c>
      <c r="K581" s="52">
        <v>40</v>
      </c>
      <c r="L581" s="52">
        <v>40</v>
      </c>
      <c r="M581" s="52"/>
      <c r="N581" s="104">
        <f t="shared" ref="N581:N644" si="150">K581+L581+M581</f>
        <v>80</v>
      </c>
      <c r="O581" s="52">
        <v>40</v>
      </c>
      <c r="P581" s="52"/>
      <c r="Q581" s="52">
        <v>40</v>
      </c>
      <c r="R581" s="104">
        <f t="shared" si="149"/>
        <v>80</v>
      </c>
      <c r="S581" s="86">
        <f t="shared" ref="S581:S644" si="151">R581+N581+J581</f>
        <v>200</v>
      </c>
      <c r="AB581" s="88">
        <v>39.270000000000003</v>
      </c>
      <c r="AC581" s="88">
        <v>52.462499999999999</v>
      </c>
      <c r="AD581" s="88">
        <v>72.64</v>
      </c>
      <c r="AE581" s="89">
        <f t="shared" si="143"/>
        <v>20295.8</v>
      </c>
      <c r="AF581" s="90">
        <v>6.5000000000000002E-2</v>
      </c>
      <c r="AG581" s="4">
        <f t="shared" si="144"/>
        <v>1319.2270000000001</v>
      </c>
      <c r="AH581" s="49">
        <f t="shared" si="145"/>
        <v>54.978000000000009</v>
      </c>
      <c r="AI581" s="89">
        <f t="shared" si="146"/>
        <v>18976.573</v>
      </c>
      <c r="AJ581" s="91">
        <v>0.18</v>
      </c>
      <c r="AK581" s="5">
        <f t="shared" si="147"/>
        <v>3415.78314</v>
      </c>
      <c r="AL581" s="89">
        <f t="shared" si="148"/>
        <v>22392.35614</v>
      </c>
      <c r="AP581" s="7"/>
    </row>
    <row r="582" spans="1:42" hidden="1" x14ac:dyDescent="0.35">
      <c r="A582" s="85">
        <v>46220</v>
      </c>
      <c r="B582" s="51" t="s">
        <v>85</v>
      </c>
      <c r="C582" s="97">
        <v>61123995.678571403</v>
      </c>
      <c r="D582" s="97">
        <v>87119.5</v>
      </c>
      <c r="E582" s="48" t="s">
        <v>86</v>
      </c>
      <c r="F582" s="94" t="s">
        <v>108</v>
      </c>
      <c r="G582" s="94" t="s">
        <v>550</v>
      </c>
      <c r="H582" s="94" t="s">
        <v>129</v>
      </c>
      <c r="I582" s="94" t="s">
        <v>558</v>
      </c>
      <c r="J582" s="52"/>
      <c r="K582" s="52"/>
      <c r="L582" s="52"/>
      <c r="M582" s="52"/>
      <c r="N582" s="104">
        <f t="shared" si="150"/>
        <v>0</v>
      </c>
      <c r="O582" s="52"/>
      <c r="P582" s="52"/>
      <c r="Q582" s="52">
        <v>6</v>
      </c>
      <c r="R582" s="104">
        <f t="shared" si="149"/>
        <v>6</v>
      </c>
      <c r="S582" s="86">
        <f t="shared" si="151"/>
        <v>6</v>
      </c>
      <c r="AB582" s="88">
        <v>39.270000000000003</v>
      </c>
      <c r="AC582" s="88">
        <v>52.462499999999999</v>
      </c>
      <c r="AD582" s="88">
        <v>72.64</v>
      </c>
      <c r="AE582" s="89">
        <f t="shared" si="143"/>
        <v>435.84000000000003</v>
      </c>
      <c r="AF582" s="90">
        <v>6.5000000000000002E-2</v>
      </c>
      <c r="AG582" s="4">
        <f t="shared" si="144"/>
        <v>28.329600000000003</v>
      </c>
      <c r="AH582" s="49">
        <f t="shared" si="145"/>
        <v>0</v>
      </c>
      <c r="AI582" s="89">
        <f t="shared" si="146"/>
        <v>407.5104</v>
      </c>
      <c r="AJ582" s="91">
        <v>0.18</v>
      </c>
      <c r="AK582" s="5">
        <f t="shared" si="147"/>
        <v>73.351872</v>
      </c>
      <c r="AL582" s="89">
        <f t="shared" si="148"/>
        <v>480.86227200000002</v>
      </c>
      <c r="AP582" s="7"/>
    </row>
    <row r="583" spans="1:42" hidden="1" x14ac:dyDescent="0.35">
      <c r="A583" s="85">
        <v>46220</v>
      </c>
      <c r="B583" s="51" t="s">
        <v>85</v>
      </c>
      <c r="C583" s="97">
        <v>61123995.678571403</v>
      </c>
      <c r="D583" s="97">
        <v>87119.5</v>
      </c>
      <c r="E583" s="48" t="s">
        <v>86</v>
      </c>
      <c r="F583" s="94" t="s">
        <v>108</v>
      </c>
      <c r="G583" s="94" t="s">
        <v>131</v>
      </c>
      <c r="H583" s="94" t="s">
        <v>129</v>
      </c>
      <c r="I583" s="94" t="s">
        <v>558</v>
      </c>
      <c r="J583" s="52"/>
      <c r="K583" s="52"/>
      <c r="L583" s="52"/>
      <c r="M583" s="52"/>
      <c r="N583" s="104">
        <f t="shared" si="150"/>
        <v>0</v>
      </c>
      <c r="O583" s="52"/>
      <c r="P583" s="52"/>
      <c r="Q583" s="52">
        <v>6</v>
      </c>
      <c r="R583" s="104">
        <f t="shared" si="149"/>
        <v>6</v>
      </c>
      <c r="S583" s="86">
        <f t="shared" si="151"/>
        <v>6</v>
      </c>
      <c r="AB583" s="88">
        <v>39.270000000000003</v>
      </c>
      <c r="AC583" s="88">
        <v>52.462499999999999</v>
      </c>
      <c r="AD583" s="88">
        <v>72.64</v>
      </c>
      <c r="AE583" s="89">
        <f t="shared" si="143"/>
        <v>435.84000000000003</v>
      </c>
      <c r="AF583" s="90">
        <v>6.5000000000000002E-2</v>
      </c>
      <c r="AG583" s="4">
        <f t="shared" si="144"/>
        <v>28.329600000000003</v>
      </c>
      <c r="AH583" s="49">
        <f t="shared" si="145"/>
        <v>0</v>
      </c>
      <c r="AI583" s="89">
        <f t="shared" si="146"/>
        <v>407.5104</v>
      </c>
      <c r="AJ583" s="91">
        <v>0.18</v>
      </c>
      <c r="AK583" s="5">
        <f t="shared" si="147"/>
        <v>73.351872</v>
      </c>
      <c r="AL583" s="89">
        <f t="shared" si="148"/>
        <v>480.86227200000002</v>
      </c>
      <c r="AP583" s="7"/>
    </row>
    <row r="584" spans="1:42" hidden="1" x14ac:dyDescent="0.35">
      <c r="A584" s="85">
        <v>46220</v>
      </c>
      <c r="B584" s="51" t="s">
        <v>85</v>
      </c>
      <c r="C584" s="97">
        <v>61123995.678571403</v>
      </c>
      <c r="D584" s="97">
        <v>87119.5</v>
      </c>
      <c r="E584" s="48" t="s">
        <v>86</v>
      </c>
      <c r="F584" s="94" t="s">
        <v>108</v>
      </c>
      <c r="G584" s="94" t="s">
        <v>551</v>
      </c>
      <c r="H584" s="94" t="s">
        <v>129</v>
      </c>
      <c r="I584" s="94" t="s">
        <v>558</v>
      </c>
      <c r="J584" s="52"/>
      <c r="K584" s="52"/>
      <c r="L584" s="52"/>
      <c r="M584" s="52"/>
      <c r="N584" s="104">
        <f t="shared" si="150"/>
        <v>0</v>
      </c>
      <c r="O584" s="52"/>
      <c r="P584" s="52"/>
      <c r="Q584" s="52">
        <v>6</v>
      </c>
      <c r="R584" s="104">
        <f t="shared" si="149"/>
        <v>6</v>
      </c>
      <c r="S584" s="86">
        <f t="shared" si="151"/>
        <v>6</v>
      </c>
      <c r="AB584" s="88">
        <v>39.270000000000003</v>
      </c>
      <c r="AC584" s="88">
        <v>52.462499999999999</v>
      </c>
      <c r="AD584" s="88">
        <v>72.64</v>
      </c>
      <c r="AE584" s="89">
        <f t="shared" si="143"/>
        <v>435.84000000000003</v>
      </c>
      <c r="AF584" s="90">
        <v>6.5000000000000002E-2</v>
      </c>
      <c r="AG584" s="4">
        <f t="shared" si="144"/>
        <v>28.329600000000003</v>
      </c>
      <c r="AH584" s="49">
        <f t="shared" si="145"/>
        <v>0</v>
      </c>
      <c r="AI584" s="89">
        <f t="shared" si="146"/>
        <v>407.5104</v>
      </c>
      <c r="AJ584" s="91">
        <v>0.18</v>
      </c>
      <c r="AK584" s="5">
        <f t="shared" si="147"/>
        <v>73.351872</v>
      </c>
      <c r="AL584" s="89">
        <f t="shared" si="148"/>
        <v>480.86227200000002</v>
      </c>
      <c r="AP584" s="7"/>
    </row>
    <row r="585" spans="1:42" hidden="1" x14ac:dyDescent="0.35">
      <c r="A585" s="85">
        <v>46220</v>
      </c>
      <c r="B585" s="51" t="s">
        <v>85</v>
      </c>
      <c r="C585" s="97">
        <v>61123995.678571403</v>
      </c>
      <c r="D585" s="97">
        <v>87119.5</v>
      </c>
      <c r="E585" s="48" t="s">
        <v>86</v>
      </c>
      <c r="F585" s="94" t="s">
        <v>108</v>
      </c>
      <c r="G585" s="94" t="s">
        <v>552</v>
      </c>
      <c r="H585" s="94" t="s">
        <v>129</v>
      </c>
      <c r="I585" s="94" t="s">
        <v>558</v>
      </c>
      <c r="J585" s="52"/>
      <c r="K585" s="52"/>
      <c r="L585" s="52"/>
      <c r="M585" s="52"/>
      <c r="N585" s="104">
        <f t="shared" si="150"/>
        <v>0</v>
      </c>
      <c r="O585" s="52">
        <v>6</v>
      </c>
      <c r="P585" s="52"/>
      <c r="Q585" s="52"/>
      <c r="R585" s="104">
        <f t="shared" si="149"/>
        <v>6</v>
      </c>
      <c r="S585" s="86">
        <f t="shared" si="151"/>
        <v>6</v>
      </c>
      <c r="AB585" s="88">
        <v>39.270000000000003</v>
      </c>
      <c r="AC585" s="88">
        <v>52.462499999999999</v>
      </c>
      <c r="AD585" s="88">
        <v>72.64</v>
      </c>
      <c r="AE585" s="89">
        <f t="shared" si="143"/>
        <v>435.84000000000003</v>
      </c>
      <c r="AF585" s="90">
        <v>6.5000000000000002E-2</v>
      </c>
      <c r="AG585" s="4">
        <f t="shared" si="144"/>
        <v>28.329600000000003</v>
      </c>
      <c r="AH585" s="49">
        <f t="shared" si="145"/>
        <v>0</v>
      </c>
      <c r="AI585" s="89">
        <f t="shared" si="146"/>
        <v>407.5104</v>
      </c>
      <c r="AJ585" s="91">
        <v>0.18</v>
      </c>
      <c r="AK585" s="5">
        <f t="shared" si="147"/>
        <v>73.351872</v>
      </c>
      <c r="AL585" s="89">
        <f t="shared" si="148"/>
        <v>480.86227200000002</v>
      </c>
      <c r="AP585" s="7"/>
    </row>
    <row r="586" spans="1:42" hidden="1" x14ac:dyDescent="0.35">
      <c r="A586" s="85">
        <v>46220</v>
      </c>
      <c r="B586" s="51" t="s">
        <v>85</v>
      </c>
      <c r="C586" s="97">
        <v>61123995.678571403</v>
      </c>
      <c r="D586" s="97">
        <v>87119.5</v>
      </c>
      <c r="E586" s="48" t="s">
        <v>86</v>
      </c>
      <c r="F586" s="94" t="s">
        <v>108</v>
      </c>
      <c r="G586" s="94" t="s">
        <v>376</v>
      </c>
      <c r="H586" s="94" t="s">
        <v>129</v>
      </c>
      <c r="I586" s="94" t="s">
        <v>558</v>
      </c>
      <c r="J586" s="52">
        <v>6</v>
      </c>
      <c r="K586" s="52"/>
      <c r="L586" s="52"/>
      <c r="M586" s="52"/>
      <c r="N586" s="104">
        <f t="shared" si="150"/>
        <v>0</v>
      </c>
      <c r="O586" s="52"/>
      <c r="P586" s="52"/>
      <c r="Q586" s="52"/>
      <c r="R586" s="104">
        <f t="shared" si="149"/>
        <v>0</v>
      </c>
      <c r="S586" s="86">
        <f t="shared" si="151"/>
        <v>6</v>
      </c>
      <c r="AB586" s="88">
        <v>39.270000000000003</v>
      </c>
      <c r="AC586" s="88">
        <v>52.462499999999999</v>
      </c>
      <c r="AD586" s="88">
        <v>72.64</v>
      </c>
      <c r="AE586" s="89">
        <f t="shared" si="143"/>
        <v>671.46</v>
      </c>
      <c r="AF586" s="90">
        <v>6.5000000000000002E-2</v>
      </c>
      <c r="AG586" s="4">
        <f t="shared" si="144"/>
        <v>43.644900000000007</v>
      </c>
      <c r="AH586" s="49">
        <f t="shared" si="145"/>
        <v>8.2467000000000006</v>
      </c>
      <c r="AI586" s="89">
        <f t="shared" si="146"/>
        <v>627.81510000000003</v>
      </c>
      <c r="AJ586" s="91">
        <v>0.18</v>
      </c>
      <c r="AK586" s="5">
        <f t="shared" si="147"/>
        <v>113.00671800000001</v>
      </c>
      <c r="AL586" s="89">
        <f t="shared" si="148"/>
        <v>740.82181800000001</v>
      </c>
      <c r="AP586" s="7"/>
    </row>
    <row r="587" spans="1:42" hidden="1" x14ac:dyDescent="0.35">
      <c r="A587" s="85">
        <v>46220</v>
      </c>
      <c r="B587" s="51" t="s">
        <v>85</v>
      </c>
      <c r="C587" s="97">
        <v>61123995.678571403</v>
      </c>
      <c r="D587" s="97">
        <v>87119.5</v>
      </c>
      <c r="E587" s="48" t="s">
        <v>86</v>
      </c>
      <c r="F587" s="94" t="s">
        <v>108</v>
      </c>
      <c r="G587" s="94" t="s">
        <v>553</v>
      </c>
      <c r="H587" s="94" t="s">
        <v>129</v>
      </c>
      <c r="I587" s="94" t="s">
        <v>558</v>
      </c>
      <c r="J587" s="52">
        <v>6</v>
      </c>
      <c r="K587" s="52"/>
      <c r="L587" s="52"/>
      <c r="M587" s="52"/>
      <c r="N587" s="104">
        <f t="shared" si="150"/>
        <v>0</v>
      </c>
      <c r="O587" s="52"/>
      <c r="P587" s="52"/>
      <c r="Q587" s="52"/>
      <c r="R587" s="104">
        <f t="shared" si="149"/>
        <v>0</v>
      </c>
      <c r="S587" s="86">
        <f t="shared" si="151"/>
        <v>6</v>
      </c>
      <c r="AB587" s="88">
        <v>39.270000000000003</v>
      </c>
      <c r="AC587" s="88">
        <v>52.462499999999999</v>
      </c>
      <c r="AD587" s="88">
        <v>72.64</v>
      </c>
      <c r="AE587" s="89">
        <f t="shared" si="143"/>
        <v>671.46</v>
      </c>
      <c r="AF587" s="90">
        <v>6.5000000000000002E-2</v>
      </c>
      <c r="AG587" s="4">
        <f t="shared" si="144"/>
        <v>43.644900000000007</v>
      </c>
      <c r="AH587" s="49">
        <f t="shared" si="145"/>
        <v>8.2467000000000006</v>
      </c>
      <c r="AI587" s="89">
        <f t="shared" si="146"/>
        <v>627.81510000000003</v>
      </c>
      <c r="AJ587" s="91">
        <v>0.18</v>
      </c>
      <c r="AK587" s="5">
        <f t="shared" si="147"/>
        <v>113.00671800000001</v>
      </c>
      <c r="AL587" s="89">
        <f t="shared" si="148"/>
        <v>740.82181800000001</v>
      </c>
      <c r="AP587" s="7"/>
    </row>
    <row r="588" spans="1:42" hidden="1" x14ac:dyDescent="0.35">
      <c r="A588" s="85">
        <v>46220</v>
      </c>
      <c r="B588" s="51" t="s">
        <v>85</v>
      </c>
      <c r="C588" s="97">
        <v>61123995.678571403</v>
      </c>
      <c r="D588" s="97">
        <v>87119.5</v>
      </c>
      <c r="E588" s="48" t="s">
        <v>86</v>
      </c>
      <c r="F588" s="94" t="s">
        <v>108</v>
      </c>
      <c r="G588" s="94" t="s">
        <v>554</v>
      </c>
      <c r="H588" s="94" t="s">
        <v>129</v>
      </c>
      <c r="I588" s="94" t="s">
        <v>558</v>
      </c>
      <c r="J588" s="52">
        <v>10</v>
      </c>
      <c r="K588" s="52"/>
      <c r="L588" s="52"/>
      <c r="M588" s="52"/>
      <c r="N588" s="104">
        <f t="shared" si="150"/>
        <v>0</v>
      </c>
      <c r="O588" s="52"/>
      <c r="P588" s="52"/>
      <c r="Q588" s="52"/>
      <c r="R588" s="104">
        <f t="shared" si="149"/>
        <v>0</v>
      </c>
      <c r="S588" s="86">
        <f t="shared" si="151"/>
        <v>10</v>
      </c>
      <c r="AB588" s="111"/>
      <c r="AC588" s="111"/>
      <c r="AD588" s="111"/>
      <c r="AE588" s="112"/>
      <c r="AF588" s="113"/>
      <c r="AG588" s="49"/>
      <c r="AH588" s="49"/>
      <c r="AI588" s="112"/>
      <c r="AJ588" s="91"/>
      <c r="AK588" s="114"/>
      <c r="AL588" s="112"/>
      <c r="AP588" s="7"/>
    </row>
    <row r="589" spans="1:42" hidden="1" x14ac:dyDescent="0.35">
      <c r="A589" s="85">
        <v>46220</v>
      </c>
      <c r="B589" s="51" t="s">
        <v>85</v>
      </c>
      <c r="C589" s="97">
        <v>61123995.678571403</v>
      </c>
      <c r="D589" s="97">
        <v>87119.5</v>
      </c>
      <c r="E589" s="48" t="s">
        <v>86</v>
      </c>
      <c r="F589" s="94" t="s">
        <v>108</v>
      </c>
      <c r="G589" s="94" t="s">
        <v>322</v>
      </c>
      <c r="H589" s="94" t="s">
        <v>129</v>
      </c>
      <c r="I589" s="94" t="s">
        <v>558</v>
      </c>
      <c r="J589" s="52">
        <v>10</v>
      </c>
      <c r="K589" s="52"/>
      <c r="L589" s="52"/>
      <c r="M589" s="52"/>
      <c r="N589" s="104">
        <f t="shared" si="150"/>
        <v>0</v>
      </c>
      <c r="O589" s="52"/>
      <c r="P589" s="52"/>
      <c r="Q589" s="52"/>
      <c r="R589" s="104">
        <f t="shared" si="149"/>
        <v>0</v>
      </c>
      <c r="S589" s="86">
        <f t="shared" si="151"/>
        <v>10</v>
      </c>
      <c r="AB589" s="111"/>
      <c r="AC589" s="111"/>
      <c r="AD589" s="111"/>
      <c r="AE589" s="112"/>
      <c r="AF589" s="113"/>
      <c r="AG589" s="49"/>
      <c r="AH589" s="49"/>
      <c r="AI589" s="112"/>
      <c r="AJ589" s="91"/>
      <c r="AK589" s="114"/>
      <c r="AL589" s="112"/>
      <c r="AP589" s="7"/>
    </row>
    <row r="590" spans="1:42" hidden="1" x14ac:dyDescent="0.35">
      <c r="A590" s="85">
        <v>46220</v>
      </c>
      <c r="B590" s="51" t="s">
        <v>85</v>
      </c>
      <c r="C590" s="97">
        <v>61123995.678571403</v>
      </c>
      <c r="D590" s="97">
        <v>87119.5</v>
      </c>
      <c r="E590" s="48" t="s">
        <v>86</v>
      </c>
      <c r="F590" s="94" t="s">
        <v>108</v>
      </c>
      <c r="G590" s="94" t="s">
        <v>555</v>
      </c>
      <c r="H590" s="94" t="s">
        <v>129</v>
      </c>
      <c r="I590" s="94" t="s">
        <v>558</v>
      </c>
      <c r="J590" s="52">
        <v>10</v>
      </c>
      <c r="K590" s="52"/>
      <c r="L590" s="52"/>
      <c r="M590" s="52"/>
      <c r="N590" s="104">
        <f t="shared" si="150"/>
        <v>0</v>
      </c>
      <c r="O590" s="52"/>
      <c r="P590" s="52"/>
      <c r="Q590" s="52"/>
      <c r="R590" s="104">
        <f t="shared" si="149"/>
        <v>0</v>
      </c>
      <c r="S590" s="86">
        <f t="shared" si="151"/>
        <v>10</v>
      </c>
      <c r="AB590" s="111"/>
      <c r="AC590" s="111"/>
      <c r="AD590" s="111"/>
      <c r="AE590" s="112"/>
      <c r="AF590" s="113"/>
      <c r="AG590" s="49"/>
      <c r="AH590" s="49"/>
      <c r="AI590" s="112"/>
      <c r="AJ590" s="91"/>
      <c r="AK590" s="114"/>
      <c r="AL590" s="112"/>
      <c r="AP590" s="7"/>
    </row>
    <row r="591" spans="1:42" hidden="1" x14ac:dyDescent="0.35">
      <c r="A591" s="85">
        <v>46220</v>
      </c>
      <c r="B591" s="51" t="s">
        <v>85</v>
      </c>
      <c r="C591" s="97">
        <v>61123995.678571403</v>
      </c>
      <c r="D591" s="97">
        <v>87119.5</v>
      </c>
      <c r="E591" s="48" t="s">
        <v>86</v>
      </c>
      <c r="F591" s="94" t="s">
        <v>108</v>
      </c>
      <c r="G591" s="94" t="s">
        <v>103</v>
      </c>
      <c r="H591" s="94" t="s">
        <v>129</v>
      </c>
      <c r="I591" s="94" t="s">
        <v>558</v>
      </c>
      <c r="J591" s="52">
        <v>10</v>
      </c>
      <c r="K591" s="52"/>
      <c r="L591" s="52"/>
      <c r="M591" s="52"/>
      <c r="N591" s="104">
        <f t="shared" si="150"/>
        <v>0</v>
      </c>
      <c r="O591" s="52"/>
      <c r="P591" s="52"/>
      <c r="Q591" s="52"/>
      <c r="R591" s="104">
        <f t="shared" si="149"/>
        <v>0</v>
      </c>
      <c r="S591" s="86">
        <f t="shared" si="151"/>
        <v>10</v>
      </c>
      <c r="AB591" s="111"/>
      <c r="AC591" s="111"/>
      <c r="AD591" s="111"/>
      <c r="AE591" s="112"/>
      <c r="AF591" s="113"/>
      <c r="AG591" s="49"/>
      <c r="AH591" s="49"/>
      <c r="AI591" s="112"/>
      <c r="AJ591" s="91"/>
      <c r="AK591" s="114"/>
      <c r="AL591" s="112"/>
      <c r="AP591" s="7"/>
    </row>
    <row r="592" spans="1:42" hidden="1" x14ac:dyDescent="0.35">
      <c r="A592" s="85">
        <v>46220</v>
      </c>
      <c r="B592" s="51" t="s">
        <v>85</v>
      </c>
      <c r="C592" s="97">
        <v>61123995.678571403</v>
      </c>
      <c r="D592" s="97">
        <v>87119.5</v>
      </c>
      <c r="E592" s="48" t="s">
        <v>86</v>
      </c>
      <c r="F592" s="94" t="s">
        <v>108</v>
      </c>
      <c r="G592" s="94" t="s">
        <v>556</v>
      </c>
      <c r="H592" s="94" t="s">
        <v>129</v>
      </c>
      <c r="I592" s="94" t="s">
        <v>558</v>
      </c>
      <c r="J592" s="52">
        <v>20</v>
      </c>
      <c r="K592" s="52">
        <v>20</v>
      </c>
      <c r="L592" s="52">
        <v>20</v>
      </c>
      <c r="M592" s="52"/>
      <c r="N592" s="104">
        <f t="shared" si="150"/>
        <v>40</v>
      </c>
      <c r="O592" s="52">
        <v>20</v>
      </c>
      <c r="P592" s="52"/>
      <c r="Q592" s="52">
        <v>20</v>
      </c>
      <c r="R592" s="104">
        <f t="shared" si="149"/>
        <v>40</v>
      </c>
      <c r="S592" s="86">
        <f t="shared" si="151"/>
        <v>100</v>
      </c>
      <c r="AB592" s="111"/>
      <c r="AC592" s="111"/>
      <c r="AD592" s="111"/>
      <c r="AE592" s="112"/>
      <c r="AF592" s="113"/>
      <c r="AG592" s="49"/>
      <c r="AH592" s="49"/>
      <c r="AI592" s="112"/>
      <c r="AJ592" s="91"/>
      <c r="AK592" s="114"/>
      <c r="AL592" s="112"/>
      <c r="AP592" s="7"/>
    </row>
    <row r="593" spans="1:42" hidden="1" x14ac:dyDescent="0.35">
      <c r="A593" s="85">
        <v>46220</v>
      </c>
      <c r="B593" s="51" t="s">
        <v>85</v>
      </c>
      <c r="C593" s="97">
        <v>61123995.678571403</v>
      </c>
      <c r="D593" s="97">
        <v>87119.5</v>
      </c>
      <c r="E593" s="48" t="s">
        <v>86</v>
      </c>
      <c r="F593" s="94" t="s">
        <v>108</v>
      </c>
      <c r="G593" s="94" t="s">
        <v>557</v>
      </c>
      <c r="H593" s="94" t="s">
        <v>129</v>
      </c>
      <c r="I593" s="94" t="s">
        <v>558</v>
      </c>
      <c r="J593" s="52">
        <v>6</v>
      </c>
      <c r="K593" s="52"/>
      <c r="L593" s="52"/>
      <c r="M593" s="52"/>
      <c r="N593" s="104">
        <f t="shared" si="150"/>
        <v>0</v>
      </c>
      <c r="O593" s="52"/>
      <c r="P593" s="52"/>
      <c r="Q593" s="52"/>
      <c r="R593" s="104">
        <f t="shared" si="149"/>
        <v>0</v>
      </c>
      <c r="S593" s="86">
        <f t="shared" si="151"/>
        <v>6</v>
      </c>
      <c r="AB593" s="111"/>
      <c r="AC593" s="111"/>
      <c r="AD593" s="111"/>
      <c r="AE593" s="112"/>
      <c r="AF593" s="113"/>
      <c r="AG593" s="49"/>
      <c r="AH593" s="49"/>
      <c r="AI593" s="112"/>
      <c r="AJ593" s="91"/>
      <c r="AK593" s="114"/>
      <c r="AL593" s="112"/>
      <c r="AP593" s="7"/>
    </row>
    <row r="594" spans="1:42" x14ac:dyDescent="0.35">
      <c r="A594" s="85">
        <v>46221</v>
      </c>
      <c r="B594" s="51" t="s">
        <v>85</v>
      </c>
      <c r="C594" s="97">
        <v>61123995.678571403</v>
      </c>
      <c r="D594" s="97">
        <v>87119.5</v>
      </c>
      <c r="E594" s="48" t="s">
        <v>86</v>
      </c>
      <c r="F594" s="94" t="s">
        <v>87</v>
      </c>
      <c r="G594" s="94" t="s">
        <v>559</v>
      </c>
      <c r="H594" s="94" t="s">
        <v>89</v>
      </c>
      <c r="I594" s="94" t="s">
        <v>417</v>
      </c>
      <c r="J594" s="52"/>
      <c r="K594" s="52">
        <v>40</v>
      </c>
      <c r="L594" s="52">
        <v>40</v>
      </c>
      <c r="M594" s="52"/>
      <c r="N594" s="104">
        <f t="shared" si="150"/>
        <v>80</v>
      </c>
      <c r="O594" s="52">
        <v>40</v>
      </c>
      <c r="P594" s="52"/>
      <c r="Q594" s="52">
        <v>40</v>
      </c>
      <c r="R594" s="104">
        <f t="shared" si="149"/>
        <v>80</v>
      </c>
      <c r="S594" s="86">
        <f t="shared" si="151"/>
        <v>160</v>
      </c>
      <c r="AB594" s="111"/>
      <c r="AC594" s="111"/>
      <c r="AD594" s="111"/>
      <c r="AE594" s="112"/>
      <c r="AF594" s="113"/>
      <c r="AG594" s="49"/>
      <c r="AH594" s="49"/>
      <c r="AI594" s="112"/>
      <c r="AJ594" s="91"/>
      <c r="AK594" s="114"/>
      <c r="AL594" s="112"/>
      <c r="AP594" s="7"/>
    </row>
    <row r="595" spans="1:42" x14ac:dyDescent="0.35">
      <c r="A595" s="85">
        <v>46221</v>
      </c>
      <c r="B595" s="51" t="s">
        <v>85</v>
      </c>
      <c r="C595" s="97">
        <v>61123995.678571403</v>
      </c>
      <c r="D595" s="97">
        <v>87119.5</v>
      </c>
      <c r="E595" s="48" t="s">
        <v>86</v>
      </c>
      <c r="F595" s="94" t="s">
        <v>87</v>
      </c>
      <c r="G595" s="94" t="s">
        <v>241</v>
      </c>
      <c r="H595" s="94" t="s">
        <v>89</v>
      </c>
      <c r="I595" s="94" t="s">
        <v>248</v>
      </c>
      <c r="J595" s="52"/>
      <c r="K595" s="52">
        <v>80</v>
      </c>
      <c r="L595" s="52">
        <v>40</v>
      </c>
      <c r="M595" s="52"/>
      <c r="N595" s="104">
        <f t="shared" si="150"/>
        <v>120</v>
      </c>
      <c r="O595" s="52">
        <v>120</v>
      </c>
      <c r="P595" s="52"/>
      <c r="Q595" s="52">
        <v>120</v>
      </c>
      <c r="R595" s="104">
        <f t="shared" si="149"/>
        <v>240</v>
      </c>
      <c r="S595" s="86">
        <f t="shared" si="151"/>
        <v>360</v>
      </c>
      <c r="AB595" s="111"/>
      <c r="AC595" s="111"/>
      <c r="AD595" s="111"/>
      <c r="AE595" s="112"/>
      <c r="AF595" s="113"/>
      <c r="AG595" s="49"/>
      <c r="AH595" s="49"/>
      <c r="AI595" s="112"/>
      <c r="AJ595" s="91"/>
      <c r="AK595" s="114"/>
      <c r="AL595" s="112"/>
      <c r="AP595" s="7"/>
    </row>
    <row r="596" spans="1:42" x14ac:dyDescent="0.35">
      <c r="A596" s="85">
        <v>46221</v>
      </c>
      <c r="B596" s="51" t="s">
        <v>85</v>
      </c>
      <c r="C596" s="97">
        <v>61123995.678571403</v>
      </c>
      <c r="D596" s="97">
        <v>87119.5</v>
      </c>
      <c r="E596" s="48" t="s">
        <v>86</v>
      </c>
      <c r="F596" s="94" t="s">
        <v>87</v>
      </c>
      <c r="G596" s="94" t="s">
        <v>560</v>
      </c>
      <c r="H596" s="94" t="s">
        <v>89</v>
      </c>
      <c r="I596" s="94" t="s">
        <v>568</v>
      </c>
      <c r="J596" s="52"/>
      <c r="K596" s="52"/>
      <c r="L596" s="52">
        <v>40</v>
      </c>
      <c r="M596" s="52"/>
      <c r="N596" s="104">
        <f t="shared" si="150"/>
        <v>40</v>
      </c>
      <c r="O596" s="52">
        <v>80</v>
      </c>
      <c r="P596" s="52"/>
      <c r="Q596" s="52">
        <v>80</v>
      </c>
      <c r="R596" s="104">
        <f t="shared" si="149"/>
        <v>160</v>
      </c>
      <c r="S596" s="86">
        <f t="shared" si="151"/>
        <v>200</v>
      </c>
      <c r="AB596" s="111"/>
      <c r="AC596" s="111"/>
      <c r="AD596" s="111"/>
      <c r="AE596" s="112"/>
      <c r="AF596" s="113"/>
      <c r="AG596" s="49"/>
      <c r="AH596" s="49"/>
      <c r="AI596" s="112"/>
      <c r="AJ596" s="91"/>
      <c r="AK596" s="114"/>
      <c r="AL596" s="112"/>
      <c r="AP596" s="7"/>
    </row>
    <row r="597" spans="1:42" x14ac:dyDescent="0.35">
      <c r="A597" s="85">
        <v>46221</v>
      </c>
      <c r="B597" s="51" t="s">
        <v>85</v>
      </c>
      <c r="C597" s="97">
        <v>61123995.678571403</v>
      </c>
      <c r="D597" s="97">
        <v>87119.5</v>
      </c>
      <c r="E597" s="48" t="s">
        <v>86</v>
      </c>
      <c r="F597" s="94" t="s">
        <v>87</v>
      </c>
      <c r="G597" s="94" t="s">
        <v>561</v>
      </c>
      <c r="H597" s="94" t="s">
        <v>89</v>
      </c>
      <c r="I597" s="94" t="s">
        <v>565</v>
      </c>
      <c r="J597" s="52"/>
      <c r="K597" s="52">
        <v>80</v>
      </c>
      <c r="L597" s="52">
        <v>80</v>
      </c>
      <c r="M597" s="52"/>
      <c r="N597" s="104">
        <f t="shared" si="150"/>
        <v>160</v>
      </c>
      <c r="O597" s="52">
        <v>80</v>
      </c>
      <c r="P597" s="52"/>
      <c r="Q597" s="52">
        <v>80</v>
      </c>
      <c r="R597" s="104">
        <f t="shared" si="149"/>
        <v>160</v>
      </c>
      <c r="S597" s="86">
        <f t="shared" si="151"/>
        <v>320</v>
      </c>
      <c r="AB597" s="111"/>
      <c r="AC597" s="111"/>
      <c r="AD597" s="111"/>
      <c r="AE597" s="112"/>
      <c r="AF597" s="113"/>
      <c r="AG597" s="49"/>
      <c r="AH597" s="49"/>
      <c r="AI597" s="112"/>
      <c r="AJ597" s="91"/>
      <c r="AK597" s="114"/>
      <c r="AL597" s="112"/>
      <c r="AP597" s="7"/>
    </row>
    <row r="598" spans="1:42" x14ac:dyDescent="0.35">
      <c r="A598" s="85">
        <v>46221</v>
      </c>
      <c r="B598" s="51" t="s">
        <v>85</v>
      </c>
      <c r="C598" s="97">
        <v>61123995.678571403</v>
      </c>
      <c r="D598" s="97">
        <v>87119.5</v>
      </c>
      <c r="E598" s="48" t="s">
        <v>86</v>
      </c>
      <c r="F598" s="94" t="s">
        <v>87</v>
      </c>
      <c r="G598" s="94" t="s">
        <v>562</v>
      </c>
      <c r="H598" s="94" t="s">
        <v>89</v>
      </c>
      <c r="I598" s="94" t="s">
        <v>567</v>
      </c>
      <c r="J598" s="52"/>
      <c r="K598" s="52">
        <v>80</v>
      </c>
      <c r="L598" s="52">
        <v>80</v>
      </c>
      <c r="M598" s="52"/>
      <c r="N598" s="104">
        <f t="shared" si="150"/>
        <v>160</v>
      </c>
      <c r="O598" s="52">
        <v>80</v>
      </c>
      <c r="P598" s="52"/>
      <c r="Q598" s="52">
        <v>80</v>
      </c>
      <c r="R598" s="104">
        <f t="shared" si="149"/>
        <v>160</v>
      </c>
      <c r="S598" s="86">
        <f t="shared" si="151"/>
        <v>320</v>
      </c>
      <c r="AB598" s="111"/>
      <c r="AC598" s="111"/>
      <c r="AD598" s="111"/>
      <c r="AE598" s="112"/>
      <c r="AF598" s="113"/>
      <c r="AG598" s="49"/>
      <c r="AH598" s="49"/>
      <c r="AI598" s="112"/>
      <c r="AJ598" s="91"/>
      <c r="AK598" s="114"/>
      <c r="AL598" s="112"/>
      <c r="AP598" s="7"/>
    </row>
    <row r="599" spans="1:42" x14ac:dyDescent="0.35">
      <c r="A599" s="85">
        <v>46221</v>
      </c>
      <c r="B599" s="51" t="s">
        <v>85</v>
      </c>
      <c r="C599" s="97">
        <v>61123995.678571403</v>
      </c>
      <c r="D599" s="97">
        <v>87119.5</v>
      </c>
      <c r="E599" s="48" t="s">
        <v>86</v>
      </c>
      <c r="F599" s="94" t="s">
        <v>87</v>
      </c>
      <c r="G599" s="94" t="s">
        <v>563</v>
      </c>
      <c r="H599" s="94" t="s">
        <v>89</v>
      </c>
      <c r="I599" s="94" t="s">
        <v>565</v>
      </c>
      <c r="J599" s="52"/>
      <c r="K599" s="52">
        <v>200</v>
      </c>
      <c r="L599" s="52">
        <v>200</v>
      </c>
      <c r="M599" s="52"/>
      <c r="N599" s="104">
        <f t="shared" si="150"/>
        <v>400</v>
      </c>
      <c r="O599" s="52">
        <v>200</v>
      </c>
      <c r="P599" s="52"/>
      <c r="Q599" s="52">
        <v>200</v>
      </c>
      <c r="R599" s="104">
        <f t="shared" si="149"/>
        <v>400</v>
      </c>
      <c r="S599" s="86">
        <f t="shared" si="151"/>
        <v>800</v>
      </c>
      <c r="AB599" s="111"/>
      <c r="AC599" s="111"/>
      <c r="AD599" s="111"/>
      <c r="AE599" s="112"/>
      <c r="AF599" s="113"/>
      <c r="AG599" s="49"/>
      <c r="AH599" s="49"/>
      <c r="AI599" s="112"/>
      <c r="AJ599" s="91"/>
      <c r="AK599" s="114"/>
      <c r="AL599" s="112"/>
      <c r="AP599" s="7"/>
    </row>
    <row r="600" spans="1:42" x14ac:dyDescent="0.35">
      <c r="A600" s="85">
        <v>46221</v>
      </c>
      <c r="B600" s="51" t="s">
        <v>85</v>
      </c>
      <c r="C600" s="97">
        <v>61123995.678571403</v>
      </c>
      <c r="D600" s="97">
        <v>87119.5</v>
      </c>
      <c r="E600" s="48" t="s">
        <v>86</v>
      </c>
      <c r="F600" s="94" t="s">
        <v>87</v>
      </c>
      <c r="G600" s="94" t="s">
        <v>564</v>
      </c>
      <c r="H600" s="94" t="s">
        <v>89</v>
      </c>
      <c r="I600" s="94" t="s">
        <v>566</v>
      </c>
      <c r="J600" s="52"/>
      <c r="K600" s="52">
        <v>40</v>
      </c>
      <c r="L600" s="52">
        <v>40</v>
      </c>
      <c r="M600" s="52"/>
      <c r="N600" s="104">
        <f t="shared" si="150"/>
        <v>80</v>
      </c>
      <c r="O600" s="52">
        <v>40</v>
      </c>
      <c r="P600" s="52"/>
      <c r="Q600" s="52">
        <v>40</v>
      </c>
      <c r="R600" s="104">
        <f t="shared" si="149"/>
        <v>80</v>
      </c>
      <c r="S600" s="86">
        <f t="shared" si="151"/>
        <v>160</v>
      </c>
      <c r="AB600" s="111"/>
      <c r="AC600" s="111"/>
      <c r="AD600" s="111"/>
      <c r="AE600" s="112"/>
      <c r="AF600" s="113"/>
      <c r="AG600" s="49"/>
      <c r="AH600" s="49"/>
      <c r="AI600" s="112"/>
      <c r="AJ600" s="91"/>
      <c r="AK600" s="114"/>
      <c r="AL600" s="112"/>
      <c r="AP600" s="7"/>
    </row>
    <row r="601" spans="1:42" hidden="1" x14ac:dyDescent="0.35">
      <c r="A601" s="85">
        <v>46221</v>
      </c>
      <c r="B601" s="51" t="s">
        <v>85</v>
      </c>
      <c r="C601" s="97">
        <v>61123995.678571403</v>
      </c>
      <c r="D601" s="97">
        <v>87119.5</v>
      </c>
      <c r="E601" s="48" t="s">
        <v>86</v>
      </c>
      <c r="F601" s="94" t="s">
        <v>108</v>
      </c>
      <c r="G601" s="94" t="s">
        <v>169</v>
      </c>
      <c r="H601" s="94" t="s">
        <v>460</v>
      </c>
      <c r="I601" s="94" t="s">
        <v>572</v>
      </c>
      <c r="J601" s="52">
        <v>6</v>
      </c>
      <c r="K601" s="52">
        <v>6</v>
      </c>
      <c r="L601" s="52"/>
      <c r="M601" s="52"/>
      <c r="N601" s="104">
        <f t="shared" si="150"/>
        <v>6</v>
      </c>
      <c r="O601" s="52"/>
      <c r="P601" s="52"/>
      <c r="Q601" s="52"/>
      <c r="R601" s="104">
        <f t="shared" si="149"/>
        <v>0</v>
      </c>
      <c r="S601" s="86">
        <f t="shared" si="151"/>
        <v>12</v>
      </c>
      <c r="AB601" s="111"/>
      <c r="AC601" s="111"/>
      <c r="AD601" s="111"/>
      <c r="AE601" s="112"/>
      <c r="AF601" s="113"/>
      <c r="AG601" s="49"/>
      <c r="AH601" s="49"/>
      <c r="AI601" s="112"/>
      <c r="AJ601" s="91"/>
      <c r="AK601" s="114"/>
      <c r="AL601" s="112"/>
      <c r="AP601" s="7"/>
    </row>
    <row r="602" spans="1:42" hidden="1" x14ac:dyDescent="0.35">
      <c r="A602" s="85">
        <v>46221</v>
      </c>
      <c r="B602" s="51" t="s">
        <v>85</v>
      </c>
      <c r="C602" s="97">
        <v>61123995.678571403</v>
      </c>
      <c r="D602" s="97">
        <v>87119.5</v>
      </c>
      <c r="E602" s="48" t="s">
        <v>86</v>
      </c>
      <c r="F602" s="94" t="s">
        <v>108</v>
      </c>
      <c r="G602" s="94" t="s">
        <v>569</v>
      </c>
      <c r="H602" s="94" t="s">
        <v>460</v>
      </c>
      <c r="I602" s="94" t="s">
        <v>572</v>
      </c>
      <c r="J602" s="52">
        <v>6</v>
      </c>
      <c r="K602" s="52"/>
      <c r="L602" s="52"/>
      <c r="M602" s="52"/>
      <c r="N602" s="104">
        <f t="shared" si="150"/>
        <v>0</v>
      </c>
      <c r="O602" s="52">
        <v>6</v>
      </c>
      <c r="P602" s="52"/>
      <c r="Q602" s="52">
        <v>6</v>
      </c>
      <c r="R602" s="104">
        <f t="shared" si="149"/>
        <v>12</v>
      </c>
      <c r="S602" s="86">
        <f t="shared" si="151"/>
        <v>18</v>
      </c>
      <c r="AB602" s="111"/>
      <c r="AC602" s="111"/>
      <c r="AD602" s="111"/>
      <c r="AE602" s="112"/>
      <c r="AF602" s="113"/>
      <c r="AG602" s="49"/>
      <c r="AH602" s="49"/>
      <c r="AI602" s="112"/>
      <c r="AJ602" s="91"/>
      <c r="AK602" s="114"/>
      <c r="AL602" s="112"/>
      <c r="AP602" s="7"/>
    </row>
    <row r="603" spans="1:42" hidden="1" x14ac:dyDescent="0.35">
      <c r="A603" s="85">
        <v>46221</v>
      </c>
      <c r="B603" s="51" t="s">
        <v>85</v>
      </c>
      <c r="C603" s="97">
        <v>61123995.678571403</v>
      </c>
      <c r="D603" s="97">
        <v>87119.5</v>
      </c>
      <c r="E603" s="48" t="s">
        <v>86</v>
      </c>
      <c r="F603" s="94" t="s">
        <v>108</v>
      </c>
      <c r="G603" s="94" t="s">
        <v>570</v>
      </c>
      <c r="H603" s="94" t="s">
        <v>460</v>
      </c>
      <c r="I603" s="94" t="s">
        <v>572</v>
      </c>
      <c r="J603" s="52">
        <v>24</v>
      </c>
      <c r="K603" s="52"/>
      <c r="L603" s="52"/>
      <c r="M603" s="52"/>
      <c r="N603" s="104">
        <f t="shared" si="150"/>
        <v>0</v>
      </c>
      <c r="O603" s="52"/>
      <c r="P603" s="52"/>
      <c r="Q603" s="52"/>
      <c r="R603" s="104">
        <f t="shared" si="149"/>
        <v>0</v>
      </c>
      <c r="S603" s="86">
        <f t="shared" si="151"/>
        <v>24</v>
      </c>
      <c r="AB603" s="111"/>
      <c r="AC603" s="111"/>
      <c r="AD603" s="111"/>
      <c r="AE603" s="112"/>
      <c r="AF603" s="113"/>
      <c r="AG603" s="49"/>
      <c r="AH603" s="49"/>
      <c r="AI603" s="112"/>
      <c r="AJ603" s="91"/>
      <c r="AK603" s="114"/>
      <c r="AL603" s="112"/>
      <c r="AP603" s="7"/>
    </row>
    <row r="604" spans="1:42" hidden="1" x14ac:dyDescent="0.35">
      <c r="A604" s="85">
        <v>46221</v>
      </c>
      <c r="B604" s="51" t="s">
        <v>85</v>
      </c>
      <c r="C604" s="97">
        <v>61123995.678571403</v>
      </c>
      <c r="D604" s="97">
        <v>87119.5</v>
      </c>
      <c r="E604" s="48" t="s">
        <v>86</v>
      </c>
      <c r="F604" s="94" t="s">
        <v>108</v>
      </c>
      <c r="G604" s="94" t="s">
        <v>571</v>
      </c>
      <c r="H604" s="94" t="s">
        <v>460</v>
      </c>
      <c r="I604" s="94" t="s">
        <v>572</v>
      </c>
      <c r="J604" s="52">
        <v>40</v>
      </c>
      <c r="K604" s="52">
        <v>20</v>
      </c>
      <c r="L604" s="52">
        <v>20</v>
      </c>
      <c r="M604" s="52"/>
      <c r="N604" s="104">
        <f t="shared" si="150"/>
        <v>40</v>
      </c>
      <c r="O604" s="52">
        <v>20</v>
      </c>
      <c r="P604" s="52"/>
      <c r="Q604" s="52">
        <v>20</v>
      </c>
      <c r="R604" s="104">
        <f t="shared" si="149"/>
        <v>40</v>
      </c>
      <c r="S604" s="86">
        <f t="shared" si="151"/>
        <v>120</v>
      </c>
      <c r="AB604" s="111"/>
      <c r="AC604" s="111"/>
      <c r="AD604" s="111"/>
      <c r="AE604" s="112"/>
      <c r="AF604" s="113"/>
      <c r="AG604" s="49"/>
      <c r="AH604" s="49"/>
      <c r="AI604" s="112"/>
      <c r="AJ604" s="91"/>
      <c r="AK604" s="114"/>
      <c r="AL604" s="112"/>
      <c r="AP604" s="7"/>
    </row>
    <row r="605" spans="1:42" hidden="1" x14ac:dyDescent="0.35">
      <c r="A605" s="85">
        <v>46221</v>
      </c>
      <c r="B605" s="51" t="s">
        <v>85</v>
      </c>
      <c r="C605" s="97">
        <v>61123995.678571403</v>
      </c>
      <c r="D605" s="97">
        <v>87119.5</v>
      </c>
      <c r="E605" s="48" t="s">
        <v>86</v>
      </c>
      <c r="F605" s="94" t="s">
        <v>108</v>
      </c>
      <c r="G605" s="94" t="s">
        <v>252</v>
      </c>
      <c r="H605" s="94" t="s">
        <v>112</v>
      </c>
      <c r="I605" s="94" t="s">
        <v>576</v>
      </c>
      <c r="J605" s="52">
        <v>40</v>
      </c>
      <c r="K605" s="52"/>
      <c r="L605" s="52"/>
      <c r="M605" s="52"/>
      <c r="N605" s="104">
        <f t="shared" si="150"/>
        <v>0</v>
      </c>
      <c r="O605" s="52"/>
      <c r="P605" s="52"/>
      <c r="Q605" s="52"/>
      <c r="R605" s="104">
        <f t="shared" si="149"/>
        <v>0</v>
      </c>
      <c r="S605" s="86">
        <f t="shared" si="151"/>
        <v>40</v>
      </c>
      <c r="AB605" s="111"/>
      <c r="AC605" s="111"/>
      <c r="AD605" s="111"/>
      <c r="AE605" s="112"/>
      <c r="AF605" s="113"/>
      <c r="AG605" s="49"/>
      <c r="AH605" s="49"/>
      <c r="AI605" s="112"/>
      <c r="AJ605" s="91"/>
      <c r="AK605" s="114"/>
      <c r="AL605" s="112"/>
      <c r="AP605" s="7"/>
    </row>
    <row r="606" spans="1:42" hidden="1" x14ac:dyDescent="0.35">
      <c r="A606" s="85">
        <v>46221</v>
      </c>
      <c r="B606" s="51" t="s">
        <v>85</v>
      </c>
      <c r="C606" s="97">
        <v>61123995.678571403</v>
      </c>
      <c r="D606" s="97">
        <v>87119.5</v>
      </c>
      <c r="E606" s="48" t="s">
        <v>86</v>
      </c>
      <c r="F606" s="94" t="s">
        <v>108</v>
      </c>
      <c r="G606" s="94" t="s">
        <v>573</v>
      </c>
      <c r="H606" s="94" t="s">
        <v>112</v>
      </c>
      <c r="I606" s="94" t="s">
        <v>576</v>
      </c>
      <c r="J606" s="52">
        <v>80</v>
      </c>
      <c r="K606" s="52"/>
      <c r="L606" s="52"/>
      <c r="M606" s="52"/>
      <c r="N606" s="104">
        <f t="shared" si="150"/>
        <v>0</v>
      </c>
      <c r="O606" s="52">
        <v>40</v>
      </c>
      <c r="P606" s="52"/>
      <c r="Q606" s="52">
        <v>80</v>
      </c>
      <c r="R606" s="104">
        <f t="shared" si="149"/>
        <v>120</v>
      </c>
      <c r="S606" s="86">
        <f t="shared" si="151"/>
        <v>200</v>
      </c>
      <c r="AB606" s="111"/>
      <c r="AC606" s="111"/>
      <c r="AD606" s="111"/>
      <c r="AE606" s="112"/>
      <c r="AF606" s="113"/>
      <c r="AG606" s="49"/>
      <c r="AH606" s="49"/>
      <c r="AI606" s="112"/>
      <c r="AJ606" s="91"/>
      <c r="AK606" s="114"/>
      <c r="AL606" s="112"/>
      <c r="AP606" s="7"/>
    </row>
    <row r="607" spans="1:42" hidden="1" x14ac:dyDescent="0.35">
      <c r="A607" s="85">
        <v>46221</v>
      </c>
      <c r="B607" s="51" t="s">
        <v>85</v>
      </c>
      <c r="C607" s="97">
        <v>61123995.678571403</v>
      </c>
      <c r="D607" s="97">
        <v>87119.5</v>
      </c>
      <c r="E607" s="48" t="s">
        <v>86</v>
      </c>
      <c r="F607" s="94" t="s">
        <v>108</v>
      </c>
      <c r="G607" s="94" t="s">
        <v>574</v>
      </c>
      <c r="H607" s="94" t="s">
        <v>112</v>
      </c>
      <c r="I607" s="94" t="s">
        <v>576</v>
      </c>
      <c r="J607" s="52"/>
      <c r="K607" s="52">
        <v>10</v>
      </c>
      <c r="L607" s="52"/>
      <c r="M607" s="52"/>
      <c r="N607" s="104">
        <f t="shared" si="150"/>
        <v>10</v>
      </c>
      <c r="O607" s="52">
        <v>10</v>
      </c>
      <c r="P607" s="52"/>
      <c r="Q607" s="52"/>
      <c r="R607" s="104">
        <f t="shared" si="149"/>
        <v>10</v>
      </c>
      <c r="S607" s="86">
        <f t="shared" si="151"/>
        <v>20</v>
      </c>
      <c r="AB607" s="111"/>
      <c r="AC607" s="111"/>
      <c r="AD607" s="111"/>
      <c r="AE607" s="112"/>
      <c r="AF607" s="113"/>
      <c r="AG607" s="49"/>
      <c r="AH607" s="49"/>
      <c r="AI607" s="112"/>
      <c r="AJ607" s="91"/>
      <c r="AK607" s="114"/>
      <c r="AL607" s="112"/>
      <c r="AP607" s="7"/>
    </row>
    <row r="608" spans="1:42" hidden="1" x14ac:dyDescent="0.35">
      <c r="A608" s="85">
        <v>46221</v>
      </c>
      <c r="B608" s="51" t="s">
        <v>85</v>
      </c>
      <c r="C608" s="97">
        <v>61123995.678571403</v>
      </c>
      <c r="D608" s="97">
        <v>87119.5</v>
      </c>
      <c r="E608" s="48" t="s">
        <v>86</v>
      </c>
      <c r="F608" s="94" t="s">
        <v>108</v>
      </c>
      <c r="G608" s="94" t="s">
        <v>575</v>
      </c>
      <c r="H608" s="94" t="s">
        <v>112</v>
      </c>
      <c r="I608" s="94" t="s">
        <v>576</v>
      </c>
      <c r="J608" s="52">
        <v>20</v>
      </c>
      <c r="K608" s="52">
        <v>20</v>
      </c>
      <c r="L608" s="52">
        <v>20</v>
      </c>
      <c r="M608" s="52"/>
      <c r="N608" s="104">
        <f t="shared" si="150"/>
        <v>40</v>
      </c>
      <c r="O608" s="52"/>
      <c r="P608" s="52"/>
      <c r="Q608" s="52"/>
      <c r="R608" s="104">
        <f t="shared" si="149"/>
        <v>0</v>
      </c>
      <c r="S608" s="86">
        <f t="shared" si="151"/>
        <v>60</v>
      </c>
      <c r="AB608" s="111"/>
      <c r="AC608" s="111"/>
      <c r="AD608" s="111"/>
      <c r="AE608" s="112"/>
      <c r="AF608" s="113"/>
      <c r="AG608" s="49"/>
      <c r="AH608" s="49"/>
      <c r="AI608" s="112"/>
      <c r="AJ608" s="91"/>
      <c r="AK608" s="114"/>
      <c r="AL608" s="112"/>
      <c r="AP608" s="7"/>
    </row>
    <row r="609" spans="1:42" hidden="1" x14ac:dyDescent="0.35">
      <c r="A609" s="85">
        <v>46221</v>
      </c>
      <c r="B609" s="51" t="s">
        <v>85</v>
      </c>
      <c r="C609" s="97">
        <v>61123995.678571403</v>
      </c>
      <c r="D609" s="97">
        <v>87119.5</v>
      </c>
      <c r="E609" s="48" t="s">
        <v>86</v>
      </c>
      <c r="F609" s="94" t="s">
        <v>108</v>
      </c>
      <c r="G609" s="94" t="s">
        <v>256</v>
      </c>
      <c r="H609" s="94" t="s">
        <v>112</v>
      </c>
      <c r="I609" s="94" t="s">
        <v>576</v>
      </c>
      <c r="J609" s="52">
        <v>15</v>
      </c>
      <c r="K609" s="52"/>
      <c r="L609" s="52"/>
      <c r="M609" s="52"/>
      <c r="N609" s="104">
        <f t="shared" si="150"/>
        <v>0</v>
      </c>
      <c r="O609" s="52">
        <v>15</v>
      </c>
      <c r="P609" s="52"/>
      <c r="Q609" s="52"/>
      <c r="R609" s="104">
        <f t="shared" si="149"/>
        <v>15</v>
      </c>
      <c r="S609" s="86">
        <f t="shared" si="151"/>
        <v>30</v>
      </c>
      <c r="AB609" s="111"/>
      <c r="AC609" s="111"/>
      <c r="AD609" s="111"/>
      <c r="AE609" s="112"/>
      <c r="AF609" s="113"/>
      <c r="AG609" s="49"/>
      <c r="AH609" s="49"/>
      <c r="AI609" s="112"/>
      <c r="AJ609" s="91"/>
      <c r="AK609" s="114"/>
      <c r="AL609" s="112"/>
      <c r="AP609" s="7"/>
    </row>
    <row r="610" spans="1:42" x14ac:dyDescent="0.35">
      <c r="A610" s="85">
        <v>46221</v>
      </c>
      <c r="B610" s="51" t="s">
        <v>85</v>
      </c>
      <c r="C610" s="97">
        <v>61123995.678571403</v>
      </c>
      <c r="D610" s="97">
        <v>87119.5</v>
      </c>
      <c r="E610" s="48" t="s">
        <v>86</v>
      </c>
      <c r="F610" s="94" t="s">
        <v>87</v>
      </c>
      <c r="G610" s="94"/>
      <c r="H610" s="94" t="s">
        <v>89</v>
      </c>
      <c r="I610" s="94"/>
      <c r="J610" s="52"/>
      <c r="K610" s="52"/>
      <c r="L610" s="52"/>
      <c r="M610" s="52"/>
      <c r="N610" s="104">
        <f t="shared" si="150"/>
        <v>0</v>
      </c>
      <c r="O610" s="52">
        <v>20</v>
      </c>
      <c r="P610" s="52"/>
      <c r="Q610" s="52">
        <v>20</v>
      </c>
      <c r="R610" s="104">
        <f t="shared" si="149"/>
        <v>40</v>
      </c>
      <c r="S610" s="86">
        <f t="shared" si="151"/>
        <v>40</v>
      </c>
      <c r="AB610" s="111"/>
      <c r="AC610" s="111"/>
      <c r="AD610" s="111"/>
      <c r="AE610" s="112"/>
      <c r="AF610" s="113"/>
      <c r="AG610" s="49"/>
      <c r="AH610" s="49"/>
      <c r="AI610" s="112"/>
      <c r="AJ610" s="91"/>
      <c r="AK610" s="114"/>
      <c r="AL610" s="112"/>
      <c r="AP610" s="7"/>
    </row>
    <row r="611" spans="1:42" hidden="1" x14ac:dyDescent="0.35">
      <c r="A611" s="85">
        <v>46221</v>
      </c>
      <c r="B611" s="51" t="s">
        <v>85</v>
      </c>
      <c r="C611" s="97">
        <v>61123995.678571403</v>
      </c>
      <c r="D611" s="97">
        <v>87119.5</v>
      </c>
      <c r="E611" s="48" t="s">
        <v>86</v>
      </c>
      <c r="F611" s="94" t="s">
        <v>108</v>
      </c>
      <c r="G611" s="94" t="s">
        <v>577</v>
      </c>
      <c r="H611" s="94" t="s">
        <v>433</v>
      </c>
      <c r="I611" s="94" t="s">
        <v>581</v>
      </c>
      <c r="J611" s="52"/>
      <c r="K611" s="52">
        <v>20</v>
      </c>
      <c r="L611" s="52">
        <v>20</v>
      </c>
      <c r="M611" s="52"/>
      <c r="N611" s="104">
        <f t="shared" si="150"/>
        <v>40</v>
      </c>
      <c r="O611" s="52"/>
      <c r="P611" s="52"/>
      <c r="Q611" s="52"/>
      <c r="R611" s="104">
        <f t="shared" si="149"/>
        <v>0</v>
      </c>
      <c r="S611" s="86">
        <f t="shared" si="151"/>
        <v>40</v>
      </c>
      <c r="AB611" s="111"/>
      <c r="AC611" s="111"/>
      <c r="AD611" s="111"/>
      <c r="AE611" s="112"/>
      <c r="AF611" s="113"/>
      <c r="AG611" s="49"/>
      <c r="AH611" s="49"/>
      <c r="AI611" s="112"/>
      <c r="AJ611" s="91"/>
      <c r="AK611" s="114"/>
      <c r="AL611" s="112"/>
      <c r="AP611" s="7"/>
    </row>
    <row r="612" spans="1:42" hidden="1" x14ac:dyDescent="0.35">
      <c r="A612" s="85">
        <v>46221</v>
      </c>
      <c r="B612" s="51" t="s">
        <v>85</v>
      </c>
      <c r="C612" s="97">
        <v>61123995.678571403</v>
      </c>
      <c r="D612" s="97">
        <v>87119.5</v>
      </c>
      <c r="E612" s="48" t="s">
        <v>86</v>
      </c>
      <c r="F612" s="94" t="s">
        <v>108</v>
      </c>
      <c r="G612" s="94" t="s">
        <v>578</v>
      </c>
      <c r="H612" s="94" t="s">
        <v>433</v>
      </c>
      <c r="I612" s="94" t="s">
        <v>581</v>
      </c>
      <c r="J612" s="52"/>
      <c r="K612" s="52"/>
      <c r="L612" s="52"/>
      <c r="M612" s="52"/>
      <c r="N612" s="104">
        <f t="shared" si="150"/>
        <v>0</v>
      </c>
      <c r="O612" s="52">
        <v>10</v>
      </c>
      <c r="P612" s="52"/>
      <c r="Q612" s="52">
        <v>10</v>
      </c>
      <c r="R612" s="104">
        <f t="shared" si="149"/>
        <v>20</v>
      </c>
      <c r="S612" s="86">
        <f t="shared" si="151"/>
        <v>20</v>
      </c>
      <c r="AB612" s="111"/>
      <c r="AC612" s="111"/>
      <c r="AD612" s="111"/>
      <c r="AE612" s="112"/>
      <c r="AF612" s="113"/>
      <c r="AG612" s="49"/>
      <c r="AH612" s="49"/>
      <c r="AI612" s="112"/>
      <c r="AJ612" s="91"/>
      <c r="AK612" s="114"/>
      <c r="AL612" s="112"/>
      <c r="AP612" s="7"/>
    </row>
    <row r="613" spans="1:42" hidden="1" x14ac:dyDescent="0.35">
      <c r="A613" s="85">
        <v>46221</v>
      </c>
      <c r="B613" s="51" t="s">
        <v>85</v>
      </c>
      <c r="C613" s="97">
        <v>61123995.678571403</v>
      </c>
      <c r="D613" s="97">
        <v>87119.5</v>
      </c>
      <c r="E613" s="48" t="s">
        <v>86</v>
      </c>
      <c r="F613" s="94" t="s">
        <v>108</v>
      </c>
      <c r="G613" s="94" t="s">
        <v>336</v>
      </c>
      <c r="H613" s="94" t="s">
        <v>433</v>
      </c>
      <c r="I613" s="94" t="s">
        <v>581</v>
      </c>
      <c r="J613" s="52"/>
      <c r="K613" s="52"/>
      <c r="L613" s="52"/>
      <c r="M613" s="52"/>
      <c r="N613" s="104">
        <f t="shared" si="150"/>
        <v>0</v>
      </c>
      <c r="O613" s="52">
        <v>10</v>
      </c>
      <c r="P613" s="52"/>
      <c r="Q613" s="52">
        <v>10</v>
      </c>
      <c r="R613" s="104">
        <f t="shared" si="149"/>
        <v>20</v>
      </c>
      <c r="S613" s="86">
        <f t="shared" si="151"/>
        <v>20</v>
      </c>
      <c r="AB613" s="111"/>
      <c r="AC613" s="111"/>
      <c r="AD613" s="111"/>
      <c r="AE613" s="112"/>
      <c r="AF613" s="113"/>
      <c r="AG613" s="49"/>
      <c r="AH613" s="49"/>
      <c r="AI613" s="112"/>
      <c r="AJ613" s="91"/>
      <c r="AK613" s="114"/>
      <c r="AL613" s="112"/>
      <c r="AP613" s="7"/>
    </row>
    <row r="614" spans="1:42" hidden="1" x14ac:dyDescent="0.35">
      <c r="A614" s="85">
        <v>46221</v>
      </c>
      <c r="B614" s="51" t="s">
        <v>85</v>
      </c>
      <c r="C614" s="97">
        <v>61123995.678571403</v>
      </c>
      <c r="D614" s="97">
        <v>87119.5</v>
      </c>
      <c r="E614" s="48" t="s">
        <v>86</v>
      </c>
      <c r="F614" s="94" t="s">
        <v>108</v>
      </c>
      <c r="G614" s="94" t="s">
        <v>579</v>
      </c>
      <c r="H614" s="94" t="s">
        <v>433</v>
      </c>
      <c r="I614" s="94" t="s">
        <v>581</v>
      </c>
      <c r="J614" s="52">
        <v>20</v>
      </c>
      <c r="K614" s="52"/>
      <c r="L614" s="52"/>
      <c r="M614" s="52"/>
      <c r="N614" s="104">
        <f t="shared" si="150"/>
        <v>0</v>
      </c>
      <c r="O614" s="52"/>
      <c r="P614" s="52"/>
      <c r="Q614" s="52"/>
      <c r="R614" s="104">
        <f t="shared" si="149"/>
        <v>0</v>
      </c>
      <c r="S614" s="86">
        <f t="shared" si="151"/>
        <v>20</v>
      </c>
      <c r="AB614" s="111"/>
      <c r="AC614" s="111"/>
      <c r="AD614" s="111"/>
      <c r="AE614" s="112"/>
      <c r="AF614" s="113"/>
      <c r="AG614" s="49"/>
      <c r="AH614" s="49"/>
      <c r="AI614" s="112"/>
      <c r="AJ614" s="91"/>
      <c r="AK614" s="114"/>
      <c r="AL614" s="112"/>
      <c r="AP614" s="7"/>
    </row>
    <row r="615" spans="1:42" hidden="1" x14ac:dyDescent="0.35">
      <c r="A615" s="85">
        <v>46221</v>
      </c>
      <c r="B615" s="51" t="s">
        <v>85</v>
      </c>
      <c r="C615" s="97">
        <v>61123995.678571403</v>
      </c>
      <c r="D615" s="97">
        <v>87119.5</v>
      </c>
      <c r="E615" s="48" t="s">
        <v>86</v>
      </c>
      <c r="F615" s="94" t="s">
        <v>108</v>
      </c>
      <c r="G615" s="94" t="s">
        <v>580</v>
      </c>
      <c r="H615" s="94" t="s">
        <v>433</v>
      </c>
      <c r="I615" s="94" t="s">
        <v>581</v>
      </c>
      <c r="J615" s="52">
        <v>40</v>
      </c>
      <c r="K615" s="52"/>
      <c r="L615" s="52"/>
      <c r="M615" s="52"/>
      <c r="N615" s="104">
        <f t="shared" si="150"/>
        <v>0</v>
      </c>
      <c r="O615" s="52">
        <v>10</v>
      </c>
      <c r="P615" s="52"/>
      <c r="Q615" s="52">
        <v>10</v>
      </c>
      <c r="R615" s="104">
        <f t="shared" si="149"/>
        <v>20</v>
      </c>
      <c r="S615" s="86">
        <f t="shared" si="151"/>
        <v>60</v>
      </c>
      <c r="AB615" s="111"/>
      <c r="AC615" s="111"/>
      <c r="AD615" s="111"/>
      <c r="AE615" s="112"/>
      <c r="AF615" s="113"/>
      <c r="AG615" s="49"/>
      <c r="AH615" s="49"/>
      <c r="AI615" s="112"/>
      <c r="AJ615" s="91"/>
      <c r="AK615" s="114"/>
      <c r="AL615" s="112"/>
      <c r="AP615" s="7"/>
    </row>
    <row r="616" spans="1:42" hidden="1" x14ac:dyDescent="0.35">
      <c r="A616" s="85">
        <v>46221</v>
      </c>
      <c r="B616" s="51" t="s">
        <v>85</v>
      </c>
      <c r="C616" s="97">
        <v>61123995.678571403</v>
      </c>
      <c r="D616" s="97">
        <v>87119.5</v>
      </c>
      <c r="E616" s="48" t="s">
        <v>86</v>
      </c>
      <c r="F616" s="94" t="s">
        <v>108</v>
      </c>
      <c r="G616" s="94" t="s">
        <v>582</v>
      </c>
      <c r="H616" s="94" t="s">
        <v>129</v>
      </c>
      <c r="I616" s="94" t="s">
        <v>199</v>
      </c>
      <c r="J616" s="52">
        <v>40</v>
      </c>
      <c r="K616" s="52">
        <v>20</v>
      </c>
      <c r="L616" s="52">
        <v>20</v>
      </c>
      <c r="M616" s="52"/>
      <c r="N616" s="104">
        <f t="shared" si="150"/>
        <v>40</v>
      </c>
      <c r="O616" s="52">
        <v>20</v>
      </c>
      <c r="P616" s="52"/>
      <c r="Q616" s="52">
        <v>40</v>
      </c>
      <c r="R616" s="104">
        <f t="shared" si="149"/>
        <v>60</v>
      </c>
      <c r="S616" s="86">
        <f t="shared" si="151"/>
        <v>140</v>
      </c>
      <c r="AB616" s="111"/>
      <c r="AC616" s="111"/>
      <c r="AD616" s="111"/>
      <c r="AE616" s="112"/>
      <c r="AF616" s="113"/>
      <c r="AG616" s="49"/>
      <c r="AH616" s="49"/>
      <c r="AI616" s="112"/>
      <c r="AJ616" s="91"/>
      <c r="AK616" s="114"/>
      <c r="AL616" s="112"/>
      <c r="AP616" s="7"/>
    </row>
    <row r="617" spans="1:42" hidden="1" x14ac:dyDescent="0.35">
      <c r="A617" s="85">
        <v>46221</v>
      </c>
      <c r="B617" s="51" t="s">
        <v>85</v>
      </c>
      <c r="C617" s="97">
        <v>61123995.678571403</v>
      </c>
      <c r="D617" s="97">
        <v>87119.5</v>
      </c>
      <c r="E617" s="48" t="s">
        <v>86</v>
      </c>
      <c r="F617" s="94" t="s">
        <v>109</v>
      </c>
      <c r="G617" s="94" t="s">
        <v>223</v>
      </c>
      <c r="H617" s="94" t="s">
        <v>129</v>
      </c>
      <c r="I617" s="94" t="s">
        <v>199</v>
      </c>
      <c r="J617" s="52">
        <v>6</v>
      </c>
      <c r="K617" s="52"/>
      <c r="L617" s="52"/>
      <c r="M617" s="52"/>
      <c r="N617" s="104">
        <f t="shared" si="150"/>
        <v>0</v>
      </c>
      <c r="O617" s="52"/>
      <c r="P617" s="52"/>
      <c r="Q617" s="52"/>
      <c r="R617" s="104">
        <f t="shared" si="149"/>
        <v>0</v>
      </c>
      <c r="S617" s="86">
        <f t="shared" si="151"/>
        <v>6</v>
      </c>
      <c r="AB617" s="111"/>
      <c r="AC617" s="111"/>
      <c r="AD617" s="111"/>
      <c r="AE617" s="112"/>
      <c r="AF617" s="113"/>
      <c r="AG617" s="49"/>
      <c r="AH617" s="49"/>
      <c r="AI617" s="112"/>
      <c r="AJ617" s="91"/>
      <c r="AK617" s="114"/>
      <c r="AL617" s="112"/>
      <c r="AP617" s="7"/>
    </row>
    <row r="618" spans="1:42" hidden="1" x14ac:dyDescent="0.35">
      <c r="A618" s="85">
        <v>46221</v>
      </c>
      <c r="B618" s="51" t="s">
        <v>85</v>
      </c>
      <c r="C618" s="97">
        <v>61123995.678571403</v>
      </c>
      <c r="D618" s="97">
        <v>87119.5</v>
      </c>
      <c r="E618" s="48" t="s">
        <v>86</v>
      </c>
      <c r="F618" s="94" t="s">
        <v>108</v>
      </c>
      <c r="G618" s="94" t="s">
        <v>583</v>
      </c>
      <c r="H618" s="94" t="s">
        <v>129</v>
      </c>
      <c r="I618" s="94" t="s">
        <v>199</v>
      </c>
      <c r="J618" s="52">
        <v>6</v>
      </c>
      <c r="K618" s="52"/>
      <c r="L618" s="52"/>
      <c r="M618" s="52"/>
      <c r="N618" s="104">
        <f t="shared" si="150"/>
        <v>0</v>
      </c>
      <c r="O618" s="52"/>
      <c r="P618" s="52"/>
      <c r="Q618" s="52"/>
      <c r="R618" s="104">
        <f t="shared" si="149"/>
        <v>0</v>
      </c>
      <c r="S618" s="86">
        <f t="shared" si="151"/>
        <v>6</v>
      </c>
      <c r="AB618" s="111"/>
      <c r="AC618" s="111"/>
      <c r="AD618" s="111"/>
      <c r="AE618" s="112"/>
      <c r="AF618" s="113"/>
      <c r="AG618" s="49"/>
      <c r="AH618" s="49"/>
      <c r="AI618" s="112"/>
      <c r="AJ618" s="91"/>
      <c r="AK618" s="114"/>
      <c r="AL618" s="112"/>
      <c r="AP618" s="7"/>
    </row>
    <row r="619" spans="1:42" hidden="1" x14ac:dyDescent="0.35">
      <c r="A619" s="85">
        <v>46221</v>
      </c>
      <c r="B619" s="51" t="s">
        <v>85</v>
      </c>
      <c r="C619" s="97">
        <v>61123995.678571403</v>
      </c>
      <c r="D619" s="97">
        <v>87119.5</v>
      </c>
      <c r="E619" s="48" t="s">
        <v>86</v>
      </c>
      <c r="F619" s="94" t="s">
        <v>108</v>
      </c>
      <c r="G619" s="94" t="s">
        <v>400</v>
      </c>
      <c r="H619" s="94" t="s">
        <v>129</v>
      </c>
      <c r="I619" s="94" t="s">
        <v>199</v>
      </c>
      <c r="J619" s="52">
        <v>6</v>
      </c>
      <c r="K619" s="52"/>
      <c r="L619" s="52"/>
      <c r="M619" s="52"/>
      <c r="N619" s="104">
        <f t="shared" si="150"/>
        <v>0</v>
      </c>
      <c r="O619" s="52"/>
      <c r="P619" s="52"/>
      <c r="Q619" s="52"/>
      <c r="R619" s="104">
        <f t="shared" si="149"/>
        <v>0</v>
      </c>
      <c r="S619" s="86">
        <f t="shared" si="151"/>
        <v>6</v>
      </c>
      <c r="AB619" s="111"/>
      <c r="AC619" s="111"/>
      <c r="AD619" s="111"/>
      <c r="AE619" s="112"/>
      <c r="AF619" s="113"/>
      <c r="AG619" s="49"/>
      <c r="AH619" s="49"/>
      <c r="AI619" s="112"/>
      <c r="AJ619" s="91"/>
      <c r="AK619" s="114"/>
      <c r="AL619" s="112"/>
      <c r="AP619" s="7"/>
    </row>
    <row r="620" spans="1:42" hidden="1" x14ac:dyDescent="0.35">
      <c r="A620" s="85">
        <v>46221</v>
      </c>
      <c r="B620" s="51" t="s">
        <v>85</v>
      </c>
      <c r="C620" s="97">
        <v>61123995.678571403</v>
      </c>
      <c r="D620" s="97">
        <v>87119.5</v>
      </c>
      <c r="E620" s="48" t="s">
        <v>86</v>
      </c>
      <c r="F620" s="94" t="s">
        <v>108</v>
      </c>
      <c r="G620" s="94" t="s">
        <v>584</v>
      </c>
      <c r="H620" s="94" t="s">
        <v>129</v>
      </c>
      <c r="I620" s="94" t="s">
        <v>199</v>
      </c>
      <c r="J620" s="52">
        <v>6</v>
      </c>
      <c r="K620" s="52"/>
      <c r="L620" s="52"/>
      <c r="M620" s="52"/>
      <c r="N620" s="104">
        <f t="shared" si="150"/>
        <v>0</v>
      </c>
      <c r="O620" s="52"/>
      <c r="P620" s="52"/>
      <c r="Q620" s="52"/>
      <c r="R620" s="104">
        <f t="shared" si="149"/>
        <v>0</v>
      </c>
      <c r="S620" s="86">
        <f t="shared" si="151"/>
        <v>6</v>
      </c>
      <c r="AB620" s="111"/>
      <c r="AC620" s="111"/>
      <c r="AD620" s="111"/>
      <c r="AE620" s="112"/>
      <c r="AF620" s="113"/>
      <c r="AG620" s="49"/>
      <c r="AH620" s="49"/>
      <c r="AI620" s="112"/>
      <c r="AJ620" s="91"/>
      <c r="AK620" s="114"/>
      <c r="AL620" s="112"/>
      <c r="AP620" s="7"/>
    </row>
    <row r="621" spans="1:42" hidden="1" x14ac:dyDescent="0.35">
      <c r="A621" s="85">
        <v>46221</v>
      </c>
      <c r="B621" s="51" t="s">
        <v>85</v>
      </c>
      <c r="C621" s="97">
        <v>61123995.678571403</v>
      </c>
      <c r="D621" s="97">
        <v>87119.5</v>
      </c>
      <c r="E621" s="48" t="s">
        <v>86</v>
      </c>
      <c r="F621" s="94" t="s">
        <v>108</v>
      </c>
      <c r="G621" s="94" t="s">
        <v>220</v>
      </c>
      <c r="H621" s="94" t="s">
        <v>129</v>
      </c>
      <c r="I621" s="94" t="s">
        <v>199</v>
      </c>
      <c r="J621" s="52">
        <v>10</v>
      </c>
      <c r="K621" s="52"/>
      <c r="L621" s="52"/>
      <c r="M621" s="52"/>
      <c r="N621" s="104">
        <f t="shared" si="150"/>
        <v>0</v>
      </c>
      <c r="O621" s="52"/>
      <c r="P621" s="52"/>
      <c r="Q621" s="52"/>
      <c r="R621" s="104">
        <f t="shared" si="149"/>
        <v>0</v>
      </c>
      <c r="S621" s="86">
        <f t="shared" si="151"/>
        <v>10</v>
      </c>
      <c r="AB621" s="111"/>
      <c r="AC621" s="111"/>
      <c r="AD621" s="111"/>
      <c r="AE621" s="112"/>
      <c r="AF621" s="113"/>
      <c r="AG621" s="49"/>
      <c r="AH621" s="49"/>
      <c r="AI621" s="112"/>
      <c r="AJ621" s="91"/>
      <c r="AK621" s="114"/>
      <c r="AL621" s="112"/>
      <c r="AP621" s="7"/>
    </row>
    <row r="622" spans="1:42" hidden="1" x14ac:dyDescent="0.35">
      <c r="A622" s="85">
        <v>46221</v>
      </c>
      <c r="B622" s="51" t="s">
        <v>85</v>
      </c>
      <c r="C622" s="97">
        <v>61123995.678571403</v>
      </c>
      <c r="D622" s="97">
        <v>87119.5</v>
      </c>
      <c r="E622" s="48" t="s">
        <v>86</v>
      </c>
      <c r="F622" s="94" t="s">
        <v>109</v>
      </c>
      <c r="G622" s="94" t="s">
        <v>221</v>
      </c>
      <c r="H622" s="94" t="s">
        <v>129</v>
      </c>
      <c r="I622" s="94" t="s">
        <v>199</v>
      </c>
      <c r="J622" s="52"/>
      <c r="K622" s="52">
        <v>10</v>
      </c>
      <c r="L622" s="52"/>
      <c r="M622" s="52"/>
      <c r="N622" s="104">
        <f t="shared" si="150"/>
        <v>10</v>
      </c>
      <c r="O622" s="52"/>
      <c r="P622" s="52"/>
      <c r="Q622" s="52"/>
      <c r="R622" s="104">
        <f t="shared" si="149"/>
        <v>0</v>
      </c>
      <c r="S622" s="86">
        <f t="shared" si="151"/>
        <v>10</v>
      </c>
      <c r="AB622" s="111"/>
      <c r="AC622" s="111"/>
      <c r="AD622" s="111"/>
      <c r="AE622" s="112"/>
      <c r="AF622" s="113"/>
      <c r="AG622" s="49"/>
      <c r="AH622" s="49"/>
      <c r="AI622" s="112"/>
      <c r="AJ622" s="91"/>
      <c r="AK622" s="114"/>
      <c r="AL622" s="112"/>
      <c r="AP622" s="7"/>
    </row>
    <row r="623" spans="1:42" hidden="1" x14ac:dyDescent="0.35">
      <c r="A623" s="85">
        <v>46221</v>
      </c>
      <c r="B623" s="51" t="s">
        <v>85</v>
      </c>
      <c r="C623" s="97">
        <v>61123995.678571403</v>
      </c>
      <c r="D623" s="97">
        <v>87119.5</v>
      </c>
      <c r="E623" s="48" t="s">
        <v>86</v>
      </c>
      <c r="F623" s="94" t="s">
        <v>108</v>
      </c>
      <c r="G623" s="94" t="s">
        <v>585</v>
      </c>
      <c r="H623" s="94" t="s">
        <v>129</v>
      </c>
      <c r="I623" s="94" t="s">
        <v>199</v>
      </c>
      <c r="J623" s="52"/>
      <c r="K623" s="52">
        <v>10</v>
      </c>
      <c r="L623" s="52"/>
      <c r="M623" s="52"/>
      <c r="N623" s="104">
        <f t="shared" si="150"/>
        <v>10</v>
      </c>
      <c r="O623" s="52"/>
      <c r="P623" s="52"/>
      <c r="Q623" s="52"/>
      <c r="R623" s="104">
        <f t="shared" si="149"/>
        <v>0</v>
      </c>
      <c r="S623" s="86">
        <f t="shared" si="151"/>
        <v>10</v>
      </c>
      <c r="AB623" s="111"/>
      <c r="AC623" s="111"/>
      <c r="AD623" s="111"/>
      <c r="AE623" s="112"/>
      <c r="AF623" s="113"/>
      <c r="AG623" s="49"/>
      <c r="AH623" s="49"/>
      <c r="AI623" s="112"/>
      <c r="AJ623" s="91"/>
      <c r="AK623" s="114"/>
      <c r="AL623" s="112"/>
      <c r="AP623" s="7"/>
    </row>
    <row r="624" spans="1:42" hidden="1" x14ac:dyDescent="0.35">
      <c r="A624" s="85">
        <v>46221</v>
      </c>
      <c r="B624" s="51" t="s">
        <v>85</v>
      </c>
      <c r="C624" s="97">
        <v>61123995.678571403</v>
      </c>
      <c r="D624" s="97">
        <v>87119.5</v>
      </c>
      <c r="E624" s="48" t="s">
        <v>86</v>
      </c>
      <c r="F624" s="94" t="s">
        <v>109</v>
      </c>
      <c r="G624" s="94" t="s">
        <v>586</v>
      </c>
      <c r="H624" s="94" t="s">
        <v>129</v>
      </c>
      <c r="I624" s="94" t="s">
        <v>199</v>
      </c>
      <c r="J624" s="52"/>
      <c r="K624" s="52"/>
      <c r="L624" s="52"/>
      <c r="M624" s="52"/>
      <c r="N624" s="104">
        <f t="shared" si="150"/>
        <v>0</v>
      </c>
      <c r="O624" s="52"/>
      <c r="P624" s="52"/>
      <c r="Q624" s="52">
        <v>10</v>
      </c>
      <c r="R624" s="104">
        <f t="shared" si="149"/>
        <v>10</v>
      </c>
      <c r="S624" s="86">
        <f t="shared" si="151"/>
        <v>10</v>
      </c>
      <c r="AB624" s="111"/>
      <c r="AC624" s="111"/>
      <c r="AD624" s="111"/>
      <c r="AE624" s="112"/>
      <c r="AF624" s="113"/>
      <c r="AG624" s="49"/>
      <c r="AH624" s="49"/>
      <c r="AI624" s="112"/>
      <c r="AJ624" s="91"/>
      <c r="AK624" s="114"/>
      <c r="AL624" s="112"/>
      <c r="AP624" s="7"/>
    </row>
    <row r="625" spans="1:42" hidden="1" x14ac:dyDescent="0.35">
      <c r="A625" s="85">
        <v>46221</v>
      </c>
      <c r="B625" s="51" t="s">
        <v>85</v>
      </c>
      <c r="C625" s="97">
        <v>61123995.678571403</v>
      </c>
      <c r="D625" s="97">
        <v>87119.5</v>
      </c>
      <c r="E625" s="48" t="s">
        <v>86</v>
      </c>
      <c r="F625" s="94" t="s">
        <v>108</v>
      </c>
      <c r="G625" s="94" t="s">
        <v>587</v>
      </c>
      <c r="H625" s="94" t="s">
        <v>129</v>
      </c>
      <c r="I625" s="94" t="s">
        <v>199</v>
      </c>
      <c r="J625" s="52"/>
      <c r="K625" s="52"/>
      <c r="L625" s="52"/>
      <c r="M625" s="52"/>
      <c r="N625" s="104">
        <f t="shared" si="150"/>
        <v>0</v>
      </c>
      <c r="O625" s="52"/>
      <c r="P625" s="52"/>
      <c r="Q625" s="52">
        <v>10</v>
      </c>
      <c r="R625" s="104">
        <f t="shared" si="149"/>
        <v>10</v>
      </c>
      <c r="S625" s="86">
        <f t="shared" si="151"/>
        <v>10</v>
      </c>
      <c r="AB625" s="111"/>
      <c r="AC625" s="111"/>
      <c r="AD625" s="111"/>
      <c r="AE625" s="112"/>
      <c r="AF625" s="113"/>
      <c r="AG625" s="49"/>
      <c r="AH625" s="49"/>
      <c r="AI625" s="112"/>
      <c r="AJ625" s="91"/>
      <c r="AK625" s="114"/>
      <c r="AL625" s="112"/>
      <c r="AP625" s="7"/>
    </row>
    <row r="626" spans="1:42" hidden="1" x14ac:dyDescent="0.35">
      <c r="A626" s="85">
        <v>46221</v>
      </c>
      <c r="B626" s="51" t="s">
        <v>85</v>
      </c>
      <c r="C626" s="97">
        <v>61123995.678571403</v>
      </c>
      <c r="D626" s="97">
        <v>87119.5</v>
      </c>
      <c r="E626" s="48" t="s">
        <v>86</v>
      </c>
      <c r="F626" s="94" t="s">
        <v>109</v>
      </c>
      <c r="G626" s="94" t="s">
        <v>588</v>
      </c>
      <c r="H626" s="94" t="s">
        <v>129</v>
      </c>
      <c r="I626" s="94" t="s">
        <v>199</v>
      </c>
      <c r="J626" s="52"/>
      <c r="K626" s="52"/>
      <c r="L626" s="52"/>
      <c r="M626" s="52"/>
      <c r="N626" s="104">
        <f t="shared" si="150"/>
        <v>0</v>
      </c>
      <c r="O626" s="52">
        <v>10</v>
      </c>
      <c r="P626" s="52"/>
      <c r="Q626" s="52"/>
      <c r="R626" s="104">
        <f t="shared" si="149"/>
        <v>10</v>
      </c>
      <c r="S626" s="86">
        <f t="shared" si="151"/>
        <v>10</v>
      </c>
      <c r="AB626" s="111"/>
      <c r="AC626" s="111"/>
      <c r="AD626" s="111"/>
      <c r="AE626" s="112"/>
      <c r="AF626" s="113"/>
      <c r="AG626" s="49"/>
      <c r="AH626" s="49"/>
      <c r="AI626" s="112"/>
      <c r="AJ626" s="91"/>
      <c r="AK626" s="114"/>
      <c r="AL626" s="112"/>
      <c r="AP626" s="7"/>
    </row>
    <row r="627" spans="1:42" hidden="1" x14ac:dyDescent="0.35">
      <c r="A627" s="85">
        <v>46221</v>
      </c>
      <c r="B627" s="51" t="s">
        <v>85</v>
      </c>
      <c r="C627" s="97">
        <v>61123995.678571403</v>
      </c>
      <c r="D627" s="97">
        <v>87119.5</v>
      </c>
      <c r="E627" s="48" t="s">
        <v>86</v>
      </c>
      <c r="F627" s="94" t="s">
        <v>108</v>
      </c>
      <c r="G627" s="94" t="s">
        <v>589</v>
      </c>
      <c r="H627" s="94" t="s">
        <v>129</v>
      </c>
      <c r="I627" s="94" t="s">
        <v>199</v>
      </c>
      <c r="J627" s="52"/>
      <c r="K627" s="52"/>
      <c r="L627" s="52"/>
      <c r="M627" s="52"/>
      <c r="N627" s="104">
        <f t="shared" si="150"/>
        <v>0</v>
      </c>
      <c r="O627" s="52"/>
      <c r="P627" s="52"/>
      <c r="Q627" s="52">
        <v>10</v>
      </c>
      <c r="R627" s="104">
        <f t="shared" si="149"/>
        <v>10</v>
      </c>
      <c r="S627" s="86">
        <f t="shared" si="151"/>
        <v>10</v>
      </c>
      <c r="AB627" s="111"/>
      <c r="AC627" s="111"/>
      <c r="AD627" s="111"/>
      <c r="AE627" s="112"/>
      <c r="AF627" s="113"/>
      <c r="AG627" s="49"/>
      <c r="AH627" s="49"/>
      <c r="AI627" s="112"/>
      <c r="AJ627" s="91"/>
      <c r="AK627" s="114"/>
      <c r="AL627" s="112"/>
      <c r="AP627" s="7"/>
    </row>
    <row r="628" spans="1:42" hidden="1" x14ac:dyDescent="0.35">
      <c r="A628" s="85">
        <v>46221</v>
      </c>
      <c r="B628" s="51" t="s">
        <v>85</v>
      </c>
      <c r="C628" s="97">
        <v>61123995.678571403</v>
      </c>
      <c r="D628" s="97">
        <v>87119.5</v>
      </c>
      <c r="E628" s="48" t="s">
        <v>86</v>
      </c>
      <c r="F628" s="94" t="s">
        <v>109</v>
      </c>
      <c r="G628" s="94" t="s">
        <v>590</v>
      </c>
      <c r="H628" s="94" t="s">
        <v>129</v>
      </c>
      <c r="I628" s="94" t="s">
        <v>199</v>
      </c>
      <c r="J628" s="52"/>
      <c r="K628" s="52"/>
      <c r="L628" s="52"/>
      <c r="M628" s="52"/>
      <c r="N628" s="104">
        <f t="shared" si="150"/>
        <v>0</v>
      </c>
      <c r="O628" s="52">
        <v>400</v>
      </c>
      <c r="P628" s="52"/>
      <c r="Q628" s="52"/>
      <c r="R628" s="104">
        <f t="shared" si="149"/>
        <v>400</v>
      </c>
      <c r="S628" s="86">
        <f t="shared" si="151"/>
        <v>400</v>
      </c>
      <c r="AB628" s="111"/>
      <c r="AC628" s="111"/>
      <c r="AD628" s="111"/>
      <c r="AE628" s="112"/>
      <c r="AF628" s="113"/>
      <c r="AG628" s="49"/>
      <c r="AH628" s="49"/>
      <c r="AI628" s="112"/>
      <c r="AJ628" s="91"/>
      <c r="AK628" s="114"/>
      <c r="AL628" s="112"/>
      <c r="AP628" s="7"/>
    </row>
    <row r="629" spans="1:42" hidden="1" x14ac:dyDescent="0.35">
      <c r="A629" s="85">
        <v>46221</v>
      </c>
      <c r="B629" s="51" t="s">
        <v>85</v>
      </c>
      <c r="C629" s="97">
        <v>61123995.678571403</v>
      </c>
      <c r="D629" s="97">
        <v>87119.5</v>
      </c>
      <c r="E629" s="48" t="s">
        <v>86</v>
      </c>
      <c r="F629" s="94" t="s">
        <v>109</v>
      </c>
      <c r="G629" s="94" t="s">
        <v>223</v>
      </c>
      <c r="H629" s="94" t="s">
        <v>129</v>
      </c>
      <c r="I629" s="94" t="s">
        <v>199</v>
      </c>
      <c r="J629" s="52"/>
      <c r="K629" s="52"/>
      <c r="L629" s="52"/>
      <c r="M629" s="52"/>
      <c r="N629" s="104">
        <f t="shared" si="150"/>
        <v>0</v>
      </c>
      <c r="O629" s="52">
        <v>40</v>
      </c>
      <c r="P629" s="52"/>
      <c r="Q629" s="52">
        <v>40</v>
      </c>
      <c r="R629" s="104">
        <f t="shared" si="149"/>
        <v>80</v>
      </c>
      <c r="S629" s="86">
        <f t="shared" si="151"/>
        <v>80</v>
      </c>
      <c r="AB629" s="111"/>
      <c r="AC629" s="111"/>
      <c r="AD629" s="111"/>
      <c r="AE629" s="112"/>
      <c r="AF629" s="113"/>
      <c r="AG629" s="49"/>
      <c r="AH629" s="49"/>
      <c r="AI629" s="112"/>
      <c r="AJ629" s="91"/>
      <c r="AK629" s="114"/>
      <c r="AL629" s="112"/>
      <c r="AP629" s="7"/>
    </row>
    <row r="630" spans="1:42" x14ac:dyDescent="0.35">
      <c r="A630" s="85">
        <v>46223</v>
      </c>
      <c r="B630" s="51" t="s">
        <v>85</v>
      </c>
      <c r="C630" s="97">
        <v>61123995.678571403</v>
      </c>
      <c r="D630" s="97">
        <v>87119.5</v>
      </c>
      <c r="E630" s="48" t="s">
        <v>86</v>
      </c>
      <c r="F630" s="94" t="s">
        <v>87</v>
      </c>
      <c r="G630" s="94" t="s">
        <v>591</v>
      </c>
      <c r="H630" s="94" t="s">
        <v>89</v>
      </c>
      <c r="I630" s="94" t="s">
        <v>592</v>
      </c>
      <c r="J630" s="52"/>
      <c r="K630" s="52">
        <v>1189</v>
      </c>
      <c r="L630" s="52">
        <v>1395</v>
      </c>
      <c r="M630" s="52"/>
      <c r="N630" s="104">
        <f t="shared" si="150"/>
        <v>2584</v>
      </c>
      <c r="O630" s="52">
        <v>2398</v>
      </c>
      <c r="P630" s="52">
        <v>2397</v>
      </c>
      <c r="Q630" s="52">
        <v>4800</v>
      </c>
      <c r="R630" s="104">
        <f t="shared" si="149"/>
        <v>9595</v>
      </c>
      <c r="S630" s="86">
        <f t="shared" si="151"/>
        <v>12179</v>
      </c>
      <c r="AB630" s="111"/>
      <c r="AC630" s="111"/>
      <c r="AD630" s="111"/>
      <c r="AE630" s="112"/>
      <c r="AF630" s="113"/>
      <c r="AG630" s="49"/>
      <c r="AH630" s="49"/>
      <c r="AI630" s="112"/>
      <c r="AJ630" s="91"/>
      <c r="AK630" s="114"/>
      <c r="AL630" s="112"/>
      <c r="AP630" s="7"/>
    </row>
    <row r="631" spans="1:42" x14ac:dyDescent="0.35">
      <c r="A631" s="85">
        <v>46223</v>
      </c>
      <c r="B631" s="51" t="s">
        <v>85</v>
      </c>
      <c r="C631" s="97">
        <v>61123995.678571403</v>
      </c>
      <c r="D631" s="97">
        <v>87119.5</v>
      </c>
      <c r="E631" s="48" t="s">
        <v>86</v>
      </c>
      <c r="F631" s="94" t="s">
        <v>87</v>
      </c>
      <c r="G631" s="94" t="s">
        <v>593</v>
      </c>
      <c r="H631" s="94" t="s">
        <v>89</v>
      </c>
      <c r="I631" s="94" t="s">
        <v>405</v>
      </c>
      <c r="J631" s="52"/>
      <c r="K631" s="52">
        <v>40</v>
      </c>
      <c r="L631" s="52">
        <v>40</v>
      </c>
      <c r="M631" s="52"/>
      <c r="N631" s="104">
        <f t="shared" si="150"/>
        <v>80</v>
      </c>
      <c r="O631" s="52">
        <v>40</v>
      </c>
      <c r="P631" s="52">
        <v>40</v>
      </c>
      <c r="Q631" s="52">
        <v>40</v>
      </c>
      <c r="R631" s="104">
        <f t="shared" si="149"/>
        <v>120</v>
      </c>
      <c r="S631" s="86">
        <f t="shared" si="151"/>
        <v>200</v>
      </c>
      <c r="AB631" s="111"/>
      <c r="AC631" s="111"/>
      <c r="AD631" s="111"/>
      <c r="AE631" s="112"/>
      <c r="AF631" s="113"/>
      <c r="AG631" s="49"/>
      <c r="AH631" s="49"/>
      <c r="AI631" s="112"/>
      <c r="AJ631" s="91"/>
      <c r="AK631" s="114"/>
      <c r="AL631" s="112"/>
      <c r="AP631" s="7"/>
    </row>
    <row r="632" spans="1:42" hidden="1" x14ac:dyDescent="0.35">
      <c r="A632" s="85">
        <v>46223</v>
      </c>
      <c r="B632" s="51" t="s">
        <v>85</v>
      </c>
      <c r="C632" s="97">
        <v>61123995.678571403</v>
      </c>
      <c r="D632" s="97">
        <v>87119.5</v>
      </c>
      <c r="E632" s="48" t="s">
        <v>86</v>
      </c>
      <c r="F632" s="94" t="s">
        <v>109</v>
      </c>
      <c r="G632" s="94" t="s">
        <v>594</v>
      </c>
      <c r="H632" s="94" t="s">
        <v>127</v>
      </c>
      <c r="I632" s="94" t="s">
        <v>602</v>
      </c>
      <c r="J632" s="52">
        <v>40</v>
      </c>
      <c r="K632" s="52"/>
      <c r="L632" s="52"/>
      <c r="M632" s="52"/>
      <c r="N632" s="104">
        <f t="shared" si="150"/>
        <v>0</v>
      </c>
      <c r="O632" s="52">
        <v>40</v>
      </c>
      <c r="P632" s="52"/>
      <c r="Q632" s="52"/>
      <c r="R632" s="104">
        <f t="shared" si="149"/>
        <v>40</v>
      </c>
      <c r="S632" s="86">
        <f t="shared" si="151"/>
        <v>80</v>
      </c>
      <c r="AB632" s="111"/>
      <c r="AC632" s="111"/>
      <c r="AD632" s="111"/>
      <c r="AE632" s="112"/>
      <c r="AF632" s="113"/>
      <c r="AG632" s="49"/>
      <c r="AH632" s="49"/>
      <c r="AI632" s="112"/>
      <c r="AJ632" s="91"/>
      <c r="AK632" s="114"/>
      <c r="AL632" s="112"/>
      <c r="AP632" s="7"/>
    </row>
    <row r="633" spans="1:42" hidden="1" x14ac:dyDescent="0.35">
      <c r="A633" s="85">
        <v>46223</v>
      </c>
      <c r="B633" s="51" t="s">
        <v>85</v>
      </c>
      <c r="C633" s="97">
        <v>61123995.678571403</v>
      </c>
      <c r="D633" s="97">
        <v>87119.5</v>
      </c>
      <c r="E633" s="48" t="s">
        <v>86</v>
      </c>
      <c r="F633" s="94" t="s">
        <v>109</v>
      </c>
      <c r="G633" s="94" t="s">
        <v>595</v>
      </c>
      <c r="H633" s="94" t="s">
        <v>127</v>
      </c>
      <c r="I633" s="94" t="s">
        <v>602</v>
      </c>
      <c r="J633" s="52">
        <v>20</v>
      </c>
      <c r="K633" s="52"/>
      <c r="L633" s="52"/>
      <c r="M633" s="52"/>
      <c r="N633" s="104">
        <f t="shared" si="150"/>
        <v>0</v>
      </c>
      <c r="O633" s="52"/>
      <c r="P633" s="52"/>
      <c r="Q633" s="52"/>
      <c r="R633" s="104">
        <f t="shared" si="149"/>
        <v>0</v>
      </c>
      <c r="S633" s="86">
        <f t="shared" si="151"/>
        <v>20</v>
      </c>
      <c r="AB633" s="111"/>
      <c r="AC633" s="111"/>
      <c r="AD633" s="111"/>
      <c r="AE633" s="112"/>
      <c r="AF633" s="113"/>
      <c r="AG633" s="49"/>
      <c r="AH633" s="49"/>
      <c r="AI633" s="112"/>
      <c r="AJ633" s="91"/>
      <c r="AK633" s="114"/>
      <c r="AL633" s="112"/>
      <c r="AP633" s="7"/>
    </row>
    <row r="634" spans="1:42" hidden="1" x14ac:dyDescent="0.35">
      <c r="A634" s="85">
        <v>46223</v>
      </c>
      <c r="B634" s="51" t="s">
        <v>85</v>
      </c>
      <c r="C634" s="97">
        <v>61123995.678571403</v>
      </c>
      <c r="D634" s="97">
        <v>87119.5</v>
      </c>
      <c r="E634" s="48" t="s">
        <v>86</v>
      </c>
      <c r="F634" s="94" t="s">
        <v>109</v>
      </c>
      <c r="G634" s="94" t="s">
        <v>596</v>
      </c>
      <c r="H634" s="94" t="s">
        <v>127</v>
      </c>
      <c r="I634" s="94" t="s">
        <v>603</v>
      </c>
      <c r="J634" s="52"/>
      <c r="K634" s="52"/>
      <c r="L634" s="52"/>
      <c r="M634" s="52"/>
      <c r="N634" s="104">
        <f t="shared" si="150"/>
        <v>0</v>
      </c>
      <c r="O634" s="52">
        <v>40</v>
      </c>
      <c r="P634" s="52">
        <v>40</v>
      </c>
      <c r="Q634" s="52"/>
      <c r="R634" s="104">
        <f t="shared" si="149"/>
        <v>80</v>
      </c>
      <c r="S634" s="86">
        <f t="shared" si="151"/>
        <v>80</v>
      </c>
      <c r="AB634" s="111"/>
      <c r="AC634" s="111"/>
      <c r="AD634" s="111"/>
      <c r="AE634" s="112"/>
      <c r="AF634" s="113"/>
      <c r="AG634" s="49"/>
      <c r="AH634" s="49"/>
      <c r="AI634" s="112"/>
      <c r="AJ634" s="91"/>
      <c r="AK634" s="114"/>
      <c r="AL634" s="112"/>
      <c r="AP634" s="7"/>
    </row>
    <row r="635" spans="1:42" hidden="1" x14ac:dyDescent="0.35">
      <c r="A635" s="85">
        <v>46223</v>
      </c>
      <c r="B635" s="51" t="s">
        <v>85</v>
      </c>
      <c r="C635" s="97">
        <v>61123995.678571403</v>
      </c>
      <c r="D635" s="97">
        <v>87119.5</v>
      </c>
      <c r="E635" s="48" t="s">
        <v>86</v>
      </c>
      <c r="F635" s="94" t="s">
        <v>109</v>
      </c>
      <c r="G635" s="94" t="s">
        <v>597</v>
      </c>
      <c r="H635" s="94" t="s">
        <v>127</v>
      </c>
      <c r="I635" s="94" t="s">
        <v>602</v>
      </c>
      <c r="J635" s="52">
        <v>40</v>
      </c>
      <c r="K635" s="52"/>
      <c r="L635" s="52"/>
      <c r="M635" s="52"/>
      <c r="N635" s="104">
        <f t="shared" si="150"/>
        <v>0</v>
      </c>
      <c r="O635" s="52"/>
      <c r="P635" s="52"/>
      <c r="Q635" s="52"/>
      <c r="R635" s="104">
        <f t="shared" si="149"/>
        <v>0</v>
      </c>
      <c r="S635" s="86">
        <f t="shared" si="151"/>
        <v>40</v>
      </c>
      <c r="AB635" s="111"/>
      <c r="AC635" s="111"/>
      <c r="AD635" s="111"/>
      <c r="AE635" s="112"/>
      <c r="AF635" s="113"/>
      <c r="AG635" s="49"/>
      <c r="AH635" s="49"/>
      <c r="AI635" s="112"/>
      <c r="AJ635" s="91"/>
      <c r="AK635" s="114"/>
      <c r="AL635" s="112"/>
      <c r="AP635" s="7"/>
    </row>
    <row r="636" spans="1:42" hidden="1" x14ac:dyDescent="0.35">
      <c r="A636" s="85">
        <v>46223</v>
      </c>
      <c r="B636" s="51" t="s">
        <v>85</v>
      </c>
      <c r="C636" s="97">
        <v>61123995.678571403</v>
      </c>
      <c r="D636" s="97">
        <v>87119.5</v>
      </c>
      <c r="E636" s="48" t="s">
        <v>86</v>
      </c>
      <c r="F636" s="94" t="s">
        <v>109</v>
      </c>
      <c r="G636" s="94" t="s">
        <v>598</v>
      </c>
      <c r="H636" s="94" t="s">
        <v>127</v>
      </c>
      <c r="I636" s="94" t="s">
        <v>602</v>
      </c>
      <c r="J636" s="52">
        <v>40</v>
      </c>
      <c r="K636" s="52"/>
      <c r="L636" s="52"/>
      <c r="M636" s="52"/>
      <c r="N636" s="104">
        <f t="shared" si="150"/>
        <v>0</v>
      </c>
      <c r="O636" s="52"/>
      <c r="P636" s="52"/>
      <c r="Q636" s="52"/>
      <c r="R636" s="104">
        <f t="shared" si="149"/>
        <v>0</v>
      </c>
      <c r="S636" s="86">
        <f t="shared" si="151"/>
        <v>40</v>
      </c>
      <c r="AB636" s="111"/>
      <c r="AC636" s="111"/>
      <c r="AD636" s="111"/>
      <c r="AE636" s="112"/>
      <c r="AF636" s="113"/>
      <c r="AG636" s="49"/>
      <c r="AH636" s="49"/>
      <c r="AI636" s="112"/>
      <c r="AJ636" s="91"/>
      <c r="AK636" s="114"/>
      <c r="AL636" s="112"/>
      <c r="AP636" s="7"/>
    </row>
    <row r="637" spans="1:42" hidden="1" x14ac:dyDescent="0.35">
      <c r="A637" s="85">
        <v>46223</v>
      </c>
      <c r="B637" s="51" t="s">
        <v>85</v>
      </c>
      <c r="C637" s="97">
        <v>61123995.678571403</v>
      </c>
      <c r="D637" s="97">
        <v>87119.5</v>
      </c>
      <c r="E637" s="48" t="s">
        <v>86</v>
      </c>
      <c r="F637" s="94" t="s">
        <v>109</v>
      </c>
      <c r="G637" s="94" t="s">
        <v>599</v>
      </c>
      <c r="H637" s="94" t="s">
        <v>127</v>
      </c>
      <c r="I637" s="94" t="s">
        <v>602</v>
      </c>
      <c r="J637" s="52">
        <v>40</v>
      </c>
      <c r="K637" s="52"/>
      <c r="L637" s="52"/>
      <c r="M637" s="52"/>
      <c r="N637" s="104">
        <f t="shared" si="150"/>
        <v>0</v>
      </c>
      <c r="O637" s="52">
        <v>40</v>
      </c>
      <c r="P637" s="52"/>
      <c r="Q637" s="52">
        <v>40</v>
      </c>
      <c r="R637" s="104">
        <f t="shared" si="149"/>
        <v>80</v>
      </c>
      <c r="S637" s="86">
        <f t="shared" si="151"/>
        <v>120</v>
      </c>
      <c r="AB637" s="111"/>
      <c r="AC637" s="111"/>
      <c r="AD637" s="111"/>
      <c r="AE637" s="112"/>
      <c r="AF637" s="113"/>
      <c r="AG637" s="49"/>
      <c r="AH637" s="49"/>
      <c r="AI637" s="112"/>
      <c r="AJ637" s="91"/>
      <c r="AK637" s="114"/>
      <c r="AL637" s="112"/>
      <c r="AP637" s="7"/>
    </row>
    <row r="638" spans="1:42" hidden="1" x14ac:dyDescent="0.35">
      <c r="A638" s="85">
        <v>46223</v>
      </c>
      <c r="B638" s="51" t="s">
        <v>85</v>
      </c>
      <c r="C638" s="97">
        <v>61123995.678571403</v>
      </c>
      <c r="D638" s="97">
        <v>87119.5</v>
      </c>
      <c r="E638" s="48" t="s">
        <v>86</v>
      </c>
      <c r="F638" s="94" t="s">
        <v>108</v>
      </c>
      <c r="G638" s="94" t="s">
        <v>600</v>
      </c>
      <c r="H638" s="94" t="s">
        <v>127</v>
      </c>
      <c r="I638" s="94" t="s">
        <v>602</v>
      </c>
      <c r="J638" s="52">
        <v>40</v>
      </c>
      <c r="K638" s="52"/>
      <c r="L638" s="52"/>
      <c r="M638" s="52"/>
      <c r="N638" s="104">
        <f t="shared" si="150"/>
        <v>0</v>
      </c>
      <c r="O638" s="52"/>
      <c r="P638" s="52"/>
      <c r="Q638" s="52"/>
      <c r="R638" s="104">
        <f t="shared" si="149"/>
        <v>0</v>
      </c>
      <c r="S638" s="86">
        <f t="shared" si="151"/>
        <v>40</v>
      </c>
      <c r="AB638" s="111"/>
      <c r="AC638" s="111"/>
      <c r="AD638" s="111"/>
      <c r="AE638" s="112"/>
      <c r="AF638" s="113"/>
      <c r="AG638" s="49"/>
      <c r="AH638" s="49"/>
      <c r="AI638" s="112"/>
      <c r="AJ638" s="91"/>
      <c r="AK638" s="114"/>
      <c r="AL638" s="112"/>
      <c r="AP638" s="7"/>
    </row>
    <row r="639" spans="1:42" hidden="1" x14ac:dyDescent="0.35">
      <c r="A639" s="85">
        <v>46223</v>
      </c>
      <c r="B639" s="51" t="s">
        <v>85</v>
      </c>
      <c r="C639" s="97">
        <v>61123995.678571403</v>
      </c>
      <c r="D639" s="97">
        <v>87119.5</v>
      </c>
      <c r="E639" s="48" t="s">
        <v>86</v>
      </c>
      <c r="F639" s="94" t="s">
        <v>108</v>
      </c>
      <c r="G639" s="94" t="s">
        <v>601</v>
      </c>
      <c r="H639" s="94" t="s">
        <v>127</v>
      </c>
      <c r="I639" s="94" t="s">
        <v>602</v>
      </c>
      <c r="J639" s="52">
        <v>200</v>
      </c>
      <c r="K639" s="52">
        <v>80</v>
      </c>
      <c r="L639" s="52">
        <v>80</v>
      </c>
      <c r="M639" s="52"/>
      <c r="N639" s="104">
        <f t="shared" si="150"/>
        <v>160</v>
      </c>
      <c r="O639" s="52"/>
      <c r="P639" s="52"/>
      <c r="Q639" s="52"/>
      <c r="R639" s="104">
        <f t="shared" si="149"/>
        <v>0</v>
      </c>
      <c r="S639" s="86">
        <f t="shared" si="151"/>
        <v>360</v>
      </c>
      <c r="AB639" s="111"/>
      <c r="AC639" s="111"/>
      <c r="AD639" s="111"/>
      <c r="AE639" s="112"/>
      <c r="AF639" s="113"/>
      <c r="AG639" s="49"/>
      <c r="AH639" s="49"/>
      <c r="AI639" s="112"/>
      <c r="AJ639" s="91"/>
      <c r="AK639" s="114"/>
      <c r="AL639" s="112"/>
      <c r="AP639" s="7"/>
    </row>
    <row r="640" spans="1:42" hidden="1" x14ac:dyDescent="0.35">
      <c r="A640" s="85">
        <v>46223</v>
      </c>
      <c r="B640" s="51" t="s">
        <v>85</v>
      </c>
      <c r="C640" s="97">
        <v>61123995.678571403</v>
      </c>
      <c r="D640" s="97">
        <v>87119.5</v>
      </c>
      <c r="E640" s="48" t="s">
        <v>86</v>
      </c>
      <c r="F640" s="94" t="s">
        <v>108</v>
      </c>
      <c r="G640" s="94" t="s">
        <v>299</v>
      </c>
      <c r="H640" s="94" t="s">
        <v>435</v>
      </c>
      <c r="I640" s="94" t="s">
        <v>273</v>
      </c>
      <c r="J640" s="52">
        <v>80</v>
      </c>
      <c r="K640" s="52"/>
      <c r="L640" s="52"/>
      <c r="M640" s="52"/>
      <c r="N640" s="104">
        <f t="shared" si="150"/>
        <v>0</v>
      </c>
      <c r="O640" s="52"/>
      <c r="P640" s="52"/>
      <c r="Q640" s="52"/>
      <c r="R640" s="104">
        <f t="shared" si="149"/>
        <v>0</v>
      </c>
      <c r="S640" s="86">
        <f t="shared" si="151"/>
        <v>80</v>
      </c>
      <c r="AB640" s="111"/>
      <c r="AC640" s="111"/>
      <c r="AD640" s="111"/>
      <c r="AE640" s="112"/>
      <c r="AF640" s="113"/>
      <c r="AG640" s="49"/>
      <c r="AH640" s="49"/>
      <c r="AI640" s="112"/>
      <c r="AJ640" s="91"/>
      <c r="AK640" s="114"/>
      <c r="AL640" s="112"/>
      <c r="AP640" s="7"/>
    </row>
    <row r="641" spans="1:42" hidden="1" x14ac:dyDescent="0.35">
      <c r="A641" s="85">
        <v>46223</v>
      </c>
      <c r="B641" s="51" t="s">
        <v>85</v>
      </c>
      <c r="C641" s="97">
        <v>61123995.678571403</v>
      </c>
      <c r="D641" s="97">
        <v>87119.5</v>
      </c>
      <c r="E641" s="48" t="s">
        <v>86</v>
      </c>
      <c r="F641" s="94" t="s">
        <v>108</v>
      </c>
      <c r="G641" s="94" t="s">
        <v>604</v>
      </c>
      <c r="H641" s="94" t="s">
        <v>435</v>
      </c>
      <c r="I641" s="94" t="s">
        <v>273</v>
      </c>
      <c r="J641" s="52"/>
      <c r="K641" s="52"/>
      <c r="L641" s="52"/>
      <c r="M641" s="52"/>
      <c r="N641" s="104">
        <f t="shared" si="150"/>
        <v>0</v>
      </c>
      <c r="O641" s="52"/>
      <c r="P641" s="52"/>
      <c r="Q641" s="52">
        <v>6</v>
      </c>
      <c r="R641" s="104">
        <f t="shared" si="149"/>
        <v>6</v>
      </c>
      <c r="S641" s="86">
        <f t="shared" si="151"/>
        <v>6</v>
      </c>
      <c r="AB641" s="111"/>
      <c r="AC641" s="111"/>
      <c r="AD641" s="111"/>
      <c r="AE641" s="112"/>
      <c r="AF641" s="113"/>
      <c r="AG641" s="49"/>
      <c r="AH641" s="49"/>
      <c r="AI641" s="112"/>
      <c r="AJ641" s="91"/>
      <c r="AK641" s="114"/>
      <c r="AL641" s="112"/>
      <c r="AP641" s="7"/>
    </row>
    <row r="642" spans="1:42" hidden="1" x14ac:dyDescent="0.35">
      <c r="A642" s="85">
        <v>46223</v>
      </c>
      <c r="B642" s="51" t="s">
        <v>85</v>
      </c>
      <c r="C642" s="97">
        <v>61123995.678571403</v>
      </c>
      <c r="D642" s="97">
        <v>87119.5</v>
      </c>
      <c r="E642" s="48" t="s">
        <v>86</v>
      </c>
      <c r="F642" s="94" t="s">
        <v>108</v>
      </c>
      <c r="G642" s="94" t="s">
        <v>267</v>
      </c>
      <c r="H642" s="94" t="s">
        <v>435</v>
      </c>
      <c r="I642" s="94" t="s">
        <v>273</v>
      </c>
      <c r="J642" s="52"/>
      <c r="K642" s="52">
        <v>6</v>
      </c>
      <c r="L642" s="52">
        <v>6</v>
      </c>
      <c r="M642" s="52"/>
      <c r="N642" s="104">
        <f t="shared" si="150"/>
        <v>12</v>
      </c>
      <c r="O642" s="52"/>
      <c r="P642" s="52"/>
      <c r="Q642" s="52"/>
      <c r="R642" s="104">
        <f t="shared" si="149"/>
        <v>0</v>
      </c>
      <c r="S642" s="86">
        <f t="shared" si="151"/>
        <v>12</v>
      </c>
      <c r="AB642" s="111"/>
      <c r="AC642" s="111"/>
      <c r="AD642" s="111"/>
      <c r="AE642" s="112"/>
      <c r="AF642" s="113"/>
      <c r="AG642" s="49"/>
      <c r="AH642" s="49"/>
      <c r="AI642" s="112"/>
      <c r="AJ642" s="91"/>
      <c r="AK642" s="114"/>
      <c r="AL642" s="112"/>
      <c r="AP642" s="7"/>
    </row>
    <row r="643" spans="1:42" hidden="1" x14ac:dyDescent="0.35">
      <c r="A643" s="85">
        <v>46223</v>
      </c>
      <c r="B643" s="51" t="s">
        <v>85</v>
      </c>
      <c r="C643" s="97">
        <v>61123995.678571403</v>
      </c>
      <c r="D643" s="97">
        <v>87119.5</v>
      </c>
      <c r="E643" s="48" t="s">
        <v>86</v>
      </c>
      <c r="F643" s="94" t="s">
        <v>108</v>
      </c>
      <c r="G643" s="94" t="s">
        <v>605</v>
      </c>
      <c r="H643" s="94" t="s">
        <v>435</v>
      </c>
      <c r="I643" s="94" t="s">
        <v>273</v>
      </c>
      <c r="J643" s="52">
        <v>12</v>
      </c>
      <c r="K643" s="52"/>
      <c r="L643" s="52"/>
      <c r="M643" s="52"/>
      <c r="N643" s="104">
        <f t="shared" si="150"/>
        <v>0</v>
      </c>
      <c r="O643" s="52"/>
      <c r="P643" s="52"/>
      <c r="Q643" s="52"/>
      <c r="R643" s="104">
        <f t="shared" si="149"/>
        <v>0</v>
      </c>
      <c r="S643" s="86">
        <f t="shared" si="151"/>
        <v>12</v>
      </c>
      <c r="AB643" s="111"/>
      <c r="AC643" s="111"/>
      <c r="AD643" s="111"/>
      <c r="AE643" s="112"/>
      <c r="AF643" s="113"/>
      <c r="AG643" s="49"/>
      <c r="AH643" s="49"/>
      <c r="AI643" s="112"/>
      <c r="AJ643" s="91"/>
      <c r="AK643" s="114"/>
      <c r="AL643" s="112"/>
      <c r="AP643" s="7"/>
    </row>
    <row r="644" spans="1:42" hidden="1" x14ac:dyDescent="0.35">
      <c r="A644" s="85">
        <v>46223</v>
      </c>
      <c r="B644" s="51" t="s">
        <v>85</v>
      </c>
      <c r="C644" s="97">
        <v>61123995.678571403</v>
      </c>
      <c r="D644" s="97">
        <v>87119.5</v>
      </c>
      <c r="E644" s="48" t="s">
        <v>86</v>
      </c>
      <c r="F644" s="94" t="s">
        <v>108</v>
      </c>
      <c r="G644" s="94" t="s">
        <v>606</v>
      </c>
      <c r="H644" s="94" t="s">
        <v>435</v>
      </c>
      <c r="I644" s="94" t="s">
        <v>273</v>
      </c>
      <c r="J644" s="52"/>
      <c r="K644" s="52"/>
      <c r="L644" s="52"/>
      <c r="M644" s="52"/>
      <c r="N644" s="104">
        <f t="shared" si="150"/>
        <v>0</v>
      </c>
      <c r="O644" s="52"/>
      <c r="P644" s="52"/>
      <c r="Q644" s="52">
        <v>6</v>
      </c>
      <c r="R644" s="104">
        <f t="shared" ref="R644:R855" si="152">SUM(O644:Q644)</f>
        <v>6</v>
      </c>
      <c r="S644" s="86">
        <f t="shared" si="151"/>
        <v>6</v>
      </c>
      <c r="AB644" s="111"/>
      <c r="AC644" s="111"/>
      <c r="AD644" s="111"/>
      <c r="AE644" s="112"/>
      <c r="AF644" s="113"/>
      <c r="AG644" s="49"/>
      <c r="AH644" s="49"/>
      <c r="AI644" s="112"/>
      <c r="AJ644" s="91"/>
      <c r="AK644" s="114"/>
      <c r="AL644" s="112"/>
      <c r="AP644" s="7"/>
    </row>
    <row r="645" spans="1:42" hidden="1" x14ac:dyDescent="0.35">
      <c r="A645" s="85">
        <v>46223</v>
      </c>
      <c r="B645" s="51" t="s">
        <v>85</v>
      </c>
      <c r="C645" s="97">
        <v>61123995.678571403</v>
      </c>
      <c r="D645" s="97">
        <v>87119.5</v>
      </c>
      <c r="E645" s="48" t="s">
        <v>86</v>
      </c>
      <c r="F645" s="94" t="s">
        <v>108</v>
      </c>
      <c r="G645" s="94" t="s">
        <v>607</v>
      </c>
      <c r="H645" s="94" t="s">
        <v>435</v>
      </c>
      <c r="I645" s="94" t="s">
        <v>273</v>
      </c>
      <c r="J645" s="52"/>
      <c r="K645" s="52"/>
      <c r="L645" s="52"/>
      <c r="M645" s="52"/>
      <c r="N645" s="104">
        <f t="shared" ref="N645:N708" si="153">K645+L645+M645</f>
        <v>0</v>
      </c>
      <c r="O645" s="52">
        <v>6</v>
      </c>
      <c r="P645" s="52"/>
      <c r="Q645" s="52"/>
      <c r="R645" s="104">
        <f t="shared" si="152"/>
        <v>6</v>
      </c>
      <c r="S645" s="86">
        <f t="shared" ref="S645:S708" si="154">R645+N645+J645</f>
        <v>6</v>
      </c>
      <c r="AB645" s="111"/>
      <c r="AC645" s="111"/>
      <c r="AD645" s="111"/>
      <c r="AE645" s="112"/>
      <c r="AF645" s="113"/>
      <c r="AG645" s="49"/>
      <c r="AH645" s="49"/>
      <c r="AI645" s="112"/>
      <c r="AJ645" s="91"/>
      <c r="AK645" s="114"/>
      <c r="AL645" s="112"/>
      <c r="AP645" s="7"/>
    </row>
    <row r="646" spans="1:42" hidden="1" x14ac:dyDescent="0.35">
      <c r="A646" s="85">
        <v>46223</v>
      </c>
      <c r="B646" s="51" t="s">
        <v>85</v>
      </c>
      <c r="C646" s="97">
        <v>61123995.678571403</v>
      </c>
      <c r="D646" s="97">
        <v>87119.5</v>
      </c>
      <c r="E646" s="48" t="s">
        <v>86</v>
      </c>
      <c r="F646" s="94" t="s">
        <v>108</v>
      </c>
      <c r="G646" s="94" t="s">
        <v>608</v>
      </c>
      <c r="H646" s="94" t="s">
        <v>435</v>
      </c>
      <c r="I646" s="94" t="s">
        <v>273</v>
      </c>
      <c r="J646" s="52"/>
      <c r="K646" s="52"/>
      <c r="L646" s="52"/>
      <c r="M646" s="52"/>
      <c r="N646" s="104">
        <f t="shared" si="153"/>
        <v>0</v>
      </c>
      <c r="O646" s="52"/>
      <c r="P646" s="52">
        <v>6</v>
      </c>
      <c r="Q646" s="52"/>
      <c r="R646" s="104">
        <f t="shared" si="152"/>
        <v>6</v>
      </c>
      <c r="S646" s="86">
        <f t="shared" si="154"/>
        <v>6</v>
      </c>
      <c r="AB646" s="111"/>
      <c r="AC646" s="111"/>
      <c r="AD646" s="111"/>
      <c r="AE646" s="112"/>
      <c r="AF646" s="113"/>
      <c r="AG646" s="49"/>
      <c r="AH646" s="49"/>
      <c r="AI646" s="112"/>
      <c r="AJ646" s="91"/>
      <c r="AK646" s="114"/>
      <c r="AL646" s="112"/>
      <c r="AP646" s="7"/>
    </row>
    <row r="647" spans="1:42" hidden="1" x14ac:dyDescent="0.35">
      <c r="A647" s="85">
        <v>46223</v>
      </c>
      <c r="B647" s="51" t="s">
        <v>85</v>
      </c>
      <c r="C647" s="97">
        <v>61123995.678571403</v>
      </c>
      <c r="D647" s="97">
        <v>87119.5</v>
      </c>
      <c r="E647" s="48" t="s">
        <v>86</v>
      </c>
      <c r="F647" s="94" t="s">
        <v>108</v>
      </c>
      <c r="G647" s="94" t="s">
        <v>609</v>
      </c>
      <c r="H647" s="94" t="s">
        <v>435</v>
      </c>
      <c r="I647" s="94" t="s">
        <v>273</v>
      </c>
      <c r="J647" s="52">
        <v>10</v>
      </c>
      <c r="K647" s="52"/>
      <c r="L647" s="52"/>
      <c r="M647" s="52"/>
      <c r="N647" s="104">
        <f t="shared" si="153"/>
        <v>0</v>
      </c>
      <c r="O647" s="52"/>
      <c r="P647" s="52"/>
      <c r="Q647" s="52"/>
      <c r="R647" s="104">
        <f t="shared" si="152"/>
        <v>0</v>
      </c>
      <c r="S647" s="86">
        <f t="shared" si="154"/>
        <v>10</v>
      </c>
      <c r="AB647" s="111"/>
      <c r="AC647" s="111"/>
      <c r="AD647" s="111"/>
      <c r="AE647" s="112"/>
      <c r="AF647" s="113"/>
      <c r="AG647" s="49"/>
      <c r="AH647" s="49"/>
      <c r="AI647" s="112"/>
      <c r="AJ647" s="91"/>
      <c r="AK647" s="114"/>
      <c r="AL647" s="112"/>
      <c r="AP647" s="7"/>
    </row>
    <row r="648" spans="1:42" hidden="1" x14ac:dyDescent="0.35">
      <c r="A648" s="85">
        <v>46223</v>
      </c>
      <c r="B648" s="51" t="s">
        <v>85</v>
      </c>
      <c r="C648" s="97">
        <v>61123995.678571403</v>
      </c>
      <c r="D648" s="97">
        <v>87119.5</v>
      </c>
      <c r="E648" s="48" t="s">
        <v>86</v>
      </c>
      <c r="F648" s="94" t="s">
        <v>108</v>
      </c>
      <c r="G648" s="94" t="s">
        <v>133</v>
      </c>
      <c r="H648" s="94" t="s">
        <v>435</v>
      </c>
      <c r="I648" s="94" t="s">
        <v>273</v>
      </c>
      <c r="J648" s="52">
        <v>10</v>
      </c>
      <c r="K648" s="52"/>
      <c r="L648" s="52"/>
      <c r="M648" s="52"/>
      <c r="N648" s="104">
        <f t="shared" si="153"/>
        <v>0</v>
      </c>
      <c r="O648" s="52"/>
      <c r="P648" s="52"/>
      <c r="Q648" s="52"/>
      <c r="R648" s="104">
        <f t="shared" si="152"/>
        <v>0</v>
      </c>
      <c r="S648" s="86">
        <f t="shared" si="154"/>
        <v>10</v>
      </c>
      <c r="AB648" s="111"/>
      <c r="AC648" s="111"/>
      <c r="AD648" s="111"/>
      <c r="AE648" s="112"/>
      <c r="AF648" s="113"/>
      <c r="AG648" s="49"/>
      <c r="AH648" s="49"/>
      <c r="AI648" s="112"/>
      <c r="AJ648" s="91"/>
      <c r="AK648" s="114"/>
      <c r="AL648" s="112"/>
      <c r="AP648" s="7"/>
    </row>
    <row r="649" spans="1:42" hidden="1" x14ac:dyDescent="0.35">
      <c r="A649" s="85">
        <v>46223</v>
      </c>
      <c r="B649" s="51" t="s">
        <v>85</v>
      </c>
      <c r="C649" s="97">
        <v>61123995.678571403</v>
      </c>
      <c r="D649" s="97">
        <v>87119.5</v>
      </c>
      <c r="E649" s="48" t="s">
        <v>86</v>
      </c>
      <c r="F649" s="94" t="s">
        <v>108</v>
      </c>
      <c r="G649" s="94" t="s">
        <v>269</v>
      </c>
      <c r="H649" s="94" t="s">
        <v>435</v>
      </c>
      <c r="I649" s="94" t="s">
        <v>273</v>
      </c>
      <c r="J649" s="52">
        <v>10</v>
      </c>
      <c r="K649" s="52"/>
      <c r="L649" s="52"/>
      <c r="M649" s="52"/>
      <c r="N649" s="104">
        <f t="shared" si="153"/>
        <v>0</v>
      </c>
      <c r="O649" s="52"/>
      <c r="P649" s="52"/>
      <c r="Q649" s="52"/>
      <c r="R649" s="104">
        <f t="shared" si="152"/>
        <v>0</v>
      </c>
      <c r="S649" s="86">
        <f t="shared" si="154"/>
        <v>10</v>
      </c>
      <c r="AB649" s="111"/>
      <c r="AC649" s="111"/>
      <c r="AD649" s="111"/>
      <c r="AE649" s="112"/>
      <c r="AF649" s="113"/>
      <c r="AG649" s="49"/>
      <c r="AH649" s="49"/>
      <c r="AI649" s="112"/>
      <c r="AJ649" s="91"/>
      <c r="AK649" s="114"/>
      <c r="AL649" s="112"/>
      <c r="AP649" s="7"/>
    </row>
    <row r="650" spans="1:42" hidden="1" x14ac:dyDescent="0.35">
      <c r="A650" s="85">
        <v>46223</v>
      </c>
      <c r="B650" s="51" t="s">
        <v>85</v>
      </c>
      <c r="C650" s="97">
        <v>61123995.678571403</v>
      </c>
      <c r="D650" s="97">
        <v>87119.5</v>
      </c>
      <c r="E650" s="48" t="s">
        <v>86</v>
      </c>
      <c r="F650" s="94" t="s">
        <v>108</v>
      </c>
      <c r="G650" s="94" t="s">
        <v>610</v>
      </c>
      <c r="H650" s="94" t="s">
        <v>435</v>
      </c>
      <c r="I650" s="94" t="s">
        <v>273</v>
      </c>
      <c r="J650" s="52"/>
      <c r="K650" s="52">
        <v>40</v>
      </c>
      <c r="L650" s="52">
        <v>40</v>
      </c>
      <c r="M650" s="52"/>
      <c r="N650" s="104">
        <f t="shared" si="153"/>
        <v>80</v>
      </c>
      <c r="O650" s="52">
        <v>80</v>
      </c>
      <c r="P650" s="52">
        <v>80</v>
      </c>
      <c r="Q650" s="52">
        <v>160</v>
      </c>
      <c r="R650" s="104">
        <f t="shared" si="152"/>
        <v>320</v>
      </c>
      <c r="S650" s="86">
        <f t="shared" si="154"/>
        <v>400</v>
      </c>
      <c r="AB650" s="111"/>
      <c r="AC650" s="111"/>
      <c r="AD650" s="111"/>
      <c r="AE650" s="112"/>
      <c r="AF650" s="113"/>
      <c r="AG650" s="49"/>
      <c r="AH650" s="49"/>
      <c r="AI650" s="112"/>
      <c r="AJ650" s="91"/>
      <c r="AK650" s="114"/>
      <c r="AL650" s="112"/>
      <c r="AP650" s="7"/>
    </row>
    <row r="651" spans="1:42" hidden="1" x14ac:dyDescent="0.35">
      <c r="A651" s="85">
        <v>46223</v>
      </c>
      <c r="B651" s="51" t="s">
        <v>85</v>
      </c>
      <c r="C651" s="97">
        <v>61123995.678571403</v>
      </c>
      <c r="D651" s="97">
        <v>87119.5</v>
      </c>
      <c r="E651" s="48" t="s">
        <v>86</v>
      </c>
      <c r="F651" s="94" t="s">
        <v>108</v>
      </c>
      <c r="G651" s="94" t="s">
        <v>611</v>
      </c>
      <c r="H651" s="94" t="s">
        <v>435</v>
      </c>
      <c r="I651" s="94" t="s">
        <v>273</v>
      </c>
      <c r="J651" s="52">
        <v>10</v>
      </c>
      <c r="K651" s="52"/>
      <c r="L651" s="52"/>
      <c r="M651" s="52"/>
      <c r="N651" s="104">
        <f t="shared" si="153"/>
        <v>0</v>
      </c>
      <c r="O651" s="52"/>
      <c r="P651" s="52"/>
      <c r="Q651" s="52"/>
      <c r="R651" s="104">
        <f t="shared" si="152"/>
        <v>0</v>
      </c>
      <c r="S651" s="86">
        <f t="shared" si="154"/>
        <v>10</v>
      </c>
      <c r="AB651" s="111"/>
      <c r="AC651" s="111"/>
      <c r="AD651" s="111"/>
      <c r="AE651" s="112"/>
      <c r="AF651" s="113"/>
      <c r="AG651" s="49"/>
      <c r="AH651" s="49"/>
      <c r="AI651" s="112"/>
      <c r="AJ651" s="91"/>
      <c r="AK651" s="114"/>
      <c r="AL651" s="112"/>
      <c r="AP651" s="7"/>
    </row>
    <row r="652" spans="1:42" hidden="1" x14ac:dyDescent="0.35">
      <c r="A652" s="85">
        <v>46223</v>
      </c>
      <c r="B652" s="51" t="s">
        <v>85</v>
      </c>
      <c r="C652" s="97">
        <v>61123995.678571403</v>
      </c>
      <c r="D652" s="97">
        <v>87119.5</v>
      </c>
      <c r="E652" s="48" t="s">
        <v>86</v>
      </c>
      <c r="F652" s="94" t="s">
        <v>108</v>
      </c>
      <c r="G652" s="94" t="s">
        <v>612</v>
      </c>
      <c r="H652" s="94" t="s">
        <v>435</v>
      </c>
      <c r="I652" s="94" t="s">
        <v>273</v>
      </c>
      <c r="J652" s="52">
        <v>10</v>
      </c>
      <c r="K652" s="52"/>
      <c r="L652" s="52"/>
      <c r="M652" s="52"/>
      <c r="N652" s="104">
        <f t="shared" si="153"/>
        <v>0</v>
      </c>
      <c r="O652" s="52"/>
      <c r="P652" s="52"/>
      <c r="Q652" s="52"/>
      <c r="R652" s="104">
        <f t="shared" si="152"/>
        <v>0</v>
      </c>
      <c r="S652" s="86">
        <f t="shared" si="154"/>
        <v>10</v>
      </c>
      <c r="AB652" s="111"/>
      <c r="AC652" s="111"/>
      <c r="AD652" s="111"/>
      <c r="AE652" s="112"/>
      <c r="AF652" s="113"/>
      <c r="AG652" s="49"/>
      <c r="AH652" s="49"/>
      <c r="AI652" s="112"/>
      <c r="AJ652" s="91"/>
      <c r="AK652" s="114"/>
      <c r="AL652" s="112"/>
      <c r="AP652" s="7"/>
    </row>
    <row r="653" spans="1:42" hidden="1" x14ac:dyDescent="0.35">
      <c r="A653" s="85">
        <v>46223</v>
      </c>
      <c r="B653" s="51" t="s">
        <v>85</v>
      </c>
      <c r="C653" s="97">
        <v>61123995.678571403</v>
      </c>
      <c r="D653" s="97">
        <v>87119.5</v>
      </c>
      <c r="E653" s="48" t="s">
        <v>86</v>
      </c>
      <c r="F653" s="94" t="s">
        <v>108</v>
      </c>
      <c r="G653" s="94" t="s">
        <v>613</v>
      </c>
      <c r="H653" s="94" t="s">
        <v>435</v>
      </c>
      <c r="I653" s="94" t="s">
        <v>273</v>
      </c>
      <c r="J653" s="52">
        <v>10</v>
      </c>
      <c r="K653" s="52"/>
      <c r="L653" s="52"/>
      <c r="M653" s="52"/>
      <c r="N653" s="104">
        <f t="shared" si="153"/>
        <v>0</v>
      </c>
      <c r="O653" s="52"/>
      <c r="P653" s="52"/>
      <c r="Q653" s="52"/>
      <c r="R653" s="104">
        <f t="shared" si="152"/>
        <v>0</v>
      </c>
      <c r="S653" s="86">
        <f t="shared" si="154"/>
        <v>10</v>
      </c>
      <c r="AB653" s="111"/>
      <c r="AC653" s="111"/>
      <c r="AD653" s="111"/>
      <c r="AE653" s="112"/>
      <c r="AF653" s="113"/>
      <c r="AG653" s="49"/>
      <c r="AH653" s="49"/>
      <c r="AI653" s="112"/>
      <c r="AJ653" s="91"/>
      <c r="AK653" s="114"/>
      <c r="AL653" s="112"/>
      <c r="AP653" s="7"/>
    </row>
    <row r="654" spans="1:42" hidden="1" x14ac:dyDescent="0.35">
      <c r="A654" s="85">
        <v>46223</v>
      </c>
      <c r="B654" s="51" t="s">
        <v>85</v>
      </c>
      <c r="C654" s="97">
        <v>61123995.678571403</v>
      </c>
      <c r="D654" s="97">
        <v>87119.5</v>
      </c>
      <c r="E654" s="48" t="s">
        <v>86</v>
      </c>
      <c r="F654" s="94" t="s">
        <v>109</v>
      </c>
      <c r="G654" s="94" t="s">
        <v>614</v>
      </c>
      <c r="H654" s="94" t="s">
        <v>435</v>
      </c>
      <c r="I654" s="94" t="s">
        <v>273</v>
      </c>
      <c r="J654" s="52">
        <v>10</v>
      </c>
      <c r="K654" s="52"/>
      <c r="L654" s="52"/>
      <c r="M654" s="52"/>
      <c r="N654" s="104">
        <f t="shared" si="153"/>
        <v>0</v>
      </c>
      <c r="O654" s="52"/>
      <c r="P654" s="52"/>
      <c r="Q654" s="52"/>
      <c r="R654" s="104">
        <f t="shared" si="152"/>
        <v>0</v>
      </c>
      <c r="S654" s="86">
        <f t="shared" si="154"/>
        <v>10</v>
      </c>
      <c r="AB654" s="111"/>
      <c r="AC654" s="111"/>
      <c r="AD654" s="111"/>
      <c r="AE654" s="112"/>
      <c r="AF654" s="113"/>
      <c r="AG654" s="49"/>
      <c r="AH654" s="49"/>
      <c r="AI654" s="112"/>
      <c r="AJ654" s="91"/>
      <c r="AK654" s="114"/>
      <c r="AL654" s="112"/>
      <c r="AP654" s="7"/>
    </row>
    <row r="655" spans="1:42" hidden="1" x14ac:dyDescent="0.35">
      <c r="A655" s="85">
        <v>46223</v>
      </c>
      <c r="B655" s="51" t="s">
        <v>85</v>
      </c>
      <c r="C655" s="97">
        <v>61123995.678571403</v>
      </c>
      <c r="D655" s="97">
        <v>87119.5</v>
      </c>
      <c r="E655" s="48" t="s">
        <v>86</v>
      </c>
      <c r="F655" s="94" t="s">
        <v>108</v>
      </c>
      <c r="G655" s="94" t="s">
        <v>440</v>
      </c>
      <c r="H655" s="94" t="s">
        <v>435</v>
      </c>
      <c r="I655" s="94" t="s">
        <v>273</v>
      </c>
      <c r="J655" s="52">
        <v>40</v>
      </c>
      <c r="K655" s="52">
        <v>20</v>
      </c>
      <c r="L655" s="52">
        <v>20</v>
      </c>
      <c r="M655" s="52"/>
      <c r="N655" s="104">
        <f t="shared" si="153"/>
        <v>40</v>
      </c>
      <c r="O655" s="52">
        <v>40</v>
      </c>
      <c r="P655" s="52">
        <v>40</v>
      </c>
      <c r="Q655" s="52">
        <v>40</v>
      </c>
      <c r="R655" s="104">
        <f t="shared" si="152"/>
        <v>120</v>
      </c>
      <c r="S655" s="86">
        <f t="shared" si="154"/>
        <v>200</v>
      </c>
      <c r="AB655" s="111"/>
      <c r="AC655" s="111"/>
      <c r="AD655" s="111"/>
      <c r="AE655" s="112"/>
      <c r="AF655" s="113"/>
      <c r="AG655" s="49"/>
      <c r="AH655" s="49"/>
      <c r="AI655" s="112"/>
      <c r="AJ655" s="91"/>
      <c r="AK655" s="114"/>
      <c r="AL655" s="112"/>
      <c r="AP655" s="7"/>
    </row>
    <row r="656" spans="1:42" x14ac:dyDescent="0.35">
      <c r="A656" s="85">
        <v>46224</v>
      </c>
      <c r="B656" s="51" t="s">
        <v>85</v>
      </c>
      <c r="C656" s="97">
        <v>61123995.678571403</v>
      </c>
      <c r="D656" s="97">
        <v>87119.5</v>
      </c>
      <c r="E656" s="48" t="s">
        <v>86</v>
      </c>
      <c r="F656" s="94" t="s">
        <v>87</v>
      </c>
      <c r="G656" s="94" t="s">
        <v>425</v>
      </c>
      <c r="H656" s="94" t="s">
        <v>89</v>
      </c>
      <c r="I656" s="94" t="s">
        <v>568</v>
      </c>
      <c r="J656" s="52"/>
      <c r="K656" s="52">
        <v>40</v>
      </c>
      <c r="L656" s="52">
        <v>400</v>
      </c>
      <c r="M656" s="52"/>
      <c r="N656" s="104">
        <f t="shared" si="153"/>
        <v>440</v>
      </c>
      <c r="O656" s="52">
        <v>160</v>
      </c>
      <c r="P656" s="52">
        <v>320</v>
      </c>
      <c r="Q656" s="52">
        <v>200</v>
      </c>
      <c r="R656" s="104">
        <f t="shared" si="152"/>
        <v>680</v>
      </c>
      <c r="S656" s="86">
        <f t="shared" si="154"/>
        <v>1120</v>
      </c>
      <c r="AB656" s="111"/>
      <c r="AC656" s="111"/>
      <c r="AD656" s="111"/>
      <c r="AE656" s="112"/>
      <c r="AF656" s="113"/>
      <c r="AG656" s="49"/>
      <c r="AH656" s="49"/>
      <c r="AI656" s="112"/>
      <c r="AJ656" s="91"/>
      <c r="AK656" s="114"/>
      <c r="AL656" s="112"/>
      <c r="AP656" s="7"/>
    </row>
    <row r="657" spans="1:42" x14ac:dyDescent="0.35">
      <c r="A657" s="85">
        <v>46224</v>
      </c>
      <c r="B657" s="51" t="s">
        <v>85</v>
      </c>
      <c r="C657" s="97">
        <v>61123995.678571403</v>
      </c>
      <c r="D657" s="97">
        <v>87119.5</v>
      </c>
      <c r="E657" s="48" t="s">
        <v>86</v>
      </c>
      <c r="F657" s="94" t="s">
        <v>87</v>
      </c>
      <c r="G657" s="94" t="s">
        <v>425</v>
      </c>
      <c r="H657" s="94" t="s">
        <v>89</v>
      </c>
      <c r="I657" s="94" t="s">
        <v>617</v>
      </c>
      <c r="J657" s="52"/>
      <c r="K657" s="52">
        <v>200</v>
      </c>
      <c r="L657" s="52">
        <v>320</v>
      </c>
      <c r="M657" s="52"/>
      <c r="N657" s="104">
        <f t="shared" si="153"/>
        <v>520</v>
      </c>
      <c r="O657" s="52">
        <v>320</v>
      </c>
      <c r="P657" s="52">
        <v>400</v>
      </c>
      <c r="Q657" s="52">
        <v>520</v>
      </c>
      <c r="R657" s="104">
        <f t="shared" si="152"/>
        <v>1240</v>
      </c>
      <c r="S657" s="86">
        <f t="shared" si="154"/>
        <v>1760</v>
      </c>
      <c r="AB657" s="111"/>
      <c r="AC657" s="111"/>
      <c r="AD657" s="111"/>
      <c r="AE657" s="112"/>
      <c r="AF657" s="113"/>
      <c r="AG657" s="49"/>
      <c r="AH657" s="49"/>
      <c r="AI657" s="112"/>
      <c r="AJ657" s="91"/>
      <c r="AK657" s="114"/>
      <c r="AL657" s="112"/>
      <c r="AP657" s="7"/>
    </row>
    <row r="658" spans="1:42" x14ac:dyDescent="0.35">
      <c r="A658" s="85">
        <v>46224</v>
      </c>
      <c r="B658" s="51" t="s">
        <v>85</v>
      </c>
      <c r="C658" s="97">
        <v>61123995.678571403</v>
      </c>
      <c r="D658" s="97">
        <v>87119.5</v>
      </c>
      <c r="E658" s="48" t="s">
        <v>86</v>
      </c>
      <c r="F658" s="94" t="s">
        <v>87</v>
      </c>
      <c r="G658" s="94" t="s">
        <v>615</v>
      </c>
      <c r="H658" s="94" t="s">
        <v>89</v>
      </c>
      <c r="I658" s="94" t="s">
        <v>618</v>
      </c>
      <c r="J658" s="52"/>
      <c r="K658" s="52">
        <v>240</v>
      </c>
      <c r="L658" s="52">
        <v>240</v>
      </c>
      <c r="M658" s="52"/>
      <c r="N658" s="104">
        <f t="shared" si="153"/>
        <v>480</v>
      </c>
      <c r="O658" s="52">
        <v>240</v>
      </c>
      <c r="P658" s="52">
        <v>240</v>
      </c>
      <c r="Q658" s="52">
        <v>240</v>
      </c>
      <c r="R658" s="104">
        <f t="shared" si="152"/>
        <v>720</v>
      </c>
      <c r="S658" s="86">
        <f t="shared" si="154"/>
        <v>1200</v>
      </c>
      <c r="AB658" s="111"/>
      <c r="AC658" s="111"/>
      <c r="AD658" s="111"/>
      <c r="AE658" s="112"/>
      <c r="AF658" s="113"/>
      <c r="AG658" s="49"/>
      <c r="AH658" s="49"/>
      <c r="AI658" s="112"/>
      <c r="AJ658" s="91"/>
      <c r="AK658" s="114"/>
      <c r="AL658" s="112"/>
      <c r="AP658" s="7"/>
    </row>
    <row r="659" spans="1:42" x14ac:dyDescent="0.35">
      <c r="A659" s="85">
        <v>46224</v>
      </c>
      <c r="B659" s="51" t="s">
        <v>85</v>
      </c>
      <c r="C659" s="97">
        <v>61123995.678571403</v>
      </c>
      <c r="D659" s="97">
        <v>87119.5</v>
      </c>
      <c r="E659" s="48" t="s">
        <v>86</v>
      </c>
      <c r="F659" s="94" t="s">
        <v>87</v>
      </c>
      <c r="G659" s="94" t="s">
        <v>616</v>
      </c>
      <c r="H659" s="94" t="s">
        <v>89</v>
      </c>
      <c r="I659" s="94" t="s">
        <v>568</v>
      </c>
      <c r="J659" s="52"/>
      <c r="K659" s="52">
        <v>200</v>
      </c>
      <c r="L659" s="52">
        <v>200</v>
      </c>
      <c r="M659" s="52"/>
      <c r="N659" s="104">
        <f t="shared" si="153"/>
        <v>400</v>
      </c>
      <c r="O659" s="52">
        <v>200</v>
      </c>
      <c r="P659" s="52">
        <v>200</v>
      </c>
      <c r="Q659" s="52">
        <v>200</v>
      </c>
      <c r="R659" s="104">
        <f t="shared" si="152"/>
        <v>600</v>
      </c>
      <c r="S659" s="86">
        <f t="shared" si="154"/>
        <v>1000</v>
      </c>
      <c r="AB659" s="111"/>
      <c r="AC659" s="111"/>
      <c r="AD659" s="111"/>
      <c r="AE659" s="112"/>
      <c r="AF659" s="113"/>
      <c r="AG659" s="49"/>
      <c r="AH659" s="49"/>
      <c r="AI659" s="112"/>
      <c r="AJ659" s="91"/>
      <c r="AK659" s="114"/>
      <c r="AL659" s="112"/>
      <c r="AP659" s="7"/>
    </row>
    <row r="660" spans="1:42" x14ac:dyDescent="0.35">
      <c r="A660" s="85">
        <v>46224</v>
      </c>
      <c r="B660" s="51" t="s">
        <v>85</v>
      </c>
      <c r="C660" s="97">
        <v>61123995.678571403</v>
      </c>
      <c r="D660" s="97">
        <v>87119.5</v>
      </c>
      <c r="E660" s="48" t="s">
        <v>86</v>
      </c>
      <c r="F660" s="94" t="s">
        <v>87</v>
      </c>
      <c r="G660" s="94" t="s">
        <v>593</v>
      </c>
      <c r="H660" s="94" t="s">
        <v>89</v>
      </c>
      <c r="I660" s="94" t="s">
        <v>448</v>
      </c>
      <c r="J660" s="52"/>
      <c r="K660" s="52">
        <v>80</v>
      </c>
      <c r="L660" s="52">
        <v>80</v>
      </c>
      <c r="M660" s="52"/>
      <c r="N660" s="104">
        <f t="shared" si="153"/>
        <v>160</v>
      </c>
      <c r="O660" s="52">
        <v>80</v>
      </c>
      <c r="P660" s="52">
        <v>80</v>
      </c>
      <c r="Q660" s="52">
        <v>120</v>
      </c>
      <c r="R660" s="104">
        <f t="shared" si="152"/>
        <v>280</v>
      </c>
      <c r="S660" s="86">
        <f t="shared" si="154"/>
        <v>440</v>
      </c>
      <c r="AB660" s="111"/>
      <c r="AC660" s="111"/>
      <c r="AD660" s="111"/>
      <c r="AE660" s="112"/>
      <c r="AF660" s="113"/>
      <c r="AG660" s="49"/>
      <c r="AH660" s="49"/>
      <c r="AI660" s="112"/>
      <c r="AJ660" s="91"/>
      <c r="AK660" s="114"/>
      <c r="AL660" s="112"/>
      <c r="AP660" s="7"/>
    </row>
    <row r="661" spans="1:42" hidden="1" x14ac:dyDescent="0.35">
      <c r="A661" s="85">
        <v>46224</v>
      </c>
      <c r="B661" s="51" t="s">
        <v>85</v>
      </c>
      <c r="C661" s="97">
        <v>61123995.678571403</v>
      </c>
      <c r="D661" s="97">
        <v>87119.5</v>
      </c>
      <c r="E661" s="48" t="s">
        <v>86</v>
      </c>
      <c r="F661" s="118" t="s">
        <v>367</v>
      </c>
      <c r="G661" s="118" t="s">
        <v>420</v>
      </c>
      <c r="H661" s="118" t="s">
        <v>421</v>
      </c>
      <c r="I661" s="52" t="s">
        <v>247</v>
      </c>
      <c r="J661" s="52">
        <v>4000</v>
      </c>
      <c r="K661" s="52">
        <v>600</v>
      </c>
      <c r="L661" s="52">
        <v>800</v>
      </c>
      <c r="M661" s="52"/>
      <c r="N661" s="104">
        <f t="shared" si="153"/>
        <v>1400</v>
      </c>
      <c r="O661" s="52">
        <v>2800</v>
      </c>
      <c r="P661" s="52">
        <v>1200</v>
      </c>
      <c r="Q661" s="52">
        <v>2600</v>
      </c>
      <c r="R661" s="104">
        <f t="shared" si="152"/>
        <v>6600</v>
      </c>
      <c r="S661" s="86">
        <f t="shared" si="154"/>
        <v>12000</v>
      </c>
      <c r="T661" s="110"/>
      <c r="AB661" s="111"/>
      <c r="AC661" s="111"/>
      <c r="AD661" s="111"/>
      <c r="AE661" s="112"/>
      <c r="AF661" s="113"/>
      <c r="AG661" s="49"/>
      <c r="AH661" s="49"/>
      <c r="AI661" s="112"/>
      <c r="AJ661" s="91"/>
      <c r="AK661" s="114"/>
      <c r="AL661" s="112"/>
      <c r="AP661" s="7"/>
    </row>
    <row r="662" spans="1:42" hidden="1" x14ac:dyDescent="0.35">
      <c r="A662" s="85">
        <v>46224</v>
      </c>
      <c r="B662" s="51" t="s">
        <v>85</v>
      </c>
      <c r="C662" s="97">
        <v>61123995.678571403</v>
      </c>
      <c r="D662" s="97">
        <v>87119.5</v>
      </c>
      <c r="E662" s="48" t="s">
        <v>86</v>
      </c>
      <c r="F662" s="94" t="s">
        <v>108</v>
      </c>
      <c r="G662" s="94" t="s">
        <v>619</v>
      </c>
      <c r="H662" s="94" t="s">
        <v>460</v>
      </c>
      <c r="I662" s="94" t="s">
        <v>624</v>
      </c>
      <c r="J662" s="52"/>
      <c r="K662" s="52"/>
      <c r="L662" s="52"/>
      <c r="M662" s="52"/>
      <c r="N662" s="104">
        <f t="shared" si="153"/>
        <v>0</v>
      </c>
      <c r="O662" s="52">
        <v>25</v>
      </c>
      <c r="P662" s="52">
        <v>25</v>
      </c>
      <c r="Q662" s="52">
        <v>30</v>
      </c>
      <c r="R662" s="104">
        <f t="shared" si="152"/>
        <v>80</v>
      </c>
      <c r="S662" s="86">
        <f t="shared" si="154"/>
        <v>80</v>
      </c>
      <c r="AB662" s="111"/>
      <c r="AC662" s="111"/>
      <c r="AD662" s="111"/>
      <c r="AE662" s="112"/>
      <c r="AF662" s="113"/>
      <c r="AG662" s="49"/>
      <c r="AH662" s="49"/>
      <c r="AI662" s="112"/>
      <c r="AJ662" s="91"/>
      <c r="AK662" s="114"/>
      <c r="AL662" s="112"/>
      <c r="AP662" s="7"/>
    </row>
    <row r="663" spans="1:42" hidden="1" x14ac:dyDescent="0.35">
      <c r="A663" s="85">
        <v>46224</v>
      </c>
      <c r="B663" s="51" t="s">
        <v>85</v>
      </c>
      <c r="C663" s="97">
        <v>61123995.678571403</v>
      </c>
      <c r="D663" s="97">
        <v>87119.5</v>
      </c>
      <c r="E663" s="48" t="s">
        <v>86</v>
      </c>
      <c r="F663" s="94" t="s">
        <v>108</v>
      </c>
      <c r="G663" s="94" t="s">
        <v>620</v>
      </c>
      <c r="H663" s="94" t="s">
        <v>460</v>
      </c>
      <c r="I663" s="94" t="s">
        <v>624</v>
      </c>
      <c r="J663" s="52"/>
      <c r="K663" s="52"/>
      <c r="L663" s="52"/>
      <c r="M663" s="52"/>
      <c r="N663" s="104">
        <f t="shared" si="153"/>
        <v>0</v>
      </c>
      <c r="O663" s="52">
        <v>10</v>
      </c>
      <c r="P663" s="52">
        <v>15</v>
      </c>
      <c r="Q663" s="52">
        <v>15</v>
      </c>
      <c r="R663" s="104">
        <f t="shared" si="152"/>
        <v>40</v>
      </c>
      <c r="S663" s="86">
        <f t="shared" si="154"/>
        <v>40</v>
      </c>
      <c r="AB663" s="111"/>
      <c r="AC663" s="111"/>
      <c r="AD663" s="111"/>
      <c r="AE663" s="112"/>
      <c r="AF663" s="113"/>
      <c r="AG663" s="49"/>
      <c r="AH663" s="49"/>
      <c r="AI663" s="112"/>
      <c r="AJ663" s="91"/>
      <c r="AK663" s="114"/>
      <c r="AL663" s="112"/>
      <c r="AP663" s="7"/>
    </row>
    <row r="664" spans="1:42" hidden="1" x14ac:dyDescent="0.35">
      <c r="A664" s="85">
        <v>46224</v>
      </c>
      <c r="B664" s="51" t="s">
        <v>85</v>
      </c>
      <c r="C664" s="97">
        <v>61123995.678571403</v>
      </c>
      <c r="D664" s="97">
        <v>87119.5</v>
      </c>
      <c r="E664" s="48" t="s">
        <v>86</v>
      </c>
      <c r="F664" s="94" t="s">
        <v>108</v>
      </c>
      <c r="G664" s="94" t="s">
        <v>133</v>
      </c>
      <c r="H664" s="94" t="s">
        <v>460</v>
      </c>
      <c r="I664" s="94" t="s">
        <v>624</v>
      </c>
      <c r="J664" s="52">
        <v>12</v>
      </c>
      <c r="K664" s="52"/>
      <c r="L664" s="52"/>
      <c r="M664" s="52"/>
      <c r="N664" s="104">
        <f t="shared" si="153"/>
        <v>0</v>
      </c>
      <c r="O664" s="52"/>
      <c r="P664" s="52"/>
      <c r="Q664" s="52"/>
      <c r="R664" s="104">
        <f t="shared" si="152"/>
        <v>0</v>
      </c>
      <c r="S664" s="86">
        <f t="shared" si="154"/>
        <v>12</v>
      </c>
      <c r="AB664" s="111"/>
      <c r="AC664" s="111"/>
      <c r="AD664" s="111"/>
      <c r="AE664" s="112"/>
      <c r="AF664" s="113"/>
      <c r="AG664" s="49"/>
      <c r="AH664" s="49"/>
      <c r="AI664" s="112"/>
      <c r="AJ664" s="91"/>
      <c r="AK664" s="114"/>
      <c r="AL664" s="112"/>
      <c r="AP664" s="7"/>
    </row>
    <row r="665" spans="1:42" hidden="1" x14ac:dyDescent="0.35">
      <c r="A665" s="85">
        <v>46224</v>
      </c>
      <c r="B665" s="51" t="s">
        <v>85</v>
      </c>
      <c r="C665" s="97">
        <v>61123995.678571403</v>
      </c>
      <c r="D665" s="97">
        <v>87119.5</v>
      </c>
      <c r="E665" s="48" t="s">
        <v>86</v>
      </c>
      <c r="F665" s="94" t="s">
        <v>108</v>
      </c>
      <c r="G665" s="94" t="s">
        <v>164</v>
      </c>
      <c r="H665" s="94" t="s">
        <v>460</v>
      </c>
      <c r="I665" s="94" t="s">
        <v>624</v>
      </c>
      <c r="J665" s="52">
        <v>40</v>
      </c>
      <c r="K665" s="52"/>
      <c r="L665" s="52"/>
      <c r="M665" s="52"/>
      <c r="N665" s="104">
        <f t="shared" si="153"/>
        <v>0</v>
      </c>
      <c r="O665" s="52"/>
      <c r="P665" s="52"/>
      <c r="Q665" s="52"/>
      <c r="R665" s="104">
        <f t="shared" si="152"/>
        <v>0</v>
      </c>
      <c r="S665" s="86">
        <f t="shared" si="154"/>
        <v>40</v>
      </c>
      <c r="AB665" s="111"/>
      <c r="AC665" s="111"/>
      <c r="AD665" s="111"/>
      <c r="AE665" s="112"/>
      <c r="AF665" s="113"/>
      <c r="AG665" s="49"/>
      <c r="AH665" s="49"/>
      <c r="AI665" s="112"/>
      <c r="AJ665" s="91"/>
      <c r="AK665" s="114"/>
      <c r="AL665" s="112"/>
      <c r="AP665" s="7"/>
    </row>
    <row r="666" spans="1:42" hidden="1" x14ac:dyDescent="0.35">
      <c r="A666" s="85">
        <v>46224</v>
      </c>
      <c r="B666" s="51" t="s">
        <v>85</v>
      </c>
      <c r="C666" s="97">
        <v>61123995.678571403</v>
      </c>
      <c r="D666" s="97">
        <v>87119.5</v>
      </c>
      <c r="E666" s="48" t="s">
        <v>86</v>
      </c>
      <c r="F666" s="94" t="s">
        <v>108</v>
      </c>
      <c r="G666" s="94" t="s">
        <v>621</v>
      </c>
      <c r="H666" s="94" t="s">
        <v>460</v>
      </c>
      <c r="I666" s="94" t="s">
        <v>624</v>
      </c>
      <c r="J666" s="52">
        <v>14</v>
      </c>
      <c r="K666" s="52">
        <v>12</v>
      </c>
      <c r="L666" s="52">
        <v>12</v>
      </c>
      <c r="M666" s="52"/>
      <c r="N666" s="104">
        <f t="shared" si="153"/>
        <v>24</v>
      </c>
      <c r="O666" s="52">
        <v>8</v>
      </c>
      <c r="P666" s="52">
        <v>8</v>
      </c>
      <c r="Q666" s="52">
        <v>8</v>
      </c>
      <c r="R666" s="104">
        <f t="shared" si="152"/>
        <v>24</v>
      </c>
      <c r="S666" s="86">
        <f t="shared" si="154"/>
        <v>62</v>
      </c>
      <c r="AB666" s="111"/>
      <c r="AC666" s="111"/>
      <c r="AD666" s="111"/>
      <c r="AE666" s="112"/>
      <c r="AF666" s="113"/>
      <c r="AG666" s="49"/>
      <c r="AH666" s="49"/>
      <c r="AI666" s="112"/>
      <c r="AJ666" s="91"/>
      <c r="AK666" s="114"/>
      <c r="AL666" s="112"/>
      <c r="AP666" s="7"/>
    </row>
    <row r="667" spans="1:42" hidden="1" x14ac:dyDescent="0.35">
      <c r="A667" s="85">
        <v>46224</v>
      </c>
      <c r="B667" s="51" t="s">
        <v>85</v>
      </c>
      <c r="C667" s="97">
        <v>61123995.678571403</v>
      </c>
      <c r="D667" s="97">
        <v>87119.5</v>
      </c>
      <c r="E667" s="48" t="s">
        <v>86</v>
      </c>
      <c r="F667" s="94" t="s">
        <v>108</v>
      </c>
      <c r="G667" s="94" t="s">
        <v>622</v>
      </c>
      <c r="H667" s="94" t="s">
        <v>460</v>
      </c>
      <c r="I667" s="94" t="s">
        <v>624</v>
      </c>
      <c r="J667" s="52">
        <v>14</v>
      </c>
      <c r="K667" s="52">
        <v>12</v>
      </c>
      <c r="L667" s="52">
        <v>12</v>
      </c>
      <c r="M667" s="52"/>
      <c r="N667" s="104">
        <f t="shared" si="153"/>
        <v>24</v>
      </c>
      <c r="O667" s="52"/>
      <c r="P667" s="52"/>
      <c r="Q667" s="52"/>
      <c r="R667" s="104">
        <f t="shared" si="152"/>
        <v>0</v>
      </c>
      <c r="S667" s="86">
        <f t="shared" si="154"/>
        <v>38</v>
      </c>
      <c r="AB667" s="111"/>
      <c r="AC667" s="111"/>
      <c r="AD667" s="111"/>
      <c r="AE667" s="112"/>
      <c r="AF667" s="113"/>
      <c r="AG667" s="49"/>
      <c r="AH667" s="49"/>
      <c r="AI667" s="112"/>
      <c r="AJ667" s="91"/>
      <c r="AK667" s="114"/>
      <c r="AL667" s="112"/>
      <c r="AP667" s="7"/>
    </row>
    <row r="668" spans="1:42" hidden="1" x14ac:dyDescent="0.35">
      <c r="A668" s="85">
        <v>46224</v>
      </c>
      <c r="B668" s="51" t="s">
        <v>85</v>
      </c>
      <c r="C668" s="97">
        <v>61123995.678571403</v>
      </c>
      <c r="D668" s="97">
        <v>87119.5</v>
      </c>
      <c r="E668" s="48" t="s">
        <v>86</v>
      </c>
      <c r="F668" s="94" t="s">
        <v>108</v>
      </c>
      <c r="G668" s="94" t="s">
        <v>623</v>
      </c>
      <c r="H668" s="94" t="s">
        <v>460</v>
      </c>
      <c r="I668" s="94" t="s">
        <v>624</v>
      </c>
      <c r="J668" s="52">
        <v>15</v>
      </c>
      <c r="K668" s="52">
        <v>10</v>
      </c>
      <c r="L668" s="52">
        <v>15</v>
      </c>
      <c r="M668" s="52"/>
      <c r="N668" s="104">
        <f t="shared" si="153"/>
        <v>25</v>
      </c>
      <c r="O668" s="52"/>
      <c r="P668" s="52"/>
      <c r="Q668" s="52"/>
      <c r="R668" s="104">
        <f t="shared" si="152"/>
        <v>0</v>
      </c>
      <c r="S668" s="86">
        <f t="shared" si="154"/>
        <v>40</v>
      </c>
      <c r="AB668" s="111"/>
      <c r="AC668" s="111"/>
      <c r="AD668" s="111"/>
      <c r="AE668" s="112"/>
      <c r="AF668" s="113"/>
      <c r="AG668" s="49"/>
      <c r="AH668" s="49"/>
      <c r="AI668" s="112"/>
      <c r="AJ668" s="91"/>
      <c r="AK668" s="114"/>
      <c r="AL668" s="112"/>
      <c r="AP668" s="7"/>
    </row>
    <row r="669" spans="1:42" hidden="1" x14ac:dyDescent="0.35">
      <c r="A669" s="85">
        <v>46224</v>
      </c>
      <c r="B669" s="51" t="s">
        <v>85</v>
      </c>
      <c r="C669" s="97">
        <v>61123995.678571403</v>
      </c>
      <c r="D669" s="97">
        <v>87119.5</v>
      </c>
      <c r="E669" s="48" t="s">
        <v>86</v>
      </c>
      <c r="F669" s="94" t="s">
        <v>108</v>
      </c>
      <c r="G669" s="94" t="s">
        <v>283</v>
      </c>
      <c r="H669" s="94" t="s">
        <v>112</v>
      </c>
      <c r="I669" s="94" t="s">
        <v>625</v>
      </c>
      <c r="J669" s="52"/>
      <c r="K669" s="52"/>
      <c r="L669" s="52"/>
      <c r="M669" s="52"/>
      <c r="N669" s="104">
        <f t="shared" si="153"/>
        <v>0</v>
      </c>
      <c r="O669" s="52">
        <v>30</v>
      </c>
      <c r="P669" s="52">
        <v>10</v>
      </c>
      <c r="Q669" s="52">
        <v>40</v>
      </c>
      <c r="R669" s="104">
        <f t="shared" si="152"/>
        <v>80</v>
      </c>
      <c r="S669" s="86">
        <f t="shared" si="154"/>
        <v>80</v>
      </c>
      <c r="AB669" s="111"/>
      <c r="AC669" s="111"/>
      <c r="AD669" s="111"/>
      <c r="AE669" s="112"/>
      <c r="AF669" s="113"/>
      <c r="AG669" s="49"/>
      <c r="AH669" s="49"/>
      <c r="AI669" s="112"/>
      <c r="AJ669" s="91"/>
      <c r="AK669" s="114"/>
      <c r="AL669" s="112"/>
      <c r="AP669" s="7"/>
    </row>
    <row r="670" spans="1:42" hidden="1" x14ac:dyDescent="0.35">
      <c r="A670" s="85">
        <v>46224</v>
      </c>
      <c r="B670" s="51" t="s">
        <v>85</v>
      </c>
      <c r="C670" s="97">
        <v>61123995.678571403</v>
      </c>
      <c r="D670" s="97">
        <v>87119.5</v>
      </c>
      <c r="E670" s="48" t="s">
        <v>86</v>
      </c>
      <c r="F670" s="94" t="s">
        <v>108</v>
      </c>
      <c r="G670" s="94" t="s">
        <v>225</v>
      </c>
      <c r="H670" s="94" t="s">
        <v>112</v>
      </c>
      <c r="I670" s="94" t="s">
        <v>625</v>
      </c>
      <c r="J670" s="52"/>
      <c r="K670" s="52"/>
      <c r="L670" s="52"/>
      <c r="M670" s="52"/>
      <c r="N670" s="104">
        <f t="shared" si="153"/>
        <v>0</v>
      </c>
      <c r="O670" s="52">
        <v>40</v>
      </c>
      <c r="P670" s="52">
        <v>40</v>
      </c>
      <c r="Q670" s="52">
        <v>80</v>
      </c>
      <c r="R670" s="104">
        <f t="shared" si="152"/>
        <v>160</v>
      </c>
      <c r="S670" s="86">
        <f t="shared" si="154"/>
        <v>160</v>
      </c>
      <c r="AB670" s="111"/>
      <c r="AC670" s="111"/>
      <c r="AD670" s="111"/>
      <c r="AE670" s="112"/>
      <c r="AF670" s="113"/>
      <c r="AG670" s="49"/>
      <c r="AH670" s="49"/>
      <c r="AI670" s="112"/>
      <c r="AJ670" s="91"/>
      <c r="AK670" s="114"/>
      <c r="AL670" s="112"/>
      <c r="AP670" s="7"/>
    </row>
    <row r="671" spans="1:42" hidden="1" x14ac:dyDescent="0.35">
      <c r="A671" s="85">
        <v>46224</v>
      </c>
      <c r="B671" s="51" t="s">
        <v>85</v>
      </c>
      <c r="C671" s="97">
        <v>61123995.678571403</v>
      </c>
      <c r="D671" s="97">
        <v>87119.5</v>
      </c>
      <c r="E671" s="48" t="s">
        <v>86</v>
      </c>
      <c r="F671" s="94" t="s">
        <v>108</v>
      </c>
      <c r="G671" s="94" t="s">
        <v>626</v>
      </c>
      <c r="H671" s="94" t="s">
        <v>433</v>
      </c>
      <c r="I671" s="94" t="s">
        <v>631</v>
      </c>
      <c r="J671" s="52">
        <v>6</v>
      </c>
      <c r="K671" s="52"/>
      <c r="L671" s="52"/>
      <c r="M671" s="52"/>
      <c r="N671" s="104">
        <f t="shared" si="153"/>
        <v>0</v>
      </c>
      <c r="O671" s="52"/>
      <c r="P671" s="52"/>
      <c r="Q671" s="52"/>
      <c r="R671" s="104">
        <f t="shared" si="152"/>
        <v>0</v>
      </c>
      <c r="S671" s="86">
        <f t="shared" si="154"/>
        <v>6</v>
      </c>
      <c r="AB671" s="111"/>
      <c r="AC671" s="111"/>
      <c r="AD671" s="111"/>
      <c r="AE671" s="112"/>
      <c r="AF671" s="113"/>
      <c r="AG671" s="49"/>
      <c r="AH671" s="49"/>
      <c r="AI671" s="112"/>
      <c r="AJ671" s="91"/>
      <c r="AK671" s="114"/>
      <c r="AL671" s="112"/>
      <c r="AP671" s="7"/>
    </row>
    <row r="672" spans="1:42" hidden="1" x14ac:dyDescent="0.35">
      <c r="A672" s="85">
        <v>46224</v>
      </c>
      <c r="B672" s="51" t="s">
        <v>85</v>
      </c>
      <c r="C672" s="97">
        <v>61123995.678571403</v>
      </c>
      <c r="D672" s="97">
        <v>87119.5</v>
      </c>
      <c r="E672" s="48" t="s">
        <v>86</v>
      </c>
      <c r="F672" s="94" t="s">
        <v>108</v>
      </c>
      <c r="G672" s="94" t="s">
        <v>471</v>
      </c>
      <c r="H672" s="94" t="s">
        <v>433</v>
      </c>
      <c r="I672" s="94" t="s">
        <v>631</v>
      </c>
      <c r="J672" s="52"/>
      <c r="K672" s="52"/>
      <c r="L672" s="52"/>
      <c r="M672" s="52"/>
      <c r="N672" s="104">
        <f t="shared" si="153"/>
        <v>0</v>
      </c>
      <c r="O672" s="52">
        <v>20</v>
      </c>
      <c r="P672" s="52"/>
      <c r="Q672" s="52">
        <v>20</v>
      </c>
      <c r="R672" s="104">
        <f t="shared" si="152"/>
        <v>40</v>
      </c>
      <c r="S672" s="86">
        <f t="shared" si="154"/>
        <v>40</v>
      </c>
      <c r="AB672" s="111"/>
      <c r="AC672" s="111"/>
      <c r="AD672" s="111"/>
      <c r="AE672" s="112"/>
      <c r="AF672" s="113"/>
      <c r="AG672" s="49"/>
      <c r="AH672" s="49"/>
      <c r="AI672" s="112"/>
      <c r="AJ672" s="91"/>
      <c r="AK672" s="114"/>
      <c r="AL672" s="112"/>
      <c r="AP672" s="7"/>
    </row>
    <row r="673" spans="1:42" hidden="1" x14ac:dyDescent="0.35">
      <c r="A673" s="85">
        <v>46224</v>
      </c>
      <c r="B673" s="51" t="s">
        <v>85</v>
      </c>
      <c r="C673" s="97">
        <v>61123995.678571403</v>
      </c>
      <c r="D673" s="97">
        <v>87119.5</v>
      </c>
      <c r="E673" s="48" t="s">
        <v>86</v>
      </c>
      <c r="F673" s="94" t="s">
        <v>108</v>
      </c>
      <c r="G673" s="94" t="s">
        <v>627</v>
      </c>
      <c r="H673" s="94" t="s">
        <v>433</v>
      </c>
      <c r="I673" s="94" t="s">
        <v>631</v>
      </c>
      <c r="J673" s="52">
        <v>20</v>
      </c>
      <c r="K673" s="52">
        <v>10</v>
      </c>
      <c r="L673" s="52">
        <v>10</v>
      </c>
      <c r="M673" s="52"/>
      <c r="N673" s="104">
        <f t="shared" si="153"/>
        <v>20</v>
      </c>
      <c r="O673" s="52"/>
      <c r="P673" s="52"/>
      <c r="Q673" s="52"/>
      <c r="R673" s="104">
        <f t="shared" si="152"/>
        <v>0</v>
      </c>
      <c r="S673" s="86">
        <f t="shared" si="154"/>
        <v>40</v>
      </c>
      <c r="AB673" s="111"/>
      <c r="AC673" s="111"/>
      <c r="AD673" s="111"/>
      <c r="AE673" s="112"/>
      <c r="AF673" s="113"/>
      <c r="AG673" s="49"/>
      <c r="AH673" s="49"/>
      <c r="AI673" s="112"/>
      <c r="AJ673" s="91"/>
      <c r="AK673" s="114"/>
      <c r="AL673" s="112"/>
      <c r="AP673" s="7"/>
    </row>
    <row r="674" spans="1:42" hidden="1" x14ac:dyDescent="0.35">
      <c r="A674" s="85">
        <v>46224</v>
      </c>
      <c r="B674" s="51" t="s">
        <v>85</v>
      </c>
      <c r="C674" s="97">
        <v>61123995.678571403</v>
      </c>
      <c r="D674" s="97">
        <v>87119.5</v>
      </c>
      <c r="E674" s="48" t="s">
        <v>86</v>
      </c>
      <c r="F674" s="94" t="s">
        <v>108</v>
      </c>
      <c r="G674" s="94" t="s">
        <v>628</v>
      </c>
      <c r="H674" s="94" t="s">
        <v>433</v>
      </c>
      <c r="I674" s="94" t="s">
        <v>631</v>
      </c>
      <c r="J674" s="52">
        <v>40</v>
      </c>
      <c r="K674" s="52"/>
      <c r="L674" s="52"/>
      <c r="M674" s="52"/>
      <c r="N674" s="104">
        <f t="shared" si="153"/>
        <v>0</v>
      </c>
      <c r="O674" s="52"/>
      <c r="P674" s="52"/>
      <c r="Q674" s="52"/>
      <c r="R674" s="104">
        <f t="shared" si="152"/>
        <v>0</v>
      </c>
      <c r="S674" s="86">
        <f t="shared" si="154"/>
        <v>40</v>
      </c>
      <c r="AB674" s="111"/>
      <c r="AC674" s="111"/>
      <c r="AD674" s="111"/>
      <c r="AE674" s="112"/>
      <c r="AF674" s="113"/>
      <c r="AG674" s="49"/>
      <c r="AH674" s="49"/>
      <c r="AI674" s="112"/>
      <c r="AJ674" s="91"/>
      <c r="AK674" s="114"/>
      <c r="AL674" s="112"/>
      <c r="AP674" s="7"/>
    </row>
    <row r="675" spans="1:42" hidden="1" x14ac:dyDescent="0.35">
      <c r="A675" s="85">
        <v>46224</v>
      </c>
      <c r="B675" s="51" t="s">
        <v>85</v>
      </c>
      <c r="C675" s="97">
        <v>61123995.678571403</v>
      </c>
      <c r="D675" s="97">
        <v>87119.5</v>
      </c>
      <c r="E675" s="48" t="s">
        <v>86</v>
      </c>
      <c r="F675" s="94" t="s">
        <v>108</v>
      </c>
      <c r="G675" s="94" t="s">
        <v>630</v>
      </c>
      <c r="H675" s="94" t="s">
        <v>433</v>
      </c>
      <c r="I675" s="94" t="s">
        <v>631</v>
      </c>
      <c r="J675" s="52">
        <v>12</v>
      </c>
      <c r="K675" s="52"/>
      <c r="L675" s="52"/>
      <c r="M675" s="52"/>
      <c r="N675" s="104">
        <f t="shared" si="153"/>
        <v>0</v>
      </c>
      <c r="O675" s="52"/>
      <c r="P675" s="52"/>
      <c r="Q675" s="52"/>
      <c r="R675" s="104">
        <f t="shared" si="152"/>
        <v>0</v>
      </c>
      <c r="S675" s="86">
        <f t="shared" si="154"/>
        <v>12</v>
      </c>
      <c r="AB675" s="111"/>
      <c r="AC675" s="111"/>
      <c r="AD675" s="111"/>
      <c r="AE675" s="112"/>
      <c r="AF675" s="113"/>
      <c r="AG675" s="49"/>
      <c r="AH675" s="49"/>
      <c r="AI675" s="112"/>
      <c r="AJ675" s="91"/>
      <c r="AK675" s="114"/>
      <c r="AL675" s="112"/>
      <c r="AP675" s="7"/>
    </row>
    <row r="676" spans="1:42" hidden="1" x14ac:dyDescent="0.35">
      <c r="A676" s="85">
        <v>46224</v>
      </c>
      <c r="B676" s="51" t="s">
        <v>85</v>
      </c>
      <c r="C676" s="97">
        <v>61123995.678571403</v>
      </c>
      <c r="D676" s="97">
        <v>87119.5</v>
      </c>
      <c r="E676" s="48" t="s">
        <v>86</v>
      </c>
      <c r="F676" s="94" t="s">
        <v>108</v>
      </c>
      <c r="G676" s="94" t="s">
        <v>629</v>
      </c>
      <c r="H676" s="94" t="s">
        <v>433</v>
      </c>
      <c r="I676" s="94" t="s">
        <v>631</v>
      </c>
      <c r="J676" s="52">
        <v>80</v>
      </c>
      <c r="K676" s="52"/>
      <c r="L676" s="52"/>
      <c r="M676" s="52"/>
      <c r="N676" s="104">
        <f t="shared" si="153"/>
        <v>0</v>
      </c>
      <c r="O676" s="52"/>
      <c r="P676" s="52"/>
      <c r="Q676" s="52"/>
      <c r="R676" s="104">
        <f t="shared" si="152"/>
        <v>0</v>
      </c>
      <c r="S676" s="86">
        <f t="shared" si="154"/>
        <v>80</v>
      </c>
      <c r="AB676" s="111"/>
      <c r="AC676" s="111"/>
      <c r="AD676" s="111"/>
      <c r="AE676" s="112"/>
      <c r="AF676" s="113"/>
      <c r="AG676" s="49"/>
      <c r="AH676" s="49"/>
      <c r="AI676" s="112"/>
      <c r="AJ676" s="91"/>
      <c r="AK676" s="114"/>
      <c r="AL676" s="112"/>
      <c r="AP676" s="7"/>
    </row>
    <row r="677" spans="1:42" hidden="1" x14ac:dyDescent="0.35">
      <c r="A677" s="85">
        <v>46224</v>
      </c>
      <c r="B677" s="51" t="s">
        <v>85</v>
      </c>
      <c r="C677" s="97">
        <v>61123995.678571403</v>
      </c>
      <c r="D677" s="97">
        <v>87119.5</v>
      </c>
      <c r="E677" s="48" t="s">
        <v>86</v>
      </c>
      <c r="F677" s="94" t="s">
        <v>108</v>
      </c>
      <c r="G677" s="94" t="s">
        <v>167</v>
      </c>
      <c r="H677" s="94" t="s">
        <v>435</v>
      </c>
      <c r="I677" s="94" t="s">
        <v>633</v>
      </c>
      <c r="J677" s="52">
        <v>40</v>
      </c>
      <c r="K677" s="52"/>
      <c r="L677" s="52"/>
      <c r="M677" s="52"/>
      <c r="N677" s="104">
        <f t="shared" si="153"/>
        <v>0</v>
      </c>
      <c r="O677" s="52">
        <v>15</v>
      </c>
      <c r="P677" s="52">
        <v>10</v>
      </c>
      <c r="Q677" s="52">
        <v>15</v>
      </c>
      <c r="R677" s="104">
        <f t="shared" si="152"/>
        <v>40</v>
      </c>
      <c r="S677" s="86">
        <f t="shared" si="154"/>
        <v>80</v>
      </c>
      <c r="AB677" s="111"/>
      <c r="AC677" s="111"/>
      <c r="AD677" s="111"/>
      <c r="AE677" s="112"/>
      <c r="AF677" s="113"/>
      <c r="AG677" s="49"/>
      <c r="AH677" s="49"/>
      <c r="AI677" s="112"/>
      <c r="AJ677" s="91"/>
      <c r="AK677" s="114"/>
      <c r="AL677" s="112"/>
      <c r="AP677" s="7"/>
    </row>
    <row r="678" spans="1:42" hidden="1" x14ac:dyDescent="0.35">
      <c r="A678" s="85">
        <v>46224</v>
      </c>
      <c r="B678" s="51" t="s">
        <v>85</v>
      </c>
      <c r="C678" s="97">
        <v>61123995.678571403</v>
      </c>
      <c r="D678" s="97">
        <v>87119.5</v>
      </c>
      <c r="E678" s="48" t="s">
        <v>86</v>
      </c>
      <c r="F678" s="94" t="s">
        <v>108</v>
      </c>
      <c r="G678" s="94" t="s">
        <v>139</v>
      </c>
      <c r="H678" s="94" t="s">
        <v>435</v>
      </c>
      <c r="I678" s="94" t="s">
        <v>633</v>
      </c>
      <c r="J678" s="52">
        <v>10</v>
      </c>
      <c r="K678" s="52"/>
      <c r="L678" s="52"/>
      <c r="M678" s="52"/>
      <c r="N678" s="104">
        <f t="shared" si="153"/>
        <v>0</v>
      </c>
      <c r="O678" s="52"/>
      <c r="P678" s="52"/>
      <c r="Q678" s="52"/>
      <c r="R678" s="104">
        <f t="shared" si="152"/>
        <v>0</v>
      </c>
      <c r="S678" s="86">
        <f t="shared" si="154"/>
        <v>10</v>
      </c>
      <c r="AB678" s="111"/>
      <c r="AC678" s="111"/>
      <c r="AD678" s="111"/>
      <c r="AE678" s="112"/>
      <c r="AF678" s="113"/>
      <c r="AG678" s="49"/>
      <c r="AH678" s="49"/>
      <c r="AI678" s="112"/>
      <c r="AJ678" s="91"/>
      <c r="AK678" s="114"/>
      <c r="AL678" s="112"/>
      <c r="AP678" s="7"/>
    </row>
    <row r="679" spans="1:42" hidden="1" x14ac:dyDescent="0.35">
      <c r="A679" s="85">
        <v>46224</v>
      </c>
      <c r="B679" s="51" t="s">
        <v>85</v>
      </c>
      <c r="C679" s="97">
        <v>61123995.678571403</v>
      </c>
      <c r="D679" s="97">
        <v>87119.5</v>
      </c>
      <c r="E679" s="48" t="s">
        <v>86</v>
      </c>
      <c r="F679" s="94" t="s">
        <v>108</v>
      </c>
      <c r="G679" s="94" t="s">
        <v>168</v>
      </c>
      <c r="H679" s="94" t="s">
        <v>435</v>
      </c>
      <c r="I679" s="94" t="s">
        <v>633</v>
      </c>
      <c r="J679" s="52">
        <v>10</v>
      </c>
      <c r="K679" s="52"/>
      <c r="L679" s="52"/>
      <c r="M679" s="52"/>
      <c r="N679" s="104">
        <f t="shared" si="153"/>
        <v>0</v>
      </c>
      <c r="O679" s="52"/>
      <c r="P679" s="52"/>
      <c r="Q679" s="52"/>
      <c r="R679" s="104">
        <f t="shared" si="152"/>
        <v>0</v>
      </c>
      <c r="S679" s="86">
        <f t="shared" si="154"/>
        <v>10</v>
      </c>
      <c r="AB679" s="111"/>
      <c r="AC679" s="111"/>
      <c r="AD679" s="111"/>
      <c r="AE679" s="112"/>
      <c r="AF679" s="113"/>
      <c r="AG679" s="49"/>
      <c r="AH679" s="49"/>
      <c r="AI679" s="112"/>
      <c r="AJ679" s="91"/>
      <c r="AK679" s="114"/>
      <c r="AL679" s="112"/>
      <c r="AP679" s="7"/>
    </row>
    <row r="680" spans="1:42" hidden="1" x14ac:dyDescent="0.35">
      <c r="A680" s="85">
        <v>46224</v>
      </c>
      <c r="B680" s="51" t="s">
        <v>85</v>
      </c>
      <c r="C680" s="97">
        <v>61123995.678571403</v>
      </c>
      <c r="D680" s="97">
        <v>87119.5</v>
      </c>
      <c r="E680" s="48" t="s">
        <v>86</v>
      </c>
      <c r="F680" s="94" t="s">
        <v>108</v>
      </c>
      <c r="G680" s="94" t="s">
        <v>323</v>
      </c>
      <c r="H680" s="94" t="s">
        <v>435</v>
      </c>
      <c r="I680" s="94" t="s">
        <v>633</v>
      </c>
      <c r="J680" s="52">
        <v>10</v>
      </c>
      <c r="K680" s="52"/>
      <c r="L680" s="52"/>
      <c r="M680" s="52"/>
      <c r="N680" s="104">
        <f t="shared" si="153"/>
        <v>0</v>
      </c>
      <c r="O680" s="52"/>
      <c r="P680" s="52"/>
      <c r="Q680" s="52"/>
      <c r="R680" s="104">
        <f t="shared" si="152"/>
        <v>0</v>
      </c>
      <c r="S680" s="86">
        <f t="shared" si="154"/>
        <v>10</v>
      </c>
      <c r="AB680" s="111"/>
      <c r="AC680" s="111"/>
      <c r="AD680" s="111"/>
      <c r="AE680" s="112"/>
      <c r="AF680" s="113"/>
      <c r="AG680" s="49"/>
      <c r="AH680" s="49"/>
      <c r="AI680" s="112"/>
      <c r="AJ680" s="91"/>
      <c r="AK680" s="114"/>
      <c r="AL680" s="112"/>
      <c r="AP680" s="7"/>
    </row>
    <row r="681" spans="1:42" hidden="1" x14ac:dyDescent="0.35">
      <c r="A681" s="85">
        <v>46224</v>
      </c>
      <c r="B681" s="51" t="s">
        <v>85</v>
      </c>
      <c r="C681" s="97">
        <v>61123995.678571403</v>
      </c>
      <c r="D681" s="97">
        <v>87119.5</v>
      </c>
      <c r="E681" s="48" t="s">
        <v>86</v>
      </c>
      <c r="F681" s="94" t="s">
        <v>108</v>
      </c>
      <c r="G681" s="94" t="s">
        <v>133</v>
      </c>
      <c r="H681" s="94" t="s">
        <v>435</v>
      </c>
      <c r="I681" s="94" t="s">
        <v>633</v>
      </c>
      <c r="J681" s="52">
        <v>10</v>
      </c>
      <c r="K681" s="52"/>
      <c r="L681" s="52"/>
      <c r="M681" s="52"/>
      <c r="N681" s="104">
        <f t="shared" si="153"/>
        <v>0</v>
      </c>
      <c r="O681" s="52"/>
      <c r="P681" s="52"/>
      <c r="Q681" s="52"/>
      <c r="R681" s="104">
        <f t="shared" si="152"/>
        <v>0</v>
      </c>
      <c r="S681" s="86">
        <f t="shared" si="154"/>
        <v>10</v>
      </c>
      <c r="AB681" s="111"/>
      <c r="AC681" s="111"/>
      <c r="AD681" s="111"/>
      <c r="AE681" s="112"/>
      <c r="AF681" s="113"/>
      <c r="AG681" s="49"/>
      <c r="AH681" s="49"/>
      <c r="AI681" s="112"/>
      <c r="AJ681" s="91"/>
      <c r="AK681" s="114"/>
      <c r="AL681" s="112"/>
      <c r="AP681" s="7"/>
    </row>
    <row r="682" spans="1:42" hidden="1" x14ac:dyDescent="0.35">
      <c r="A682" s="85">
        <v>46224</v>
      </c>
      <c r="B682" s="51" t="s">
        <v>85</v>
      </c>
      <c r="C682" s="97">
        <v>61123995.678571403</v>
      </c>
      <c r="D682" s="97">
        <v>87119.5</v>
      </c>
      <c r="E682" s="48" t="s">
        <v>86</v>
      </c>
      <c r="F682" s="94" t="s">
        <v>108</v>
      </c>
      <c r="G682" s="94" t="s">
        <v>548</v>
      </c>
      <c r="H682" s="94" t="s">
        <v>435</v>
      </c>
      <c r="I682" s="94" t="s">
        <v>633</v>
      </c>
      <c r="J682" s="52">
        <v>10</v>
      </c>
      <c r="K682" s="52"/>
      <c r="L682" s="52"/>
      <c r="M682" s="52"/>
      <c r="N682" s="104">
        <f t="shared" si="153"/>
        <v>0</v>
      </c>
      <c r="O682" s="52"/>
      <c r="P682" s="52"/>
      <c r="Q682" s="52"/>
      <c r="R682" s="104">
        <f t="shared" si="152"/>
        <v>0</v>
      </c>
      <c r="S682" s="86">
        <f t="shared" si="154"/>
        <v>10</v>
      </c>
      <c r="AB682" s="111"/>
      <c r="AC682" s="111"/>
      <c r="AD682" s="111"/>
      <c r="AE682" s="112"/>
      <c r="AF682" s="113"/>
      <c r="AG682" s="49"/>
      <c r="AH682" s="49"/>
      <c r="AI682" s="112"/>
      <c r="AJ682" s="91"/>
      <c r="AK682" s="114"/>
      <c r="AL682" s="112"/>
      <c r="AP682" s="7"/>
    </row>
    <row r="683" spans="1:42" hidden="1" x14ac:dyDescent="0.35">
      <c r="A683" s="85">
        <v>46224</v>
      </c>
      <c r="B683" s="51" t="s">
        <v>85</v>
      </c>
      <c r="C683" s="97">
        <v>61123995.678571403</v>
      </c>
      <c r="D683" s="97">
        <v>87119.5</v>
      </c>
      <c r="E683" s="48" t="s">
        <v>86</v>
      </c>
      <c r="F683" s="94" t="s">
        <v>108</v>
      </c>
      <c r="G683" s="94" t="s">
        <v>302</v>
      </c>
      <c r="H683" s="94" t="s">
        <v>435</v>
      </c>
      <c r="I683" s="94" t="s">
        <v>633</v>
      </c>
      <c r="J683" s="52">
        <v>10</v>
      </c>
      <c r="K683" s="52"/>
      <c r="L683" s="52"/>
      <c r="M683" s="52"/>
      <c r="N683" s="104">
        <f t="shared" si="153"/>
        <v>0</v>
      </c>
      <c r="O683" s="52"/>
      <c r="P683" s="52"/>
      <c r="Q683" s="52"/>
      <c r="R683" s="104">
        <f t="shared" si="152"/>
        <v>0</v>
      </c>
      <c r="S683" s="86">
        <f t="shared" si="154"/>
        <v>10</v>
      </c>
      <c r="AB683" s="111"/>
      <c r="AC683" s="111"/>
      <c r="AD683" s="111"/>
      <c r="AE683" s="112"/>
      <c r="AF683" s="113"/>
      <c r="AG683" s="49"/>
      <c r="AH683" s="49"/>
      <c r="AI683" s="112"/>
      <c r="AJ683" s="91"/>
      <c r="AK683" s="114"/>
      <c r="AL683" s="112"/>
      <c r="AP683" s="7"/>
    </row>
    <row r="684" spans="1:42" hidden="1" x14ac:dyDescent="0.35">
      <c r="A684" s="85">
        <v>46224</v>
      </c>
      <c r="B684" s="51" t="s">
        <v>85</v>
      </c>
      <c r="C684" s="97">
        <v>61123995.678571403</v>
      </c>
      <c r="D684" s="97">
        <v>87119.5</v>
      </c>
      <c r="E684" s="48" t="s">
        <v>86</v>
      </c>
      <c r="F684" s="94" t="s">
        <v>108</v>
      </c>
      <c r="G684" s="94" t="s">
        <v>103</v>
      </c>
      <c r="H684" s="94" t="s">
        <v>435</v>
      </c>
      <c r="I684" s="94" t="s">
        <v>633</v>
      </c>
      <c r="J684" s="52">
        <v>10</v>
      </c>
      <c r="K684" s="52"/>
      <c r="L684" s="52"/>
      <c r="M684" s="52"/>
      <c r="N684" s="104">
        <f t="shared" si="153"/>
        <v>0</v>
      </c>
      <c r="O684" s="52"/>
      <c r="P684" s="52"/>
      <c r="Q684" s="52"/>
      <c r="R684" s="104">
        <f t="shared" si="152"/>
        <v>0</v>
      </c>
      <c r="S684" s="86">
        <f t="shared" si="154"/>
        <v>10</v>
      </c>
      <c r="AB684" s="111"/>
      <c r="AC684" s="111"/>
      <c r="AD684" s="111"/>
      <c r="AE684" s="112"/>
      <c r="AF684" s="113"/>
      <c r="AG684" s="49"/>
      <c r="AH684" s="49"/>
      <c r="AI684" s="112"/>
      <c r="AJ684" s="91"/>
      <c r="AK684" s="114"/>
      <c r="AL684" s="112"/>
      <c r="AP684" s="7"/>
    </row>
    <row r="685" spans="1:42" hidden="1" x14ac:dyDescent="0.35">
      <c r="A685" s="85">
        <v>46224</v>
      </c>
      <c r="B685" s="51" t="s">
        <v>85</v>
      </c>
      <c r="C685" s="97">
        <v>61123995.678571403</v>
      </c>
      <c r="D685" s="97">
        <v>87119.5</v>
      </c>
      <c r="E685" s="48" t="s">
        <v>86</v>
      </c>
      <c r="F685" s="94" t="s">
        <v>108</v>
      </c>
      <c r="G685" s="94" t="s">
        <v>632</v>
      </c>
      <c r="H685" s="94" t="s">
        <v>435</v>
      </c>
      <c r="I685" s="94" t="s">
        <v>633</v>
      </c>
      <c r="J685" s="52">
        <v>24</v>
      </c>
      <c r="K685" s="52"/>
      <c r="L685" s="52"/>
      <c r="M685" s="52"/>
      <c r="N685" s="104">
        <f t="shared" si="153"/>
        <v>0</v>
      </c>
      <c r="O685" s="52"/>
      <c r="P685" s="52"/>
      <c r="Q685" s="52"/>
      <c r="R685" s="104">
        <f t="shared" si="152"/>
        <v>0</v>
      </c>
      <c r="S685" s="86">
        <f t="shared" si="154"/>
        <v>24</v>
      </c>
      <c r="AB685" s="111"/>
      <c r="AC685" s="111"/>
      <c r="AD685" s="111"/>
      <c r="AE685" s="112"/>
      <c r="AF685" s="113"/>
      <c r="AG685" s="49"/>
      <c r="AH685" s="49"/>
      <c r="AI685" s="112"/>
      <c r="AJ685" s="91"/>
      <c r="AK685" s="114"/>
      <c r="AL685" s="112"/>
      <c r="AP685" s="7"/>
    </row>
    <row r="686" spans="1:42" hidden="1" x14ac:dyDescent="0.35">
      <c r="A686" s="85">
        <v>46224</v>
      </c>
      <c r="B686" s="51" t="s">
        <v>85</v>
      </c>
      <c r="C686" s="97">
        <v>61123995.678571403</v>
      </c>
      <c r="D686" s="97">
        <v>87119.5</v>
      </c>
      <c r="E686" s="48" t="s">
        <v>86</v>
      </c>
      <c r="F686" s="94" t="s">
        <v>108</v>
      </c>
      <c r="G686" s="94" t="s">
        <v>299</v>
      </c>
      <c r="H686" s="94" t="s">
        <v>435</v>
      </c>
      <c r="I686" s="94" t="s">
        <v>633</v>
      </c>
      <c r="J686" s="52">
        <v>10</v>
      </c>
      <c r="K686" s="52">
        <v>40</v>
      </c>
      <c r="L686" s="52"/>
      <c r="M686" s="52"/>
      <c r="N686" s="104">
        <f t="shared" si="153"/>
        <v>40</v>
      </c>
      <c r="O686" s="52">
        <v>80</v>
      </c>
      <c r="P686" s="52">
        <v>40</v>
      </c>
      <c r="Q686" s="52"/>
      <c r="R686" s="104">
        <f t="shared" si="152"/>
        <v>120</v>
      </c>
      <c r="S686" s="86">
        <f t="shared" si="154"/>
        <v>170</v>
      </c>
      <c r="AB686" s="111"/>
      <c r="AC686" s="111"/>
      <c r="AD686" s="111"/>
      <c r="AE686" s="112"/>
      <c r="AF686" s="113"/>
      <c r="AG686" s="49"/>
      <c r="AH686" s="49"/>
      <c r="AI686" s="112"/>
      <c r="AJ686" s="91"/>
      <c r="AK686" s="114"/>
      <c r="AL686" s="112"/>
      <c r="AP686" s="7"/>
    </row>
    <row r="687" spans="1:42" hidden="1" x14ac:dyDescent="0.35">
      <c r="A687" s="85">
        <v>46225</v>
      </c>
      <c r="B687" s="51" t="s">
        <v>85</v>
      </c>
      <c r="C687" s="97">
        <v>61123995.678571403</v>
      </c>
      <c r="D687" s="97">
        <v>87119.5</v>
      </c>
      <c r="E687" s="48" t="s">
        <v>86</v>
      </c>
      <c r="F687" s="94" t="s">
        <v>108</v>
      </c>
      <c r="G687" s="94" t="s">
        <v>296</v>
      </c>
      <c r="H687" s="94" t="s">
        <v>433</v>
      </c>
      <c r="I687" s="94" t="s">
        <v>638</v>
      </c>
      <c r="J687" s="52">
        <v>40</v>
      </c>
      <c r="K687" s="52"/>
      <c r="L687" s="52"/>
      <c r="M687" s="52"/>
      <c r="N687" s="104">
        <f t="shared" si="153"/>
        <v>0</v>
      </c>
      <c r="O687" s="52">
        <v>20</v>
      </c>
      <c r="P687" s="52">
        <v>20</v>
      </c>
      <c r="Q687" s="52"/>
      <c r="R687" s="104">
        <f t="shared" si="152"/>
        <v>40</v>
      </c>
      <c r="S687" s="86">
        <f t="shared" si="154"/>
        <v>80</v>
      </c>
      <c r="AB687" s="111"/>
      <c r="AC687" s="111"/>
      <c r="AD687" s="111"/>
      <c r="AE687" s="112"/>
      <c r="AF687" s="113"/>
      <c r="AG687" s="49"/>
      <c r="AH687" s="49"/>
      <c r="AI687" s="112"/>
      <c r="AJ687" s="91"/>
      <c r="AK687" s="114"/>
      <c r="AL687" s="112"/>
      <c r="AP687" s="7"/>
    </row>
    <row r="688" spans="1:42" hidden="1" x14ac:dyDescent="0.35">
      <c r="A688" s="85">
        <v>46225</v>
      </c>
      <c r="B688" s="51" t="s">
        <v>85</v>
      </c>
      <c r="C688" s="97">
        <v>61123995.678571403</v>
      </c>
      <c r="D688" s="97">
        <v>87119.5</v>
      </c>
      <c r="E688" s="48" t="s">
        <v>86</v>
      </c>
      <c r="F688" s="94" t="s">
        <v>108</v>
      </c>
      <c r="G688" s="94" t="s">
        <v>319</v>
      </c>
      <c r="H688" s="94" t="s">
        <v>433</v>
      </c>
      <c r="I688" s="94" t="s">
        <v>638</v>
      </c>
      <c r="J688" s="52">
        <v>40</v>
      </c>
      <c r="K688" s="52"/>
      <c r="L688" s="52"/>
      <c r="M688" s="52"/>
      <c r="N688" s="104">
        <f t="shared" si="153"/>
        <v>0</v>
      </c>
      <c r="O688" s="52"/>
      <c r="P688" s="52"/>
      <c r="Q688" s="52"/>
      <c r="R688" s="104">
        <f t="shared" si="152"/>
        <v>0</v>
      </c>
      <c r="S688" s="86">
        <f t="shared" si="154"/>
        <v>40</v>
      </c>
      <c r="AB688" s="111"/>
      <c r="AC688" s="111"/>
      <c r="AD688" s="111"/>
      <c r="AE688" s="112"/>
      <c r="AF688" s="113"/>
      <c r="AG688" s="49"/>
      <c r="AH688" s="49"/>
      <c r="AI688" s="112"/>
      <c r="AJ688" s="91"/>
      <c r="AK688" s="114"/>
      <c r="AL688" s="112"/>
      <c r="AP688" s="7"/>
    </row>
    <row r="689" spans="1:42" hidden="1" x14ac:dyDescent="0.35">
      <c r="A689" s="85">
        <v>46225</v>
      </c>
      <c r="B689" s="51" t="s">
        <v>85</v>
      </c>
      <c r="C689" s="97">
        <v>61123995.678571403</v>
      </c>
      <c r="D689" s="97">
        <v>87119.5</v>
      </c>
      <c r="E689" s="48" t="s">
        <v>86</v>
      </c>
      <c r="F689" s="94" t="s">
        <v>108</v>
      </c>
      <c r="G689" s="94" t="s">
        <v>634</v>
      </c>
      <c r="H689" s="94" t="s">
        <v>433</v>
      </c>
      <c r="I689" s="94" t="s">
        <v>638</v>
      </c>
      <c r="J689" s="52">
        <v>6</v>
      </c>
      <c r="K689" s="52"/>
      <c r="L689" s="52"/>
      <c r="M689" s="52"/>
      <c r="N689" s="104">
        <f t="shared" si="153"/>
        <v>0</v>
      </c>
      <c r="O689" s="52"/>
      <c r="P689" s="52"/>
      <c r="Q689" s="52"/>
      <c r="R689" s="104">
        <f t="shared" si="152"/>
        <v>0</v>
      </c>
      <c r="S689" s="86">
        <f t="shared" si="154"/>
        <v>6</v>
      </c>
      <c r="AB689" s="111"/>
      <c r="AC689" s="111"/>
      <c r="AD689" s="111"/>
      <c r="AE689" s="112"/>
      <c r="AF689" s="113"/>
      <c r="AG689" s="49"/>
      <c r="AH689" s="49"/>
      <c r="AI689" s="112"/>
      <c r="AJ689" s="91"/>
      <c r="AK689" s="114"/>
      <c r="AL689" s="112"/>
      <c r="AP689" s="7"/>
    </row>
    <row r="690" spans="1:42" hidden="1" x14ac:dyDescent="0.35">
      <c r="A690" s="85">
        <v>46225</v>
      </c>
      <c r="B690" s="51" t="s">
        <v>85</v>
      </c>
      <c r="C690" s="97">
        <v>61123995.678571403</v>
      </c>
      <c r="D690" s="97">
        <v>87119.5</v>
      </c>
      <c r="E690" s="48" t="s">
        <v>86</v>
      </c>
      <c r="F690" s="94" t="s">
        <v>108</v>
      </c>
      <c r="G690" s="94" t="s">
        <v>635</v>
      </c>
      <c r="H690" s="94" t="s">
        <v>433</v>
      </c>
      <c r="I690" s="94" t="s">
        <v>638</v>
      </c>
      <c r="J690" s="52">
        <v>40</v>
      </c>
      <c r="K690" s="52"/>
      <c r="L690" s="52"/>
      <c r="M690" s="52"/>
      <c r="N690" s="104">
        <f t="shared" si="153"/>
        <v>0</v>
      </c>
      <c r="O690" s="52"/>
      <c r="P690" s="52"/>
      <c r="Q690" s="52"/>
      <c r="R690" s="104">
        <f t="shared" si="152"/>
        <v>0</v>
      </c>
      <c r="S690" s="86">
        <f t="shared" si="154"/>
        <v>40</v>
      </c>
      <c r="AB690" s="111"/>
      <c r="AC690" s="111"/>
      <c r="AD690" s="111"/>
      <c r="AE690" s="112"/>
      <c r="AF690" s="113"/>
      <c r="AG690" s="49"/>
      <c r="AH690" s="49"/>
      <c r="AI690" s="112"/>
      <c r="AJ690" s="91"/>
      <c r="AK690" s="114"/>
      <c r="AL690" s="112"/>
      <c r="AP690" s="7"/>
    </row>
    <row r="691" spans="1:42" hidden="1" x14ac:dyDescent="0.35">
      <c r="A691" s="85">
        <v>46225</v>
      </c>
      <c r="B691" s="51" t="s">
        <v>85</v>
      </c>
      <c r="C691" s="97">
        <v>61123995.678571403</v>
      </c>
      <c r="D691" s="97">
        <v>87119.5</v>
      </c>
      <c r="E691" s="48" t="s">
        <v>86</v>
      </c>
      <c r="F691" s="94" t="s">
        <v>108</v>
      </c>
      <c r="G691" s="94" t="s">
        <v>313</v>
      </c>
      <c r="H691" s="94" t="s">
        <v>433</v>
      </c>
      <c r="I691" s="94" t="s">
        <v>638</v>
      </c>
      <c r="J691" s="52"/>
      <c r="K691" s="52"/>
      <c r="L691" s="52"/>
      <c r="M691" s="52"/>
      <c r="N691" s="104">
        <f t="shared" si="153"/>
        <v>0</v>
      </c>
      <c r="O691" s="52"/>
      <c r="P691" s="52">
        <v>40</v>
      </c>
      <c r="Q691" s="52">
        <v>40</v>
      </c>
      <c r="R691" s="104">
        <f t="shared" si="152"/>
        <v>80</v>
      </c>
      <c r="S691" s="86">
        <f t="shared" si="154"/>
        <v>80</v>
      </c>
      <c r="AB691" s="111"/>
      <c r="AC691" s="111"/>
      <c r="AD691" s="111"/>
      <c r="AE691" s="112"/>
      <c r="AF691" s="113"/>
      <c r="AG691" s="49"/>
      <c r="AH691" s="49"/>
      <c r="AI691" s="112"/>
      <c r="AJ691" s="91"/>
      <c r="AK691" s="114"/>
      <c r="AL691" s="112"/>
      <c r="AP691" s="7"/>
    </row>
    <row r="692" spans="1:42" hidden="1" x14ac:dyDescent="0.35">
      <c r="A692" s="85">
        <v>46225</v>
      </c>
      <c r="B692" s="51" t="s">
        <v>85</v>
      </c>
      <c r="C692" s="97">
        <v>61123995.678571403</v>
      </c>
      <c r="D692" s="97">
        <v>87119.5</v>
      </c>
      <c r="E692" s="48" t="s">
        <v>86</v>
      </c>
      <c r="F692" s="94" t="s">
        <v>108</v>
      </c>
      <c r="G692" s="94" t="s">
        <v>636</v>
      </c>
      <c r="H692" s="94" t="s">
        <v>433</v>
      </c>
      <c r="I692" s="94" t="s">
        <v>638</v>
      </c>
      <c r="J692" s="52"/>
      <c r="K692" s="52">
        <v>10</v>
      </c>
      <c r="L692" s="52">
        <v>10</v>
      </c>
      <c r="M692" s="52"/>
      <c r="N692" s="104">
        <f t="shared" si="153"/>
        <v>20</v>
      </c>
      <c r="O692" s="52"/>
      <c r="P692" s="52"/>
      <c r="Q692" s="52"/>
      <c r="R692" s="104">
        <f t="shared" si="152"/>
        <v>0</v>
      </c>
      <c r="S692" s="86">
        <f t="shared" si="154"/>
        <v>20</v>
      </c>
      <c r="AB692" s="111"/>
      <c r="AC692" s="111"/>
      <c r="AD692" s="111"/>
      <c r="AE692" s="112"/>
      <c r="AF692" s="113"/>
      <c r="AG692" s="49"/>
      <c r="AH692" s="49"/>
      <c r="AI692" s="112"/>
      <c r="AJ692" s="91"/>
      <c r="AK692" s="114"/>
      <c r="AL692" s="112"/>
      <c r="AP692" s="7"/>
    </row>
    <row r="693" spans="1:42" hidden="1" x14ac:dyDescent="0.35">
      <c r="A693" s="85">
        <v>46225</v>
      </c>
      <c r="B693" s="51" t="s">
        <v>85</v>
      </c>
      <c r="C693" s="97">
        <v>61123995.678571403</v>
      </c>
      <c r="D693" s="97">
        <v>87119.5</v>
      </c>
      <c r="E693" s="48" t="s">
        <v>86</v>
      </c>
      <c r="F693" s="94" t="s">
        <v>108</v>
      </c>
      <c r="G693" s="94" t="s">
        <v>637</v>
      </c>
      <c r="H693" s="94" t="s">
        <v>433</v>
      </c>
      <c r="I693" s="94" t="s">
        <v>638</v>
      </c>
      <c r="J693" s="52"/>
      <c r="K693" s="52"/>
      <c r="L693" s="52"/>
      <c r="M693" s="52"/>
      <c r="N693" s="104">
        <f t="shared" si="153"/>
        <v>0</v>
      </c>
      <c r="O693" s="52">
        <v>12</v>
      </c>
      <c r="P693" s="52"/>
      <c r="Q693" s="52">
        <v>12</v>
      </c>
      <c r="R693" s="104">
        <f t="shared" si="152"/>
        <v>24</v>
      </c>
      <c r="S693" s="86">
        <f t="shared" si="154"/>
        <v>24</v>
      </c>
      <c r="AB693" s="111"/>
      <c r="AC693" s="111"/>
      <c r="AD693" s="111"/>
      <c r="AE693" s="112"/>
      <c r="AF693" s="113"/>
      <c r="AG693" s="49"/>
      <c r="AH693" s="49"/>
      <c r="AI693" s="112"/>
      <c r="AJ693" s="91"/>
      <c r="AK693" s="114"/>
      <c r="AL693" s="112"/>
      <c r="AP693" s="7"/>
    </row>
    <row r="694" spans="1:42" hidden="1" x14ac:dyDescent="0.35">
      <c r="A694" s="85">
        <v>46225</v>
      </c>
      <c r="B694" s="51" t="s">
        <v>85</v>
      </c>
      <c r="C694" s="97">
        <v>61123995.678571403</v>
      </c>
      <c r="D694" s="97">
        <v>87119.5</v>
      </c>
      <c r="E694" s="48" t="s">
        <v>86</v>
      </c>
      <c r="F694" s="94" t="s">
        <v>108</v>
      </c>
      <c r="G694" s="94" t="s">
        <v>639</v>
      </c>
      <c r="H694" s="94" t="s">
        <v>129</v>
      </c>
      <c r="I694" s="94" t="s">
        <v>135</v>
      </c>
      <c r="J694" s="52"/>
      <c r="K694" s="52"/>
      <c r="L694" s="52"/>
      <c r="M694" s="52"/>
      <c r="N694" s="104">
        <f t="shared" si="153"/>
        <v>0</v>
      </c>
      <c r="O694" s="52">
        <v>40</v>
      </c>
      <c r="P694" s="52">
        <v>40</v>
      </c>
      <c r="Q694" s="52">
        <v>80</v>
      </c>
      <c r="R694" s="104">
        <f t="shared" si="152"/>
        <v>160</v>
      </c>
      <c r="S694" s="86">
        <f t="shared" si="154"/>
        <v>160</v>
      </c>
      <c r="AB694" s="111"/>
      <c r="AC694" s="111"/>
      <c r="AD694" s="111"/>
      <c r="AE694" s="112"/>
      <c r="AF694" s="113"/>
      <c r="AG694" s="49"/>
      <c r="AH694" s="49"/>
      <c r="AI694" s="112"/>
      <c r="AJ694" s="91"/>
      <c r="AK694" s="114"/>
      <c r="AL694" s="112"/>
      <c r="AP694" s="7"/>
    </row>
    <row r="695" spans="1:42" hidden="1" x14ac:dyDescent="0.35">
      <c r="A695" s="85">
        <v>46225</v>
      </c>
      <c r="B695" s="51" t="s">
        <v>85</v>
      </c>
      <c r="C695" s="97">
        <v>61123995.678571403</v>
      </c>
      <c r="D695" s="97">
        <v>87119.5</v>
      </c>
      <c r="E695" s="48" t="s">
        <v>86</v>
      </c>
      <c r="F695" s="94" t="s">
        <v>108</v>
      </c>
      <c r="G695" s="94" t="s">
        <v>322</v>
      </c>
      <c r="H695" s="94" t="s">
        <v>129</v>
      </c>
      <c r="I695" s="94" t="s">
        <v>135</v>
      </c>
      <c r="J695" s="52">
        <v>10</v>
      </c>
      <c r="K695" s="52"/>
      <c r="L695" s="52"/>
      <c r="M695" s="52"/>
      <c r="N695" s="104">
        <f t="shared" si="153"/>
        <v>0</v>
      </c>
      <c r="O695" s="52"/>
      <c r="P695" s="52"/>
      <c r="Q695" s="52"/>
      <c r="R695" s="104">
        <f t="shared" si="152"/>
        <v>0</v>
      </c>
      <c r="S695" s="86">
        <f t="shared" si="154"/>
        <v>10</v>
      </c>
      <c r="AB695" s="111"/>
      <c r="AC695" s="111"/>
      <c r="AD695" s="111"/>
      <c r="AE695" s="112"/>
      <c r="AF695" s="113"/>
      <c r="AG695" s="49"/>
      <c r="AH695" s="49"/>
      <c r="AI695" s="112"/>
      <c r="AJ695" s="91"/>
      <c r="AK695" s="114"/>
      <c r="AL695" s="112"/>
      <c r="AP695" s="7"/>
    </row>
    <row r="696" spans="1:42" hidden="1" x14ac:dyDescent="0.35">
      <c r="A696" s="85">
        <v>46225</v>
      </c>
      <c r="B696" s="51" t="s">
        <v>85</v>
      </c>
      <c r="C696" s="97">
        <v>61123995.678571403</v>
      </c>
      <c r="D696" s="97">
        <v>87119.5</v>
      </c>
      <c r="E696" s="48" t="s">
        <v>86</v>
      </c>
      <c r="F696" s="94" t="s">
        <v>108</v>
      </c>
      <c r="G696" s="94" t="s">
        <v>640</v>
      </c>
      <c r="H696" s="94" t="s">
        <v>129</v>
      </c>
      <c r="I696" s="94" t="s">
        <v>135</v>
      </c>
      <c r="J696" s="52">
        <v>10</v>
      </c>
      <c r="K696" s="52"/>
      <c r="L696" s="52"/>
      <c r="M696" s="52"/>
      <c r="N696" s="104">
        <f t="shared" si="153"/>
        <v>0</v>
      </c>
      <c r="O696" s="52"/>
      <c r="P696" s="52"/>
      <c r="Q696" s="52"/>
      <c r="R696" s="104">
        <f t="shared" si="152"/>
        <v>0</v>
      </c>
      <c r="S696" s="86">
        <f t="shared" si="154"/>
        <v>10</v>
      </c>
      <c r="AB696" s="111"/>
      <c r="AC696" s="111"/>
      <c r="AD696" s="111"/>
      <c r="AE696" s="112"/>
      <c r="AF696" s="113"/>
      <c r="AG696" s="49"/>
      <c r="AH696" s="49"/>
      <c r="AI696" s="112"/>
      <c r="AJ696" s="91"/>
      <c r="AK696" s="114"/>
      <c r="AL696" s="112"/>
      <c r="AP696" s="7"/>
    </row>
    <row r="697" spans="1:42" hidden="1" x14ac:dyDescent="0.35">
      <c r="A697" s="85">
        <v>46225</v>
      </c>
      <c r="B697" s="51" t="s">
        <v>85</v>
      </c>
      <c r="C697" s="97">
        <v>61123995.678571403</v>
      </c>
      <c r="D697" s="97">
        <v>87119.5</v>
      </c>
      <c r="E697" s="48" t="s">
        <v>86</v>
      </c>
      <c r="F697" s="94" t="s">
        <v>108</v>
      </c>
      <c r="G697" s="94" t="s">
        <v>169</v>
      </c>
      <c r="H697" s="94" t="s">
        <v>129</v>
      </c>
      <c r="I697" s="94" t="s">
        <v>135</v>
      </c>
      <c r="J697" s="52">
        <v>10</v>
      </c>
      <c r="K697" s="52"/>
      <c r="L697" s="52"/>
      <c r="M697" s="52"/>
      <c r="N697" s="104">
        <f t="shared" si="153"/>
        <v>0</v>
      </c>
      <c r="O697" s="52"/>
      <c r="P697" s="52"/>
      <c r="Q697" s="52"/>
      <c r="R697" s="104">
        <f t="shared" si="152"/>
        <v>0</v>
      </c>
      <c r="S697" s="86">
        <f t="shared" si="154"/>
        <v>10</v>
      </c>
      <c r="AB697" s="111"/>
      <c r="AC697" s="111"/>
      <c r="AD697" s="111"/>
      <c r="AE697" s="112"/>
      <c r="AF697" s="113"/>
      <c r="AG697" s="49"/>
      <c r="AH697" s="49"/>
      <c r="AI697" s="112"/>
      <c r="AJ697" s="91"/>
      <c r="AK697" s="114"/>
      <c r="AL697" s="112"/>
      <c r="AP697" s="7"/>
    </row>
    <row r="698" spans="1:42" hidden="1" x14ac:dyDescent="0.35">
      <c r="A698" s="85">
        <v>46225</v>
      </c>
      <c r="B698" s="51" t="s">
        <v>85</v>
      </c>
      <c r="C698" s="97">
        <v>61123995.678571403</v>
      </c>
      <c r="D698" s="97">
        <v>87119.5</v>
      </c>
      <c r="E698" s="48" t="s">
        <v>86</v>
      </c>
      <c r="F698" s="94" t="s">
        <v>108</v>
      </c>
      <c r="G698" s="94" t="s">
        <v>641</v>
      </c>
      <c r="H698" s="94" t="s">
        <v>129</v>
      </c>
      <c r="I698" s="94" t="s">
        <v>135</v>
      </c>
      <c r="J698" s="52">
        <v>10</v>
      </c>
      <c r="K698" s="52"/>
      <c r="L698" s="52"/>
      <c r="M698" s="52"/>
      <c r="N698" s="104">
        <f t="shared" si="153"/>
        <v>0</v>
      </c>
      <c r="O698" s="52"/>
      <c r="P698" s="52"/>
      <c r="Q698" s="52"/>
      <c r="R698" s="104">
        <f t="shared" si="152"/>
        <v>0</v>
      </c>
      <c r="S698" s="86">
        <f t="shared" si="154"/>
        <v>10</v>
      </c>
      <c r="AB698" s="111"/>
      <c r="AC698" s="111"/>
      <c r="AD698" s="111"/>
      <c r="AE698" s="112"/>
      <c r="AF698" s="113"/>
      <c r="AG698" s="49"/>
      <c r="AH698" s="49"/>
      <c r="AI698" s="112"/>
      <c r="AJ698" s="91"/>
      <c r="AK698" s="114"/>
      <c r="AL698" s="112"/>
      <c r="AP698" s="7"/>
    </row>
    <row r="699" spans="1:42" hidden="1" x14ac:dyDescent="0.35">
      <c r="A699" s="85">
        <v>46225</v>
      </c>
      <c r="B699" s="51" t="s">
        <v>85</v>
      </c>
      <c r="C699" s="97">
        <v>61123995.678571403</v>
      </c>
      <c r="D699" s="97">
        <v>87119.5</v>
      </c>
      <c r="E699" s="48" t="s">
        <v>86</v>
      </c>
      <c r="F699" s="94" t="s">
        <v>108</v>
      </c>
      <c r="G699" s="94" t="s">
        <v>133</v>
      </c>
      <c r="H699" s="94" t="s">
        <v>129</v>
      </c>
      <c r="I699" s="94" t="s">
        <v>135</v>
      </c>
      <c r="J699" s="52"/>
      <c r="K699" s="52"/>
      <c r="L699" s="52"/>
      <c r="M699" s="52"/>
      <c r="N699" s="104">
        <f t="shared" si="153"/>
        <v>0</v>
      </c>
      <c r="O699" s="52">
        <v>15</v>
      </c>
      <c r="P699" s="52">
        <v>10</v>
      </c>
      <c r="Q699" s="52">
        <v>15</v>
      </c>
      <c r="R699" s="104">
        <f t="shared" si="152"/>
        <v>40</v>
      </c>
      <c r="S699" s="86">
        <f t="shared" si="154"/>
        <v>40</v>
      </c>
      <c r="AB699" s="111"/>
      <c r="AC699" s="111"/>
      <c r="AD699" s="111"/>
      <c r="AE699" s="112"/>
      <c r="AF699" s="113"/>
      <c r="AG699" s="49"/>
      <c r="AH699" s="49"/>
      <c r="AI699" s="112"/>
      <c r="AJ699" s="91"/>
      <c r="AK699" s="114"/>
      <c r="AL699" s="112"/>
      <c r="AP699" s="7"/>
    </row>
    <row r="700" spans="1:42" hidden="1" x14ac:dyDescent="0.35">
      <c r="A700" s="85">
        <v>46225</v>
      </c>
      <c r="B700" s="51" t="s">
        <v>85</v>
      </c>
      <c r="C700" s="97">
        <v>61123995.678571403</v>
      </c>
      <c r="D700" s="97">
        <v>87119.5</v>
      </c>
      <c r="E700" s="48" t="s">
        <v>86</v>
      </c>
      <c r="F700" s="94" t="s">
        <v>108</v>
      </c>
      <c r="G700" s="94" t="s">
        <v>642</v>
      </c>
      <c r="H700" s="94" t="s">
        <v>129</v>
      </c>
      <c r="I700" s="94" t="s">
        <v>135</v>
      </c>
      <c r="J700" s="52"/>
      <c r="K700" s="52"/>
      <c r="L700" s="52"/>
      <c r="M700" s="52"/>
      <c r="N700" s="104">
        <f t="shared" si="153"/>
        <v>0</v>
      </c>
      <c r="O700" s="52"/>
      <c r="P700" s="52"/>
      <c r="Q700" s="52">
        <v>10</v>
      </c>
      <c r="R700" s="104">
        <f t="shared" si="152"/>
        <v>10</v>
      </c>
      <c r="S700" s="86">
        <f t="shared" si="154"/>
        <v>10</v>
      </c>
      <c r="AB700" s="111"/>
      <c r="AC700" s="111"/>
      <c r="AD700" s="111"/>
      <c r="AE700" s="112"/>
      <c r="AF700" s="113"/>
      <c r="AG700" s="49"/>
      <c r="AH700" s="49"/>
      <c r="AI700" s="112"/>
      <c r="AJ700" s="91"/>
      <c r="AK700" s="114"/>
      <c r="AL700" s="112"/>
      <c r="AP700" s="7"/>
    </row>
    <row r="701" spans="1:42" hidden="1" x14ac:dyDescent="0.35">
      <c r="A701" s="85">
        <v>46225</v>
      </c>
      <c r="B701" s="51" t="s">
        <v>85</v>
      </c>
      <c r="C701" s="97">
        <v>61123995.678571403</v>
      </c>
      <c r="D701" s="97">
        <v>87119.5</v>
      </c>
      <c r="E701" s="48" t="s">
        <v>86</v>
      </c>
      <c r="F701" s="94" t="s">
        <v>108</v>
      </c>
      <c r="G701" s="94" t="s">
        <v>643</v>
      </c>
      <c r="H701" s="94" t="s">
        <v>129</v>
      </c>
      <c r="I701" s="94" t="s">
        <v>135</v>
      </c>
      <c r="J701" s="52"/>
      <c r="K701" s="52"/>
      <c r="L701" s="52"/>
      <c r="M701" s="52"/>
      <c r="N701" s="104">
        <f t="shared" si="153"/>
        <v>0</v>
      </c>
      <c r="O701" s="52">
        <v>10</v>
      </c>
      <c r="P701" s="52"/>
      <c r="Q701" s="52"/>
      <c r="R701" s="104">
        <f t="shared" si="152"/>
        <v>10</v>
      </c>
      <c r="S701" s="86">
        <f t="shared" si="154"/>
        <v>10</v>
      </c>
      <c r="AB701" s="111"/>
      <c r="AC701" s="111"/>
      <c r="AD701" s="111"/>
      <c r="AE701" s="112"/>
      <c r="AF701" s="113"/>
      <c r="AG701" s="49"/>
      <c r="AH701" s="49"/>
      <c r="AI701" s="112"/>
      <c r="AJ701" s="91"/>
      <c r="AK701" s="114"/>
      <c r="AL701" s="112"/>
      <c r="AP701" s="7"/>
    </row>
    <row r="702" spans="1:42" hidden="1" x14ac:dyDescent="0.35">
      <c r="A702" s="85">
        <v>46225</v>
      </c>
      <c r="B702" s="51" t="s">
        <v>85</v>
      </c>
      <c r="C702" s="97">
        <v>61123995.678571403</v>
      </c>
      <c r="D702" s="97">
        <v>87119.5</v>
      </c>
      <c r="E702" s="48" t="s">
        <v>86</v>
      </c>
      <c r="F702" s="94" t="s">
        <v>108</v>
      </c>
      <c r="G702" s="94" t="s">
        <v>644</v>
      </c>
      <c r="H702" s="94" t="s">
        <v>129</v>
      </c>
      <c r="I702" s="94" t="s">
        <v>135</v>
      </c>
      <c r="J702" s="52"/>
      <c r="K702" s="52"/>
      <c r="L702" s="52"/>
      <c r="M702" s="52"/>
      <c r="N702" s="104">
        <f t="shared" si="153"/>
        <v>0</v>
      </c>
      <c r="O702" s="52"/>
      <c r="P702" s="52">
        <v>10</v>
      </c>
      <c r="Q702" s="52"/>
      <c r="R702" s="104">
        <f t="shared" si="152"/>
        <v>10</v>
      </c>
      <c r="S702" s="86">
        <f t="shared" si="154"/>
        <v>10</v>
      </c>
      <c r="AB702" s="111"/>
      <c r="AC702" s="111"/>
      <c r="AD702" s="111"/>
      <c r="AE702" s="112"/>
      <c r="AF702" s="113"/>
      <c r="AG702" s="49"/>
      <c r="AH702" s="49"/>
      <c r="AI702" s="112"/>
      <c r="AJ702" s="91"/>
      <c r="AK702" s="114"/>
      <c r="AL702" s="112"/>
      <c r="AP702" s="7"/>
    </row>
    <row r="703" spans="1:42" hidden="1" x14ac:dyDescent="0.35">
      <c r="A703" s="85">
        <v>46225</v>
      </c>
      <c r="B703" s="51" t="s">
        <v>85</v>
      </c>
      <c r="C703" s="97">
        <v>61123995.678571403</v>
      </c>
      <c r="D703" s="97">
        <v>87119.5</v>
      </c>
      <c r="E703" s="48" t="s">
        <v>86</v>
      </c>
      <c r="F703" s="94" t="s">
        <v>108</v>
      </c>
      <c r="G703" s="94" t="s">
        <v>139</v>
      </c>
      <c r="H703" s="94" t="s">
        <v>129</v>
      </c>
      <c r="I703" s="94" t="s">
        <v>135</v>
      </c>
      <c r="J703" s="52"/>
      <c r="K703" s="52"/>
      <c r="L703" s="52"/>
      <c r="M703" s="52"/>
      <c r="N703" s="104">
        <f t="shared" si="153"/>
        <v>0</v>
      </c>
      <c r="O703" s="52">
        <v>5</v>
      </c>
      <c r="P703" s="52">
        <v>5</v>
      </c>
      <c r="Q703" s="52">
        <v>5</v>
      </c>
      <c r="R703" s="104">
        <f t="shared" si="152"/>
        <v>15</v>
      </c>
      <c r="S703" s="86">
        <f t="shared" si="154"/>
        <v>15</v>
      </c>
      <c r="AB703" s="111"/>
      <c r="AC703" s="111"/>
      <c r="AD703" s="111"/>
      <c r="AE703" s="112"/>
      <c r="AF703" s="113"/>
      <c r="AG703" s="49"/>
      <c r="AH703" s="49"/>
      <c r="AI703" s="112"/>
      <c r="AJ703" s="91"/>
      <c r="AK703" s="114"/>
      <c r="AL703" s="112"/>
      <c r="AP703" s="7"/>
    </row>
    <row r="704" spans="1:42" hidden="1" x14ac:dyDescent="0.35">
      <c r="A704" s="85">
        <v>46225</v>
      </c>
      <c r="B704" s="51" t="s">
        <v>85</v>
      </c>
      <c r="C704" s="97">
        <v>61123995.678571403</v>
      </c>
      <c r="D704" s="97">
        <v>87119.5</v>
      </c>
      <c r="E704" s="48" t="s">
        <v>86</v>
      </c>
      <c r="F704" s="94" t="s">
        <v>108</v>
      </c>
      <c r="G704" s="94" t="s">
        <v>645</v>
      </c>
      <c r="H704" s="94" t="s">
        <v>129</v>
      </c>
      <c r="I704" s="94" t="s">
        <v>135</v>
      </c>
      <c r="J704" s="52"/>
      <c r="K704" s="52"/>
      <c r="L704" s="52">
        <v>10</v>
      </c>
      <c r="M704" s="52"/>
      <c r="N704" s="104">
        <f t="shared" si="153"/>
        <v>10</v>
      </c>
      <c r="O704" s="52"/>
      <c r="P704" s="52"/>
      <c r="Q704" s="52"/>
      <c r="R704" s="104">
        <f t="shared" si="152"/>
        <v>0</v>
      </c>
      <c r="S704" s="86">
        <f t="shared" si="154"/>
        <v>10</v>
      </c>
      <c r="AB704" s="111"/>
      <c r="AC704" s="111"/>
      <c r="AD704" s="111"/>
      <c r="AE704" s="112"/>
      <c r="AF704" s="113"/>
      <c r="AG704" s="49"/>
      <c r="AH704" s="49"/>
      <c r="AI704" s="112"/>
      <c r="AJ704" s="91"/>
      <c r="AK704" s="114"/>
      <c r="AL704" s="112"/>
      <c r="AP704" s="7"/>
    </row>
    <row r="705" spans="1:42" hidden="1" x14ac:dyDescent="0.35">
      <c r="A705" s="85">
        <v>46225</v>
      </c>
      <c r="B705" s="51" t="s">
        <v>85</v>
      </c>
      <c r="C705" s="97">
        <v>61123995.678571403</v>
      </c>
      <c r="D705" s="97">
        <v>87119.5</v>
      </c>
      <c r="E705" s="48" t="s">
        <v>86</v>
      </c>
      <c r="F705" s="94" t="s">
        <v>108</v>
      </c>
      <c r="G705" s="94" t="s">
        <v>646</v>
      </c>
      <c r="H705" s="94" t="s">
        <v>129</v>
      </c>
      <c r="I705" s="94" t="s">
        <v>135</v>
      </c>
      <c r="J705" s="52">
        <v>10</v>
      </c>
      <c r="K705" s="52"/>
      <c r="L705" s="52"/>
      <c r="M705" s="52"/>
      <c r="N705" s="104">
        <f t="shared" si="153"/>
        <v>0</v>
      </c>
      <c r="O705" s="52"/>
      <c r="P705" s="52"/>
      <c r="Q705" s="52"/>
      <c r="R705" s="104">
        <f t="shared" si="152"/>
        <v>0</v>
      </c>
      <c r="S705" s="86">
        <f t="shared" si="154"/>
        <v>10</v>
      </c>
      <c r="AB705" s="111"/>
      <c r="AC705" s="111"/>
      <c r="AD705" s="111"/>
      <c r="AE705" s="112"/>
      <c r="AF705" s="113"/>
      <c r="AG705" s="49"/>
      <c r="AH705" s="49"/>
      <c r="AI705" s="112"/>
      <c r="AJ705" s="91"/>
      <c r="AK705" s="114"/>
      <c r="AL705" s="112"/>
      <c r="AP705" s="7"/>
    </row>
    <row r="706" spans="1:42" hidden="1" x14ac:dyDescent="0.35">
      <c r="A706" s="85">
        <v>46225</v>
      </c>
      <c r="B706" s="51" t="s">
        <v>85</v>
      </c>
      <c r="C706" s="97">
        <v>61123995.678571403</v>
      </c>
      <c r="D706" s="97">
        <v>87119.5</v>
      </c>
      <c r="E706" s="48" t="s">
        <v>86</v>
      </c>
      <c r="F706" s="94" t="s">
        <v>108</v>
      </c>
      <c r="G706" s="94" t="s">
        <v>501</v>
      </c>
      <c r="H706" s="94" t="s">
        <v>129</v>
      </c>
      <c r="I706" s="94" t="s">
        <v>135</v>
      </c>
      <c r="J706" s="52">
        <v>10</v>
      </c>
      <c r="K706" s="52"/>
      <c r="L706" s="52"/>
      <c r="M706" s="52"/>
      <c r="N706" s="104">
        <f t="shared" si="153"/>
        <v>0</v>
      </c>
      <c r="O706" s="52"/>
      <c r="P706" s="52"/>
      <c r="Q706" s="52"/>
      <c r="R706" s="104">
        <f t="shared" si="152"/>
        <v>0</v>
      </c>
      <c r="S706" s="86">
        <f t="shared" si="154"/>
        <v>10</v>
      </c>
      <c r="AB706" s="111"/>
      <c r="AC706" s="111"/>
      <c r="AD706" s="111"/>
      <c r="AE706" s="112"/>
      <c r="AF706" s="113"/>
      <c r="AG706" s="49"/>
      <c r="AH706" s="49"/>
      <c r="AI706" s="112"/>
      <c r="AJ706" s="91"/>
      <c r="AK706" s="114"/>
      <c r="AL706" s="112"/>
      <c r="AP706" s="7"/>
    </row>
    <row r="707" spans="1:42" hidden="1" x14ac:dyDescent="0.35">
      <c r="A707" s="85">
        <v>46225</v>
      </c>
      <c r="B707" s="51" t="s">
        <v>85</v>
      </c>
      <c r="C707" s="97">
        <v>61123995.678571403</v>
      </c>
      <c r="D707" s="97">
        <v>87119.5</v>
      </c>
      <c r="E707" s="48" t="s">
        <v>86</v>
      </c>
      <c r="F707" s="94" t="s">
        <v>108</v>
      </c>
      <c r="G707" s="94" t="s">
        <v>647</v>
      </c>
      <c r="H707" s="94" t="s">
        <v>129</v>
      </c>
      <c r="I707" s="94" t="s">
        <v>135</v>
      </c>
      <c r="J707" s="52">
        <v>10</v>
      </c>
      <c r="K707" s="52"/>
      <c r="L707" s="52"/>
      <c r="M707" s="52"/>
      <c r="N707" s="104">
        <f t="shared" si="153"/>
        <v>0</v>
      </c>
      <c r="O707" s="52"/>
      <c r="P707" s="52"/>
      <c r="Q707" s="52"/>
      <c r="R707" s="104">
        <f t="shared" si="152"/>
        <v>0</v>
      </c>
      <c r="S707" s="86">
        <f t="shared" si="154"/>
        <v>10</v>
      </c>
      <c r="AB707" s="111"/>
      <c r="AC707" s="111"/>
      <c r="AD707" s="111"/>
      <c r="AE707" s="112"/>
      <c r="AF707" s="113"/>
      <c r="AG707" s="49"/>
      <c r="AH707" s="49"/>
      <c r="AI707" s="112"/>
      <c r="AJ707" s="91"/>
      <c r="AK707" s="114"/>
      <c r="AL707" s="112"/>
      <c r="AP707" s="7"/>
    </row>
    <row r="708" spans="1:42" hidden="1" x14ac:dyDescent="0.35">
      <c r="A708" s="85">
        <v>46225</v>
      </c>
      <c r="B708" s="51" t="s">
        <v>85</v>
      </c>
      <c r="C708" s="97">
        <v>61123995.678571403</v>
      </c>
      <c r="D708" s="97">
        <v>87119.5</v>
      </c>
      <c r="E708" s="48" t="s">
        <v>86</v>
      </c>
      <c r="F708" s="94" t="s">
        <v>108</v>
      </c>
      <c r="G708" s="94" t="s">
        <v>323</v>
      </c>
      <c r="H708" s="94" t="s">
        <v>129</v>
      </c>
      <c r="I708" s="94" t="s">
        <v>135</v>
      </c>
      <c r="J708" s="52"/>
      <c r="K708" s="52"/>
      <c r="L708" s="52"/>
      <c r="M708" s="52"/>
      <c r="N708" s="104">
        <f t="shared" si="153"/>
        <v>0</v>
      </c>
      <c r="O708" s="52"/>
      <c r="P708" s="52"/>
      <c r="Q708" s="52">
        <v>10</v>
      </c>
      <c r="R708" s="104">
        <f t="shared" si="152"/>
        <v>10</v>
      </c>
      <c r="S708" s="86">
        <f t="shared" si="154"/>
        <v>10</v>
      </c>
      <c r="AB708" s="111"/>
      <c r="AC708" s="111"/>
      <c r="AD708" s="111"/>
      <c r="AE708" s="112"/>
      <c r="AF708" s="113"/>
      <c r="AG708" s="49"/>
      <c r="AH708" s="49"/>
      <c r="AI708" s="112"/>
      <c r="AJ708" s="91"/>
      <c r="AK708" s="114"/>
      <c r="AL708" s="112"/>
      <c r="AP708" s="7"/>
    </row>
    <row r="709" spans="1:42" hidden="1" x14ac:dyDescent="0.35">
      <c r="A709" s="85">
        <v>46225</v>
      </c>
      <c r="B709" s="51" t="s">
        <v>85</v>
      </c>
      <c r="C709" s="97">
        <v>61123995.678571403</v>
      </c>
      <c r="D709" s="97">
        <v>87119.5</v>
      </c>
      <c r="E709" s="48" t="s">
        <v>86</v>
      </c>
      <c r="F709" s="94" t="s">
        <v>108</v>
      </c>
      <c r="G709" s="94" t="s">
        <v>507</v>
      </c>
      <c r="H709" s="94" t="s">
        <v>129</v>
      </c>
      <c r="I709" s="94" t="s">
        <v>135</v>
      </c>
      <c r="J709" s="52"/>
      <c r="K709" s="52"/>
      <c r="L709" s="52"/>
      <c r="M709" s="52"/>
      <c r="N709" s="104">
        <f t="shared" ref="N709:N742" si="155">K709+L709+M709</f>
        <v>0</v>
      </c>
      <c r="O709" s="52">
        <v>6</v>
      </c>
      <c r="P709" s="52"/>
      <c r="Q709" s="52">
        <v>10</v>
      </c>
      <c r="R709" s="104">
        <f t="shared" si="152"/>
        <v>16</v>
      </c>
      <c r="S709" s="86">
        <f t="shared" ref="S709:S772" si="156">R709+N709+J709</f>
        <v>16</v>
      </c>
      <c r="AB709" s="111"/>
      <c r="AC709" s="111"/>
      <c r="AD709" s="111"/>
      <c r="AE709" s="112"/>
      <c r="AF709" s="113"/>
      <c r="AG709" s="49"/>
      <c r="AH709" s="49"/>
      <c r="AI709" s="112"/>
      <c r="AJ709" s="91"/>
      <c r="AK709" s="114"/>
      <c r="AL709" s="112"/>
      <c r="AP709" s="7"/>
    </row>
    <row r="710" spans="1:42" hidden="1" x14ac:dyDescent="0.35">
      <c r="A710" s="85">
        <v>46225</v>
      </c>
      <c r="B710" s="51" t="s">
        <v>85</v>
      </c>
      <c r="C710" s="97">
        <v>61123995.678571403</v>
      </c>
      <c r="D710" s="97">
        <v>87119.5</v>
      </c>
      <c r="E710" s="48" t="s">
        <v>86</v>
      </c>
      <c r="F710" s="94" t="s">
        <v>108</v>
      </c>
      <c r="G710" s="94" t="s">
        <v>139</v>
      </c>
      <c r="H710" s="94" t="s">
        <v>129</v>
      </c>
      <c r="I710" s="94" t="s">
        <v>135</v>
      </c>
      <c r="J710" s="52"/>
      <c r="K710" s="52"/>
      <c r="L710" s="52"/>
      <c r="M710" s="52"/>
      <c r="N710" s="104">
        <f t="shared" si="155"/>
        <v>0</v>
      </c>
      <c r="O710" s="52">
        <v>20</v>
      </c>
      <c r="P710" s="52">
        <v>20</v>
      </c>
      <c r="Q710" s="52"/>
      <c r="R710" s="104">
        <f t="shared" si="152"/>
        <v>40</v>
      </c>
      <c r="S710" s="86">
        <f t="shared" si="156"/>
        <v>40</v>
      </c>
      <c r="AB710" s="111"/>
      <c r="AC710" s="111"/>
      <c r="AD710" s="111"/>
      <c r="AE710" s="112"/>
      <c r="AF710" s="113"/>
      <c r="AG710" s="49"/>
      <c r="AH710" s="49"/>
      <c r="AI710" s="112"/>
      <c r="AJ710" s="91"/>
      <c r="AK710" s="114"/>
      <c r="AL710" s="112"/>
      <c r="AP710" s="7"/>
    </row>
    <row r="711" spans="1:42" x14ac:dyDescent="0.35">
      <c r="A711" s="85">
        <v>46226</v>
      </c>
      <c r="B711" s="51" t="s">
        <v>85</v>
      </c>
      <c r="C711" s="97">
        <v>61123995.678571403</v>
      </c>
      <c r="D711" s="97">
        <v>87119.5</v>
      </c>
      <c r="E711" s="48" t="s">
        <v>86</v>
      </c>
      <c r="F711" s="94" t="s">
        <v>87</v>
      </c>
      <c r="G711" s="94" t="s">
        <v>532</v>
      </c>
      <c r="H711" s="94" t="s">
        <v>89</v>
      </c>
      <c r="I711" s="94" t="s">
        <v>649</v>
      </c>
      <c r="J711" s="52"/>
      <c r="K711" s="52">
        <v>40</v>
      </c>
      <c r="L711" s="52">
        <v>40</v>
      </c>
      <c r="M711" s="52"/>
      <c r="N711" s="104">
        <f t="shared" si="155"/>
        <v>80</v>
      </c>
      <c r="O711" s="52">
        <v>40</v>
      </c>
      <c r="P711" s="52">
        <v>80</v>
      </c>
      <c r="Q711" s="52">
        <v>80</v>
      </c>
      <c r="R711" s="104">
        <f t="shared" si="152"/>
        <v>200</v>
      </c>
      <c r="S711" s="86">
        <f t="shared" si="156"/>
        <v>280</v>
      </c>
      <c r="AB711" s="111"/>
      <c r="AC711" s="111"/>
      <c r="AD711" s="111"/>
      <c r="AE711" s="112"/>
      <c r="AF711" s="113"/>
      <c r="AG711" s="49"/>
      <c r="AH711" s="49"/>
      <c r="AI711" s="112"/>
      <c r="AJ711" s="91"/>
      <c r="AK711" s="114"/>
      <c r="AL711" s="112"/>
      <c r="AP711" s="7"/>
    </row>
    <row r="712" spans="1:42" x14ac:dyDescent="0.35">
      <c r="A712" s="85">
        <v>46226</v>
      </c>
      <c r="B712" s="51" t="s">
        <v>85</v>
      </c>
      <c r="C712" s="97">
        <v>61123995.678571403</v>
      </c>
      <c r="D712" s="97">
        <v>87119.5</v>
      </c>
      <c r="E712" s="48" t="s">
        <v>86</v>
      </c>
      <c r="F712" s="94" t="s">
        <v>87</v>
      </c>
      <c r="G712" s="94" t="s">
        <v>656</v>
      </c>
      <c r="H712" s="94" t="s">
        <v>89</v>
      </c>
      <c r="I712" s="94" t="s">
        <v>650</v>
      </c>
      <c r="J712" s="52"/>
      <c r="K712" s="52"/>
      <c r="L712" s="52"/>
      <c r="M712" s="52"/>
      <c r="N712" s="104">
        <f t="shared" si="155"/>
        <v>0</v>
      </c>
      <c r="O712" s="52"/>
      <c r="P712" s="52"/>
      <c r="Q712" s="52">
        <v>200</v>
      </c>
      <c r="R712" s="104">
        <f t="shared" si="152"/>
        <v>200</v>
      </c>
      <c r="S712" s="86">
        <f t="shared" si="156"/>
        <v>200</v>
      </c>
      <c r="AB712" s="111"/>
      <c r="AC712" s="111"/>
      <c r="AD712" s="111"/>
      <c r="AE712" s="112"/>
      <c r="AF712" s="113"/>
      <c r="AG712" s="49"/>
      <c r="AH712" s="49"/>
      <c r="AI712" s="112"/>
      <c r="AJ712" s="91"/>
      <c r="AK712" s="114"/>
      <c r="AL712" s="112"/>
      <c r="AP712" s="7"/>
    </row>
    <row r="713" spans="1:42" x14ac:dyDescent="0.35">
      <c r="A713" s="85">
        <v>46226</v>
      </c>
      <c r="B713" s="51" t="s">
        <v>85</v>
      </c>
      <c r="C713" s="97">
        <v>61123995.678571403</v>
      </c>
      <c r="D713" s="97">
        <v>87119.5</v>
      </c>
      <c r="E713" s="48" t="s">
        <v>86</v>
      </c>
      <c r="F713" s="94" t="s">
        <v>87</v>
      </c>
      <c r="G713" s="94" t="s">
        <v>657</v>
      </c>
      <c r="H713" s="94" t="s">
        <v>89</v>
      </c>
      <c r="I713" s="94" t="s">
        <v>651</v>
      </c>
      <c r="J713" s="52"/>
      <c r="K713" s="52">
        <v>10</v>
      </c>
      <c r="L713" s="52">
        <v>10</v>
      </c>
      <c r="M713" s="52"/>
      <c r="N713" s="104">
        <f t="shared" si="155"/>
        <v>20</v>
      </c>
      <c r="O713" s="52">
        <v>10</v>
      </c>
      <c r="P713" s="52">
        <v>10</v>
      </c>
      <c r="Q713" s="52">
        <v>20</v>
      </c>
      <c r="R713" s="104">
        <f t="shared" si="152"/>
        <v>40</v>
      </c>
      <c r="S713" s="86">
        <f t="shared" si="156"/>
        <v>60</v>
      </c>
      <c r="AB713" s="111"/>
      <c r="AC713" s="111"/>
      <c r="AD713" s="111"/>
      <c r="AE713" s="112"/>
      <c r="AF713" s="113"/>
      <c r="AG713" s="49"/>
      <c r="AH713" s="49"/>
      <c r="AI713" s="112"/>
      <c r="AJ713" s="91"/>
      <c r="AK713" s="114"/>
      <c r="AL713" s="112"/>
      <c r="AP713" s="7"/>
    </row>
    <row r="714" spans="1:42" x14ac:dyDescent="0.35">
      <c r="A714" s="85">
        <v>46226</v>
      </c>
      <c r="B714" s="51" t="s">
        <v>85</v>
      </c>
      <c r="C714" s="97">
        <v>61123995.678571403</v>
      </c>
      <c r="D714" s="97">
        <v>87119.5</v>
      </c>
      <c r="E714" s="48" t="s">
        <v>86</v>
      </c>
      <c r="F714" s="94" t="s">
        <v>87</v>
      </c>
      <c r="G714" s="94" t="s">
        <v>657</v>
      </c>
      <c r="H714" s="94" t="s">
        <v>89</v>
      </c>
      <c r="I714" s="94" t="s">
        <v>652</v>
      </c>
      <c r="J714" s="52"/>
      <c r="K714" s="52">
        <v>10</v>
      </c>
      <c r="L714" s="52">
        <v>10</v>
      </c>
      <c r="M714" s="52"/>
      <c r="N714" s="104">
        <f t="shared" si="155"/>
        <v>20</v>
      </c>
      <c r="O714" s="52">
        <v>20</v>
      </c>
      <c r="P714" s="52">
        <v>20</v>
      </c>
      <c r="Q714" s="52">
        <v>20</v>
      </c>
      <c r="R714" s="104">
        <f t="shared" si="152"/>
        <v>60</v>
      </c>
      <c r="S714" s="86">
        <f t="shared" si="156"/>
        <v>80</v>
      </c>
      <c r="AB714" s="111"/>
      <c r="AC714" s="111"/>
      <c r="AD714" s="111"/>
      <c r="AE714" s="112"/>
      <c r="AF714" s="113"/>
      <c r="AG714" s="49"/>
      <c r="AH714" s="49"/>
      <c r="AI714" s="112"/>
      <c r="AJ714" s="91"/>
      <c r="AK714" s="114"/>
      <c r="AL714" s="112"/>
      <c r="AP714" s="7"/>
    </row>
    <row r="715" spans="1:42" x14ac:dyDescent="0.35">
      <c r="A715" s="85">
        <v>46226</v>
      </c>
      <c r="B715" s="51" t="s">
        <v>85</v>
      </c>
      <c r="C715" s="97">
        <v>61123995.678571403</v>
      </c>
      <c r="D715" s="97">
        <v>87119.5</v>
      </c>
      <c r="E715" s="48" t="s">
        <v>86</v>
      </c>
      <c r="F715" s="94" t="s">
        <v>87</v>
      </c>
      <c r="G715" s="94" t="s">
        <v>648</v>
      </c>
      <c r="H715" s="94" t="s">
        <v>89</v>
      </c>
      <c r="I715" s="94" t="s">
        <v>653</v>
      </c>
      <c r="J715" s="52"/>
      <c r="K715" s="52">
        <v>40</v>
      </c>
      <c r="L715" s="52"/>
      <c r="M715" s="52"/>
      <c r="N715" s="104">
        <f t="shared" si="155"/>
        <v>40</v>
      </c>
      <c r="O715" s="52">
        <v>40</v>
      </c>
      <c r="P715" s="52">
        <v>80</v>
      </c>
      <c r="Q715" s="52">
        <v>80</v>
      </c>
      <c r="R715" s="104">
        <f t="shared" si="152"/>
        <v>200</v>
      </c>
      <c r="S715" s="86">
        <f t="shared" si="156"/>
        <v>240</v>
      </c>
      <c r="AB715" s="111"/>
      <c r="AC715" s="111"/>
      <c r="AD715" s="111"/>
      <c r="AE715" s="112"/>
      <c r="AF715" s="113"/>
      <c r="AG715" s="49"/>
      <c r="AH715" s="49"/>
      <c r="AI715" s="112"/>
      <c r="AJ715" s="91"/>
      <c r="AK715" s="114"/>
      <c r="AL715" s="112"/>
      <c r="AP715" s="7"/>
    </row>
    <row r="716" spans="1:42" x14ac:dyDescent="0.35">
      <c r="A716" s="85">
        <v>46226</v>
      </c>
      <c r="B716" s="51" t="s">
        <v>85</v>
      </c>
      <c r="C716" s="97">
        <v>61123995.678571403</v>
      </c>
      <c r="D716" s="97">
        <v>87119.5</v>
      </c>
      <c r="E716" s="48" t="s">
        <v>86</v>
      </c>
      <c r="F716" s="94" t="s">
        <v>87</v>
      </c>
      <c r="G716" s="94" t="s">
        <v>654</v>
      </c>
      <c r="H716" s="94" t="s">
        <v>89</v>
      </c>
      <c r="I716" s="94" t="s">
        <v>94</v>
      </c>
      <c r="J716" s="52"/>
      <c r="K716" s="52">
        <v>40</v>
      </c>
      <c r="L716" s="52">
        <v>40</v>
      </c>
      <c r="M716" s="52"/>
      <c r="N716" s="104">
        <f t="shared" si="155"/>
        <v>80</v>
      </c>
      <c r="O716" s="52"/>
      <c r="P716" s="52">
        <v>40</v>
      </c>
      <c r="Q716" s="52">
        <v>40</v>
      </c>
      <c r="R716" s="104">
        <f t="shared" si="152"/>
        <v>80</v>
      </c>
      <c r="S716" s="86">
        <f t="shared" si="156"/>
        <v>160</v>
      </c>
      <c r="AB716" s="111"/>
      <c r="AC716" s="111"/>
      <c r="AD716" s="111"/>
      <c r="AE716" s="112"/>
      <c r="AF716" s="113"/>
      <c r="AG716" s="49"/>
      <c r="AH716" s="49"/>
      <c r="AI716" s="112"/>
      <c r="AJ716" s="91"/>
      <c r="AK716" s="114"/>
      <c r="AL716" s="112"/>
      <c r="AP716" s="7"/>
    </row>
    <row r="717" spans="1:42" x14ac:dyDescent="0.35">
      <c r="A717" s="85">
        <v>46226</v>
      </c>
      <c r="B717" s="51" t="s">
        <v>85</v>
      </c>
      <c r="C717" s="97">
        <v>61123995.678571403</v>
      </c>
      <c r="D717" s="97">
        <v>87119.5</v>
      </c>
      <c r="E717" s="48" t="s">
        <v>86</v>
      </c>
      <c r="F717" s="94" t="s">
        <v>87</v>
      </c>
      <c r="G717" s="94" t="s">
        <v>658</v>
      </c>
      <c r="H717" s="94" t="s">
        <v>89</v>
      </c>
      <c r="I717" s="94" t="s">
        <v>94</v>
      </c>
      <c r="J717" s="52"/>
      <c r="K717" s="52">
        <v>80</v>
      </c>
      <c r="L717" s="52">
        <v>80</v>
      </c>
      <c r="M717" s="52"/>
      <c r="N717" s="104">
        <f t="shared" si="155"/>
        <v>160</v>
      </c>
      <c r="O717" s="52">
        <v>80</v>
      </c>
      <c r="P717" s="52">
        <v>80</v>
      </c>
      <c r="Q717" s="52">
        <v>80</v>
      </c>
      <c r="R717" s="104">
        <f t="shared" si="152"/>
        <v>240</v>
      </c>
      <c r="S717" s="86">
        <f t="shared" si="156"/>
        <v>400</v>
      </c>
      <c r="AB717" s="111"/>
      <c r="AC717" s="111"/>
      <c r="AD717" s="111"/>
      <c r="AE717" s="112"/>
      <c r="AF717" s="113"/>
      <c r="AG717" s="49"/>
      <c r="AH717" s="49"/>
      <c r="AI717" s="112"/>
      <c r="AJ717" s="91"/>
      <c r="AK717" s="114"/>
      <c r="AL717" s="112"/>
      <c r="AP717" s="7"/>
    </row>
    <row r="718" spans="1:42" x14ac:dyDescent="0.35">
      <c r="A718" s="85">
        <v>46226</v>
      </c>
      <c r="B718" s="51" t="s">
        <v>85</v>
      </c>
      <c r="C718" s="97">
        <v>61123995.678571403</v>
      </c>
      <c r="D718" s="97">
        <v>87119.5</v>
      </c>
      <c r="E718" s="48" t="s">
        <v>86</v>
      </c>
      <c r="F718" s="94" t="s">
        <v>87</v>
      </c>
      <c r="G718" s="94" t="s">
        <v>659</v>
      </c>
      <c r="H718" s="94" t="s">
        <v>89</v>
      </c>
      <c r="I718" s="94" t="s">
        <v>451</v>
      </c>
      <c r="J718" s="52"/>
      <c r="K718" s="52">
        <v>200</v>
      </c>
      <c r="L718" s="52">
        <v>120</v>
      </c>
      <c r="M718" s="52"/>
      <c r="N718" s="104">
        <f t="shared" si="155"/>
        <v>320</v>
      </c>
      <c r="O718" s="52"/>
      <c r="P718" s="52"/>
      <c r="Q718" s="52">
        <v>400</v>
      </c>
      <c r="R718" s="104">
        <f t="shared" si="152"/>
        <v>400</v>
      </c>
      <c r="S718" s="86">
        <f t="shared" si="156"/>
        <v>720</v>
      </c>
      <c r="AB718" s="111"/>
      <c r="AC718" s="111"/>
      <c r="AD718" s="111"/>
      <c r="AE718" s="112"/>
      <c r="AF718" s="113"/>
      <c r="AG718" s="49"/>
      <c r="AH718" s="49"/>
      <c r="AI718" s="112"/>
      <c r="AJ718" s="91"/>
      <c r="AK718" s="114"/>
      <c r="AL718" s="112"/>
      <c r="AP718" s="7"/>
    </row>
    <row r="719" spans="1:42" x14ac:dyDescent="0.35">
      <c r="A719" s="85">
        <v>46226</v>
      </c>
      <c r="B719" s="51" t="s">
        <v>85</v>
      </c>
      <c r="C719" s="97">
        <v>61123995.678571403</v>
      </c>
      <c r="D719" s="97">
        <v>87119.5</v>
      </c>
      <c r="E719" s="48" t="s">
        <v>86</v>
      </c>
      <c r="F719" s="94" t="s">
        <v>87</v>
      </c>
      <c r="G719" s="94" t="s">
        <v>532</v>
      </c>
      <c r="H719" s="94" t="s">
        <v>89</v>
      </c>
      <c r="I719" s="94" t="s">
        <v>655</v>
      </c>
      <c r="J719" s="52"/>
      <c r="K719" s="52">
        <v>40</v>
      </c>
      <c r="L719" s="52">
        <v>80</v>
      </c>
      <c r="M719" s="52"/>
      <c r="N719" s="104">
        <f t="shared" si="155"/>
        <v>120</v>
      </c>
      <c r="O719" s="52">
        <v>80</v>
      </c>
      <c r="P719" s="52">
        <v>80</v>
      </c>
      <c r="Q719" s="52">
        <v>80</v>
      </c>
      <c r="R719" s="104">
        <f t="shared" si="152"/>
        <v>240</v>
      </c>
      <c r="S719" s="86">
        <f t="shared" si="156"/>
        <v>360</v>
      </c>
      <c r="AB719" s="111"/>
      <c r="AC719" s="111"/>
      <c r="AD719" s="111"/>
      <c r="AE719" s="112"/>
      <c r="AF719" s="113"/>
      <c r="AG719" s="49"/>
      <c r="AH719" s="49"/>
      <c r="AI719" s="112"/>
      <c r="AJ719" s="91"/>
      <c r="AK719" s="114"/>
      <c r="AL719" s="112"/>
      <c r="AP719" s="7"/>
    </row>
    <row r="720" spans="1:42" hidden="1" x14ac:dyDescent="0.35">
      <c r="A720" s="85">
        <v>46226</v>
      </c>
      <c r="B720" s="51" t="s">
        <v>85</v>
      </c>
      <c r="C720" s="97">
        <v>61123995.678571403</v>
      </c>
      <c r="D720" s="97">
        <v>87119.5</v>
      </c>
      <c r="E720" s="48" t="s">
        <v>86</v>
      </c>
      <c r="F720" s="94" t="s">
        <v>108</v>
      </c>
      <c r="G720" s="94" t="s">
        <v>660</v>
      </c>
      <c r="H720" s="94" t="s">
        <v>112</v>
      </c>
      <c r="I720" s="94" t="s">
        <v>664</v>
      </c>
      <c r="J720" s="52"/>
      <c r="K720" s="52">
        <v>15</v>
      </c>
      <c r="L720" s="52">
        <v>15</v>
      </c>
      <c r="M720" s="52"/>
      <c r="N720" s="104">
        <f t="shared" si="155"/>
        <v>30</v>
      </c>
      <c r="O720" s="52"/>
      <c r="P720" s="52"/>
      <c r="Q720" s="52"/>
      <c r="R720" s="104">
        <f t="shared" si="152"/>
        <v>0</v>
      </c>
      <c r="S720" s="86">
        <f t="shared" si="156"/>
        <v>30</v>
      </c>
      <c r="AB720" s="111"/>
      <c r="AC720" s="111"/>
      <c r="AD720" s="111"/>
      <c r="AE720" s="112"/>
      <c r="AF720" s="113"/>
      <c r="AG720" s="49"/>
      <c r="AH720" s="49"/>
      <c r="AI720" s="112"/>
      <c r="AJ720" s="91"/>
      <c r="AK720" s="114"/>
      <c r="AL720" s="112"/>
      <c r="AP720" s="7"/>
    </row>
    <row r="721" spans="1:42" hidden="1" x14ac:dyDescent="0.35">
      <c r="A721" s="85">
        <v>46226</v>
      </c>
      <c r="B721" s="51" t="s">
        <v>85</v>
      </c>
      <c r="C721" s="97">
        <v>61123995.678571403</v>
      </c>
      <c r="D721" s="97">
        <v>87119.5</v>
      </c>
      <c r="E721" s="48" t="s">
        <v>86</v>
      </c>
      <c r="F721" s="94" t="s">
        <v>108</v>
      </c>
      <c r="G721" s="94" t="s">
        <v>520</v>
      </c>
      <c r="H721" s="94" t="s">
        <v>112</v>
      </c>
      <c r="I721" s="94" t="s">
        <v>664</v>
      </c>
      <c r="J721" s="52"/>
      <c r="K721" s="52"/>
      <c r="L721" s="52"/>
      <c r="M721" s="52"/>
      <c r="N721" s="104">
        <f t="shared" si="155"/>
        <v>0</v>
      </c>
      <c r="O721" s="52">
        <v>10</v>
      </c>
      <c r="P721" s="52">
        <v>10</v>
      </c>
      <c r="Q721" s="52">
        <v>20</v>
      </c>
      <c r="R721" s="104">
        <f t="shared" si="152"/>
        <v>40</v>
      </c>
      <c r="S721" s="86">
        <f t="shared" si="156"/>
        <v>40</v>
      </c>
      <c r="AB721" s="111"/>
      <c r="AC721" s="111"/>
      <c r="AD721" s="111"/>
      <c r="AE721" s="112"/>
      <c r="AF721" s="113"/>
      <c r="AG721" s="49"/>
      <c r="AH721" s="49"/>
      <c r="AI721" s="112"/>
      <c r="AJ721" s="91"/>
      <c r="AK721" s="114"/>
      <c r="AL721" s="112"/>
      <c r="AP721" s="7"/>
    </row>
    <row r="722" spans="1:42" hidden="1" x14ac:dyDescent="0.35">
      <c r="A722" s="85">
        <v>46226</v>
      </c>
      <c r="B722" s="51" t="s">
        <v>85</v>
      </c>
      <c r="C722" s="97">
        <v>61123995.678571403</v>
      </c>
      <c r="D722" s="97">
        <v>87119.5</v>
      </c>
      <c r="E722" s="48" t="s">
        <v>86</v>
      </c>
      <c r="F722" s="94" t="s">
        <v>108</v>
      </c>
      <c r="G722" s="94" t="s">
        <v>661</v>
      </c>
      <c r="H722" s="94" t="s">
        <v>112</v>
      </c>
      <c r="I722" s="94" t="s">
        <v>664</v>
      </c>
      <c r="J722" s="52">
        <v>20</v>
      </c>
      <c r="K722" s="52">
        <v>20</v>
      </c>
      <c r="L722" s="52">
        <v>20</v>
      </c>
      <c r="M722" s="52"/>
      <c r="N722" s="104">
        <f t="shared" si="155"/>
        <v>40</v>
      </c>
      <c r="O722" s="52"/>
      <c r="P722" s="52"/>
      <c r="Q722" s="52"/>
      <c r="R722" s="104">
        <f t="shared" si="152"/>
        <v>0</v>
      </c>
      <c r="S722" s="86">
        <f t="shared" si="156"/>
        <v>60</v>
      </c>
      <c r="AB722" s="111"/>
      <c r="AC722" s="111"/>
      <c r="AD722" s="111"/>
      <c r="AE722" s="112"/>
      <c r="AF722" s="113"/>
      <c r="AG722" s="49"/>
      <c r="AH722" s="49"/>
      <c r="AI722" s="112"/>
      <c r="AJ722" s="91"/>
      <c r="AK722" s="114"/>
      <c r="AL722" s="112"/>
      <c r="AP722" s="7"/>
    </row>
    <row r="723" spans="1:42" hidden="1" x14ac:dyDescent="0.35">
      <c r="A723" s="85">
        <v>46226</v>
      </c>
      <c r="B723" s="51" t="s">
        <v>85</v>
      </c>
      <c r="C723" s="97">
        <v>61123995.678571403</v>
      </c>
      <c r="D723" s="97">
        <v>87119.5</v>
      </c>
      <c r="E723" s="48" t="s">
        <v>86</v>
      </c>
      <c r="F723" s="94" t="s">
        <v>108</v>
      </c>
      <c r="G723" s="94" t="s">
        <v>662</v>
      </c>
      <c r="H723" s="94" t="s">
        <v>112</v>
      </c>
      <c r="I723" s="94" t="s">
        <v>664</v>
      </c>
      <c r="J723" s="52">
        <v>10</v>
      </c>
      <c r="K723" s="52">
        <v>6</v>
      </c>
      <c r="L723" s="52">
        <v>6</v>
      </c>
      <c r="M723" s="52"/>
      <c r="N723" s="104">
        <f t="shared" si="155"/>
        <v>12</v>
      </c>
      <c r="O723" s="52"/>
      <c r="P723" s="52"/>
      <c r="Q723" s="52"/>
      <c r="R723" s="104">
        <f t="shared" si="152"/>
        <v>0</v>
      </c>
      <c r="S723" s="86">
        <f t="shared" si="156"/>
        <v>22</v>
      </c>
      <c r="AB723" s="111"/>
      <c r="AC723" s="111"/>
      <c r="AD723" s="111"/>
      <c r="AE723" s="112"/>
      <c r="AF723" s="113"/>
      <c r="AG723" s="49"/>
      <c r="AH723" s="49"/>
      <c r="AI723" s="112"/>
      <c r="AJ723" s="91"/>
      <c r="AK723" s="114"/>
      <c r="AL723" s="112"/>
      <c r="AP723" s="7"/>
    </row>
    <row r="724" spans="1:42" hidden="1" x14ac:dyDescent="0.35">
      <c r="A724" s="85">
        <v>46226</v>
      </c>
      <c r="B724" s="51" t="s">
        <v>85</v>
      </c>
      <c r="C724" s="97">
        <v>61123995.678571403</v>
      </c>
      <c r="D724" s="97">
        <v>87119.5</v>
      </c>
      <c r="E724" s="48" t="s">
        <v>86</v>
      </c>
      <c r="F724" s="94" t="s">
        <v>108</v>
      </c>
      <c r="G724" s="94" t="s">
        <v>183</v>
      </c>
      <c r="H724" s="94" t="s">
        <v>112</v>
      </c>
      <c r="I724" s="94" t="s">
        <v>664</v>
      </c>
      <c r="J724" s="52">
        <v>15</v>
      </c>
      <c r="K724" s="52"/>
      <c r="L724" s="52"/>
      <c r="M724" s="52"/>
      <c r="N724" s="104">
        <f t="shared" si="155"/>
        <v>0</v>
      </c>
      <c r="O724" s="52"/>
      <c r="P724" s="52"/>
      <c r="Q724" s="52"/>
      <c r="R724" s="104">
        <f t="shared" si="152"/>
        <v>0</v>
      </c>
      <c r="S724" s="86">
        <f t="shared" si="156"/>
        <v>15</v>
      </c>
      <c r="AB724" s="111"/>
      <c r="AC724" s="111"/>
      <c r="AD724" s="111"/>
      <c r="AE724" s="112"/>
      <c r="AF724" s="113"/>
      <c r="AG724" s="49"/>
      <c r="AH724" s="49"/>
      <c r="AI724" s="112"/>
      <c r="AJ724" s="91"/>
      <c r="AK724" s="114"/>
      <c r="AL724" s="112"/>
      <c r="AP724" s="7"/>
    </row>
    <row r="725" spans="1:42" hidden="1" x14ac:dyDescent="0.35">
      <c r="A725" s="85">
        <v>46226</v>
      </c>
      <c r="B725" s="51" t="s">
        <v>85</v>
      </c>
      <c r="C725" s="97">
        <v>61123995.678571403</v>
      </c>
      <c r="D725" s="97">
        <v>87119.5</v>
      </c>
      <c r="E725" s="48" t="s">
        <v>86</v>
      </c>
      <c r="F725" s="94" t="s">
        <v>108</v>
      </c>
      <c r="G725" s="94" t="s">
        <v>663</v>
      </c>
      <c r="H725" s="94" t="s">
        <v>112</v>
      </c>
      <c r="I725" s="94" t="s">
        <v>664</v>
      </c>
      <c r="J725" s="52">
        <v>40</v>
      </c>
      <c r="K725" s="52"/>
      <c r="L725" s="52"/>
      <c r="M725" s="52"/>
      <c r="N725" s="104">
        <f t="shared" si="155"/>
        <v>0</v>
      </c>
      <c r="O725" s="52"/>
      <c r="P725" s="52"/>
      <c r="Q725" s="52"/>
      <c r="R725" s="104">
        <f t="shared" si="152"/>
        <v>0</v>
      </c>
      <c r="S725" s="86">
        <f t="shared" si="156"/>
        <v>40</v>
      </c>
      <c r="AB725" s="111"/>
      <c r="AC725" s="111"/>
      <c r="AD725" s="111"/>
      <c r="AE725" s="112"/>
      <c r="AF725" s="113"/>
      <c r="AG725" s="49"/>
      <c r="AH725" s="49"/>
      <c r="AI725" s="112"/>
      <c r="AJ725" s="91"/>
      <c r="AK725" s="114"/>
      <c r="AL725" s="112"/>
      <c r="AP725" s="7"/>
    </row>
    <row r="726" spans="1:42" hidden="1" x14ac:dyDescent="0.35">
      <c r="A726" s="85">
        <v>46226</v>
      </c>
      <c r="B726" s="51" t="s">
        <v>85</v>
      </c>
      <c r="C726" s="97">
        <v>61123995.678571403</v>
      </c>
      <c r="D726" s="97">
        <v>87119.5</v>
      </c>
      <c r="E726" s="48" t="s">
        <v>86</v>
      </c>
      <c r="F726" s="94" t="s">
        <v>108</v>
      </c>
      <c r="G726" s="94" t="s">
        <v>187</v>
      </c>
      <c r="H726" s="94" t="s">
        <v>127</v>
      </c>
      <c r="I726" s="94" t="s">
        <v>434</v>
      </c>
      <c r="J726" s="52">
        <v>40</v>
      </c>
      <c r="K726" s="52"/>
      <c r="L726" s="52"/>
      <c r="M726" s="52"/>
      <c r="N726" s="104">
        <f t="shared" si="155"/>
        <v>0</v>
      </c>
      <c r="O726" s="52">
        <v>20</v>
      </c>
      <c r="P726" s="52">
        <v>10</v>
      </c>
      <c r="Q726" s="52">
        <v>10</v>
      </c>
      <c r="R726" s="104">
        <f t="shared" si="152"/>
        <v>40</v>
      </c>
      <c r="S726" s="86">
        <f t="shared" si="156"/>
        <v>80</v>
      </c>
      <c r="AB726" s="111"/>
      <c r="AC726" s="111"/>
      <c r="AD726" s="111"/>
      <c r="AE726" s="112"/>
      <c r="AF726" s="113"/>
      <c r="AG726" s="49"/>
      <c r="AH726" s="49"/>
      <c r="AI726" s="112"/>
      <c r="AJ726" s="91"/>
      <c r="AK726" s="114"/>
      <c r="AL726" s="112"/>
      <c r="AP726" s="7"/>
    </row>
    <row r="727" spans="1:42" hidden="1" x14ac:dyDescent="0.35">
      <c r="A727" s="85">
        <v>46226</v>
      </c>
      <c r="B727" s="51" t="s">
        <v>85</v>
      </c>
      <c r="C727" s="97">
        <v>61123995.678571403</v>
      </c>
      <c r="D727" s="97">
        <v>87119.5</v>
      </c>
      <c r="E727" s="48" t="s">
        <v>86</v>
      </c>
      <c r="F727" s="94" t="s">
        <v>108</v>
      </c>
      <c r="G727" s="94" t="s">
        <v>665</v>
      </c>
      <c r="H727" s="94" t="s">
        <v>127</v>
      </c>
      <c r="I727" s="94" t="s">
        <v>434</v>
      </c>
      <c r="J727" s="52">
        <v>80</v>
      </c>
      <c r="K727" s="52">
        <v>40</v>
      </c>
      <c r="L727" s="52">
        <v>40</v>
      </c>
      <c r="M727" s="52"/>
      <c r="N727" s="104">
        <f t="shared" si="155"/>
        <v>80</v>
      </c>
      <c r="O727" s="52"/>
      <c r="P727" s="52"/>
      <c r="Q727" s="52"/>
      <c r="R727" s="104">
        <f t="shared" si="152"/>
        <v>0</v>
      </c>
      <c r="S727" s="86">
        <f t="shared" si="156"/>
        <v>160</v>
      </c>
      <c r="AB727" s="111"/>
      <c r="AC727" s="111"/>
      <c r="AD727" s="111"/>
      <c r="AE727" s="112"/>
      <c r="AF727" s="113"/>
      <c r="AG727" s="49"/>
      <c r="AH727" s="49"/>
      <c r="AI727" s="112"/>
      <c r="AJ727" s="91"/>
      <c r="AK727" s="114"/>
      <c r="AL727" s="112"/>
      <c r="AP727" s="7"/>
    </row>
    <row r="728" spans="1:42" hidden="1" x14ac:dyDescent="0.35">
      <c r="A728" s="85">
        <v>46226</v>
      </c>
      <c r="B728" s="51" t="s">
        <v>85</v>
      </c>
      <c r="C728" s="97">
        <v>61123995.678571403</v>
      </c>
      <c r="D728" s="97">
        <v>87119.5</v>
      </c>
      <c r="E728" s="48" t="s">
        <v>86</v>
      </c>
      <c r="F728" s="94" t="s">
        <v>108</v>
      </c>
      <c r="G728" s="94" t="s">
        <v>666</v>
      </c>
      <c r="H728" s="94" t="s">
        <v>127</v>
      </c>
      <c r="I728" s="94" t="s">
        <v>434</v>
      </c>
      <c r="J728" s="52">
        <v>40</v>
      </c>
      <c r="K728" s="52"/>
      <c r="L728" s="52"/>
      <c r="M728" s="52"/>
      <c r="N728" s="104">
        <f t="shared" si="155"/>
        <v>0</v>
      </c>
      <c r="O728" s="52">
        <v>80</v>
      </c>
      <c r="P728" s="52">
        <v>80</v>
      </c>
      <c r="Q728" s="52">
        <v>120</v>
      </c>
      <c r="R728" s="104">
        <f t="shared" si="152"/>
        <v>280</v>
      </c>
      <c r="S728" s="86">
        <f t="shared" si="156"/>
        <v>320</v>
      </c>
      <c r="AB728" s="111"/>
      <c r="AC728" s="111"/>
      <c r="AD728" s="111"/>
      <c r="AE728" s="112"/>
      <c r="AF728" s="113"/>
      <c r="AG728" s="49"/>
      <c r="AH728" s="49"/>
      <c r="AI728" s="112"/>
      <c r="AJ728" s="91"/>
      <c r="AK728" s="114"/>
      <c r="AL728" s="112"/>
      <c r="AP728" s="7"/>
    </row>
    <row r="729" spans="1:42" hidden="1" x14ac:dyDescent="0.35">
      <c r="A729" s="85">
        <v>46226</v>
      </c>
      <c r="B729" s="51" t="s">
        <v>85</v>
      </c>
      <c r="C729" s="97">
        <v>61123995.678571403</v>
      </c>
      <c r="D729" s="97">
        <v>87119.5</v>
      </c>
      <c r="E729" s="48" t="s">
        <v>86</v>
      </c>
      <c r="F729" s="94" t="s">
        <v>108</v>
      </c>
      <c r="G729" s="94" t="s">
        <v>667</v>
      </c>
      <c r="H729" s="94" t="s">
        <v>127</v>
      </c>
      <c r="I729" s="94" t="s">
        <v>434</v>
      </c>
      <c r="J729" s="52">
        <v>80</v>
      </c>
      <c r="K729" s="52">
        <v>40</v>
      </c>
      <c r="L729" s="52">
        <v>40</v>
      </c>
      <c r="M729" s="52"/>
      <c r="N729" s="104">
        <f t="shared" si="155"/>
        <v>80</v>
      </c>
      <c r="O729" s="52">
        <v>40</v>
      </c>
      <c r="P729" s="52">
        <v>40</v>
      </c>
      <c r="Q729" s="52">
        <v>40</v>
      </c>
      <c r="R729" s="104">
        <f t="shared" si="152"/>
        <v>120</v>
      </c>
      <c r="S729" s="86">
        <f t="shared" si="156"/>
        <v>280</v>
      </c>
      <c r="AB729" s="111"/>
      <c r="AC729" s="111"/>
      <c r="AD729" s="111"/>
      <c r="AE729" s="112"/>
      <c r="AF729" s="113"/>
      <c r="AG729" s="49"/>
      <c r="AH729" s="49"/>
      <c r="AI729" s="112"/>
      <c r="AJ729" s="91"/>
      <c r="AK729" s="114"/>
      <c r="AL729" s="112"/>
      <c r="AP729" s="7"/>
    </row>
    <row r="730" spans="1:42" hidden="1" x14ac:dyDescent="0.35">
      <c r="A730" s="85">
        <v>46226</v>
      </c>
      <c r="B730" s="51" t="s">
        <v>85</v>
      </c>
      <c r="C730" s="97">
        <v>61123995.678571403</v>
      </c>
      <c r="D730" s="97">
        <v>87119.5</v>
      </c>
      <c r="E730" s="48" t="s">
        <v>86</v>
      </c>
      <c r="F730" s="94" t="s">
        <v>108</v>
      </c>
      <c r="G730" s="94" t="s">
        <v>210</v>
      </c>
      <c r="H730" s="94" t="s">
        <v>127</v>
      </c>
      <c r="I730" s="94" t="s">
        <v>434</v>
      </c>
      <c r="J730" s="52">
        <v>40</v>
      </c>
      <c r="K730" s="52"/>
      <c r="L730" s="52"/>
      <c r="M730" s="52"/>
      <c r="N730" s="104">
        <f t="shared" si="155"/>
        <v>0</v>
      </c>
      <c r="O730" s="52">
        <v>15</v>
      </c>
      <c r="P730" s="52">
        <v>15</v>
      </c>
      <c r="Q730" s="52">
        <v>10</v>
      </c>
      <c r="R730" s="104">
        <f t="shared" si="152"/>
        <v>40</v>
      </c>
      <c r="S730" s="86">
        <f t="shared" si="156"/>
        <v>80</v>
      </c>
      <c r="AB730" s="111"/>
      <c r="AC730" s="111"/>
      <c r="AD730" s="111"/>
      <c r="AE730" s="112"/>
      <c r="AF730" s="113"/>
      <c r="AG730" s="49"/>
      <c r="AH730" s="49"/>
      <c r="AI730" s="112"/>
      <c r="AJ730" s="91"/>
      <c r="AK730" s="114"/>
      <c r="AL730" s="112"/>
      <c r="AP730" s="7"/>
    </row>
    <row r="731" spans="1:42" hidden="1" x14ac:dyDescent="0.35">
      <c r="A731" s="85">
        <v>46227</v>
      </c>
      <c r="B731" s="51" t="s">
        <v>85</v>
      </c>
      <c r="C731" s="97">
        <v>61123995.678571403</v>
      </c>
      <c r="D731" s="97">
        <v>87119.5</v>
      </c>
      <c r="E731" s="48" t="s">
        <v>86</v>
      </c>
      <c r="F731" s="94" t="s">
        <v>108</v>
      </c>
      <c r="G731" s="94" t="s">
        <v>668</v>
      </c>
      <c r="H731" s="94" t="s">
        <v>89</v>
      </c>
      <c r="I731" s="94" t="s">
        <v>670</v>
      </c>
      <c r="J731" s="52"/>
      <c r="K731" s="52">
        <v>80</v>
      </c>
      <c r="L731" s="52">
        <v>80</v>
      </c>
      <c r="M731" s="52"/>
      <c r="N731" s="104">
        <f t="shared" si="155"/>
        <v>160</v>
      </c>
      <c r="O731" s="52">
        <v>80</v>
      </c>
      <c r="P731" s="52">
        <v>80</v>
      </c>
      <c r="Q731" s="52">
        <v>80</v>
      </c>
      <c r="R731" s="104">
        <f t="shared" si="152"/>
        <v>240</v>
      </c>
      <c r="S731" s="86">
        <f t="shared" si="156"/>
        <v>400</v>
      </c>
      <c r="AB731" s="111"/>
      <c r="AC731" s="111"/>
      <c r="AD731" s="111"/>
      <c r="AE731" s="112"/>
      <c r="AF731" s="113"/>
      <c r="AG731" s="49"/>
      <c r="AH731" s="49"/>
      <c r="AI731" s="112"/>
      <c r="AJ731" s="91"/>
      <c r="AK731" s="114"/>
      <c r="AL731" s="112"/>
      <c r="AP731" s="7"/>
    </row>
    <row r="732" spans="1:42" hidden="1" x14ac:dyDescent="0.35">
      <c r="A732" s="85">
        <v>46227</v>
      </c>
      <c r="B732" s="51" t="s">
        <v>85</v>
      </c>
      <c r="C732" s="97">
        <v>61123995.678571403</v>
      </c>
      <c r="D732" s="97">
        <v>87119.5</v>
      </c>
      <c r="E732" s="48" t="s">
        <v>86</v>
      </c>
      <c r="F732" s="94" t="s">
        <v>108</v>
      </c>
      <c r="G732" s="94" t="s">
        <v>659</v>
      </c>
      <c r="H732" s="94" t="s">
        <v>89</v>
      </c>
      <c r="I732" s="94" t="s">
        <v>671</v>
      </c>
      <c r="J732" s="52"/>
      <c r="K732" s="52">
        <v>200</v>
      </c>
      <c r="L732" s="52">
        <v>200</v>
      </c>
      <c r="M732" s="52"/>
      <c r="N732" s="104">
        <f t="shared" si="155"/>
        <v>400</v>
      </c>
      <c r="O732" s="52">
        <v>200</v>
      </c>
      <c r="P732" s="52">
        <v>200</v>
      </c>
      <c r="Q732" s="52">
        <v>200</v>
      </c>
      <c r="R732" s="104">
        <f t="shared" si="152"/>
        <v>600</v>
      </c>
      <c r="S732" s="86">
        <f t="shared" si="156"/>
        <v>1000</v>
      </c>
      <c r="AB732" s="111"/>
      <c r="AC732" s="111"/>
      <c r="AD732" s="111"/>
      <c r="AE732" s="112"/>
      <c r="AF732" s="113"/>
      <c r="AG732" s="49"/>
      <c r="AH732" s="49"/>
      <c r="AI732" s="112"/>
      <c r="AJ732" s="91"/>
      <c r="AK732" s="114"/>
      <c r="AL732" s="112"/>
      <c r="AP732" s="7"/>
    </row>
    <row r="733" spans="1:42" hidden="1" x14ac:dyDescent="0.35">
      <c r="A733" s="85">
        <v>46227</v>
      </c>
      <c r="B733" s="51" t="s">
        <v>85</v>
      </c>
      <c r="C733" s="97">
        <v>61123995.678571403</v>
      </c>
      <c r="D733" s="97">
        <v>87119.5</v>
      </c>
      <c r="E733" s="48" t="s">
        <v>86</v>
      </c>
      <c r="F733" s="94" t="s">
        <v>108</v>
      </c>
      <c r="G733" s="94" t="s">
        <v>531</v>
      </c>
      <c r="H733" s="94" t="s">
        <v>89</v>
      </c>
      <c r="I733" s="94" t="s">
        <v>672</v>
      </c>
      <c r="J733" s="52"/>
      <c r="K733" s="52">
        <v>80</v>
      </c>
      <c r="L733" s="52">
        <v>160</v>
      </c>
      <c r="M733" s="52"/>
      <c r="N733" s="104">
        <f t="shared" si="155"/>
        <v>240</v>
      </c>
      <c r="O733" s="52">
        <v>40</v>
      </c>
      <c r="P733" s="52">
        <v>40</v>
      </c>
      <c r="Q733" s="52">
        <v>40</v>
      </c>
      <c r="R733" s="104">
        <f t="shared" si="152"/>
        <v>120</v>
      </c>
      <c r="S733" s="86">
        <f t="shared" si="156"/>
        <v>360</v>
      </c>
      <c r="AB733" s="111"/>
      <c r="AC733" s="111"/>
      <c r="AD733" s="111"/>
      <c r="AE733" s="112"/>
      <c r="AF733" s="113"/>
      <c r="AG733" s="49"/>
      <c r="AH733" s="49"/>
      <c r="AI733" s="112"/>
      <c r="AJ733" s="91"/>
      <c r="AK733" s="114"/>
      <c r="AL733" s="112"/>
      <c r="AP733" s="7"/>
    </row>
    <row r="734" spans="1:42" hidden="1" x14ac:dyDescent="0.35">
      <c r="A734" s="85">
        <v>46227</v>
      </c>
      <c r="B734" s="51" t="s">
        <v>85</v>
      </c>
      <c r="C734" s="97">
        <v>61123995.678571403</v>
      </c>
      <c r="D734" s="97">
        <v>87119.5</v>
      </c>
      <c r="E734" s="48" t="s">
        <v>86</v>
      </c>
      <c r="F734" s="94" t="s">
        <v>108</v>
      </c>
      <c r="G734" s="94" t="s">
        <v>669</v>
      </c>
      <c r="H734" s="94" t="s">
        <v>89</v>
      </c>
      <c r="I734" s="94" t="s">
        <v>447</v>
      </c>
      <c r="J734" s="52"/>
      <c r="K734" s="52">
        <v>40</v>
      </c>
      <c r="L734" s="52">
        <v>40</v>
      </c>
      <c r="M734" s="52"/>
      <c r="N734" s="104">
        <f t="shared" si="155"/>
        <v>80</v>
      </c>
      <c r="O734" s="52">
        <v>40</v>
      </c>
      <c r="P734" s="52">
        <v>40</v>
      </c>
      <c r="Q734" s="52">
        <v>40</v>
      </c>
      <c r="R734" s="104">
        <f t="shared" si="152"/>
        <v>120</v>
      </c>
      <c r="S734" s="86">
        <f t="shared" si="156"/>
        <v>200</v>
      </c>
      <c r="AB734" s="111"/>
      <c r="AC734" s="111"/>
      <c r="AD734" s="111"/>
      <c r="AE734" s="112"/>
      <c r="AF734" s="113"/>
      <c r="AG734" s="49"/>
      <c r="AH734" s="49"/>
      <c r="AI734" s="112"/>
      <c r="AJ734" s="91"/>
      <c r="AK734" s="114"/>
      <c r="AL734" s="112"/>
      <c r="AP734" s="7"/>
    </row>
    <row r="735" spans="1:42" hidden="1" x14ac:dyDescent="0.35">
      <c r="A735" s="85">
        <v>46227</v>
      </c>
      <c r="B735" s="51" t="s">
        <v>85</v>
      </c>
      <c r="C735" s="97">
        <v>61123995.678571403</v>
      </c>
      <c r="D735" s="97">
        <v>87119.5</v>
      </c>
      <c r="E735" s="48" t="s">
        <v>86</v>
      </c>
      <c r="F735" s="94" t="s">
        <v>108</v>
      </c>
      <c r="G735" s="94" t="s">
        <v>546</v>
      </c>
      <c r="H735" s="94" t="s">
        <v>435</v>
      </c>
      <c r="I735" s="94" t="s">
        <v>135</v>
      </c>
      <c r="J735" s="52"/>
      <c r="K735" s="52"/>
      <c r="L735" s="52"/>
      <c r="M735" s="52"/>
      <c r="N735" s="104">
        <f t="shared" si="155"/>
        <v>0</v>
      </c>
      <c r="O735" s="52">
        <v>40</v>
      </c>
      <c r="P735" s="52">
        <v>0</v>
      </c>
      <c r="Q735" s="52">
        <v>120</v>
      </c>
      <c r="R735" s="104">
        <f t="shared" si="152"/>
        <v>160</v>
      </c>
      <c r="S735" s="86">
        <f t="shared" si="156"/>
        <v>160</v>
      </c>
      <c r="AB735" s="111"/>
      <c r="AC735" s="111"/>
      <c r="AD735" s="111"/>
      <c r="AE735" s="112"/>
      <c r="AF735" s="113"/>
      <c r="AG735" s="49"/>
      <c r="AH735" s="49"/>
      <c r="AI735" s="112"/>
      <c r="AJ735" s="91"/>
      <c r="AK735" s="114"/>
      <c r="AL735" s="112"/>
      <c r="AP735" s="7"/>
    </row>
    <row r="736" spans="1:42" hidden="1" x14ac:dyDescent="0.35">
      <c r="A736" s="85">
        <v>46227</v>
      </c>
      <c r="B736" s="51" t="s">
        <v>85</v>
      </c>
      <c r="C736" s="97">
        <v>61123995.678571403</v>
      </c>
      <c r="D736" s="97">
        <v>87119.5</v>
      </c>
      <c r="E736" s="48" t="s">
        <v>86</v>
      </c>
      <c r="F736" s="94" t="s">
        <v>108</v>
      </c>
      <c r="G736" s="94" t="s">
        <v>548</v>
      </c>
      <c r="H736" s="94" t="s">
        <v>673</v>
      </c>
      <c r="I736" s="94" t="s">
        <v>434</v>
      </c>
      <c r="J736" s="52">
        <v>112</v>
      </c>
      <c r="K736" s="52">
        <v>20</v>
      </c>
      <c r="L736" s="52">
        <v>20</v>
      </c>
      <c r="M736" s="52"/>
      <c r="N736" s="104">
        <f t="shared" si="155"/>
        <v>40</v>
      </c>
      <c r="O736" s="52">
        <v>93</v>
      </c>
      <c r="P736" s="52">
        <v>139</v>
      </c>
      <c r="Q736" s="52">
        <v>178</v>
      </c>
      <c r="R736" s="104">
        <f t="shared" si="152"/>
        <v>410</v>
      </c>
      <c r="S736" s="86">
        <f t="shared" si="156"/>
        <v>562</v>
      </c>
      <c r="AB736" s="111"/>
      <c r="AC736" s="111"/>
      <c r="AD736" s="111"/>
      <c r="AE736" s="112"/>
      <c r="AF736" s="113"/>
      <c r="AG736" s="49"/>
      <c r="AH736" s="49"/>
      <c r="AI736" s="112"/>
      <c r="AJ736" s="91"/>
      <c r="AK736" s="114"/>
      <c r="AL736" s="112"/>
      <c r="AP736" s="7"/>
    </row>
    <row r="737" spans="1:42" hidden="1" x14ac:dyDescent="0.35">
      <c r="A737" s="85">
        <v>46228</v>
      </c>
      <c r="B737" s="51" t="s">
        <v>85</v>
      </c>
      <c r="C737" s="97">
        <v>61123995.678571403</v>
      </c>
      <c r="D737" s="97">
        <v>87119.5</v>
      </c>
      <c r="E737" s="48" t="s">
        <v>86</v>
      </c>
      <c r="F737" s="94" t="s">
        <v>108</v>
      </c>
      <c r="G737" s="94" t="s">
        <v>674</v>
      </c>
      <c r="H737" s="94" t="s">
        <v>112</v>
      </c>
      <c r="I737" s="94" t="s">
        <v>675</v>
      </c>
      <c r="J737" s="52"/>
      <c r="K737" s="52">
        <v>40</v>
      </c>
      <c r="L737" s="52">
        <v>40</v>
      </c>
      <c r="M737" s="52"/>
      <c r="N737" s="103">
        <f t="shared" si="155"/>
        <v>80</v>
      </c>
      <c r="O737" s="52">
        <v>40</v>
      </c>
      <c r="P737" s="52">
        <v>40</v>
      </c>
      <c r="Q737" s="52">
        <v>40</v>
      </c>
      <c r="R737" s="104">
        <f t="shared" si="152"/>
        <v>120</v>
      </c>
      <c r="S737" s="86">
        <f t="shared" si="156"/>
        <v>200</v>
      </c>
      <c r="AB737" s="111"/>
      <c r="AC737" s="111"/>
      <c r="AD737" s="111"/>
      <c r="AE737" s="112"/>
      <c r="AF737" s="113"/>
      <c r="AG737" s="49"/>
      <c r="AH737" s="49"/>
      <c r="AI737" s="112"/>
      <c r="AJ737" s="91"/>
      <c r="AK737" s="114"/>
      <c r="AL737" s="112"/>
      <c r="AP737" s="7"/>
    </row>
    <row r="738" spans="1:42" x14ac:dyDescent="0.35">
      <c r="A738" s="85">
        <v>46228</v>
      </c>
      <c r="B738" s="51" t="s">
        <v>85</v>
      </c>
      <c r="C738" s="97">
        <v>61123995.678571403</v>
      </c>
      <c r="D738" s="97">
        <v>87119.5</v>
      </c>
      <c r="E738" s="48" t="s">
        <v>86</v>
      </c>
      <c r="F738" s="94" t="s">
        <v>87</v>
      </c>
      <c r="G738" s="94" t="s">
        <v>443</v>
      </c>
      <c r="H738" s="94" t="s">
        <v>89</v>
      </c>
      <c r="I738" s="94" t="s">
        <v>447</v>
      </c>
      <c r="J738" s="52">
        <v>200</v>
      </c>
      <c r="K738" s="52">
        <v>200</v>
      </c>
      <c r="L738" s="52">
        <v>200</v>
      </c>
      <c r="M738" s="52"/>
      <c r="N738" s="103">
        <f t="shared" si="155"/>
        <v>400</v>
      </c>
      <c r="O738" s="52">
        <v>200</v>
      </c>
      <c r="P738" s="52">
        <v>200</v>
      </c>
      <c r="Q738" s="52">
        <v>200</v>
      </c>
      <c r="R738" s="104">
        <f t="shared" si="152"/>
        <v>600</v>
      </c>
      <c r="S738" s="86">
        <f t="shared" si="156"/>
        <v>1200</v>
      </c>
      <c r="AB738" s="111"/>
      <c r="AC738" s="111"/>
      <c r="AD738" s="111"/>
      <c r="AE738" s="112"/>
      <c r="AF738" s="113"/>
      <c r="AG738" s="49"/>
      <c r="AH738" s="49"/>
      <c r="AI738" s="112"/>
      <c r="AJ738" s="91"/>
      <c r="AK738" s="114"/>
      <c r="AL738" s="112"/>
      <c r="AP738" s="7"/>
    </row>
    <row r="739" spans="1:42" x14ac:dyDescent="0.35">
      <c r="A739" s="85">
        <v>46228</v>
      </c>
      <c r="B739" s="51" t="s">
        <v>85</v>
      </c>
      <c r="C739" s="97">
        <v>61123995.678571403</v>
      </c>
      <c r="D739" s="97">
        <v>87119.5</v>
      </c>
      <c r="E739" s="48" t="s">
        <v>86</v>
      </c>
      <c r="F739" s="94" t="s">
        <v>87</v>
      </c>
      <c r="G739" s="94" t="s">
        <v>532</v>
      </c>
      <c r="H739" s="94" t="s">
        <v>89</v>
      </c>
      <c r="I739" s="94" t="s">
        <v>243</v>
      </c>
      <c r="J739" s="52"/>
      <c r="K739" s="52"/>
      <c r="L739" s="52"/>
      <c r="M739" s="52"/>
      <c r="N739" s="103">
        <f t="shared" si="155"/>
        <v>0</v>
      </c>
      <c r="O739" s="52">
        <v>120</v>
      </c>
      <c r="P739" s="52">
        <v>120</v>
      </c>
      <c r="Q739" s="52">
        <v>80</v>
      </c>
      <c r="R739" s="104">
        <f t="shared" si="152"/>
        <v>320</v>
      </c>
      <c r="S739" s="86">
        <f t="shared" si="156"/>
        <v>320</v>
      </c>
      <c r="AB739" s="111"/>
      <c r="AC739" s="111"/>
      <c r="AD739" s="111"/>
      <c r="AE739" s="112"/>
      <c r="AF739" s="113"/>
      <c r="AG739" s="49"/>
      <c r="AH739" s="49"/>
      <c r="AI739" s="112"/>
      <c r="AJ739" s="91"/>
      <c r="AK739" s="114"/>
      <c r="AL739" s="112"/>
      <c r="AP739" s="7"/>
    </row>
    <row r="740" spans="1:42" x14ac:dyDescent="0.35">
      <c r="A740" s="85">
        <v>46228</v>
      </c>
      <c r="B740" s="51" t="s">
        <v>85</v>
      </c>
      <c r="C740" s="97">
        <v>61123995.678571403</v>
      </c>
      <c r="D740" s="97">
        <v>87119.5</v>
      </c>
      <c r="E740" s="48" t="s">
        <v>86</v>
      </c>
      <c r="F740" s="94" t="s">
        <v>87</v>
      </c>
      <c r="G740" s="94" t="s">
        <v>676</v>
      </c>
      <c r="H740" s="94" t="s">
        <v>89</v>
      </c>
      <c r="I740" s="94" t="s">
        <v>677</v>
      </c>
      <c r="J740" s="52"/>
      <c r="K740" s="52"/>
      <c r="L740" s="52"/>
      <c r="M740" s="52"/>
      <c r="N740" s="103">
        <f t="shared" si="155"/>
        <v>0</v>
      </c>
      <c r="O740" s="52"/>
      <c r="P740" s="52">
        <v>80</v>
      </c>
      <c r="Q740" s="52"/>
      <c r="R740" s="104">
        <f t="shared" si="152"/>
        <v>80</v>
      </c>
      <c r="S740" s="86">
        <f t="shared" si="156"/>
        <v>80</v>
      </c>
      <c r="AB740" s="111"/>
      <c r="AC740" s="111"/>
      <c r="AD740" s="111"/>
      <c r="AE740" s="112"/>
      <c r="AF740" s="113"/>
      <c r="AG740" s="49"/>
      <c r="AH740" s="49"/>
      <c r="AI740" s="112"/>
      <c r="AJ740" s="91"/>
      <c r="AK740" s="114"/>
      <c r="AL740" s="112"/>
      <c r="AP740" s="7"/>
    </row>
    <row r="741" spans="1:42" x14ac:dyDescent="0.35">
      <c r="A741" s="85">
        <v>46230</v>
      </c>
      <c r="B741" s="51" t="s">
        <v>85</v>
      </c>
      <c r="C741" s="97">
        <v>61123995.678571403</v>
      </c>
      <c r="D741" s="97">
        <v>87119.5</v>
      </c>
      <c r="E741" s="48" t="s">
        <v>86</v>
      </c>
      <c r="F741" s="94" t="s">
        <v>87</v>
      </c>
      <c r="G741" s="94" t="s">
        <v>425</v>
      </c>
      <c r="H741" s="94" t="s">
        <v>89</v>
      </c>
      <c r="I741" s="94" t="s">
        <v>568</v>
      </c>
      <c r="J741" s="52"/>
      <c r="K741" s="52">
        <v>40</v>
      </c>
      <c r="L741" s="52"/>
      <c r="M741" s="52"/>
      <c r="N741" s="103">
        <f t="shared" si="155"/>
        <v>40</v>
      </c>
      <c r="O741" s="52"/>
      <c r="P741" s="52"/>
      <c r="Q741" s="52">
        <v>40</v>
      </c>
      <c r="R741" s="104">
        <f t="shared" si="152"/>
        <v>40</v>
      </c>
      <c r="S741" s="86">
        <f t="shared" si="156"/>
        <v>80</v>
      </c>
      <c r="AB741" s="111"/>
      <c r="AC741" s="111"/>
      <c r="AD741" s="111"/>
      <c r="AE741" s="112"/>
      <c r="AF741" s="113"/>
      <c r="AG741" s="49"/>
      <c r="AH741" s="49"/>
      <c r="AI741" s="112"/>
      <c r="AJ741" s="91"/>
      <c r="AK741" s="114"/>
      <c r="AL741" s="112"/>
      <c r="AP741" s="7"/>
    </row>
    <row r="742" spans="1:42" x14ac:dyDescent="0.35">
      <c r="A742" s="85">
        <v>46230</v>
      </c>
      <c r="B742" s="51" t="s">
        <v>85</v>
      </c>
      <c r="C742" s="97">
        <v>61123995.678571403</v>
      </c>
      <c r="D742" s="97">
        <v>87119.5</v>
      </c>
      <c r="E742" s="48" t="s">
        <v>86</v>
      </c>
      <c r="F742" s="94" t="s">
        <v>87</v>
      </c>
      <c r="G742" s="94" t="s">
        <v>425</v>
      </c>
      <c r="H742" s="94" t="s">
        <v>89</v>
      </c>
      <c r="I742" s="94" t="s">
        <v>678</v>
      </c>
      <c r="J742" s="52"/>
      <c r="K742" s="52">
        <v>40</v>
      </c>
      <c r="L742" s="52">
        <v>40</v>
      </c>
      <c r="M742" s="52"/>
      <c r="N742" s="103">
        <f t="shared" si="155"/>
        <v>80</v>
      </c>
      <c r="O742" s="52">
        <v>37</v>
      </c>
      <c r="P742" s="52">
        <v>40</v>
      </c>
      <c r="Q742" s="52">
        <v>79</v>
      </c>
      <c r="R742" s="104">
        <f t="shared" si="152"/>
        <v>156</v>
      </c>
      <c r="S742" s="86">
        <f t="shared" si="156"/>
        <v>236</v>
      </c>
      <c r="AB742" s="111"/>
      <c r="AC742" s="111"/>
      <c r="AD742" s="111"/>
      <c r="AE742" s="112"/>
      <c r="AF742" s="113"/>
      <c r="AG742" s="49"/>
      <c r="AH742" s="49"/>
      <c r="AI742" s="112"/>
      <c r="AJ742" s="91"/>
      <c r="AK742" s="114"/>
      <c r="AL742" s="112"/>
      <c r="AP742" s="7"/>
    </row>
    <row r="743" spans="1:42" x14ac:dyDescent="0.35">
      <c r="A743" s="85">
        <v>46230</v>
      </c>
      <c r="B743" s="51" t="s">
        <v>85</v>
      </c>
      <c r="C743" s="97">
        <v>61123995.678571403</v>
      </c>
      <c r="D743" s="97">
        <v>87119.5</v>
      </c>
      <c r="E743" s="48" t="s">
        <v>86</v>
      </c>
      <c r="F743" s="94" t="s">
        <v>87</v>
      </c>
      <c r="G743" s="94" t="s">
        <v>531</v>
      </c>
      <c r="H743" s="94" t="s">
        <v>89</v>
      </c>
      <c r="I743" s="94" t="s">
        <v>679</v>
      </c>
      <c r="J743" s="52"/>
      <c r="K743" s="52">
        <v>40</v>
      </c>
      <c r="L743" s="52"/>
      <c r="M743" s="52"/>
      <c r="N743" s="103">
        <f t="shared" ref="N743:N806" si="157">K743+L743+M743</f>
        <v>40</v>
      </c>
      <c r="O743" s="52">
        <v>40</v>
      </c>
      <c r="P743" s="52">
        <v>40</v>
      </c>
      <c r="Q743" s="52">
        <v>40</v>
      </c>
      <c r="R743" s="104">
        <f t="shared" ref="R743:R776" si="158">SUM(O743:Q743)</f>
        <v>120</v>
      </c>
      <c r="S743" s="86">
        <f t="shared" si="156"/>
        <v>160</v>
      </c>
      <c r="AB743" s="111"/>
      <c r="AC743" s="111"/>
      <c r="AD743" s="111"/>
      <c r="AE743" s="112"/>
      <c r="AF743" s="113"/>
      <c r="AG743" s="49"/>
      <c r="AH743" s="49"/>
      <c r="AI743" s="112"/>
      <c r="AJ743" s="91"/>
      <c r="AK743" s="114"/>
      <c r="AL743" s="112"/>
      <c r="AP743" s="7"/>
    </row>
    <row r="744" spans="1:42" hidden="1" x14ac:dyDescent="0.35">
      <c r="A744" s="85">
        <v>46230</v>
      </c>
      <c r="B744" s="51" t="s">
        <v>85</v>
      </c>
      <c r="C744" s="97">
        <v>61123995.678571403</v>
      </c>
      <c r="D744" s="97">
        <v>87119.5</v>
      </c>
      <c r="E744" s="48" t="s">
        <v>86</v>
      </c>
      <c r="F744" s="94" t="s">
        <v>108</v>
      </c>
      <c r="G744" s="94" t="s">
        <v>680</v>
      </c>
      <c r="H744" s="94" t="s">
        <v>112</v>
      </c>
      <c r="I744" s="94" t="s">
        <v>684</v>
      </c>
      <c r="J744" s="52">
        <v>20</v>
      </c>
      <c r="K744" s="52"/>
      <c r="L744" s="52"/>
      <c r="M744" s="52"/>
      <c r="N744" s="103">
        <f t="shared" si="157"/>
        <v>0</v>
      </c>
      <c r="O744" s="52">
        <v>15</v>
      </c>
      <c r="P744" s="52">
        <v>10</v>
      </c>
      <c r="Q744" s="52">
        <v>15</v>
      </c>
      <c r="R744" s="104">
        <f t="shared" si="158"/>
        <v>40</v>
      </c>
      <c r="S744" s="86">
        <f t="shared" si="156"/>
        <v>60</v>
      </c>
      <c r="AB744" s="111"/>
      <c r="AC744" s="111"/>
      <c r="AD744" s="111"/>
      <c r="AE744" s="112"/>
      <c r="AF744" s="113"/>
      <c r="AG744" s="49"/>
      <c r="AH744" s="49"/>
      <c r="AI744" s="112"/>
      <c r="AJ744" s="91"/>
      <c r="AK744" s="114"/>
      <c r="AL744" s="112"/>
      <c r="AP744" s="7"/>
    </row>
    <row r="745" spans="1:42" hidden="1" x14ac:dyDescent="0.35">
      <c r="A745" s="85">
        <v>46230</v>
      </c>
      <c r="B745" s="51" t="s">
        <v>85</v>
      </c>
      <c r="C745" s="97">
        <v>61123995.678571403</v>
      </c>
      <c r="D745" s="97">
        <v>87119.5</v>
      </c>
      <c r="E745" s="48" t="s">
        <v>86</v>
      </c>
      <c r="F745" s="94" t="s">
        <v>108</v>
      </c>
      <c r="G745" s="94" t="s">
        <v>681</v>
      </c>
      <c r="H745" s="94" t="s">
        <v>112</v>
      </c>
      <c r="I745" s="94" t="s">
        <v>684</v>
      </c>
      <c r="J745" s="52">
        <v>16</v>
      </c>
      <c r="K745" s="52"/>
      <c r="L745" s="52"/>
      <c r="M745" s="52"/>
      <c r="N745" s="103">
        <f t="shared" si="157"/>
        <v>0</v>
      </c>
      <c r="O745" s="52"/>
      <c r="P745" s="52">
        <v>12</v>
      </c>
      <c r="Q745" s="52">
        <v>12</v>
      </c>
      <c r="R745" s="104">
        <f t="shared" si="158"/>
        <v>24</v>
      </c>
      <c r="S745" s="86">
        <f t="shared" si="156"/>
        <v>40</v>
      </c>
      <c r="AB745" s="111"/>
      <c r="AC745" s="111"/>
      <c r="AD745" s="111"/>
      <c r="AE745" s="112"/>
      <c r="AF745" s="113"/>
      <c r="AG745" s="49"/>
      <c r="AH745" s="49"/>
      <c r="AI745" s="112"/>
      <c r="AJ745" s="91"/>
      <c r="AK745" s="114"/>
      <c r="AL745" s="112"/>
      <c r="AP745" s="7"/>
    </row>
    <row r="746" spans="1:42" hidden="1" x14ac:dyDescent="0.35">
      <c r="A746" s="85">
        <v>46230</v>
      </c>
      <c r="B746" s="51" t="s">
        <v>85</v>
      </c>
      <c r="C746" s="97">
        <v>61123995.678571403</v>
      </c>
      <c r="D746" s="97">
        <v>87119.5</v>
      </c>
      <c r="E746" s="48" t="s">
        <v>86</v>
      </c>
      <c r="F746" s="94" t="s">
        <v>108</v>
      </c>
      <c r="G746" s="94" t="s">
        <v>574</v>
      </c>
      <c r="H746" s="94" t="s">
        <v>112</v>
      </c>
      <c r="I746" s="94" t="s">
        <v>684</v>
      </c>
      <c r="J746" s="52">
        <v>20</v>
      </c>
      <c r="K746" s="52">
        <v>12</v>
      </c>
      <c r="L746" s="52">
        <v>12</v>
      </c>
      <c r="M746" s="52"/>
      <c r="N746" s="103">
        <f t="shared" si="157"/>
        <v>24</v>
      </c>
      <c r="O746" s="52">
        <v>12</v>
      </c>
      <c r="P746" s="52"/>
      <c r="Q746" s="52"/>
      <c r="R746" s="104">
        <f t="shared" si="158"/>
        <v>12</v>
      </c>
      <c r="S746" s="86">
        <f t="shared" si="156"/>
        <v>56</v>
      </c>
      <c r="AB746" s="111"/>
      <c r="AC746" s="111"/>
      <c r="AD746" s="111"/>
      <c r="AE746" s="112"/>
      <c r="AF746" s="113"/>
      <c r="AG746" s="49"/>
      <c r="AH746" s="49"/>
      <c r="AI746" s="112"/>
      <c r="AJ746" s="91"/>
      <c r="AK746" s="114"/>
      <c r="AL746" s="112"/>
      <c r="AP746" s="7"/>
    </row>
    <row r="747" spans="1:42" hidden="1" x14ac:dyDescent="0.35">
      <c r="A747" s="85">
        <v>46230</v>
      </c>
      <c r="B747" s="51" t="s">
        <v>85</v>
      </c>
      <c r="C747" s="97">
        <v>61123995.678571403</v>
      </c>
      <c r="D747" s="97">
        <v>87119.5</v>
      </c>
      <c r="E747" s="48" t="s">
        <v>86</v>
      </c>
      <c r="F747" s="94" t="s">
        <v>108</v>
      </c>
      <c r="G747" s="94" t="s">
        <v>573</v>
      </c>
      <c r="H747" s="94" t="s">
        <v>112</v>
      </c>
      <c r="I747" s="94" t="s">
        <v>684</v>
      </c>
      <c r="J747" s="52"/>
      <c r="K747" s="52">
        <v>40</v>
      </c>
      <c r="L747" s="52"/>
      <c r="M747" s="52"/>
      <c r="N747" s="103">
        <f t="shared" si="157"/>
        <v>40</v>
      </c>
      <c r="O747" s="52">
        <v>40</v>
      </c>
      <c r="P747" s="52">
        <v>40</v>
      </c>
      <c r="Q747" s="52"/>
      <c r="R747" s="104">
        <f t="shared" si="158"/>
        <v>80</v>
      </c>
      <c r="S747" s="86">
        <f t="shared" si="156"/>
        <v>120</v>
      </c>
      <c r="AB747" s="111"/>
      <c r="AC747" s="111"/>
      <c r="AD747" s="111"/>
      <c r="AE747" s="112"/>
      <c r="AF747" s="113"/>
      <c r="AG747" s="49"/>
      <c r="AH747" s="49"/>
      <c r="AI747" s="112"/>
      <c r="AJ747" s="91"/>
      <c r="AK747" s="114"/>
      <c r="AL747" s="112"/>
      <c r="AP747" s="7"/>
    </row>
    <row r="748" spans="1:42" hidden="1" x14ac:dyDescent="0.35">
      <c r="A748" s="85">
        <v>46230</v>
      </c>
      <c r="B748" s="51" t="s">
        <v>85</v>
      </c>
      <c r="C748" s="97">
        <v>61123995.678571403</v>
      </c>
      <c r="D748" s="97">
        <v>87119.5</v>
      </c>
      <c r="E748" s="48" t="s">
        <v>86</v>
      </c>
      <c r="F748" s="94" t="s">
        <v>108</v>
      </c>
      <c r="G748" s="94" t="s">
        <v>682</v>
      </c>
      <c r="H748" s="94" t="s">
        <v>112</v>
      </c>
      <c r="I748" s="94" t="s">
        <v>684</v>
      </c>
      <c r="J748" s="52">
        <v>40</v>
      </c>
      <c r="K748" s="52"/>
      <c r="L748" s="52"/>
      <c r="M748" s="52"/>
      <c r="N748" s="103">
        <f t="shared" si="157"/>
        <v>0</v>
      </c>
      <c r="O748" s="52"/>
      <c r="P748" s="52"/>
      <c r="Q748" s="52"/>
      <c r="R748" s="104">
        <f t="shared" si="158"/>
        <v>0</v>
      </c>
      <c r="S748" s="86">
        <f t="shared" si="156"/>
        <v>40</v>
      </c>
      <c r="AB748" s="111"/>
      <c r="AC748" s="111"/>
      <c r="AD748" s="111"/>
      <c r="AE748" s="112"/>
      <c r="AF748" s="113"/>
      <c r="AG748" s="49"/>
      <c r="AH748" s="49"/>
      <c r="AI748" s="112"/>
      <c r="AJ748" s="91"/>
      <c r="AK748" s="114"/>
      <c r="AL748" s="112"/>
      <c r="AP748" s="7"/>
    </row>
    <row r="749" spans="1:42" hidden="1" x14ac:dyDescent="0.35">
      <c r="A749" s="85">
        <v>46230</v>
      </c>
      <c r="B749" s="51" t="s">
        <v>85</v>
      </c>
      <c r="C749" s="97">
        <v>61123995.678571403</v>
      </c>
      <c r="D749" s="97">
        <v>87119.5</v>
      </c>
      <c r="E749" s="48" t="s">
        <v>86</v>
      </c>
      <c r="F749" s="94" t="s">
        <v>108</v>
      </c>
      <c r="G749" s="94" t="s">
        <v>683</v>
      </c>
      <c r="H749" s="94" t="s">
        <v>112</v>
      </c>
      <c r="I749" s="94" t="s">
        <v>684</v>
      </c>
      <c r="J749" s="52">
        <v>12</v>
      </c>
      <c r="K749" s="52"/>
      <c r="L749" s="52"/>
      <c r="M749" s="52"/>
      <c r="N749" s="103">
        <f t="shared" si="157"/>
        <v>0</v>
      </c>
      <c r="O749" s="52"/>
      <c r="P749" s="52"/>
      <c r="Q749" s="52"/>
      <c r="R749" s="104">
        <f t="shared" si="158"/>
        <v>0</v>
      </c>
      <c r="S749" s="86">
        <f t="shared" si="156"/>
        <v>12</v>
      </c>
      <c r="AB749" s="111"/>
      <c r="AC749" s="111"/>
      <c r="AD749" s="111"/>
      <c r="AE749" s="112"/>
      <c r="AF749" s="113"/>
      <c r="AG749" s="49"/>
      <c r="AH749" s="49"/>
      <c r="AI749" s="112"/>
      <c r="AJ749" s="91"/>
      <c r="AK749" s="114"/>
      <c r="AL749" s="112"/>
      <c r="AP749" s="7"/>
    </row>
    <row r="750" spans="1:42" hidden="1" x14ac:dyDescent="0.35">
      <c r="A750" s="85">
        <v>46230</v>
      </c>
      <c r="B750" s="51" t="s">
        <v>85</v>
      </c>
      <c r="C750" s="97">
        <v>61123995.678571403</v>
      </c>
      <c r="D750" s="97">
        <v>87119.5</v>
      </c>
      <c r="E750" s="48" t="s">
        <v>86</v>
      </c>
      <c r="F750" s="94" t="s">
        <v>108</v>
      </c>
      <c r="G750" s="94" t="s">
        <v>382</v>
      </c>
      <c r="H750" s="94" t="s">
        <v>112</v>
      </c>
      <c r="I750" s="94" t="s">
        <v>684</v>
      </c>
      <c r="J750" s="52">
        <v>16</v>
      </c>
      <c r="K750" s="52">
        <v>12</v>
      </c>
      <c r="L750" s="52">
        <v>12</v>
      </c>
      <c r="M750" s="52"/>
      <c r="N750" s="103">
        <f t="shared" si="157"/>
        <v>24</v>
      </c>
      <c r="O750" s="52">
        <v>15</v>
      </c>
      <c r="P750" s="52">
        <v>10</v>
      </c>
      <c r="Q750" s="52">
        <v>15</v>
      </c>
      <c r="R750" s="104">
        <f t="shared" si="158"/>
        <v>40</v>
      </c>
      <c r="S750" s="86">
        <f t="shared" si="156"/>
        <v>80</v>
      </c>
      <c r="AB750" s="111"/>
      <c r="AC750" s="111"/>
      <c r="AD750" s="111"/>
      <c r="AE750" s="112"/>
      <c r="AF750" s="113"/>
      <c r="AG750" s="49"/>
      <c r="AH750" s="49"/>
      <c r="AI750" s="112"/>
      <c r="AJ750" s="91"/>
      <c r="AK750" s="114"/>
      <c r="AL750" s="112"/>
      <c r="AP750" s="7"/>
    </row>
    <row r="751" spans="1:42" hidden="1" x14ac:dyDescent="0.35">
      <c r="A751" s="85">
        <v>46230</v>
      </c>
      <c r="B751" s="51" t="s">
        <v>85</v>
      </c>
      <c r="C751" s="97">
        <v>61123995.678571403</v>
      </c>
      <c r="D751" s="97">
        <v>87119.5</v>
      </c>
      <c r="E751" s="48" t="s">
        <v>86</v>
      </c>
      <c r="F751" s="94" t="s">
        <v>108</v>
      </c>
      <c r="G751" s="94" t="s">
        <v>685</v>
      </c>
      <c r="H751" s="94" t="s">
        <v>433</v>
      </c>
      <c r="I751" s="94" t="s">
        <v>688</v>
      </c>
      <c r="J751" s="52">
        <v>40</v>
      </c>
      <c r="K751" s="52"/>
      <c r="L751" s="52"/>
      <c r="M751" s="52"/>
      <c r="N751" s="103">
        <f t="shared" si="157"/>
        <v>0</v>
      </c>
      <c r="O751" s="52">
        <v>15</v>
      </c>
      <c r="P751" s="52">
        <v>10</v>
      </c>
      <c r="Q751" s="52">
        <v>15</v>
      </c>
      <c r="R751" s="104">
        <f t="shared" si="158"/>
        <v>40</v>
      </c>
      <c r="S751" s="86">
        <f t="shared" si="156"/>
        <v>80</v>
      </c>
      <c r="AB751" s="111"/>
      <c r="AC751" s="111"/>
      <c r="AD751" s="111"/>
      <c r="AE751" s="112"/>
      <c r="AF751" s="113"/>
      <c r="AG751" s="49"/>
      <c r="AH751" s="49"/>
      <c r="AI751" s="112"/>
      <c r="AJ751" s="91"/>
      <c r="AK751" s="114"/>
      <c r="AL751" s="112"/>
      <c r="AP751" s="7"/>
    </row>
    <row r="752" spans="1:42" hidden="1" x14ac:dyDescent="0.35">
      <c r="A752" s="85">
        <v>46230</v>
      </c>
      <c r="B752" s="51" t="s">
        <v>85</v>
      </c>
      <c r="C752" s="97">
        <v>61123995.678571403</v>
      </c>
      <c r="D752" s="97">
        <v>87119.5</v>
      </c>
      <c r="E752" s="48" t="s">
        <v>86</v>
      </c>
      <c r="F752" s="94" t="s">
        <v>108</v>
      </c>
      <c r="G752" s="94" t="s">
        <v>210</v>
      </c>
      <c r="H752" s="94" t="s">
        <v>433</v>
      </c>
      <c r="I752" s="94" t="s">
        <v>688</v>
      </c>
      <c r="J752" s="52"/>
      <c r="K752" s="52"/>
      <c r="L752" s="52"/>
      <c r="M752" s="52"/>
      <c r="N752" s="103">
        <f t="shared" si="157"/>
        <v>0</v>
      </c>
      <c r="O752" s="52">
        <v>15</v>
      </c>
      <c r="P752" s="52">
        <v>15</v>
      </c>
      <c r="Q752" s="52">
        <v>10</v>
      </c>
      <c r="R752" s="104">
        <f t="shared" si="158"/>
        <v>40</v>
      </c>
      <c r="S752" s="86">
        <f t="shared" si="156"/>
        <v>40</v>
      </c>
      <c r="AB752" s="111"/>
      <c r="AC752" s="111"/>
      <c r="AD752" s="111"/>
      <c r="AE752" s="112"/>
      <c r="AF752" s="113"/>
      <c r="AG752" s="49"/>
      <c r="AH752" s="49"/>
      <c r="AI752" s="112"/>
      <c r="AJ752" s="91"/>
      <c r="AK752" s="114"/>
      <c r="AL752" s="112"/>
      <c r="AP752" s="7"/>
    </row>
    <row r="753" spans="1:42" hidden="1" x14ac:dyDescent="0.35">
      <c r="A753" s="85">
        <v>46230</v>
      </c>
      <c r="B753" s="51" t="s">
        <v>85</v>
      </c>
      <c r="C753" s="97">
        <v>61123995.678571403</v>
      </c>
      <c r="D753" s="97">
        <v>87119.5</v>
      </c>
      <c r="E753" s="48" t="s">
        <v>86</v>
      </c>
      <c r="F753" s="94" t="s">
        <v>108</v>
      </c>
      <c r="G753" s="94" t="s">
        <v>209</v>
      </c>
      <c r="H753" s="94" t="s">
        <v>433</v>
      </c>
      <c r="I753" s="94" t="s">
        <v>688</v>
      </c>
      <c r="J753" s="52">
        <v>40</v>
      </c>
      <c r="K753" s="52"/>
      <c r="L753" s="52"/>
      <c r="M753" s="52"/>
      <c r="N753" s="103">
        <f t="shared" si="157"/>
        <v>0</v>
      </c>
      <c r="O753" s="52">
        <v>40</v>
      </c>
      <c r="P753" s="52">
        <v>40</v>
      </c>
      <c r="Q753" s="52">
        <v>40</v>
      </c>
      <c r="R753" s="104">
        <f t="shared" si="158"/>
        <v>120</v>
      </c>
      <c r="S753" s="86">
        <f t="shared" si="156"/>
        <v>160</v>
      </c>
      <c r="AB753" s="111"/>
      <c r="AC753" s="111"/>
      <c r="AD753" s="111"/>
      <c r="AE753" s="112"/>
      <c r="AF753" s="113"/>
      <c r="AG753" s="49"/>
      <c r="AH753" s="49"/>
      <c r="AI753" s="112"/>
      <c r="AJ753" s="91"/>
      <c r="AK753" s="114"/>
      <c r="AL753" s="112"/>
      <c r="AP753" s="7"/>
    </row>
    <row r="754" spans="1:42" hidden="1" x14ac:dyDescent="0.35">
      <c r="A754" s="85">
        <v>46230</v>
      </c>
      <c r="B754" s="51" t="s">
        <v>85</v>
      </c>
      <c r="C754" s="97">
        <v>61123995.678571403</v>
      </c>
      <c r="D754" s="97">
        <v>87119.5</v>
      </c>
      <c r="E754" s="48" t="s">
        <v>86</v>
      </c>
      <c r="F754" s="94" t="s">
        <v>108</v>
      </c>
      <c r="G754" s="94" t="s">
        <v>686</v>
      </c>
      <c r="H754" s="94" t="s">
        <v>433</v>
      </c>
      <c r="I754" s="94" t="s">
        <v>688</v>
      </c>
      <c r="J754" s="52"/>
      <c r="K754" s="52">
        <v>12</v>
      </c>
      <c r="L754" s="52">
        <v>12</v>
      </c>
      <c r="M754" s="52"/>
      <c r="N754" s="103">
        <f t="shared" si="157"/>
        <v>24</v>
      </c>
      <c r="O754" s="52">
        <v>6</v>
      </c>
      <c r="P754" s="52">
        <v>6</v>
      </c>
      <c r="Q754" s="52">
        <v>6</v>
      </c>
      <c r="R754" s="104">
        <f t="shared" si="158"/>
        <v>18</v>
      </c>
      <c r="S754" s="86">
        <f t="shared" si="156"/>
        <v>42</v>
      </c>
      <c r="AB754" s="111"/>
      <c r="AC754" s="111"/>
      <c r="AD754" s="111"/>
      <c r="AE754" s="112"/>
      <c r="AF754" s="113"/>
      <c r="AG754" s="49"/>
      <c r="AH754" s="49"/>
      <c r="AI754" s="112"/>
      <c r="AJ754" s="91"/>
      <c r="AK754" s="114"/>
      <c r="AL754" s="112"/>
      <c r="AP754" s="7"/>
    </row>
    <row r="755" spans="1:42" hidden="1" x14ac:dyDescent="0.35">
      <c r="A755" s="85">
        <v>46230</v>
      </c>
      <c r="B755" s="51" t="s">
        <v>85</v>
      </c>
      <c r="C755" s="97">
        <v>61123995.678571403</v>
      </c>
      <c r="D755" s="97">
        <v>87119.5</v>
      </c>
      <c r="E755" s="48" t="s">
        <v>86</v>
      </c>
      <c r="F755" s="94" t="s">
        <v>108</v>
      </c>
      <c r="G755" s="94" t="s">
        <v>687</v>
      </c>
      <c r="H755" s="94" t="s">
        <v>433</v>
      </c>
      <c r="I755" s="94" t="s">
        <v>688</v>
      </c>
      <c r="J755" s="52"/>
      <c r="K755" s="52"/>
      <c r="L755" s="52"/>
      <c r="M755" s="52"/>
      <c r="N755" s="103">
        <f t="shared" si="157"/>
        <v>0</v>
      </c>
      <c r="O755" s="52">
        <v>15</v>
      </c>
      <c r="P755" s="52">
        <v>15</v>
      </c>
      <c r="Q755" s="52">
        <v>10</v>
      </c>
      <c r="R755" s="104">
        <f t="shared" si="158"/>
        <v>40</v>
      </c>
      <c r="S755" s="86">
        <f t="shared" si="156"/>
        <v>40</v>
      </c>
      <c r="AB755" s="111"/>
      <c r="AC755" s="111"/>
      <c r="AD755" s="111"/>
      <c r="AE755" s="112"/>
      <c r="AF755" s="113"/>
      <c r="AG755" s="49"/>
      <c r="AH755" s="49"/>
      <c r="AI755" s="112"/>
      <c r="AJ755" s="91"/>
      <c r="AK755" s="114"/>
      <c r="AL755" s="112"/>
      <c r="AP755" s="7"/>
    </row>
    <row r="756" spans="1:42" hidden="1" x14ac:dyDescent="0.35">
      <c r="A756" s="85">
        <v>46230</v>
      </c>
      <c r="B756" s="51" t="s">
        <v>85</v>
      </c>
      <c r="C756" s="97">
        <v>61123995.678571403</v>
      </c>
      <c r="D756" s="97">
        <v>87119.5</v>
      </c>
      <c r="E756" s="48" t="s">
        <v>86</v>
      </c>
      <c r="F756" s="94" t="s">
        <v>108</v>
      </c>
      <c r="G756" s="94" t="s">
        <v>689</v>
      </c>
      <c r="H756" s="94" t="s">
        <v>129</v>
      </c>
      <c r="I756" s="94" t="s">
        <v>273</v>
      </c>
      <c r="J756" s="52">
        <v>10</v>
      </c>
      <c r="K756" s="52"/>
      <c r="L756" s="52"/>
      <c r="M756" s="52"/>
      <c r="N756" s="103">
        <f t="shared" si="157"/>
        <v>0</v>
      </c>
      <c r="O756" s="52"/>
      <c r="P756" s="52"/>
      <c r="Q756" s="52"/>
      <c r="R756" s="104">
        <f t="shared" si="158"/>
        <v>0</v>
      </c>
      <c r="S756" s="86">
        <f t="shared" si="156"/>
        <v>10</v>
      </c>
      <c r="AB756" s="111"/>
      <c r="AC756" s="111"/>
      <c r="AD756" s="111"/>
      <c r="AE756" s="112"/>
      <c r="AF756" s="113"/>
      <c r="AG756" s="49"/>
      <c r="AH756" s="49"/>
      <c r="AI756" s="112"/>
      <c r="AJ756" s="91"/>
      <c r="AK756" s="114"/>
      <c r="AL756" s="112"/>
      <c r="AP756" s="7"/>
    </row>
    <row r="757" spans="1:42" hidden="1" x14ac:dyDescent="0.35">
      <c r="A757" s="85">
        <v>46230</v>
      </c>
      <c r="B757" s="51" t="s">
        <v>85</v>
      </c>
      <c r="C757" s="97">
        <v>61123995.678571403</v>
      </c>
      <c r="D757" s="97">
        <v>87119.5</v>
      </c>
      <c r="E757" s="48" t="s">
        <v>86</v>
      </c>
      <c r="F757" s="94" t="s">
        <v>108</v>
      </c>
      <c r="G757" s="94" t="s">
        <v>322</v>
      </c>
      <c r="H757" s="94" t="s">
        <v>129</v>
      </c>
      <c r="I757" s="94" t="s">
        <v>273</v>
      </c>
      <c r="J757" s="52">
        <v>10</v>
      </c>
      <c r="K757" s="52"/>
      <c r="L757" s="52"/>
      <c r="M757" s="52"/>
      <c r="N757" s="103">
        <f t="shared" si="157"/>
        <v>0</v>
      </c>
      <c r="O757" s="52"/>
      <c r="P757" s="52"/>
      <c r="Q757" s="52"/>
      <c r="R757" s="104">
        <f t="shared" si="158"/>
        <v>0</v>
      </c>
      <c r="S757" s="86">
        <f t="shared" si="156"/>
        <v>10</v>
      </c>
      <c r="AB757" s="111"/>
      <c r="AC757" s="111"/>
      <c r="AD757" s="111"/>
      <c r="AE757" s="112"/>
      <c r="AF757" s="113"/>
      <c r="AG757" s="49"/>
      <c r="AH757" s="49"/>
      <c r="AI757" s="112"/>
      <c r="AJ757" s="91"/>
      <c r="AK757" s="114"/>
      <c r="AL757" s="112"/>
      <c r="AP757" s="7"/>
    </row>
    <row r="758" spans="1:42" hidden="1" x14ac:dyDescent="0.35">
      <c r="A758" s="85">
        <v>46230</v>
      </c>
      <c r="B758" s="51" t="s">
        <v>85</v>
      </c>
      <c r="C758" s="97">
        <v>61123995.678571403</v>
      </c>
      <c r="D758" s="97">
        <v>87119.5</v>
      </c>
      <c r="E758" s="48" t="s">
        <v>86</v>
      </c>
      <c r="F758" s="94" t="s">
        <v>108</v>
      </c>
      <c r="G758" s="94" t="s">
        <v>177</v>
      </c>
      <c r="H758" s="94" t="s">
        <v>129</v>
      </c>
      <c r="I758" s="94" t="s">
        <v>273</v>
      </c>
      <c r="J758" s="52"/>
      <c r="K758" s="52">
        <v>20</v>
      </c>
      <c r="L758" s="52">
        <v>20</v>
      </c>
      <c r="M758" s="52"/>
      <c r="N758" s="103">
        <f t="shared" si="157"/>
        <v>40</v>
      </c>
      <c r="O758" s="52"/>
      <c r="P758" s="52">
        <v>20</v>
      </c>
      <c r="Q758" s="52">
        <v>20</v>
      </c>
      <c r="R758" s="104">
        <f t="shared" si="158"/>
        <v>40</v>
      </c>
      <c r="S758" s="86">
        <f t="shared" si="156"/>
        <v>80</v>
      </c>
      <c r="AB758" s="111"/>
      <c r="AC758" s="111"/>
      <c r="AD758" s="111"/>
      <c r="AE758" s="112"/>
      <c r="AF758" s="113"/>
      <c r="AG758" s="49"/>
      <c r="AH758" s="49"/>
      <c r="AI758" s="112"/>
      <c r="AJ758" s="91"/>
      <c r="AK758" s="114"/>
      <c r="AL758" s="112"/>
      <c r="AP758" s="7"/>
    </row>
    <row r="759" spans="1:42" hidden="1" x14ac:dyDescent="0.35">
      <c r="A759" s="85">
        <v>46230</v>
      </c>
      <c r="B759" s="51" t="s">
        <v>85</v>
      </c>
      <c r="C759" s="97">
        <v>61123995.678571403</v>
      </c>
      <c r="D759" s="97">
        <v>87119.5</v>
      </c>
      <c r="E759" s="48" t="s">
        <v>86</v>
      </c>
      <c r="F759" s="94" t="s">
        <v>108</v>
      </c>
      <c r="G759" s="94" t="s">
        <v>690</v>
      </c>
      <c r="H759" s="94" t="s">
        <v>129</v>
      </c>
      <c r="I759" s="94" t="s">
        <v>273</v>
      </c>
      <c r="J759" s="52">
        <v>40</v>
      </c>
      <c r="K759" s="52">
        <v>20</v>
      </c>
      <c r="L759" s="52">
        <v>20</v>
      </c>
      <c r="M759" s="52"/>
      <c r="N759" s="103">
        <f t="shared" si="157"/>
        <v>40</v>
      </c>
      <c r="O759" s="52">
        <v>15</v>
      </c>
      <c r="P759" s="52">
        <v>10</v>
      </c>
      <c r="Q759" s="52">
        <v>15</v>
      </c>
      <c r="R759" s="104">
        <f t="shared" si="158"/>
        <v>40</v>
      </c>
      <c r="S759" s="86">
        <f t="shared" si="156"/>
        <v>120</v>
      </c>
      <c r="AB759" s="111"/>
      <c r="AC759" s="111"/>
      <c r="AD759" s="111"/>
      <c r="AE759" s="112"/>
      <c r="AF759" s="113"/>
      <c r="AG759" s="49"/>
      <c r="AH759" s="49"/>
      <c r="AI759" s="112"/>
      <c r="AJ759" s="91"/>
      <c r="AK759" s="114"/>
      <c r="AL759" s="112"/>
      <c r="AP759" s="7"/>
    </row>
    <row r="760" spans="1:42" hidden="1" x14ac:dyDescent="0.35">
      <c r="A760" s="85">
        <v>46230</v>
      </c>
      <c r="B760" s="51" t="s">
        <v>85</v>
      </c>
      <c r="C760" s="97">
        <v>61123995.678571403</v>
      </c>
      <c r="D760" s="97">
        <v>87119.5</v>
      </c>
      <c r="E760" s="48" t="s">
        <v>86</v>
      </c>
      <c r="F760" s="94" t="s">
        <v>108</v>
      </c>
      <c r="G760" s="94" t="s">
        <v>440</v>
      </c>
      <c r="H760" s="94" t="s">
        <v>129</v>
      </c>
      <c r="I760" s="94" t="s">
        <v>273</v>
      </c>
      <c r="J760" s="52">
        <v>80</v>
      </c>
      <c r="K760" s="52">
        <v>20</v>
      </c>
      <c r="L760" s="52">
        <v>20</v>
      </c>
      <c r="M760" s="52"/>
      <c r="N760" s="103">
        <f t="shared" si="157"/>
        <v>40</v>
      </c>
      <c r="O760" s="52">
        <v>20</v>
      </c>
      <c r="P760" s="52">
        <v>20</v>
      </c>
      <c r="Q760" s="52">
        <v>40</v>
      </c>
      <c r="R760" s="104">
        <f t="shared" si="158"/>
        <v>80</v>
      </c>
      <c r="S760" s="86">
        <f t="shared" si="156"/>
        <v>200</v>
      </c>
      <c r="AB760" s="111"/>
      <c r="AC760" s="111"/>
      <c r="AD760" s="111"/>
      <c r="AE760" s="112"/>
      <c r="AF760" s="113"/>
      <c r="AG760" s="49"/>
      <c r="AH760" s="49"/>
      <c r="AI760" s="112"/>
      <c r="AJ760" s="91"/>
      <c r="AK760" s="114"/>
      <c r="AL760" s="112"/>
      <c r="AP760" s="7"/>
    </row>
    <row r="761" spans="1:42" hidden="1" x14ac:dyDescent="0.35">
      <c r="A761" s="85">
        <v>46230</v>
      </c>
      <c r="B761" s="51" t="s">
        <v>85</v>
      </c>
      <c r="C761" s="97">
        <v>61123995.678571403</v>
      </c>
      <c r="D761" s="97">
        <v>87119.5</v>
      </c>
      <c r="E761" s="48" t="s">
        <v>86</v>
      </c>
      <c r="F761" s="94" t="s">
        <v>108</v>
      </c>
      <c r="G761" s="94" t="s">
        <v>605</v>
      </c>
      <c r="H761" s="94" t="s">
        <v>129</v>
      </c>
      <c r="I761" s="94" t="s">
        <v>273</v>
      </c>
      <c r="J761" s="52">
        <v>10</v>
      </c>
      <c r="K761" s="52"/>
      <c r="L761" s="52"/>
      <c r="M761" s="52"/>
      <c r="N761" s="103">
        <f t="shared" si="157"/>
        <v>0</v>
      </c>
      <c r="O761" s="52"/>
      <c r="P761" s="52"/>
      <c r="Q761" s="52"/>
      <c r="R761" s="104">
        <f t="shared" si="158"/>
        <v>0</v>
      </c>
      <c r="S761" s="86">
        <f t="shared" si="156"/>
        <v>10</v>
      </c>
      <c r="AB761" s="111"/>
      <c r="AC761" s="111"/>
      <c r="AD761" s="111"/>
      <c r="AE761" s="112"/>
      <c r="AF761" s="113"/>
      <c r="AG761" s="49"/>
      <c r="AH761" s="49"/>
      <c r="AI761" s="112"/>
      <c r="AJ761" s="91"/>
      <c r="AK761" s="114"/>
      <c r="AL761" s="112"/>
      <c r="AP761" s="7"/>
    </row>
    <row r="762" spans="1:42" hidden="1" x14ac:dyDescent="0.35">
      <c r="A762" s="85">
        <v>46230</v>
      </c>
      <c r="B762" s="51" t="s">
        <v>85</v>
      </c>
      <c r="C762" s="97">
        <v>61123995.678571403</v>
      </c>
      <c r="D762" s="97">
        <v>87119.5</v>
      </c>
      <c r="E762" s="48" t="s">
        <v>86</v>
      </c>
      <c r="F762" s="94" t="s">
        <v>108</v>
      </c>
      <c r="G762" s="94" t="s">
        <v>609</v>
      </c>
      <c r="H762" s="94" t="s">
        <v>129</v>
      </c>
      <c r="I762" s="94" t="s">
        <v>273</v>
      </c>
      <c r="J762" s="52">
        <v>10</v>
      </c>
      <c r="K762" s="52"/>
      <c r="L762" s="52"/>
      <c r="M762" s="52"/>
      <c r="N762" s="103">
        <f t="shared" si="157"/>
        <v>0</v>
      </c>
      <c r="O762" s="52"/>
      <c r="P762" s="52"/>
      <c r="Q762" s="52"/>
      <c r="R762" s="104">
        <f t="shared" si="158"/>
        <v>0</v>
      </c>
      <c r="S762" s="86">
        <f t="shared" si="156"/>
        <v>10</v>
      </c>
      <c r="AB762" s="111"/>
      <c r="AC762" s="111"/>
      <c r="AD762" s="111"/>
      <c r="AE762" s="112"/>
      <c r="AF762" s="113"/>
      <c r="AG762" s="49"/>
      <c r="AH762" s="49"/>
      <c r="AI762" s="112"/>
      <c r="AJ762" s="91"/>
      <c r="AK762" s="114"/>
      <c r="AL762" s="112"/>
      <c r="AP762" s="7"/>
    </row>
    <row r="763" spans="1:42" hidden="1" x14ac:dyDescent="0.35">
      <c r="A763" s="85">
        <v>46230</v>
      </c>
      <c r="B763" s="51" t="s">
        <v>85</v>
      </c>
      <c r="C763" s="97">
        <v>61123995.678571403</v>
      </c>
      <c r="D763" s="97">
        <v>87119.5</v>
      </c>
      <c r="E763" s="48" t="s">
        <v>86</v>
      </c>
      <c r="F763" s="94" t="s">
        <v>108</v>
      </c>
      <c r="G763" s="94" t="s">
        <v>635</v>
      </c>
      <c r="H763" s="94" t="s">
        <v>129</v>
      </c>
      <c r="I763" s="94" t="s">
        <v>273</v>
      </c>
      <c r="J763" s="52"/>
      <c r="K763" s="52"/>
      <c r="L763" s="52"/>
      <c r="M763" s="52"/>
      <c r="N763" s="103">
        <f t="shared" si="157"/>
        <v>0</v>
      </c>
      <c r="O763" s="52">
        <v>15</v>
      </c>
      <c r="P763" s="52">
        <v>10</v>
      </c>
      <c r="Q763" s="52">
        <v>15</v>
      </c>
      <c r="R763" s="104">
        <f t="shared" si="158"/>
        <v>40</v>
      </c>
      <c r="S763" s="86">
        <f t="shared" si="156"/>
        <v>40</v>
      </c>
      <c r="AB763" s="111"/>
      <c r="AC763" s="111"/>
      <c r="AD763" s="111"/>
      <c r="AE763" s="112"/>
      <c r="AF763" s="113"/>
      <c r="AG763" s="49"/>
      <c r="AH763" s="49"/>
      <c r="AI763" s="112"/>
      <c r="AJ763" s="91"/>
      <c r="AK763" s="114"/>
      <c r="AL763" s="112"/>
      <c r="AP763" s="7"/>
    </row>
    <row r="764" spans="1:42" x14ac:dyDescent="0.35">
      <c r="A764" s="85">
        <v>46231</v>
      </c>
      <c r="B764" s="51" t="s">
        <v>85</v>
      </c>
      <c r="C764" s="97">
        <v>61123995.678571403</v>
      </c>
      <c r="D764" s="97">
        <v>87119.5</v>
      </c>
      <c r="E764" s="48" t="s">
        <v>86</v>
      </c>
      <c r="F764" s="94" t="s">
        <v>87</v>
      </c>
      <c r="G764" s="94" t="s">
        <v>425</v>
      </c>
      <c r="H764" s="94" t="s">
        <v>89</v>
      </c>
      <c r="I764" s="94" t="s">
        <v>691</v>
      </c>
      <c r="J764" s="52"/>
      <c r="K764" s="52">
        <v>40</v>
      </c>
      <c r="L764" s="52">
        <v>40</v>
      </c>
      <c r="M764" s="52"/>
      <c r="N764" s="103">
        <f t="shared" si="157"/>
        <v>80</v>
      </c>
      <c r="O764" s="52">
        <v>40</v>
      </c>
      <c r="P764" s="52">
        <v>200</v>
      </c>
      <c r="Q764" s="52">
        <v>120</v>
      </c>
      <c r="R764" s="104">
        <f t="shared" si="158"/>
        <v>360</v>
      </c>
      <c r="S764" s="86">
        <f t="shared" si="156"/>
        <v>440</v>
      </c>
      <c r="AB764" s="111"/>
      <c r="AC764" s="111"/>
      <c r="AD764" s="111"/>
      <c r="AE764" s="112"/>
      <c r="AF764" s="113"/>
      <c r="AG764" s="49"/>
      <c r="AH764" s="49"/>
      <c r="AI764" s="112"/>
      <c r="AJ764" s="91"/>
      <c r="AK764" s="114"/>
      <c r="AL764" s="112"/>
      <c r="AP764" s="7"/>
    </row>
    <row r="765" spans="1:42" x14ac:dyDescent="0.35">
      <c r="A765" s="85">
        <v>46231</v>
      </c>
      <c r="B765" s="51" t="s">
        <v>85</v>
      </c>
      <c r="C765" s="97">
        <v>61123995.678571403</v>
      </c>
      <c r="D765" s="97">
        <v>87119.5</v>
      </c>
      <c r="E765" s="48" t="s">
        <v>86</v>
      </c>
      <c r="F765" s="94" t="s">
        <v>87</v>
      </c>
      <c r="G765" s="94" t="s">
        <v>425</v>
      </c>
      <c r="H765" s="94" t="s">
        <v>89</v>
      </c>
      <c r="I765" s="94" t="s">
        <v>527</v>
      </c>
      <c r="J765" s="52"/>
      <c r="K765" s="52"/>
      <c r="L765" s="52">
        <v>40</v>
      </c>
      <c r="M765" s="52"/>
      <c r="N765" s="103">
        <f t="shared" si="157"/>
        <v>40</v>
      </c>
      <c r="O765" s="52">
        <v>80</v>
      </c>
      <c r="P765" s="52">
        <v>80</v>
      </c>
      <c r="Q765" s="52">
        <v>40</v>
      </c>
      <c r="R765" s="104">
        <f t="shared" si="158"/>
        <v>200</v>
      </c>
      <c r="S765" s="86">
        <f t="shared" si="156"/>
        <v>240</v>
      </c>
      <c r="AB765" s="111"/>
      <c r="AC765" s="111"/>
      <c r="AD765" s="111"/>
      <c r="AE765" s="112"/>
      <c r="AF765" s="113"/>
      <c r="AG765" s="49"/>
      <c r="AH765" s="49"/>
      <c r="AI765" s="112"/>
      <c r="AJ765" s="91"/>
      <c r="AK765" s="114"/>
      <c r="AL765" s="112"/>
      <c r="AP765" s="7"/>
    </row>
    <row r="766" spans="1:42" x14ac:dyDescent="0.35">
      <c r="A766" s="85">
        <v>46231</v>
      </c>
      <c r="B766" s="51" t="s">
        <v>85</v>
      </c>
      <c r="C766" s="97">
        <v>61123995.678571403</v>
      </c>
      <c r="D766" s="97">
        <v>87119.5</v>
      </c>
      <c r="E766" s="48" t="s">
        <v>86</v>
      </c>
      <c r="F766" s="94" t="s">
        <v>87</v>
      </c>
      <c r="G766" s="94" t="s">
        <v>425</v>
      </c>
      <c r="H766" s="94" t="s">
        <v>89</v>
      </c>
      <c r="I766" s="94" t="s">
        <v>528</v>
      </c>
      <c r="J766" s="52"/>
      <c r="K766" s="52">
        <v>200</v>
      </c>
      <c r="L766" s="52">
        <v>200</v>
      </c>
      <c r="M766" s="52"/>
      <c r="N766" s="103">
        <f t="shared" si="157"/>
        <v>400</v>
      </c>
      <c r="O766" s="52">
        <v>120</v>
      </c>
      <c r="P766" s="52">
        <v>40</v>
      </c>
      <c r="Q766" s="52"/>
      <c r="R766" s="104">
        <f t="shared" si="158"/>
        <v>160</v>
      </c>
      <c r="S766" s="86">
        <f t="shared" si="156"/>
        <v>560</v>
      </c>
      <c r="AB766" s="111"/>
      <c r="AC766" s="111"/>
      <c r="AD766" s="111"/>
      <c r="AE766" s="112"/>
      <c r="AF766" s="113"/>
      <c r="AG766" s="49"/>
      <c r="AH766" s="49"/>
      <c r="AI766" s="112"/>
      <c r="AJ766" s="91"/>
      <c r="AK766" s="114"/>
      <c r="AL766" s="112"/>
      <c r="AP766" s="7"/>
    </row>
    <row r="767" spans="1:42" x14ac:dyDescent="0.35">
      <c r="A767" s="85">
        <v>46231</v>
      </c>
      <c r="B767" s="51" t="s">
        <v>85</v>
      </c>
      <c r="C767" s="97">
        <v>61123995.678571403</v>
      </c>
      <c r="D767" s="97">
        <v>87119.5</v>
      </c>
      <c r="E767" s="48" t="s">
        <v>86</v>
      </c>
      <c r="F767" s="94" t="s">
        <v>87</v>
      </c>
      <c r="G767" s="94" t="s">
        <v>240</v>
      </c>
      <c r="H767" s="94" t="s">
        <v>89</v>
      </c>
      <c r="I767" s="94" t="s">
        <v>94</v>
      </c>
      <c r="J767" s="52"/>
      <c r="K767" s="52">
        <v>80</v>
      </c>
      <c r="L767" s="52">
        <v>40</v>
      </c>
      <c r="M767" s="52"/>
      <c r="N767" s="103">
        <f t="shared" si="157"/>
        <v>120</v>
      </c>
      <c r="O767" s="52">
        <v>240</v>
      </c>
      <c r="P767" s="52">
        <v>240</v>
      </c>
      <c r="Q767" s="52">
        <v>320</v>
      </c>
      <c r="R767" s="104">
        <f t="shared" si="158"/>
        <v>800</v>
      </c>
      <c r="S767" s="86">
        <f t="shared" si="156"/>
        <v>920</v>
      </c>
      <c r="AB767" s="111"/>
      <c r="AC767" s="111"/>
      <c r="AD767" s="111"/>
      <c r="AE767" s="112"/>
      <c r="AF767" s="113"/>
      <c r="AG767" s="49"/>
      <c r="AH767" s="49"/>
      <c r="AI767" s="112"/>
      <c r="AJ767" s="91"/>
      <c r="AK767" s="114"/>
      <c r="AL767" s="112"/>
      <c r="AP767" s="7"/>
    </row>
    <row r="768" spans="1:42" hidden="1" x14ac:dyDescent="0.35">
      <c r="A768" s="85">
        <v>46231</v>
      </c>
      <c r="B768" s="51" t="s">
        <v>85</v>
      </c>
      <c r="C768" s="97">
        <v>61123995.678571403</v>
      </c>
      <c r="D768" s="97">
        <v>87119.5</v>
      </c>
      <c r="E768" s="48" t="s">
        <v>86</v>
      </c>
      <c r="F768" s="94" t="s">
        <v>108</v>
      </c>
      <c r="G768" s="94" t="s">
        <v>440</v>
      </c>
      <c r="H768" s="94" t="s">
        <v>112</v>
      </c>
      <c r="I768" s="94" t="s">
        <v>246</v>
      </c>
      <c r="J768" s="52">
        <v>40</v>
      </c>
      <c r="K768" s="52"/>
      <c r="L768" s="52"/>
      <c r="M768" s="52"/>
      <c r="N768" s="103">
        <f t="shared" si="157"/>
        <v>0</v>
      </c>
      <c r="O768" s="52">
        <v>10</v>
      </c>
      <c r="P768" s="52">
        <v>10</v>
      </c>
      <c r="Q768" s="52">
        <v>20</v>
      </c>
      <c r="R768" s="104">
        <f t="shared" si="158"/>
        <v>40</v>
      </c>
      <c r="S768" s="86">
        <f t="shared" si="156"/>
        <v>80</v>
      </c>
      <c r="AB768" s="111"/>
      <c r="AC768" s="111"/>
      <c r="AD768" s="111"/>
      <c r="AE768" s="112"/>
      <c r="AF768" s="113"/>
      <c r="AG768" s="49"/>
      <c r="AH768" s="49"/>
      <c r="AI768" s="112"/>
      <c r="AJ768" s="91"/>
      <c r="AK768" s="114"/>
      <c r="AL768" s="112"/>
      <c r="AP768" s="7"/>
    </row>
    <row r="769" spans="1:42" hidden="1" x14ac:dyDescent="0.35">
      <c r="A769" s="85">
        <v>46231</v>
      </c>
      <c r="B769" s="51" t="s">
        <v>85</v>
      </c>
      <c r="C769" s="97">
        <v>61123995.678571403</v>
      </c>
      <c r="D769" s="97">
        <v>87119.5</v>
      </c>
      <c r="E769" s="48" t="s">
        <v>86</v>
      </c>
      <c r="F769" s="94" t="s">
        <v>108</v>
      </c>
      <c r="G769" s="94" t="s">
        <v>692</v>
      </c>
      <c r="H769" s="94" t="s">
        <v>112</v>
      </c>
      <c r="I769" s="94" t="s">
        <v>246</v>
      </c>
      <c r="J769" s="52">
        <v>40</v>
      </c>
      <c r="K769" s="52">
        <v>40</v>
      </c>
      <c r="L769" s="52"/>
      <c r="M769" s="52"/>
      <c r="N769" s="103">
        <f t="shared" si="157"/>
        <v>40</v>
      </c>
      <c r="O769" s="52">
        <v>40</v>
      </c>
      <c r="P769" s="52"/>
      <c r="Q769" s="52">
        <v>40</v>
      </c>
      <c r="R769" s="104">
        <f t="shared" si="158"/>
        <v>80</v>
      </c>
      <c r="S769" s="86">
        <f t="shared" si="156"/>
        <v>160</v>
      </c>
      <c r="AB769" s="111"/>
      <c r="AC769" s="111"/>
      <c r="AD769" s="111"/>
      <c r="AE769" s="112"/>
      <c r="AF769" s="113"/>
      <c r="AG769" s="49"/>
      <c r="AH769" s="49"/>
      <c r="AI769" s="112"/>
      <c r="AJ769" s="91"/>
      <c r="AK769" s="114"/>
      <c r="AL769" s="112"/>
      <c r="AP769" s="7"/>
    </row>
    <row r="770" spans="1:42" hidden="1" x14ac:dyDescent="0.35">
      <c r="A770" s="85">
        <v>46231</v>
      </c>
      <c r="B770" s="51" t="s">
        <v>85</v>
      </c>
      <c r="C770" s="97">
        <v>61123995.678571403</v>
      </c>
      <c r="D770" s="97">
        <v>87119.5</v>
      </c>
      <c r="E770" s="48" t="s">
        <v>86</v>
      </c>
      <c r="F770" s="94" t="s">
        <v>108</v>
      </c>
      <c r="G770" s="94" t="s">
        <v>489</v>
      </c>
      <c r="H770" s="94" t="s">
        <v>112</v>
      </c>
      <c r="I770" s="94" t="s">
        <v>246</v>
      </c>
      <c r="J770" s="52">
        <v>12</v>
      </c>
      <c r="K770" s="52">
        <v>12</v>
      </c>
      <c r="L770" s="52">
        <v>12</v>
      </c>
      <c r="M770" s="52"/>
      <c r="N770" s="103">
        <f t="shared" si="157"/>
        <v>24</v>
      </c>
      <c r="O770" s="52">
        <v>12</v>
      </c>
      <c r="P770" s="52">
        <v>6</v>
      </c>
      <c r="Q770" s="52"/>
      <c r="R770" s="104">
        <f t="shared" si="158"/>
        <v>18</v>
      </c>
      <c r="S770" s="86">
        <f t="shared" si="156"/>
        <v>54</v>
      </c>
      <c r="AB770" s="111"/>
      <c r="AC770" s="111"/>
      <c r="AD770" s="111"/>
      <c r="AE770" s="112"/>
      <c r="AF770" s="113"/>
      <c r="AG770" s="49"/>
      <c r="AH770" s="49"/>
      <c r="AI770" s="112"/>
      <c r="AJ770" s="91"/>
      <c r="AK770" s="114"/>
      <c r="AL770" s="112"/>
      <c r="AP770" s="7"/>
    </row>
    <row r="771" spans="1:42" hidden="1" x14ac:dyDescent="0.35">
      <c r="A771" s="85">
        <v>46231</v>
      </c>
      <c r="B771" s="51" t="s">
        <v>85</v>
      </c>
      <c r="C771" s="97">
        <v>61123995.678571403</v>
      </c>
      <c r="D771" s="97">
        <v>87119.5</v>
      </c>
      <c r="E771" s="48" t="s">
        <v>86</v>
      </c>
      <c r="F771" s="94" t="s">
        <v>108</v>
      </c>
      <c r="G771" s="94" t="s">
        <v>693</v>
      </c>
      <c r="H771" s="94" t="s">
        <v>112</v>
      </c>
      <c r="I771" s="94" t="s">
        <v>246</v>
      </c>
      <c r="J771" s="52">
        <v>20</v>
      </c>
      <c r="K771" s="52">
        <v>20</v>
      </c>
      <c r="L771" s="52"/>
      <c r="M771" s="52"/>
      <c r="N771" s="103">
        <f t="shared" si="157"/>
        <v>20</v>
      </c>
      <c r="O771" s="52">
        <v>20</v>
      </c>
      <c r="P771" s="52">
        <v>10</v>
      </c>
      <c r="Q771" s="52">
        <v>10</v>
      </c>
      <c r="R771" s="104">
        <f t="shared" si="158"/>
        <v>40</v>
      </c>
      <c r="S771" s="86">
        <f t="shared" si="156"/>
        <v>80</v>
      </c>
      <c r="AB771" s="111"/>
      <c r="AC771" s="111"/>
      <c r="AD771" s="111"/>
      <c r="AE771" s="112"/>
      <c r="AF771" s="113"/>
      <c r="AG771" s="49"/>
      <c r="AH771" s="49"/>
      <c r="AI771" s="112"/>
      <c r="AJ771" s="91"/>
      <c r="AK771" s="114"/>
      <c r="AL771" s="112"/>
      <c r="AP771" s="7"/>
    </row>
    <row r="772" spans="1:42" hidden="1" x14ac:dyDescent="0.35">
      <c r="A772" s="85">
        <v>46231</v>
      </c>
      <c r="B772" s="51" t="s">
        <v>85</v>
      </c>
      <c r="C772" s="97">
        <v>61123995.678571403</v>
      </c>
      <c r="D772" s="97">
        <v>87119.5</v>
      </c>
      <c r="E772" s="48" t="s">
        <v>86</v>
      </c>
      <c r="F772" s="94" t="s">
        <v>108</v>
      </c>
      <c r="G772" s="94" t="s">
        <v>694</v>
      </c>
      <c r="H772" s="94" t="s">
        <v>433</v>
      </c>
      <c r="I772" s="94" t="s">
        <v>698</v>
      </c>
      <c r="J772" s="52">
        <v>20</v>
      </c>
      <c r="K772" s="52"/>
      <c r="L772" s="52"/>
      <c r="M772" s="52"/>
      <c r="N772" s="103">
        <f t="shared" si="157"/>
        <v>0</v>
      </c>
      <c r="O772" s="52"/>
      <c r="P772" s="52"/>
      <c r="Q772" s="52">
        <v>20</v>
      </c>
      <c r="R772" s="104">
        <f t="shared" si="158"/>
        <v>20</v>
      </c>
      <c r="S772" s="86">
        <f t="shared" si="156"/>
        <v>40</v>
      </c>
      <c r="AB772" s="111"/>
      <c r="AC772" s="111"/>
      <c r="AD772" s="111"/>
      <c r="AE772" s="112"/>
      <c r="AF772" s="113"/>
      <c r="AG772" s="49"/>
      <c r="AH772" s="49"/>
      <c r="AI772" s="112"/>
      <c r="AJ772" s="91"/>
      <c r="AK772" s="114"/>
      <c r="AL772" s="112"/>
      <c r="AP772" s="7"/>
    </row>
    <row r="773" spans="1:42" hidden="1" x14ac:dyDescent="0.35">
      <c r="A773" s="85">
        <v>46231</v>
      </c>
      <c r="B773" s="51" t="s">
        <v>85</v>
      </c>
      <c r="C773" s="97">
        <v>61123995.678571403</v>
      </c>
      <c r="D773" s="97">
        <v>87119.5</v>
      </c>
      <c r="E773" s="48" t="s">
        <v>86</v>
      </c>
      <c r="F773" s="94" t="s">
        <v>108</v>
      </c>
      <c r="G773" s="94" t="s">
        <v>695</v>
      </c>
      <c r="H773" s="94" t="s">
        <v>433</v>
      </c>
      <c r="I773" s="94" t="s">
        <v>698</v>
      </c>
      <c r="J773" s="52">
        <v>12</v>
      </c>
      <c r="K773" s="52"/>
      <c r="L773" s="52"/>
      <c r="M773" s="52"/>
      <c r="N773" s="103">
        <f t="shared" si="157"/>
        <v>0</v>
      </c>
      <c r="O773" s="52">
        <v>12</v>
      </c>
      <c r="P773" s="52">
        <v>12</v>
      </c>
      <c r="Q773" s="52"/>
      <c r="R773" s="104">
        <f t="shared" si="158"/>
        <v>24</v>
      </c>
      <c r="S773" s="86">
        <f t="shared" ref="S773:S776" si="159">R773+N773+J773</f>
        <v>36</v>
      </c>
      <c r="AB773" s="111"/>
      <c r="AC773" s="111"/>
      <c r="AD773" s="111"/>
      <c r="AE773" s="112"/>
      <c r="AF773" s="113"/>
      <c r="AG773" s="49"/>
      <c r="AH773" s="49"/>
      <c r="AI773" s="112"/>
      <c r="AJ773" s="91"/>
      <c r="AK773" s="114"/>
      <c r="AL773" s="112"/>
      <c r="AP773" s="7"/>
    </row>
    <row r="774" spans="1:42" hidden="1" x14ac:dyDescent="0.35">
      <c r="A774" s="85">
        <v>46231</v>
      </c>
      <c r="B774" s="51" t="s">
        <v>85</v>
      </c>
      <c r="C774" s="97">
        <v>61123995.678571403</v>
      </c>
      <c r="D774" s="97">
        <v>87119.5</v>
      </c>
      <c r="E774" s="48" t="s">
        <v>86</v>
      </c>
      <c r="F774" s="94" t="s">
        <v>108</v>
      </c>
      <c r="G774" s="94" t="s">
        <v>696</v>
      </c>
      <c r="H774" s="94" t="s">
        <v>433</v>
      </c>
      <c r="I774" s="94" t="s">
        <v>698</v>
      </c>
      <c r="J774" s="52"/>
      <c r="K774" s="52"/>
      <c r="L774" s="52"/>
      <c r="M774" s="52"/>
      <c r="N774" s="103">
        <f t="shared" si="157"/>
        <v>0</v>
      </c>
      <c r="O774" s="52">
        <v>40</v>
      </c>
      <c r="P774" s="52"/>
      <c r="Q774" s="52"/>
      <c r="R774" s="104">
        <f t="shared" si="158"/>
        <v>40</v>
      </c>
      <c r="S774" s="86">
        <f t="shared" si="159"/>
        <v>40</v>
      </c>
      <c r="AB774" s="111"/>
      <c r="AC774" s="111"/>
      <c r="AD774" s="111"/>
      <c r="AE774" s="112"/>
      <c r="AF774" s="113"/>
      <c r="AG774" s="49"/>
      <c r="AH774" s="49"/>
      <c r="AI774" s="112"/>
      <c r="AJ774" s="91"/>
      <c r="AK774" s="114"/>
      <c r="AL774" s="112"/>
      <c r="AP774" s="7"/>
    </row>
    <row r="775" spans="1:42" hidden="1" x14ac:dyDescent="0.35">
      <c r="A775" s="85">
        <v>46231</v>
      </c>
      <c r="B775" s="51" t="s">
        <v>85</v>
      </c>
      <c r="C775" s="97">
        <v>61123995.678571403</v>
      </c>
      <c r="D775" s="97">
        <v>87119.5</v>
      </c>
      <c r="E775" s="48" t="s">
        <v>86</v>
      </c>
      <c r="F775" s="94" t="s">
        <v>108</v>
      </c>
      <c r="G775" s="94" t="s">
        <v>697</v>
      </c>
      <c r="H775" s="94" t="s">
        <v>433</v>
      </c>
      <c r="I775" s="94" t="s">
        <v>698</v>
      </c>
      <c r="J775" s="52">
        <v>80</v>
      </c>
      <c r="K775" s="52">
        <v>40</v>
      </c>
      <c r="L775" s="52">
        <v>80</v>
      </c>
      <c r="M775" s="52"/>
      <c r="N775" s="103">
        <f t="shared" si="157"/>
        <v>120</v>
      </c>
      <c r="O775" s="52">
        <v>40</v>
      </c>
      <c r="P775" s="52">
        <v>80</v>
      </c>
      <c r="Q775" s="52">
        <v>80</v>
      </c>
      <c r="R775" s="104">
        <f t="shared" si="158"/>
        <v>200</v>
      </c>
      <c r="S775" s="86">
        <f t="shared" si="159"/>
        <v>400</v>
      </c>
      <c r="AB775" s="111"/>
      <c r="AC775" s="111"/>
      <c r="AD775" s="111"/>
      <c r="AE775" s="112"/>
      <c r="AF775" s="113"/>
      <c r="AG775" s="49"/>
      <c r="AH775" s="49"/>
      <c r="AI775" s="112"/>
      <c r="AJ775" s="91"/>
      <c r="AK775" s="114"/>
      <c r="AL775" s="112"/>
      <c r="AP775" s="7"/>
    </row>
    <row r="776" spans="1:42" hidden="1" x14ac:dyDescent="0.35">
      <c r="A776" s="85">
        <v>46231</v>
      </c>
      <c r="B776" s="51" t="s">
        <v>85</v>
      </c>
      <c r="C776" s="97">
        <v>61123995.678571403</v>
      </c>
      <c r="D776" s="97">
        <v>87119.5</v>
      </c>
      <c r="E776" s="48" t="s">
        <v>86</v>
      </c>
      <c r="F776" s="94" t="s">
        <v>108</v>
      </c>
      <c r="G776" s="94" t="s">
        <v>545</v>
      </c>
      <c r="H776" s="94" t="s">
        <v>129</v>
      </c>
      <c r="I776" s="94" t="s">
        <v>152</v>
      </c>
      <c r="J776" s="52"/>
      <c r="K776" s="52">
        <v>10</v>
      </c>
      <c r="L776" s="52"/>
      <c r="M776" s="52"/>
      <c r="N776" s="103">
        <f t="shared" si="157"/>
        <v>10</v>
      </c>
      <c r="O776" s="52">
        <v>15</v>
      </c>
      <c r="P776" s="52">
        <v>15</v>
      </c>
      <c r="Q776" s="52">
        <v>15</v>
      </c>
      <c r="R776" s="104">
        <f t="shared" si="158"/>
        <v>45</v>
      </c>
      <c r="S776" s="86">
        <f t="shared" si="159"/>
        <v>55</v>
      </c>
      <c r="AB776" s="111"/>
      <c r="AC776" s="111"/>
      <c r="AD776" s="111"/>
      <c r="AE776" s="112"/>
      <c r="AF776" s="113"/>
      <c r="AG776" s="49"/>
      <c r="AH776" s="49"/>
      <c r="AI776" s="112"/>
      <c r="AJ776" s="91"/>
      <c r="AK776" s="114"/>
      <c r="AL776" s="112"/>
      <c r="AP776" s="7"/>
    </row>
    <row r="777" spans="1:42" hidden="1" x14ac:dyDescent="0.35">
      <c r="A777" s="85">
        <v>46231</v>
      </c>
      <c r="B777" s="51" t="s">
        <v>85</v>
      </c>
      <c r="C777" s="97">
        <v>61123995.678571403</v>
      </c>
      <c r="D777" s="97">
        <v>87119.5</v>
      </c>
      <c r="E777" s="48" t="s">
        <v>86</v>
      </c>
      <c r="F777" s="94" t="s">
        <v>108</v>
      </c>
      <c r="G777" s="94" t="s">
        <v>169</v>
      </c>
      <c r="H777" s="94" t="s">
        <v>129</v>
      </c>
      <c r="I777" s="94" t="s">
        <v>152</v>
      </c>
      <c r="J777" s="52"/>
      <c r="K777" s="52"/>
      <c r="L777" s="52"/>
      <c r="M777" s="52"/>
      <c r="N777" s="103">
        <f t="shared" si="157"/>
        <v>0</v>
      </c>
      <c r="O777" s="52">
        <v>15</v>
      </c>
      <c r="P777" s="52">
        <v>10</v>
      </c>
      <c r="Q777" s="52">
        <v>15</v>
      </c>
      <c r="R777" s="104">
        <f t="shared" ref="R777:R795" si="160">SUM(O777:Q777)</f>
        <v>40</v>
      </c>
      <c r="S777" s="86">
        <f t="shared" ref="S777:S795" si="161">R777+N777+J777</f>
        <v>40</v>
      </c>
      <c r="AB777" s="111"/>
      <c r="AC777" s="111"/>
      <c r="AD777" s="111"/>
      <c r="AE777" s="112"/>
      <c r="AF777" s="113"/>
      <c r="AG777" s="49"/>
      <c r="AH777" s="49"/>
      <c r="AI777" s="112"/>
      <c r="AJ777" s="91"/>
      <c r="AK777" s="114"/>
      <c r="AL777" s="112"/>
      <c r="AP777" s="7"/>
    </row>
    <row r="778" spans="1:42" hidden="1" x14ac:dyDescent="0.35">
      <c r="A778" s="85">
        <v>46231</v>
      </c>
      <c r="B778" s="51" t="s">
        <v>85</v>
      </c>
      <c r="C778" s="97">
        <v>61123995.678571403</v>
      </c>
      <c r="D778" s="97">
        <v>87119.5</v>
      </c>
      <c r="E778" s="48" t="s">
        <v>86</v>
      </c>
      <c r="F778" s="94" t="s">
        <v>108</v>
      </c>
      <c r="G778" s="94" t="s">
        <v>556</v>
      </c>
      <c r="H778" s="94" t="s">
        <v>129</v>
      </c>
      <c r="I778" s="94" t="s">
        <v>152</v>
      </c>
      <c r="J778" s="52">
        <v>40</v>
      </c>
      <c r="K778" s="52">
        <v>20</v>
      </c>
      <c r="L778" s="52">
        <v>20</v>
      </c>
      <c r="M778" s="52"/>
      <c r="N778" s="103">
        <f t="shared" si="157"/>
        <v>40</v>
      </c>
      <c r="O778" s="52">
        <v>15</v>
      </c>
      <c r="P778" s="52">
        <v>10</v>
      </c>
      <c r="Q778" s="52">
        <v>15</v>
      </c>
      <c r="R778" s="104">
        <f t="shared" si="160"/>
        <v>40</v>
      </c>
      <c r="S778" s="86">
        <f t="shared" si="161"/>
        <v>120</v>
      </c>
      <c r="AB778" s="111"/>
      <c r="AC778" s="111"/>
      <c r="AD778" s="111"/>
      <c r="AE778" s="112"/>
      <c r="AF778" s="113"/>
      <c r="AG778" s="49"/>
      <c r="AH778" s="49"/>
      <c r="AI778" s="112"/>
      <c r="AJ778" s="91"/>
      <c r="AK778" s="114"/>
      <c r="AL778" s="112"/>
      <c r="AP778" s="7"/>
    </row>
    <row r="779" spans="1:42" hidden="1" x14ac:dyDescent="0.35">
      <c r="A779" s="85">
        <v>46231</v>
      </c>
      <c r="B779" s="51" t="s">
        <v>85</v>
      </c>
      <c r="C779" s="97">
        <v>61123995.678571403</v>
      </c>
      <c r="D779" s="97">
        <v>87119.5</v>
      </c>
      <c r="E779" s="48" t="s">
        <v>86</v>
      </c>
      <c r="F779" s="94" t="s">
        <v>108</v>
      </c>
      <c r="G779" s="94" t="s">
        <v>139</v>
      </c>
      <c r="H779" s="94" t="s">
        <v>129</v>
      </c>
      <c r="I779" s="94" t="s">
        <v>152</v>
      </c>
      <c r="J779" s="52"/>
      <c r="K779" s="52"/>
      <c r="L779" s="52"/>
      <c r="M779" s="52"/>
      <c r="N779" s="103">
        <f t="shared" si="157"/>
        <v>0</v>
      </c>
      <c r="O779" s="52"/>
      <c r="P779" s="52">
        <v>20</v>
      </c>
      <c r="Q779" s="52"/>
      <c r="R779" s="104">
        <f t="shared" si="160"/>
        <v>20</v>
      </c>
      <c r="S779" s="86">
        <f t="shared" si="161"/>
        <v>20</v>
      </c>
      <c r="AB779" s="111"/>
      <c r="AC779" s="111"/>
      <c r="AD779" s="111"/>
      <c r="AE779" s="112"/>
      <c r="AF779" s="113"/>
      <c r="AG779" s="49"/>
      <c r="AH779" s="49"/>
      <c r="AI779" s="112"/>
      <c r="AJ779" s="91"/>
      <c r="AK779" s="114"/>
      <c r="AL779" s="112"/>
      <c r="AP779" s="7"/>
    </row>
    <row r="780" spans="1:42" hidden="1" x14ac:dyDescent="0.35">
      <c r="A780" s="85">
        <v>46231</v>
      </c>
      <c r="B780" s="51" t="s">
        <v>85</v>
      </c>
      <c r="C780" s="97">
        <v>61123995.678571403</v>
      </c>
      <c r="D780" s="97">
        <v>87119.5</v>
      </c>
      <c r="E780" s="48" t="s">
        <v>86</v>
      </c>
      <c r="F780" s="94" t="s">
        <v>108</v>
      </c>
      <c r="G780" s="94" t="s">
        <v>513</v>
      </c>
      <c r="H780" s="94" t="s">
        <v>129</v>
      </c>
      <c r="I780" s="94" t="s">
        <v>152</v>
      </c>
      <c r="J780" s="52"/>
      <c r="K780" s="52"/>
      <c r="L780" s="52"/>
      <c r="M780" s="52"/>
      <c r="N780" s="103">
        <f t="shared" si="157"/>
        <v>0</v>
      </c>
      <c r="O780" s="52"/>
      <c r="P780" s="52">
        <v>20</v>
      </c>
      <c r="Q780" s="52"/>
      <c r="R780" s="104">
        <f t="shared" si="160"/>
        <v>20</v>
      </c>
      <c r="S780" s="86">
        <f t="shared" si="161"/>
        <v>20</v>
      </c>
      <c r="AB780" s="111"/>
      <c r="AC780" s="111"/>
      <c r="AD780" s="111"/>
      <c r="AE780" s="112"/>
      <c r="AF780" s="113"/>
      <c r="AG780" s="49"/>
      <c r="AH780" s="49"/>
      <c r="AI780" s="112"/>
      <c r="AJ780" s="91"/>
      <c r="AK780" s="114"/>
      <c r="AL780" s="112"/>
      <c r="AP780" s="7"/>
    </row>
    <row r="781" spans="1:42" hidden="1" x14ac:dyDescent="0.35">
      <c r="A781" s="85">
        <v>46231</v>
      </c>
      <c r="B781" s="51" t="s">
        <v>85</v>
      </c>
      <c r="C781" s="97">
        <v>61123995.678571403</v>
      </c>
      <c r="D781" s="97">
        <v>87119.5</v>
      </c>
      <c r="E781" s="48" t="s">
        <v>86</v>
      </c>
      <c r="F781" s="94" t="s">
        <v>108</v>
      </c>
      <c r="G781" s="94" t="s">
        <v>344</v>
      </c>
      <c r="H781" s="94" t="s">
        <v>129</v>
      </c>
      <c r="I781" s="94" t="s">
        <v>152</v>
      </c>
      <c r="J781" s="52">
        <v>40</v>
      </c>
      <c r="K781" s="52">
        <v>20</v>
      </c>
      <c r="L781" s="52">
        <v>20</v>
      </c>
      <c r="M781" s="52"/>
      <c r="N781" s="103">
        <f t="shared" si="157"/>
        <v>40</v>
      </c>
      <c r="O781" s="52">
        <v>50</v>
      </c>
      <c r="P781" s="52">
        <v>50</v>
      </c>
      <c r="Q781" s="52">
        <v>60</v>
      </c>
      <c r="R781" s="104">
        <f t="shared" si="160"/>
        <v>160</v>
      </c>
      <c r="S781" s="86">
        <f t="shared" si="161"/>
        <v>240</v>
      </c>
      <c r="AB781" s="111"/>
      <c r="AC781" s="111"/>
      <c r="AD781" s="111"/>
      <c r="AE781" s="112"/>
      <c r="AF781" s="113"/>
      <c r="AG781" s="49"/>
      <c r="AH781" s="49"/>
      <c r="AI781" s="112"/>
      <c r="AJ781" s="91"/>
      <c r="AK781" s="114"/>
      <c r="AL781" s="112"/>
      <c r="AP781" s="7"/>
    </row>
    <row r="782" spans="1:42" hidden="1" x14ac:dyDescent="0.35">
      <c r="A782" s="85">
        <v>46232</v>
      </c>
      <c r="B782" s="51" t="s">
        <v>85</v>
      </c>
      <c r="C782" s="97">
        <v>61123995.678571403</v>
      </c>
      <c r="D782" s="97">
        <v>87119.5</v>
      </c>
      <c r="E782" s="48" t="s">
        <v>86</v>
      </c>
      <c r="F782" s="94" t="s">
        <v>108</v>
      </c>
      <c r="G782" s="94" t="s">
        <v>699</v>
      </c>
      <c r="H782" s="94" t="s">
        <v>702</v>
      </c>
      <c r="I782" s="94" t="s">
        <v>703</v>
      </c>
      <c r="J782" s="52">
        <v>15</v>
      </c>
      <c r="K782" s="52"/>
      <c r="L782" s="52"/>
      <c r="M782" s="52"/>
      <c r="N782" s="103">
        <f t="shared" si="157"/>
        <v>0</v>
      </c>
      <c r="O782" s="52">
        <v>15</v>
      </c>
      <c r="P782" s="52">
        <v>10</v>
      </c>
      <c r="Q782" s="52">
        <v>15</v>
      </c>
      <c r="R782" s="104">
        <f t="shared" si="160"/>
        <v>40</v>
      </c>
      <c r="S782" s="86">
        <f t="shared" si="161"/>
        <v>55</v>
      </c>
      <c r="AB782" s="111"/>
      <c r="AC782" s="111"/>
      <c r="AD782" s="111"/>
      <c r="AE782" s="112"/>
      <c r="AF782" s="113"/>
      <c r="AG782" s="49"/>
      <c r="AH782" s="49"/>
      <c r="AI782" s="112"/>
      <c r="AJ782" s="91"/>
      <c r="AK782" s="114"/>
      <c r="AL782" s="112"/>
      <c r="AP782" s="7"/>
    </row>
    <row r="783" spans="1:42" hidden="1" x14ac:dyDescent="0.35">
      <c r="A783" s="85">
        <v>46232</v>
      </c>
      <c r="B783" s="51" t="s">
        <v>85</v>
      </c>
      <c r="C783" s="97">
        <v>61123995.678571403</v>
      </c>
      <c r="D783" s="97">
        <v>87119.5</v>
      </c>
      <c r="E783" s="48" t="s">
        <v>86</v>
      </c>
      <c r="F783" s="94" t="s">
        <v>108</v>
      </c>
      <c r="G783" s="94" t="s">
        <v>275</v>
      </c>
      <c r="H783" s="94" t="s">
        <v>702</v>
      </c>
      <c r="I783" s="94" t="s">
        <v>703</v>
      </c>
      <c r="J783" s="52">
        <v>12</v>
      </c>
      <c r="K783" s="52"/>
      <c r="L783" s="52"/>
      <c r="M783" s="52"/>
      <c r="N783" s="103">
        <f t="shared" si="157"/>
        <v>0</v>
      </c>
      <c r="O783" s="52"/>
      <c r="P783" s="52">
        <v>12</v>
      </c>
      <c r="Q783" s="52"/>
      <c r="R783" s="104">
        <f t="shared" si="160"/>
        <v>12</v>
      </c>
      <c r="S783" s="86">
        <f t="shared" si="161"/>
        <v>24</v>
      </c>
      <c r="AB783" s="111"/>
      <c r="AC783" s="111"/>
      <c r="AD783" s="111"/>
      <c r="AE783" s="112"/>
      <c r="AF783" s="113"/>
      <c r="AG783" s="49"/>
      <c r="AH783" s="49"/>
      <c r="AI783" s="112"/>
      <c r="AJ783" s="91"/>
      <c r="AK783" s="114"/>
      <c r="AL783" s="112"/>
      <c r="AP783" s="7"/>
    </row>
    <row r="784" spans="1:42" hidden="1" x14ac:dyDescent="0.35">
      <c r="A784" s="85">
        <v>46232</v>
      </c>
      <c r="B784" s="51" t="s">
        <v>85</v>
      </c>
      <c r="C784" s="97">
        <v>61123995.678571403</v>
      </c>
      <c r="D784" s="97">
        <v>87119.5</v>
      </c>
      <c r="E784" s="48" t="s">
        <v>86</v>
      </c>
      <c r="F784" s="94" t="s">
        <v>108</v>
      </c>
      <c r="G784" s="94" t="s">
        <v>440</v>
      </c>
      <c r="H784" s="94" t="s">
        <v>702</v>
      </c>
      <c r="I784" s="94" t="s">
        <v>703</v>
      </c>
      <c r="J784" s="52"/>
      <c r="K784" s="52"/>
      <c r="L784" s="52"/>
      <c r="M784" s="52"/>
      <c r="N784" s="103">
        <f t="shared" si="157"/>
        <v>0</v>
      </c>
      <c r="O784" s="52">
        <v>6</v>
      </c>
      <c r="P784" s="52">
        <v>6</v>
      </c>
      <c r="Q784" s="52">
        <v>12</v>
      </c>
      <c r="R784" s="104">
        <f t="shared" si="160"/>
        <v>24</v>
      </c>
      <c r="S784" s="86">
        <f t="shared" si="161"/>
        <v>24</v>
      </c>
      <c r="AB784" s="111"/>
      <c r="AC784" s="111"/>
      <c r="AD784" s="111"/>
      <c r="AE784" s="112"/>
      <c r="AF784" s="113"/>
      <c r="AG784" s="49"/>
      <c r="AH784" s="49"/>
      <c r="AI784" s="112"/>
      <c r="AJ784" s="91"/>
      <c r="AK784" s="114"/>
      <c r="AL784" s="112"/>
      <c r="AP784" s="7"/>
    </row>
    <row r="785" spans="1:42" hidden="1" x14ac:dyDescent="0.35">
      <c r="A785" s="85">
        <v>46232</v>
      </c>
      <c r="B785" s="51" t="s">
        <v>85</v>
      </c>
      <c r="C785" s="97">
        <v>61123995.678571403</v>
      </c>
      <c r="D785" s="97">
        <v>87119.5</v>
      </c>
      <c r="E785" s="48" t="s">
        <v>86</v>
      </c>
      <c r="F785" s="94" t="s">
        <v>108</v>
      </c>
      <c r="G785" s="94" t="s">
        <v>700</v>
      </c>
      <c r="H785" s="94" t="s">
        <v>702</v>
      </c>
      <c r="I785" s="94" t="s">
        <v>703</v>
      </c>
      <c r="J785" s="52">
        <v>40</v>
      </c>
      <c r="K785" s="52"/>
      <c r="L785" s="52"/>
      <c r="M785" s="52"/>
      <c r="N785" s="103">
        <f t="shared" si="157"/>
        <v>0</v>
      </c>
      <c r="O785" s="52"/>
      <c r="P785" s="52"/>
      <c r="Q785" s="52"/>
      <c r="R785" s="104">
        <f t="shared" si="160"/>
        <v>0</v>
      </c>
      <c r="S785" s="86">
        <f t="shared" si="161"/>
        <v>40</v>
      </c>
      <c r="AB785" s="111"/>
      <c r="AC785" s="111"/>
      <c r="AD785" s="111"/>
      <c r="AE785" s="112"/>
      <c r="AF785" s="113"/>
      <c r="AG785" s="49"/>
      <c r="AH785" s="49"/>
      <c r="AI785" s="112"/>
      <c r="AJ785" s="91"/>
      <c r="AK785" s="114"/>
      <c r="AL785" s="112"/>
      <c r="AP785" s="7"/>
    </row>
    <row r="786" spans="1:42" hidden="1" x14ac:dyDescent="0.35">
      <c r="A786" s="85">
        <v>46232</v>
      </c>
      <c r="B786" s="51" t="s">
        <v>85</v>
      </c>
      <c r="C786" s="97">
        <v>61123995.678571403</v>
      </c>
      <c r="D786" s="97">
        <v>87119.5</v>
      </c>
      <c r="E786" s="48" t="s">
        <v>86</v>
      </c>
      <c r="F786" s="94" t="s">
        <v>108</v>
      </c>
      <c r="G786" s="94" t="s">
        <v>378</v>
      </c>
      <c r="H786" s="94" t="s">
        <v>702</v>
      </c>
      <c r="I786" s="94" t="s">
        <v>703</v>
      </c>
      <c r="J786" s="52">
        <v>12</v>
      </c>
      <c r="K786" s="52">
        <v>12</v>
      </c>
      <c r="L786" s="52">
        <v>12</v>
      </c>
      <c r="M786" s="52"/>
      <c r="N786" s="103">
        <f t="shared" si="157"/>
        <v>24</v>
      </c>
      <c r="O786" s="52">
        <v>12</v>
      </c>
      <c r="P786" s="52">
        <v>12</v>
      </c>
      <c r="Q786" s="52">
        <v>12</v>
      </c>
      <c r="R786" s="104">
        <f t="shared" si="160"/>
        <v>36</v>
      </c>
      <c r="S786" s="86">
        <f t="shared" si="161"/>
        <v>72</v>
      </c>
      <c r="AB786" s="111"/>
      <c r="AC786" s="111"/>
      <c r="AD786" s="111"/>
      <c r="AE786" s="112"/>
      <c r="AF786" s="113"/>
      <c r="AG786" s="49"/>
      <c r="AH786" s="49"/>
      <c r="AI786" s="112"/>
      <c r="AJ786" s="91"/>
      <c r="AK786" s="114"/>
      <c r="AL786" s="112"/>
      <c r="AP786" s="7"/>
    </row>
    <row r="787" spans="1:42" hidden="1" x14ac:dyDescent="0.35">
      <c r="A787" s="85">
        <v>46232</v>
      </c>
      <c r="B787" s="51" t="s">
        <v>85</v>
      </c>
      <c r="C787" s="97">
        <v>61123995.678571403</v>
      </c>
      <c r="D787" s="97">
        <v>87119.5</v>
      </c>
      <c r="E787" s="48" t="s">
        <v>86</v>
      </c>
      <c r="F787" s="94" t="s">
        <v>108</v>
      </c>
      <c r="G787" s="94" t="s">
        <v>701</v>
      </c>
      <c r="H787" s="94" t="s">
        <v>702</v>
      </c>
      <c r="I787" s="94" t="s">
        <v>703</v>
      </c>
      <c r="J787" s="52">
        <v>40</v>
      </c>
      <c r="K787" s="52"/>
      <c r="L787" s="52"/>
      <c r="M787" s="52"/>
      <c r="N787" s="103">
        <f t="shared" si="157"/>
        <v>0</v>
      </c>
      <c r="O787" s="52">
        <v>25</v>
      </c>
      <c r="P787" s="52"/>
      <c r="Q787" s="52">
        <v>15</v>
      </c>
      <c r="R787" s="104">
        <f t="shared" si="160"/>
        <v>40</v>
      </c>
      <c r="S787" s="86">
        <f t="shared" si="161"/>
        <v>80</v>
      </c>
      <c r="AB787" s="111"/>
      <c r="AC787" s="111"/>
      <c r="AD787" s="111"/>
      <c r="AE787" s="112"/>
      <c r="AF787" s="113"/>
      <c r="AG787" s="49"/>
      <c r="AH787" s="49"/>
      <c r="AI787" s="112"/>
      <c r="AJ787" s="91"/>
      <c r="AK787" s="114"/>
      <c r="AL787" s="112"/>
      <c r="AP787" s="7"/>
    </row>
    <row r="788" spans="1:42" hidden="1" x14ac:dyDescent="0.35">
      <c r="A788" s="85">
        <v>46232</v>
      </c>
      <c r="B788" s="51" t="s">
        <v>85</v>
      </c>
      <c r="C788" s="97">
        <v>61123995.678571403</v>
      </c>
      <c r="D788" s="97">
        <v>87119.5</v>
      </c>
      <c r="E788" s="48" t="s">
        <v>86</v>
      </c>
      <c r="F788" s="94" t="s">
        <v>108</v>
      </c>
      <c r="G788" s="94" t="s">
        <v>627</v>
      </c>
      <c r="H788" s="94" t="s">
        <v>433</v>
      </c>
      <c r="I788" s="94" t="s">
        <v>631</v>
      </c>
      <c r="J788" s="52">
        <v>12</v>
      </c>
      <c r="K788" s="52">
        <v>6</v>
      </c>
      <c r="L788" s="52">
        <v>6</v>
      </c>
      <c r="M788" s="52"/>
      <c r="N788" s="103">
        <f t="shared" si="157"/>
        <v>12</v>
      </c>
      <c r="O788" s="52"/>
      <c r="P788" s="52"/>
      <c r="Q788" s="52"/>
      <c r="R788" s="104">
        <f t="shared" si="160"/>
        <v>0</v>
      </c>
      <c r="S788" s="86">
        <f t="shared" si="161"/>
        <v>24</v>
      </c>
      <c r="AB788" s="111"/>
      <c r="AC788" s="111"/>
      <c r="AD788" s="111"/>
      <c r="AE788" s="112"/>
      <c r="AF788" s="113"/>
      <c r="AG788" s="49"/>
      <c r="AH788" s="49"/>
      <c r="AI788" s="112"/>
      <c r="AJ788" s="91"/>
      <c r="AK788" s="114"/>
      <c r="AL788" s="112"/>
      <c r="AP788" s="7"/>
    </row>
    <row r="789" spans="1:42" hidden="1" x14ac:dyDescent="0.35">
      <c r="A789" s="85">
        <v>46232</v>
      </c>
      <c r="B789" s="51" t="s">
        <v>85</v>
      </c>
      <c r="C789" s="97">
        <v>61123995.678571403</v>
      </c>
      <c r="D789" s="97">
        <v>87119.5</v>
      </c>
      <c r="E789" s="48" t="s">
        <v>86</v>
      </c>
      <c r="F789" s="94" t="s">
        <v>108</v>
      </c>
      <c r="G789" s="94" t="s">
        <v>378</v>
      </c>
      <c r="H789" s="94" t="s">
        <v>433</v>
      </c>
      <c r="I789" s="94" t="s">
        <v>631</v>
      </c>
      <c r="J789" s="52">
        <v>24</v>
      </c>
      <c r="K789" s="52"/>
      <c r="L789" s="52"/>
      <c r="M789" s="52"/>
      <c r="N789" s="103">
        <f t="shared" si="157"/>
        <v>0</v>
      </c>
      <c r="O789" s="52"/>
      <c r="P789" s="52"/>
      <c r="Q789" s="52"/>
      <c r="R789" s="104">
        <f t="shared" si="160"/>
        <v>0</v>
      </c>
      <c r="S789" s="86">
        <f t="shared" si="161"/>
        <v>24</v>
      </c>
      <c r="AB789" s="111"/>
      <c r="AC789" s="111"/>
      <c r="AD789" s="111"/>
      <c r="AE789" s="112"/>
      <c r="AF789" s="113"/>
      <c r="AG789" s="49"/>
      <c r="AH789" s="49"/>
      <c r="AI789" s="112"/>
      <c r="AJ789" s="91"/>
      <c r="AK789" s="114"/>
      <c r="AL789" s="112"/>
      <c r="AP789" s="7"/>
    </row>
    <row r="790" spans="1:42" hidden="1" x14ac:dyDescent="0.35">
      <c r="A790" s="85">
        <v>46232</v>
      </c>
      <c r="B790" s="51" t="s">
        <v>85</v>
      </c>
      <c r="C790" s="97">
        <v>61123995.678571403</v>
      </c>
      <c r="D790" s="97">
        <v>87119.5</v>
      </c>
      <c r="E790" s="48" t="s">
        <v>86</v>
      </c>
      <c r="F790" s="94" t="s">
        <v>108</v>
      </c>
      <c r="G790" s="94" t="s">
        <v>635</v>
      </c>
      <c r="H790" s="94" t="s">
        <v>433</v>
      </c>
      <c r="I790" s="94" t="s">
        <v>631</v>
      </c>
      <c r="J790" s="52">
        <v>20</v>
      </c>
      <c r="K790" s="52"/>
      <c r="L790" s="52"/>
      <c r="M790" s="52"/>
      <c r="N790" s="103">
        <f t="shared" si="157"/>
        <v>0</v>
      </c>
      <c r="O790" s="52"/>
      <c r="P790" s="52"/>
      <c r="Q790" s="52"/>
      <c r="R790" s="104">
        <f t="shared" si="160"/>
        <v>0</v>
      </c>
      <c r="S790" s="86">
        <f t="shared" si="161"/>
        <v>20</v>
      </c>
      <c r="AB790" s="111"/>
      <c r="AC790" s="111"/>
      <c r="AD790" s="111"/>
      <c r="AE790" s="112"/>
      <c r="AF790" s="113"/>
      <c r="AG790" s="49"/>
      <c r="AH790" s="49"/>
      <c r="AI790" s="112"/>
      <c r="AJ790" s="91"/>
      <c r="AK790" s="114"/>
      <c r="AL790" s="112"/>
      <c r="AP790" s="7"/>
    </row>
    <row r="791" spans="1:42" hidden="1" x14ac:dyDescent="0.35">
      <c r="A791" s="85">
        <v>46232</v>
      </c>
      <c r="B791" s="51" t="s">
        <v>85</v>
      </c>
      <c r="C791" s="97">
        <v>61123995.678571403</v>
      </c>
      <c r="D791" s="97">
        <v>87119.5</v>
      </c>
      <c r="E791" s="48" t="s">
        <v>86</v>
      </c>
      <c r="F791" s="94" t="s">
        <v>108</v>
      </c>
      <c r="G791" s="94" t="s">
        <v>629</v>
      </c>
      <c r="H791" s="94" t="s">
        <v>433</v>
      </c>
      <c r="I791" s="94" t="s">
        <v>631</v>
      </c>
      <c r="J791" s="52">
        <v>80</v>
      </c>
      <c r="K791" s="52"/>
      <c r="L791" s="52"/>
      <c r="M791" s="52"/>
      <c r="N791" s="103">
        <f t="shared" si="157"/>
        <v>0</v>
      </c>
      <c r="O791" s="52">
        <v>80</v>
      </c>
      <c r="P791" s="52">
        <v>80</v>
      </c>
      <c r="Q791" s="52">
        <v>160</v>
      </c>
      <c r="R791" s="104">
        <f t="shared" si="160"/>
        <v>320</v>
      </c>
      <c r="S791" s="86">
        <f t="shared" si="161"/>
        <v>400</v>
      </c>
      <c r="AB791" s="111"/>
      <c r="AC791" s="111"/>
      <c r="AD791" s="111"/>
      <c r="AE791" s="112"/>
      <c r="AF791" s="113"/>
      <c r="AG791" s="49"/>
      <c r="AH791" s="49"/>
      <c r="AI791" s="112"/>
      <c r="AJ791" s="91"/>
      <c r="AK791" s="114"/>
      <c r="AL791" s="112"/>
      <c r="AP791" s="7"/>
    </row>
    <row r="792" spans="1:42" hidden="1" x14ac:dyDescent="0.35">
      <c r="A792" s="85">
        <v>46232</v>
      </c>
      <c r="B792" s="51" t="s">
        <v>85</v>
      </c>
      <c r="C792" s="97">
        <v>61123995.678571403</v>
      </c>
      <c r="D792" s="97">
        <v>87119.5</v>
      </c>
      <c r="E792" s="48" t="s">
        <v>86</v>
      </c>
      <c r="F792" s="94" t="s">
        <v>108</v>
      </c>
      <c r="G792" s="94" t="s">
        <v>344</v>
      </c>
      <c r="H792" s="94" t="s">
        <v>433</v>
      </c>
      <c r="I792" s="94" t="s">
        <v>631</v>
      </c>
      <c r="J792" s="52">
        <v>80</v>
      </c>
      <c r="K792" s="52">
        <v>40</v>
      </c>
      <c r="L792" s="52">
        <v>40</v>
      </c>
      <c r="M792" s="52"/>
      <c r="N792" s="103">
        <f t="shared" si="157"/>
        <v>80</v>
      </c>
      <c r="O792" s="52"/>
      <c r="P792" s="52"/>
      <c r="Q792" s="52"/>
      <c r="R792" s="104">
        <f t="shared" si="160"/>
        <v>0</v>
      </c>
      <c r="S792" s="86">
        <f t="shared" si="161"/>
        <v>160</v>
      </c>
      <c r="AB792" s="111"/>
      <c r="AC792" s="111"/>
      <c r="AD792" s="111"/>
      <c r="AE792" s="112"/>
      <c r="AF792" s="113"/>
      <c r="AG792" s="49"/>
      <c r="AH792" s="49"/>
      <c r="AI792" s="112"/>
      <c r="AJ792" s="91"/>
      <c r="AK792" s="114"/>
      <c r="AL792" s="112"/>
      <c r="AP792" s="7"/>
    </row>
    <row r="793" spans="1:42" hidden="1" x14ac:dyDescent="0.35">
      <c r="A793" s="85">
        <v>46232</v>
      </c>
      <c r="B793" s="51" t="s">
        <v>85</v>
      </c>
      <c r="C793" s="97">
        <v>61123995.678571403</v>
      </c>
      <c r="D793" s="97">
        <v>87119.5</v>
      </c>
      <c r="E793" s="48" t="s">
        <v>86</v>
      </c>
      <c r="F793" s="94" t="s">
        <v>108</v>
      </c>
      <c r="G793" s="94" t="s">
        <v>647</v>
      </c>
      <c r="H793" s="94" t="s">
        <v>705</v>
      </c>
      <c r="I793" s="94" t="s">
        <v>199</v>
      </c>
      <c r="J793" s="52">
        <v>20</v>
      </c>
      <c r="K793" s="52">
        <v>20</v>
      </c>
      <c r="L793" s="52">
        <v>20</v>
      </c>
      <c r="M793" s="52"/>
      <c r="N793" s="103">
        <f t="shared" si="157"/>
        <v>40</v>
      </c>
      <c r="O793" s="52"/>
      <c r="P793" s="52"/>
      <c r="Q793" s="52"/>
      <c r="R793" s="104">
        <f t="shared" si="160"/>
        <v>0</v>
      </c>
      <c r="S793" s="86">
        <f t="shared" si="161"/>
        <v>60</v>
      </c>
      <c r="AB793" s="111"/>
      <c r="AC793" s="111"/>
      <c r="AD793" s="111"/>
      <c r="AE793" s="112"/>
      <c r="AF793" s="113"/>
      <c r="AG793" s="49"/>
      <c r="AH793" s="49"/>
      <c r="AI793" s="112"/>
      <c r="AJ793" s="91"/>
      <c r="AK793" s="114"/>
      <c r="AL793" s="112"/>
      <c r="AP793" s="7"/>
    </row>
    <row r="794" spans="1:42" hidden="1" x14ac:dyDescent="0.35">
      <c r="A794" s="85">
        <v>46232</v>
      </c>
      <c r="B794" s="51" t="s">
        <v>85</v>
      </c>
      <c r="C794" s="97">
        <v>61123995.678571403</v>
      </c>
      <c r="D794" s="97">
        <v>87119.5</v>
      </c>
      <c r="E794" s="48" t="s">
        <v>86</v>
      </c>
      <c r="F794" s="94" t="s">
        <v>108</v>
      </c>
      <c r="G794" s="94" t="s">
        <v>322</v>
      </c>
      <c r="H794" s="94" t="s">
        <v>705</v>
      </c>
      <c r="I794" s="94" t="s">
        <v>199</v>
      </c>
      <c r="J794" s="52"/>
      <c r="K794" s="52"/>
      <c r="L794" s="52"/>
      <c r="M794" s="52"/>
      <c r="N794" s="103">
        <f t="shared" si="157"/>
        <v>0</v>
      </c>
      <c r="O794" s="52"/>
      <c r="P794" s="52"/>
      <c r="Q794" s="52">
        <v>6</v>
      </c>
      <c r="R794" s="104">
        <f t="shared" si="160"/>
        <v>6</v>
      </c>
      <c r="S794" s="86">
        <f t="shared" si="161"/>
        <v>6</v>
      </c>
      <c r="AB794" s="111"/>
      <c r="AC794" s="111"/>
      <c r="AD794" s="111"/>
      <c r="AE794" s="112"/>
      <c r="AF794" s="113"/>
      <c r="AG794" s="49"/>
      <c r="AH794" s="49"/>
      <c r="AI794" s="112"/>
      <c r="AJ794" s="91"/>
      <c r="AK794" s="114"/>
      <c r="AL794" s="112"/>
      <c r="AP794" s="7"/>
    </row>
    <row r="795" spans="1:42" hidden="1" x14ac:dyDescent="0.35">
      <c r="A795" s="85">
        <v>46232</v>
      </c>
      <c r="B795" s="51" t="s">
        <v>85</v>
      </c>
      <c r="C795" s="97">
        <v>61123995.678571403</v>
      </c>
      <c r="D795" s="97">
        <v>87119.5</v>
      </c>
      <c r="E795" s="48" t="s">
        <v>86</v>
      </c>
      <c r="F795" s="94" t="s">
        <v>108</v>
      </c>
      <c r="G795" s="94" t="s">
        <v>640</v>
      </c>
      <c r="H795" s="94" t="s">
        <v>705</v>
      </c>
      <c r="I795" s="94" t="s">
        <v>199</v>
      </c>
      <c r="J795" s="52"/>
      <c r="K795" s="52"/>
      <c r="L795" s="52"/>
      <c r="M795" s="52"/>
      <c r="N795" s="103">
        <f t="shared" si="157"/>
        <v>0</v>
      </c>
      <c r="O795" s="52"/>
      <c r="P795" s="52"/>
      <c r="Q795" s="52">
        <v>6</v>
      </c>
      <c r="R795" s="104">
        <f t="shared" ref="R795:R823" si="162">SUM(O795:Q795)</f>
        <v>6</v>
      </c>
      <c r="S795" s="86">
        <f t="shared" ref="S795:S823" si="163">R795+N795+J795</f>
        <v>6</v>
      </c>
      <c r="AB795" s="111"/>
      <c r="AC795" s="111"/>
      <c r="AD795" s="111"/>
      <c r="AE795" s="112"/>
      <c r="AF795" s="113"/>
      <c r="AG795" s="49"/>
      <c r="AH795" s="49"/>
      <c r="AI795" s="112"/>
      <c r="AJ795" s="91"/>
      <c r="AK795" s="114"/>
      <c r="AL795" s="112"/>
      <c r="AP795" s="7"/>
    </row>
    <row r="796" spans="1:42" hidden="1" x14ac:dyDescent="0.35">
      <c r="A796" s="85">
        <v>46232</v>
      </c>
      <c r="B796" s="51" t="s">
        <v>85</v>
      </c>
      <c r="C796" s="97">
        <v>61123995.678571403</v>
      </c>
      <c r="D796" s="97">
        <v>87119.5</v>
      </c>
      <c r="E796" s="48" t="s">
        <v>86</v>
      </c>
      <c r="F796" s="94" t="s">
        <v>108</v>
      </c>
      <c r="G796" s="94" t="s">
        <v>642</v>
      </c>
      <c r="H796" s="94" t="s">
        <v>705</v>
      </c>
      <c r="I796" s="94" t="s">
        <v>199</v>
      </c>
      <c r="J796" s="52"/>
      <c r="K796" s="52"/>
      <c r="L796" s="52"/>
      <c r="M796" s="52"/>
      <c r="N796" s="103">
        <f t="shared" si="157"/>
        <v>0</v>
      </c>
      <c r="O796" s="52"/>
      <c r="P796" s="52">
        <v>6</v>
      </c>
      <c r="Q796" s="52"/>
      <c r="R796" s="104">
        <f t="shared" si="162"/>
        <v>6</v>
      </c>
      <c r="S796" s="86">
        <f t="shared" si="163"/>
        <v>6</v>
      </c>
      <c r="AB796" s="111"/>
      <c r="AC796" s="111"/>
      <c r="AD796" s="111"/>
      <c r="AE796" s="112"/>
      <c r="AF796" s="113"/>
      <c r="AG796" s="49"/>
      <c r="AH796" s="49"/>
      <c r="AI796" s="112"/>
      <c r="AJ796" s="91"/>
      <c r="AK796" s="114"/>
      <c r="AL796" s="112"/>
      <c r="AP796" s="7"/>
    </row>
    <row r="797" spans="1:42" hidden="1" x14ac:dyDescent="0.35">
      <c r="A797" s="85">
        <v>46232</v>
      </c>
      <c r="B797" s="51" t="s">
        <v>85</v>
      </c>
      <c r="C797" s="97">
        <v>61123995.678571403</v>
      </c>
      <c r="D797" s="97">
        <v>87119.5</v>
      </c>
      <c r="E797" s="48" t="s">
        <v>86</v>
      </c>
      <c r="F797" s="94" t="s">
        <v>108</v>
      </c>
      <c r="G797" s="94" t="s">
        <v>133</v>
      </c>
      <c r="H797" s="94" t="s">
        <v>705</v>
      </c>
      <c r="I797" s="94" t="s">
        <v>199</v>
      </c>
      <c r="J797" s="52"/>
      <c r="K797" s="52"/>
      <c r="L797" s="52"/>
      <c r="M797" s="52"/>
      <c r="N797" s="103">
        <f t="shared" si="157"/>
        <v>0</v>
      </c>
      <c r="O797" s="52">
        <v>15</v>
      </c>
      <c r="P797" s="52">
        <v>10</v>
      </c>
      <c r="Q797" s="52">
        <v>15</v>
      </c>
      <c r="R797" s="104">
        <f t="shared" si="162"/>
        <v>40</v>
      </c>
      <c r="S797" s="86">
        <f t="shared" si="163"/>
        <v>40</v>
      </c>
      <c r="AB797" s="111"/>
      <c r="AC797" s="111"/>
      <c r="AD797" s="111"/>
      <c r="AE797" s="112"/>
      <c r="AF797" s="113"/>
      <c r="AG797" s="49"/>
      <c r="AH797" s="49"/>
      <c r="AI797" s="112"/>
      <c r="AJ797" s="91"/>
      <c r="AK797" s="114"/>
      <c r="AL797" s="112"/>
      <c r="AP797" s="7"/>
    </row>
    <row r="798" spans="1:42" hidden="1" x14ac:dyDescent="0.35">
      <c r="A798" s="85">
        <v>46232</v>
      </c>
      <c r="B798" s="51" t="s">
        <v>85</v>
      </c>
      <c r="C798" s="97">
        <v>61123995.678571403</v>
      </c>
      <c r="D798" s="97">
        <v>87119.5</v>
      </c>
      <c r="E798" s="48" t="s">
        <v>86</v>
      </c>
      <c r="F798" s="94" t="s">
        <v>108</v>
      </c>
      <c r="G798" s="94" t="s">
        <v>704</v>
      </c>
      <c r="H798" s="94" t="s">
        <v>705</v>
      </c>
      <c r="I798" s="94" t="s">
        <v>199</v>
      </c>
      <c r="J798" s="52">
        <v>40</v>
      </c>
      <c r="K798" s="52">
        <v>20</v>
      </c>
      <c r="L798" s="52">
        <v>20</v>
      </c>
      <c r="M798" s="52"/>
      <c r="N798" s="103">
        <f t="shared" si="157"/>
        <v>40</v>
      </c>
      <c r="O798" s="52"/>
      <c r="P798" s="52"/>
      <c r="Q798" s="52"/>
      <c r="R798" s="104">
        <f t="shared" si="162"/>
        <v>0</v>
      </c>
      <c r="S798" s="86">
        <f t="shared" si="163"/>
        <v>80</v>
      </c>
      <c r="AB798" s="111"/>
      <c r="AC798" s="111"/>
      <c r="AD798" s="111"/>
      <c r="AE798" s="112"/>
      <c r="AF798" s="113"/>
      <c r="AG798" s="49"/>
      <c r="AH798" s="49"/>
      <c r="AI798" s="112"/>
      <c r="AJ798" s="91"/>
      <c r="AK798" s="114"/>
      <c r="AL798" s="112"/>
      <c r="AP798" s="7"/>
    </row>
    <row r="799" spans="1:42" hidden="1" x14ac:dyDescent="0.35">
      <c r="A799" s="85">
        <v>46232</v>
      </c>
      <c r="B799" s="51" t="s">
        <v>85</v>
      </c>
      <c r="C799" s="97">
        <v>61123995.678571403</v>
      </c>
      <c r="D799" s="97">
        <v>87119.5</v>
      </c>
      <c r="E799" s="48" t="s">
        <v>86</v>
      </c>
      <c r="F799" s="94" t="s">
        <v>108</v>
      </c>
      <c r="G799" s="94" t="s">
        <v>323</v>
      </c>
      <c r="H799" s="94" t="s">
        <v>705</v>
      </c>
      <c r="I799" s="94" t="s">
        <v>199</v>
      </c>
      <c r="J799" s="52"/>
      <c r="K799" s="52"/>
      <c r="L799" s="52"/>
      <c r="M799" s="52"/>
      <c r="N799" s="103">
        <f t="shared" si="157"/>
        <v>0</v>
      </c>
      <c r="O799" s="52"/>
      <c r="P799" s="52">
        <v>6</v>
      </c>
      <c r="Q799" s="52"/>
      <c r="R799" s="104">
        <f t="shared" si="162"/>
        <v>6</v>
      </c>
      <c r="S799" s="86">
        <f t="shared" si="163"/>
        <v>6</v>
      </c>
      <c r="AB799" s="111"/>
      <c r="AC799" s="111"/>
      <c r="AD799" s="111"/>
      <c r="AE799" s="112"/>
      <c r="AF799" s="113"/>
      <c r="AG799" s="49"/>
      <c r="AH799" s="49"/>
      <c r="AI799" s="112"/>
      <c r="AJ799" s="91"/>
      <c r="AK799" s="114"/>
      <c r="AL799" s="112"/>
      <c r="AP799" s="7"/>
    </row>
    <row r="800" spans="1:42" hidden="1" x14ac:dyDescent="0.35">
      <c r="A800" s="85">
        <v>46232</v>
      </c>
      <c r="B800" s="51" t="s">
        <v>85</v>
      </c>
      <c r="C800" s="97">
        <v>61123995.678571403</v>
      </c>
      <c r="D800" s="97">
        <v>87119.5</v>
      </c>
      <c r="E800" s="48" t="s">
        <v>86</v>
      </c>
      <c r="F800" s="94" t="s">
        <v>108</v>
      </c>
      <c r="G800" s="94" t="s">
        <v>303</v>
      </c>
      <c r="H800" s="94" t="s">
        <v>705</v>
      </c>
      <c r="I800" s="94" t="s">
        <v>199</v>
      </c>
      <c r="J800" s="52"/>
      <c r="K800" s="52"/>
      <c r="L800" s="52"/>
      <c r="M800" s="52"/>
      <c r="N800" s="103">
        <f t="shared" si="157"/>
        <v>0</v>
      </c>
      <c r="O800" s="52"/>
      <c r="P800" s="52"/>
      <c r="Q800" s="52">
        <v>12</v>
      </c>
      <c r="R800" s="104">
        <f t="shared" si="162"/>
        <v>12</v>
      </c>
      <c r="S800" s="86">
        <f t="shared" si="163"/>
        <v>12</v>
      </c>
      <c r="AB800" s="111"/>
      <c r="AC800" s="111"/>
      <c r="AD800" s="111"/>
      <c r="AE800" s="112"/>
      <c r="AF800" s="113"/>
      <c r="AG800" s="49"/>
      <c r="AH800" s="49"/>
      <c r="AI800" s="112"/>
      <c r="AJ800" s="91"/>
      <c r="AK800" s="114"/>
      <c r="AL800" s="112"/>
      <c r="AP800" s="7"/>
    </row>
    <row r="801" spans="1:42" hidden="1" x14ac:dyDescent="0.35">
      <c r="A801" s="85">
        <v>46232</v>
      </c>
      <c r="B801" s="51" t="s">
        <v>85</v>
      </c>
      <c r="C801" s="97">
        <v>61123995.678571403</v>
      </c>
      <c r="D801" s="97">
        <v>87119.5</v>
      </c>
      <c r="E801" s="48" t="s">
        <v>86</v>
      </c>
      <c r="F801" s="94" t="s">
        <v>108</v>
      </c>
      <c r="G801" s="94" t="s">
        <v>301</v>
      </c>
      <c r="H801" s="94" t="s">
        <v>705</v>
      </c>
      <c r="I801" s="94" t="s">
        <v>199</v>
      </c>
      <c r="J801" s="52"/>
      <c r="K801" s="52"/>
      <c r="L801" s="52"/>
      <c r="M801" s="52"/>
      <c r="N801" s="103">
        <f t="shared" si="157"/>
        <v>0</v>
      </c>
      <c r="O801" s="52">
        <v>12</v>
      </c>
      <c r="P801" s="52">
        <v>12</v>
      </c>
      <c r="Q801" s="52"/>
      <c r="R801" s="104">
        <f t="shared" si="162"/>
        <v>24</v>
      </c>
      <c r="S801" s="86">
        <f t="shared" si="163"/>
        <v>24</v>
      </c>
      <c r="AB801" s="111"/>
      <c r="AC801" s="111"/>
      <c r="AD801" s="111"/>
      <c r="AE801" s="112"/>
      <c r="AF801" s="113"/>
      <c r="AG801" s="49"/>
      <c r="AH801" s="49"/>
      <c r="AI801" s="112"/>
      <c r="AJ801" s="91"/>
      <c r="AK801" s="114"/>
      <c r="AL801" s="112"/>
      <c r="AP801" s="7"/>
    </row>
    <row r="802" spans="1:42" hidden="1" x14ac:dyDescent="0.35">
      <c r="A802" s="85">
        <v>46232</v>
      </c>
      <c r="B802" s="51" t="s">
        <v>85</v>
      </c>
      <c r="C802" s="97">
        <v>61123995.678571403</v>
      </c>
      <c r="D802" s="97">
        <v>87119.5</v>
      </c>
      <c r="E802" s="48" t="s">
        <v>86</v>
      </c>
      <c r="F802" s="94" t="s">
        <v>108</v>
      </c>
      <c r="G802" s="94" t="s">
        <v>548</v>
      </c>
      <c r="H802" s="94" t="s">
        <v>705</v>
      </c>
      <c r="I802" s="94" t="s">
        <v>199</v>
      </c>
      <c r="J802" s="52"/>
      <c r="K802" s="52"/>
      <c r="L802" s="52"/>
      <c r="M802" s="52"/>
      <c r="N802" s="103">
        <f t="shared" si="157"/>
        <v>0</v>
      </c>
      <c r="O802" s="52">
        <v>12</v>
      </c>
      <c r="P802" s="52">
        <v>16</v>
      </c>
      <c r="Q802" s="52">
        <v>12</v>
      </c>
      <c r="R802" s="104">
        <f t="shared" si="162"/>
        <v>40</v>
      </c>
      <c r="S802" s="86">
        <f t="shared" si="163"/>
        <v>40</v>
      </c>
      <c r="AB802" s="111"/>
      <c r="AC802" s="111"/>
      <c r="AD802" s="111"/>
      <c r="AE802" s="112"/>
      <c r="AF802" s="113"/>
      <c r="AG802" s="49"/>
      <c r="AH802" s="49"/>
      <c r="AI802" s="112"/>
      <c r="AJ802" s="91"/>
      <c r="AK802" s="114"/>
      <c r="AL802" s="112"/>
      <c r="AP802" s="7"/>
    </row>
    <row r="803" spans="1:42" x14ac:dyDescent="0.35">
      <c r="A803" s="85">
        <v>46232</v>
      </c>
      <c r="B803" s="51" t="s">
        <v>85</v>
      </c>
      <c r="C803" s="97">
        <v>61123995.678571403</v>
      </c>
      <c r="D803" s="97">
        <v>87119.5</v>
      </c>
      <c r="E803" s="48" t="s">
        <v>86</v>
      </c>
      <c r="F803" s="94" t="s">
        <v>87</v>
      </c>
      <c r="G803" s="94" t="s">
        <v>591</v>
      </c>
      <c r="H803" s="94" t="s">
        <v>89</v>
      </c>
      <c r="I803" s="94" t="s">
        <v>592</v>
      </c>
      <c r="J803" s="52"/>
      <c r="K803" s="52">
        <v>800</v>
      </c>
      <c r="L803" s="52">
        <v>1200</v>
      </c>
      <c r="M803" s="52"/>
      <c r="N803" s="103">
        <f t="shared" si="157"/>
        <v>2000</v>
      </c>
      <c r="O803" s="52">
        <v>1600</v>
      </c>
      <c r="P803" s="52">
        <v>2000</v>
      </c>
      <c r="Q803" s="52">
        <v>2000</v>
      </c>
      <c r="R803" s="104">
        <f t="shared" si="162"/>
        <v>5600</v>
      </c>
      <c r="S803" s="86">
        <f t="shared" si="163"/>
        <v>7600</v>
      </c>
      <c r="AB803" s="111"/>
      <c r="AC803" s="111"/>
      <c r="AD803" s="111"/>
      <c r="AE803" s="112"/>
      <c r="AF803" s="113"/>
      <c r="AG803" s="49"/>
      <c r="AH803" s="49"/>
      <c r="AI803" s="112"/>
      <c r="AJ803" s="91"/>
      <c r="AK803" s="114"/>
      <c r="AL803" s="112"/>
      <c r="AP803" s="7"/>
    </row>
    <row r="804" spans="1:42" hidden="1" x14ac:dyDescent="0.35">
      <c r="A804" s="85">
        <v>46233</v>
      </c>
      <c r="B804" s="51" t="s">
        <v>85</v>
      </c>
      <c r="C804" s="97">
        <v>61123995.678571403</v>
      </c>
      <c r="D804" s="97">
        <v>87119.5</v>
      </c>
      <c r="E804" s="48" t="s">
        <v>86</v>
      </c>
      <c r="F804" s="94" t="s">
        <v>108</v>
      </c>
      <c r="G804" s="94" t="s">
        <v>706</v>
      </c>
      <c r="H804" s="94" t="s">
        <v>112</v>
      </c>
      <c r="I804" s="94" t="s">
        <v>466</v>
      </c>
      <c r="J804" s="52"/>
      <c r="K804" s="52"/>
      <c r="L804" s="52"/>
      <c r="M804" s="52"/>
      <c r="N804" s="103">
        <f t="shared" si="157"/>
        <v>0</v>
      </c>
      <c r="O804" s="52">
        <v>12</v>
      </c>
      <c r="P804" s="52">
        <v>12</v>
      </c>
      <c r="Q804" s="52">
        <v>12</v>
      </c>
      <c r="R804" s="104">
        <f t="shared" si="162"/>
        <v>36</v>
      </c>
      <c r="S804" s="86">
        <f t="shared" si="163"/>
        <v>36</v>
      </c>
      <c r="AB804" s="111"/>
      <c r="AC804" s="111"/>
      <c r="AD804" s="111"/>
      <c r="AE804" s="112"/>
      <c r="AF804" s="113"/>
      <c r="AG804" s="49"/>
      <c r="AH804" s="49"/>
      <c r="AI804" s="112"/>
      <c r="AJ804" s="91"/>
      <c r="AK804" s="114"/>
      <c r="AL804" s="112"/>
      <c r="AP804" s="7"/>
    </row>
    <row r="805" spans="1:42" hidden="1" x14ac:dyDescent="0.35">
      <c r="A805" s="85">
        <v>46233</v>
      </c>
      <c r="B805" s="51" t="s">
        <v>85</v>
      </c>
      <c r="C805" s="97">
        <v>61123995.678571403</v>
      </c>
      <c r="D805" s="97">
        <v>87119.5</v>
      </c>
      <c r="E805" s="48" t="s">
        <v>86</v>
      </c>
      <c r="F805" s="94" t="s">
        <v>108</v>
      </c>
      <c r="G805" s="94" t="s">
        <v>204</v>
      </c>
      <c r="H805" s="94" t="s">
        <v>112</v>
      </c>
      <c r="I805" s="94" t="s">
        <v>466</v>
      </c>
      <c r="J805" s="52"/>
      <c r="K805" s="52">
        <v>5</v>
      </c>
      <c r="L805" s="52"/>
      <c r="M805" s="52"/>
      <c r="N805" s="103">
        <f t="shared" si="157"/>
        <v>5</v>
      </c>
      <c r="O805" s="52">
        <v>5</v>
      </c>
      <c r="P805" s="52">
        <v>5</v>
      </c>
      <c r="Q805" s="52">
        <v>1</v>
      </c>
      <c r="R805" s="104">
        <f t="shared" si="162"/>
        <v>11</v>
      </c>
      <c r="S805" s="86">
        <f t="shared" si="163"/>
        <v>16</v>
      </c>
      <c r="AB805" s="111"/>
      <c r="AC805" s="111"/>
      <c r="AD805" s="111"/>
      <c r="AE805" s="112"/>
      <c r="AF805" s="113"/>
      <c r="AG805" s="49"/>
      <c r="AH805" s="49"/>
      <c r="AI805" s="112"/>
      <c r="AJ805" s="91"/>
      <c r="AK805" s="114"/>
      <c r="AL805" s="112"/>
      <c r="AP805" s="7"/>
    </row>
    <row r="806" spans="1:42" hidden="1" x14ac:dyDescent="0.35">
      <c r="A806" s="85">
        <v>46233</v>
      </c>
      <c r="B806" s="51" t="s">
        <v>85</v>
      </c>
      <c r="C806" s="97">
        <v>61123995.678571403</v>
      </c>
      <c r="D806" s="97">
        <v>87119.5</v>
      </c>
      <c r="E806" s="48" t="s">
        <v>86</v>
      </c>
      <c r="F806" s="94" t="s">
        <v>108</v>
      </c>
      <c r="G806" s="94" t="s">
        <v>707</v>
      </c>
      <c r="H806" s="94" t="s">
        <v>112</v>
      </c>
      <c r="I806" s="94" t="s">
        <v>466</v>
      </c>
      <c r="J806" s="52">
        <v>40</v>
      </c>
      <c r="K806" s="52"/>
      <c r="L806" s="52"/>
      <c r="M806" s="52"/>
      <c r="N806" s="103">
        <f t="shared" si="157"/>
        <v>0</v>
      </c>
      <c r="O806" s="52"/>
      <c r="P806" s="52"/>
      <c r="Q806" s="52"/>
      <c r="R806" s="104">
        <f t="shared" si="162"/>
        <v>0</v>
      </c>
      <c r="S806" s="86">
        <f t="shared" si="163"/>
        <v>40</v>
      </c>
      <c r="AB806" s="111"/>
      <c r="AC806" s="111"/>
      <c r="AD806" s="111"/>
      <c r="AE806" s="112"/>
      <c r="AF806" s="113"/>
      <c r="AG806" s="49"/>
      <c r="AH806" s="49"/>
      <c r="AI806" s="112"/>
      <c r="AJ806" s="91"/>
      <c r="AK806" s="114"/>
      <c r="AL806" s="112"/>
      <c r="AP806" s="7"/>
    </row>
    <row r="807" spans="1:42" hidden="1" x14ac:dyDescent="0.35">
      <c r="A807" s="85">
        <v>46233</v>
      </c>
      <c r="B807" s="51" t="s">
        <v>85</v>
      </c>
      <c r="C807" s="97">
        <v>61123995.678571403</v>
      </c>
      <c r="D807" s="97">
        <v>87119.5</v>
      </c>
      <c r="E807" s="48" t="s">
        <v>86</v>
      </c>
      <c r="F807" s="94" t="s">
        <v>108</v>
      </c>
      <c r="G807" s="94" t="s">
        <v>708</v>
      </c>
      <c r="H807" s="94" t="s">
        <v>112</v>
      </c>
      <c r="I807" s="94" t="s">
        <v>466</v>
      </c>
      <c r="J807" s="52">
        <v>10</v>
      </c>
      <c r="K807" s="52"/>
      <c r="L807" s="52"/>
      <c r="M807" s="52"/>
      <c r="N807" s="103">
        <f t="shared" ref="N807:N857" si="164">K807+L807+M807</f>
        <v>0</v>
      </c>
      <c r="O807" s="52"/>
      <c r="P807" s="52"/>
      <c r="Q807" s="52">
        <v>40</v>
      </c>
      <c r="R807" s="104">
        <f t="shared" si="162"/>
        <v>40</v>
      </c>
      <c r="S807" s="86">
        <f t="shared" si="163"/>
        <v>50</v>
      </c>
      <c r="AB807" s="111"/>
      <c r="AC807" s="111"/>
      <c r="AD807" s="111"/>
      <c r="AE807" s="112"/>
      <c r="AF807" s="113"/>
      <c r="AG807" s="49"/>
      <c r="AH807" s="49"/>
      <c r="AI807" s="112"/>
      <c r="AJ807" s="91"/>
      <c r="AK807" s="114"/>
      <c r="AL807" s="112"/>
      <c r="AP807" s="7"/>
    </row>
    <row r="808" spans="1:42" hidden="1" x14ac:dyDescent="0.35">
      <c r="A808" s="85">
        <v>46233</v>
      </c>
      <c r="B808" s="51" t="s">
        <v>85</v>
      </c>
      <c r="C808" s="97">
        <v>61123995.678571403</v>
      </c>
      <c r="D808" s="97">
        <v>87119.5</v>
      </c>
      <c r="E808" s="48" t="s">
        <v>86</v>
      </c>
      <c r="F808" s="94" t="s">
        <v>108</v>
      </c>
      <c r="G808" s="94" t="s">
        <v>464</v>
      </c>
      <c r="H808" s="94" t="s">
        <v>112</v>
      </c>
      <c r="I808" s="94" t="s">
        <v>466</v>
      </c>
      <c r="J808" s="52">
        <v>40</v>
      </c>
      <c r="K808" s="52"/>
      <c r="L808" s="52"/>
      <c r="M808" s="52"/>
      <c r="N808" s="103">
        <f t="shared" si="164"/>
        <v>0</v>
      </c>
      <c r="O808" s="52"/>
      <c r="P808" s="52">
        <v>20</v>
      </c>
      <c r="Q808" s="52">
        <v>20</v>
      </c>
      <c r="R808" s="104">
        <f t="shared" si="162"/>
        <v>40</v>
      </c>
      <c r="S808" s="86">
        <f t="shared" si="163"/>
        <v>80</v>
      </c>
      <c r="AB808" s="111"/>
      <c r="AC808" s="111"/>
      <c r="AD808" s="111"/>
      <c r="AE808" s="112"/>
      <c r="AF808" s="113"/>
      <c r="AG808" s="49"/>
      <c r="AH808" s="49"/>
      <c r="AI808" s="112"/>
      <c r="AJ808" s="91"/>
      <c r="AK808" s="114"/>
      <c r="AL808" s="112"/>
      <c r="AP808" s="7"/>
    </row>
    <row r="809" spans="1:42" hidden="1" x14ac:dyDescent="0.35">
      <c r="A809" s="85">
        <v>46233</v>
      </c>
      <c r="B809" s="51" t="s">
        <v>85</v>
      </c>
      <c r="C809" s="97">
        <v>61123995.678571403</v>
      </c>
      <c r="D809" s="97">
        <v>87119.5</v>
      </c>
      <c r="E809" s="48" t="s">
        <v>86</v>
      </c>
      <c r="F809" s="94" t="s">
        <v>108</v>
      </c>
      <c r="G809" s="94" t="s">
        <v>709</v>
      </c>
      <c r="H809" s="94" t="s">
        <v>112</v>
      </c>
      <c r="I809" s="94" t="s">
        <v>466</v>
      </c>
      <c r="J809" s="52">
        <v>10</v>
      </c>
      <c r="K809" s="52">
        <v>15</v>
      </c>
      <c r="L809" s="52">
        <v>15</v>
      </c>
      <c r="M809" s="52"/>
      <c r="N809" s="103">
        <f t="shared" si="164"/>
        <v>30</v>
      </c>
      <c r="O809" s="52">
        <v>15</v>
      </c>
      <c r="P809" s="52">
        <v>10</v>
      </c>
      <c r="Q809" s="52">
        <v>15</v>
      </c>
      <c r="R809" s="104">
        <f t="shared" si="162"/>
        <v>40</v>
      </c>
      <c r="S809" s="86">
        <f t="shared" si="163"/>
        <v>80</v>
      </c>
      <c r="AB809" s="111"/>
      <c r="AC809" s="111"/>
      <c r="AD809" s="111"/>
      <c r="AE809" s="112"/>
      <c r="AF809" s="113"/>
      <c r="AG809" s="49"/>
      <c r="AH809" s="49"/>
      <c r="AI809" s="112"/>
      <c r="AJ809" s="91"/>
      <c r="AK809" s="114"/>
      <c r="AL809" s="112"/>
      <c r="AP809" s="7"/>
    </row>
    <row r="810" spans="1:42" hidden="1" x14ac:dyDescent="0.35">
      <c r="A810" s="85">
        <v>46233</v>
      </c>
      <c r="B810" s="51" t="s">
        <v>85</v>
      </c>
      <c r="C810" s="97">
        <v>61123995.678571403</v>
      </c>
      <c r="D810" s="97">
        <v>87119.5</v>
      </c>
      <c r="E810" s="48" t="s">
        <v>86</v>
      </c>
      <c r="F810" s="94" t="s">
        <v>108</v>
      </c>
      <c r="G810" s="94" t="s">
        <v>203</v>
      </c>
      <c r="H810" s="94" t="s">
        <v>112</v>
      </c>
      <c r="I810" s="94" t="s">
        <v>466</v>
      </c>
      <c r="J810" s="52"/>
      <c r="K810" s="52"/>
      <c r="L810" s="52">
        <v>2</v>
      </c>
      <c r="M810" s="52"/>
      <c r="N810" s="103">
        <f t="shared" si="164"/>
        <v>2</v>
      </c>
      <c r="O810" s="52"/>
      <c r="P810" s="52"/>
      <c r="Q810" s="52"/>
      <c r="R810" s="104">
        <f t="shared" si="162"/>
        <v>0</v>
      </c>
      <c r="S810" s="86">
        <f t="shared" si="163"/>
        <v>2</v>
      </c>
      <c r="AB810" s="111"/>
      <c r="AC810" s="111"/>
      <c r="AD810" s="111"/>
      <c r="AE810" s="112"/>
      <c r="AF810" s="113"/>
      <c r="AG810" s="49"/>
      <c r="AH810" s="49"/>
      <c r="AI810" s="112"/>
      <c r="AJ810" s="91"/>
      <c r="AK810" s="114"/>
      <c r="AL810" s="112"/>
      <c r="AP810" s="7"/>
    </row>
    <row r="811" spans="1:42" hidden="1" x14ac:dyDescent="0.35">
      <c r="A811" s="85">
        <v>46233</v>
      </c>
      <c r="B811" s="51" t="s">
        <v>85</v>
      </c>
      <c r="C811" s="97">
        <v>61123995.678571403</v>
      </c>
      <c r="D811" s="97">
        <v>87119.5</v>
      </c>
      <c r="E811" s="48" t="s">
        <v>86</v>
      </c>
      <c r="F811" s="94" t="s">
        <v>108</v>
      </c>
      <c r="G811" s="94" t="s">
        <v>463</v>
      </c>
      <c r="H811" s="94" t="s">
        <v>112</v>
      </c>
      <c r="I811" s="94" t="s">
        <v>466</v>
      </c>
      <c r="J811" s="52"/>
      <c r="K811" s="52">
        <v>40</v>
      </c>
      <c r="L811" s="52"/>
      <c r="M811" s="52"/>
      <c r="N811" s="103">
        <f t="shared" si="164"/>
        <v>40</v>
      </c>
      <c r="O811" s="52">
        <v>40</v>
      </c>
      <c r="P811" s="52"/>
      <c r="Q811" s="52"/>
      <c r="R811" s="104">
        <f t="shared" si="162"/>
        <v>40</v>
      </c>
      <c r="S811" s="86">
        <f t="shared" si="163"/>
        <v>80</v>
      </c>
      <c r="AB811" s="111"/>
      <c r="AC811" s="111"/>
      <c r="AD811" s="111"/>
      <c r="AE811" s="112"/>
      <c r="AF811" s="113"/>
      <c r="AG811" s="49"/>
      <c r="AH811" s="49"/>
      <c r="AI811" s="112"/>
      <c r="AJ811" s="91"/>
      <c r="AK811" s="114"/>
      <c r="AL811" s="112"/>
      <c r="AP811" s="7"/>
    </row>
    <row r="812" spans="1:42" hidden="1" x14ac:dyDescent="0.35">
      <c r="A812" s="85">
        <v>46233</v>
      </c>
      <c r="B812" s="51" t="s">
        <v>85</v>
      </c>
      <c r="C812" s="97">
        <v>61123995.678571403</v>
      </c>
      <c r="D812" s="97">
        <v>87119.5</v>
      </c>
      <c r="E812" s="48" t="s">
        <v>86</v>
      </c>
      <c r="F812" s="94" t="s">
        <v>108</v>
      </c>
      <c r="G812" s="94" t="s">
        <v>710</v>
      </c>
      <c r="H812" s="94" t="s">
        <v>433</v>
      </c>
      <c r="I812" s="94" t="s">
        <v>718</v>
      </c>
      <c r="J812" s="52">
        <v>40</v>
      </c>
      <c r="K812" s="52"/>
      <c r="L812" s="52"/>
      <c r="M812" s="52"/>
      <c r="N812" s="103">
        <f t="shared" si="164"/>
        <v>0</v>
      </c>
      <c r="O812" s="52"/>
      <c r="P812" s="52"/>
      <c r="Q812" s="52"/>
      <c r="R812" s="104">
        <f t="shared" si="162"/>
        <v>0</v>
      </c>
      <c r="S812" s="86">
        <f t="shared" si="163"/>
        <v>40</v>
      </c>
      <c r="AB812" s="111"/>
      <c r="AC812" s="111"/>
      <c r="AD812" s="111"/>
      <c r="AE812" s="112"/>
      <c r="AF812" s="113"/>
      <c r="AG812" s="49"/>
      <c r="AH812" s="49"/>
      <c r="AI812" s="112"/>
      <c r="AJ812" s="91"/>
      <c r="AK812" s="114"/>
      <c r="AL812" s="112"/>
      <c r="AP812" s="7"/>
    </row>
    <row r="813" spans="1:42" hidden="1" x14ac:dyDescent="0.35">
      <c r="A813" s="85">
        <v>46233</v>
      </c>
      <c r="B813" s="51" t="s">
        <v>85</v>
      </c>
      <c r="C813" s="97">
        <v>61123995.678571403</v>
      </c>
      <c r="D813" s="97">
        <v>87119.5</v>
      </c>
      <c r="E813" s="48" t="s">
        <v>86</v>
      </c>
      <c r="F813" s="94" t="s">
        <v>108</v>
      </c>
      <c r="G813" s="94" t="s">
        <v>711</v>
      </c>
      <c r="H813" s="94" t="s">
        <v>433</v>
      </c>
      <c r="I813" s="94" t="s">
        <v>718</v>
      </c>
      <c r="J813" s="52">
        <v>80</v>
      </c>
      <c r="K813" s="52"/>
      <c r="L813" s="52"/>
      <c r="M813" s="52"/>
      <c r="N813" s="103">
        <f t="shared" si="164"/>
        <v>0</v>
      </c>
      <c r="O813" s="52"/>
      <c r="P813" s="52"/>
      <c r="Q813" s="52"/>
      <c r="R813" s="104">
        <f t="shared" si="162"/>
        <v>0</v>
      </c>
      <c r="S813" s="86">
        <f t="shared" si="163"/>
        <v>80</v>
      </c>
      <c r="AB813" s="111"/>
      <c r="AC813" s="111"/>
      <c r="AD813" s="111"/>
      <c r="AE813" s="112"/>
      <c r="AF813" s="113"/>
      <c r="AG813" s="49"/>
      <c r="AH813" s="49"/>
      <c r="AI813" s="112"/>
      <c r="AJ813" s="91"/>
      <c r="AK813" s="114"/>
      <c r="AL813" s="112"/>
      <c r="AP813" s="7"/>
    </row>
    <row r="814" spans="1:42" hidden="1" x14ac:dyDescent="0.35">
      <c r="A814" s="85">
        <v>46233</v>
      </c>
      <c r="B814" s="51" t="s">
        <v>85</v>
      </c>
      <c r="C814" s="97">
        <v>61123995.678571403</v>
      </c>
      <c r="D814" s="97">
        <v>87119.5</v>
      </c>
      <c r="E814" s="48" t="s">
        <v>86</v>
      </c>
      <c r="F814" s="94" t="s">
        <v>108</v>
      </c>
      <c r="G814" s="94" t="s">
        <v>712</v>
      </c>
      <c r="H814" s="94" t="s">
        <v>433</v>
      </c>
      <c r="I814" s="94" t="s">
        <v>718</v>
      </c>
      <c r="J814" s="52">
        <v>40</v>
      </c>
      <c r="K814" s="52"/>
      <c r="L814" s="52"/>
      <c r="M814" s="52"/>
      <c r="N814" s="103">
        <f t="shared" si="164"/>
        <v>0</v>
      </c>
      <c r="O814" s="52">
        <v>6</v>
      </c>
      <c r="P814" s="52">
        <v>6</v>
      </c>
      <c r="Q814" s="52"/>
      <c r="R814" s="104">
        <f t="shared" si="162"/>
        <v>12</v>
      </c>
      <c r="S814" s="86">
        <f t="shared" si="163"/>
        <v>52</v>
      </c>
      <c r="AB814" s="111"/>
      <c r="AC814" s="111"/>
      <c r="AD814" s="111"/>
      <c r="AE814" s="112"/>
      <c r="AF814" s="113"/>
      <c r="AG814" s="49"/>
      <c r="AH814" s="49"/>
      <c r="AI814" s="112"/>
      <c r="AJ814" s="91"/>
      <c r="AK814" s="114"/>
      <c r="AL814" s="112"/>
      <c r="AP814" s="7"/>
    </row>
    <row r="815" spans="1:42" hidden="1" x14ac:dyDescent="0.35">
      <c r="A815" s="85">
        <v>46233</v>
      </c>
      <c r="B815" s="51" t="s">
        <v>85</v>
      </c>
      <c r="C815" s="97">
        <v>61123995.678571403</v>
      </c>
      <c r="D815" s="97">
        <v>87119.5</v>
      </c>
      <c r="E815" s="48" t="s">
        <v>86</v>
      </c>
      <c r="F815" s="94" t="s">
        <v>108</v>
      </c>
      <c r="G815" s="94" t="s">
        <v>713</v>
      </c>
      <c r="H815" s="94" t="s">
        <v>433</v>
      </c>
      <c r="I815" s="94" t="s">
        <v>718</v>
      </c>
      <c r="J815" s="52"/>
      <c r="K815" s="52"/>
      <c r="L815" s="52"/>
      <c r="M815" s="52"/>
      <c r="N815" s="103">
        <f t="shared" si="164"/>
        <v>0</v>
      </c>
      <c r="O815" s="52">
        <v>40</v>
      </c>
      <c r="P815" s="52"/>
      <c r="Q815" s="52"/>
      <c r="R815" s="104">
        <f t="shared" si="162"/>
        <v>40</v>
      </c>
      <c r="S815" s="86">
        <f t="shared" si="163"/>
        <v>40</v>
      </c>
      <c r="AB815" s="111"/>
      <c r="AC815" s="111"/>
      <c r="AD815" s="111"/>
      <c r="AE815" s="112"/>
      <c r="AF815" s="113"/>
      <c r="AG815" s="49"/>
      <c r="AH815" s="49"/>
      <c r="AI815" s="112"/>
      <c r="AJ815" s="91"/>
      <c r="AK815" s="114"/>
      <c r="AL815" s="112"/>
      <c r="AP815" s="7"/>
    </row>
    <row r="816" spans="1:42" hidden="1" x14ac:dyDescent="0.35">
      <c r="A816" s="85">
        <v>46233</v>
      </c>
      <c r="B816" s="51" t="s">
        <v>85</v>
      </c>
      <c r="C816" s="97">
        <v>61123995.678571403</v>
      </c>
      <c r="D816" s="97">
        <v>87119.5</v>
      </c>
      <c r="E816" s="48" t="s">
        <v>86</v>
      </c>
      <c r="F816" s="94" t="s">
        <v>108</v>
      </c>
      <c r="G816" s="94" t="s">
        <v>540</v>
      </c>
      <c r="H816" s="94" t="s">
        <v>433</v>
      </c>
      <c r="I816" s="94" t="s">
        <v>718</v>
      </c>
      <c r="J816" s="52">
        <v>20</v>
      </c>
      <c r="K816" s="52"/>
      <c r="L816" s="52"/>
      <c r="M816" s="52"/>
      <c r="N816" s="103">
        <f t="shared" si="164"/>
        <v>0</v>
      </c>
      <c r="O816" s="52"/>
      <c r="P816" s="52"/>
      <c r="Q816" s="52"/>
      <c r="R816" s="104">
        <f t="shared" si="162"/>
        <v>0</v>
      </c>
      <c r="S816" s="86">
        <f t="shared" si="163"/>
        <v>20</v>
      </c>
      <c r="AB816" s="111"/>
      <c r="AC816" s="111"/>
      <c r="AD816" s="111"/>
      <c r="AE816" s="112"/>
      <c r="AF816" s="113"/>
      <c r="AG816" s="49"/>
      <c r="AH816" s="49"/>
      <c r="AI816" s="112"/>
      <c r="AJ816" s="91"/>
      <c r="AK816" s="114"/>
      <c r="AL816" s="112"/>
      <c r="AP816" s="7"/>
    </row>
    <row r="817" spans="1:42" hidden="1" x14ac:dyDescent="0.35">
      <c r="A817" s="85">
        <v>46233</v>
      </c>
      <c r="B817" s="51" t="s">
        <v>85</v>
      </c>
      <c r="C817" s="97">
        <v>61123995.678571403</v>
      </c>
      <c r="D817" s="97">
        <v>87119.5</v>
      </c>
      <c r="E817" s="48" t="s">
        <v>86</v>
      </c>
      <c r="F817" s="94" t="s">
        <v>108</v>
      </c>
      <c r="G817" s="94" t="s">
        <v>714</v>
      </c>
      <c r="H817" s="94" t="s">
        <v>433</v>
      </c>
      <c r="I817" s="94" t="s">
        <v>718</v>
      </c>
      <c r="J817" s="52">
        <v>12</v>
      </c>
      <c r="K817" s="52"/>
      <c r="L817" s="52"/>
      <c r="M817" s="52"/>
      <c r="N817" s="103">
        <f t="shared" si="164"/>
        <v>0</v>
      </c>
      <c r="O817" s="52"/>
      <c r="P817" s="52"/>
      <c r="Q817" s="52"/>
      <c r="R817" s="104">
        <f t="shared" si="162"/>
        <v>0</v>
      </c>
      <c r="S817" s="86">
        <f t="shared" si="163"/>
        <v>12</v>
      </c>
      <c r="AB817" s="111"/>
      <c r="AC817" s="111"/>
      <c r="AD817" s="111"/>
      <c r="AE817" s="112"/>
      <c r="AF817" s="113"/>
      <c r="AG817" s="49"/>
      <c r="AH817" s="49"/>
      <c r="AI817" s="112"/>
      <c r="AJ817" s="91"/>
      <c r="AK817" s="114"/>
      <c r="AL817" s="112"/>
      <c r="AP817" s="7"/>
    </row>
    <row r="818" spans="1:42" hidden="1" x14ac:dyDescent="0.35">
      <c r="A818" s="85">
        <v>46233</v>
      </c>
      <c r="B818" s="51" t="s">
        <v>85</v>
      </c>
      <c r="C818" s="97">
        <v>61123995.678571403</v>
      </c>
      <c r="D818" s="97">
        <v>87119.5</v>
      </c>
      <c r="E818" s="48" t="s">
        <v>86</v>
      </c>
      <c r="F818" s="94" t="s">
        <v>108</v>
      </c>
      <c r="G818" s="94" t="s">
        <v>715</v>
      </c>
      <c r="H818" s="94" t="s">
        <v>433</v>
      </c>
      <c r="I818" s="94" t="s">
        <v>718</v>
      </c>
      <c r="J818" s="52"/>
      <c r="K818" s="52"/>
      <c r="L818" s="52"/>
      <c r="M818" s="52"/>
      <c r="N818" s="103">
        <f t="shared" si="164"/>
        <v>0</v>
      </c>
      <c r="O818" s="52">
        <v>14</v>
      </c>
      <c r="P818" s="52">
        <v>14</v>
      </c>
      <c r="Q818" s="52">
        <v>12</v>
      </c>
      <c r="R818" s="104">
        <f t="shared" si="162"/>
        <v>40</v>
      </c>
      <c r="S818" s="86">
        <f t="shared" si="163"/>
        <v>40</v>
      </c>
      <c r="AB818" s="111"/>
      <c r="AC818" s="111"/>
      <c r="AD818" s="111"/>
      <c r="AE818" s="112"/>
      <c r="AF818" s="113"/>
      <c r="AG818" s="49"/>
      <c r="AH818" s="49"/>
      <c r="AI818" s="112"/>
      <c r="AJ818" s="91"/>
      <c r="AK818" s="114"/>
      <c r="AL818" s="112"/>
      <c r="AP818" s="7"/>
    </row>
    <row r="819" spans="1:42" hidden="1" x14ac:dyDescent="0.35">
      <c r="A819" s="85">
        <v>46233</v>
      </c>
      <c r="B819" s="51" t="s">
        <v>85</v>
      </c>
      <c r="C819" s="97">
        <v>61123995.678571403</v>
      </c>
      <c r="D819" s="97">
        <v>87119.5</v>
      </c>
      <c r="E819" s="48" t="s">
        <v>86</v>
      </c>
      <c r="F819" s="94" t="s">
        <v>108</v>
      </c>
      <c r="G819" s="94" t="s">
        <v>716</v>
      </c>
      <c r="H819" s="94" t="s">
        <v>433</v>
      </c>
      <c r="I819" s="94" t="s">
        <v>718</v>
      </c>
      <c r="J819" s="52">
        <v>40</v>
      </c>
      <c r="K819" s="52"/>
      <c r="L819" s="52"/>
      <c r="M819" s="52"/>
      <c r="N819" s="103">
        <f t="shared" si="164"/>
        <v>0</v>
      </c>
      <c r="O819" s="52"/>
      <c r="P819" s="52"/>
      <c r="Q819" s="52"/>
      <c r="R819" s="104">
        <f t="shared" si="162"/>
        <v>0</v>
      </c>
      <c r="S819" s="86">
        <f t="shared" si="163"/>
        <v>40</v>
      </c>
      <c r="AB819" s="111"/>
      <c r="AC819" s="111"/>
      <c r="AD819" s="111"/>
      <c r="AE819" s="112"/>
      <c r="AF819" s="113"/>
      <c r="AG819" s="49"/>
      <c r="AH819" s="49"/>
      <c r="AI819" s="112"/>
      <c r="AJ819" s="91"/>
      <c r="AK819" s="114"/>
      <c r="AL819" s="112"/>
      <c r="AP819" s="7"/>
    </row>
    <row r="820" spans="1:42" hidden="1" x14ac:dyDescent="0.35">
      <c r="A820" s="85">
        <v>46233</v>
      </c>
      <c r="B820" s="51" t="s">
        <v>85</v>
      </c>
      <c r="C820" s="97">
        <v>61123995.678571403</v>
      </c>
      <c r="D820" s="97">
        <v>87119.5</v>
      </c>
      <c r="E820" s="48" t="s">
        <v>86</v>
      </c>
      <c r="F820" s="94" t="s">
        <v>108</v>
      </c>
      <c r="G820" s="94" t="s">
        <v>717</v>
      </c>
      <c r="H820" s="94" t="s">
        <v>433</v>
      </c>
      <c r="I820" s="94" t="s">
        <v>718</v>
      </c>
      <c r="J820" s="52">
        <v>40</v>
      </c>
      <c r="K820" s="52"/>
      <c r="L820" s="52"/>
      <c r="M820" s="52"/>
      <c r="N820" s="103">
        <f t="shared" si="164"/>
        <v>0</v>
      </c>
      <c r="O820" s="52"/>
      <c r="P820" s="52"/>
      <c r="Q820" s="52"/>
      <c r="R820" s="104">
        <f t="shared" si="162"/>
        <v>0</v>
      </c>
      <c r="S820" s="86">
        <f t="shared" si="163"/>
        <v>40</v>
      </c>
      <c r="AB820" s="111"/>
      <c r="AC820" s="111"/>
      <c r="AD820" s="111"/>
      <c r="AE820" s="112"/>
      <c r="AF820" s="113"/>
      <c r="AG820" s="49"/>
      <c r="AH820" s="49"/>
      <c r="AI820" s="112"/>
      <c r="AJ820" s="91"/>
      <c r="AK820" s="114"/>
      <c r="AL820" s="112"/>
      <c r="AP820" s="7"/>
    </row>
    <row r="821" spans="1:42" hidden="1" x14ac:dyDescent="0.35">
      <c r="A821" s="85">
        <v>46233</v>
      </c>
      <c r="B821" s="51" t="s">
        <v>85</v>
      </c>
      <c r="C821" s="97">
        <v>61123995.678571403</v>
      </c>
      <c r="D821" s="97">
        <v>87119.5</v>
      </c>
      <c r="E821" s="48" t="s">
        <v>86</v>
      </c>
      <c r="F821" s="94" t="s">
        <v>108</v>
      </c>
      <c r="G821" s="94" t="s">
        <v>522</v>
      </c>
      <c r="H821" s="94" t="s">
        <v>129</v>
      </c>
      <c r="I821" s="94" t="s">
        <v>199</v>
      </c>
      <c r="J821" s="52"/>
      <c r="K821" s="52">
        <v>10</v>
      </c>
      <c r="L821" s="52">
        <v>10</v>
      </c>
      <c r="M821" s="52"/>
      <c r="N821" s="103">
        <f t="shared" si="164"/>
        <v>20</v>
      </c>
      <c r="O821" s="52">
        <v>10</v>
      </c>
      <c r="P821" s="52">
        <v>10</v>
      </c>
      <c r="Q821" s="52"/>
      <c r="R821" s="104">
        <f t="shared" si="162"/>
        <v>20</v>
      </c>
      <c r="S821" s="86">
        <f t="shared" si="163"/>
        <v>40</v>
      </c>
      <c r="AB821" s="111"/>
      <c r="AC821" s="111"/>
      <c r="AD821" s="111"/>
      <c r="AE821" s="112"/>
      <c r="AF821" s="113"/>
      <c r="AG821" s="49"/>
      <c r="AH821" s="49"/>
      <c r="AI821" s="112"/>
      <c r="AJ821" s="91"/>
      <c r="AK821" s="114"/>
      <c r="AL821" s="112"/>
      <c r="AP821" s="7"/>
    </row>
    <row r="822" spans="1:42" hidden="1" x14ac:dyDescent="0.35">
      <c r="A822" s="85">
        <v>46233</v>
      </c>
      <c r="B822" s="51" t="s">
        <v>85</v>
      </c>
      <c r="C822" s="97">
        <v>61123995.678571403</v>
      </c>
      <c r="D822" s="97">
        <v>87119.5</v>
      </c>
      <c r="E822" s="48" t="s">
        <v>86</v>
      </c>
      <c r="F822" s="94" t="s">
        <v>108</v>
      </c>
      <c r="G822" s="94" t="s">
        <v>719</v>
      </c>
      <c r="H822" s="94" t="s">
        <v>129</v>
      </c>
      <c r="I822" s="94" t="s">
        <v>199</v>
      </c>
      <c r="J822" s="52">
        <v>10</v>
      </c>
      <c r="K822" s="52"/>
      <c r="L822" s="52"/>
      <c r="M822" s="52"/>
      <c r="N822" s="103">
        <f t="shared" si="164"/>
        <v>0</v>
      </c>
      <c r="O822" s="52"/>
      <c r="P822" s="52"/>
      <c r="Q822" s="52"/>
      <c r="R822" s="104">
        <f t="shared" ref="R822:R834" si="165">SUM(O822:Q822)</f>
        <v>0</v>
      </c>
      <c r="S822" s="86">
        <f t="shared" ref="S822:S834" si="166">R822+N822+J822</f>
        <v>10</v>
      </c>
      <c r="AB822" s="111"/>
      <c r="AC822" s="111"/>
      <c r="AD822" s="111"/>
      <c r="AE822" s="112"/>
      <c r="AF822" s="113"/>
      <c r="AG822" s="49"/>
      <c r="AH822" s="49"/>
      <c r="AI822" s="112"/>
      <c r="AJ822" s="91"/>
      <c r="AK822" s="114"/>
      <c r="AL822" s="112"/>
      <c r="AP822" s="7"/>
    </row>
    <row r="823" spans="1:42" hidden="1" x14ac:dyDescent="0.35">
      <c r="A823" s="85">
        <v>46233</v>
      </c>
      <c r="B823" s="51" t="s">
        <v>85</v>
      </c>
      <c r="C823" s="97">
        <v>61123995.678571403</v>
      </c>
      <c r="D823" s="97">
        <v>87119.5</v>
      </c>
      <c r="E823" s="48" t="s">
        <v>86</v>
      </c>
      <c r="F823" s="94" t="s">
        <v>108</v>
      </c>
      <c r="G823" s="94" t="s">
        <v>720</v>
      </c>
      <c r="H823" s="94" t="s">
        <v>129</v>
      </c>
      <c r="I823" s="94" t="s">
        <v>199</v>
      </c>
      <c r="J823" s="52">
        <v>10</v>
      </c>
      <c r="K823" s="52"/>
      <c r="L823" s="52"/>
      <c r="M823" s="52"/>
      <c r="N823" s="103">
        <f t="shared" si="164"/>
        <v>0</v>
      </c>
      <c r="O823" s="52"/>
      <c r="P823" s="52"/>
      <c r="Q823" s="52"/>
      <c r="R823" s="104">
        <f t="shared" si="165"/>
        <v>0</v>
      </c>
      <c r="S823" s="86">
        <f t="shared" si="166"/>
        <v>10</v>
      </c>
      <c r="AB823" s="111"/>
      <c r="AC823" s="111"/>
      <c r="AD823" s="111"/>
      <c r="AE823" s="112"/>
      <c r="AF823" s="113"/>
      <c r="AG823" s="49"/>
      <c r="AH823" s="49"/>
      <c r="AI823" s="112"/>
      <c r="AJ823" s="91"/>
      <c r="AK823" s="114"/>
      <c r="AL823" s="112"/>
      <c r="AP823" s="7"/>
    </row>
    <row r="824" spans="1:42" hidden="1" x14ac:dyDescent="0.35">
      <c r="A824" s="85">
        <v>46233</v>
      </c>
      <c r="B824" s="51" t="s">
        <v>85</v>
      </c>
      <c r="C824" s="97">
        <v>61123995.678571403</v>
      </c>
      <c r="D824" s="97">
        <v>87119.5</v>
      </c>
      <c r="E824" s="48" t="s">
        <v>86</v>
      </c>
      <c r="F824" s="94" t="s">
        <v>108</v>
      </c>
      <c r="G824" s="94" t="s">
        <v>342</v>
      </c>
      <c r="H824" s="94" t="s">
        <v>129</v>
      </c>
      <c r="I824" s="94" t="s">
        <v>199</v>
      </c>
      <c r="J824" s="52">
        <v>10</v>
      </c>
      <c r="K824" s="52"/>
      <c r="L824" s="52"/>
      <c r="M824" s="52"/>
      <c r="N824" s="103">
        <f t="shared" si="164"/>
        <v>0</v>
      </c>
      <c r="O824" s="52"/>
      <c r="P824" s="52"/>
      <c r="Q824" s="52"/>
      <c r="R824" s="104">
        <f t="shared" si="165"/>
        <v>0</v>
      </c>
      <c r="S824" s="86">
        <f t="shared" si="166"/>
        <v>10</v>
      </c>
      <c r="AB824" s="111"/>
      <c r="AC824" s="111"/>
      <c r="AD824" s="111"/>
      <c r="AE824" s="112"/>
      <c r="AF824" s="113"/>
      <c r="AG824" s="49"/>
      <c r="AH824" s="49"/>
      <c r="AI824" s="112"/>
      <c r="AJ824" s="91"/>
      <c r="AK824" s="114"/>
      <c r="AL824" s="112"/>
      <c r="AP824" s="7"/>
    </row>
    <row r="825" spans="1:42" hidden="1" x14ac:dyDescent="0.35">
      <c r="A825" s="85">
        <v>46233</v>
      </c>
      <c r="B825" s="51" t="s">
        <v>85</v>
      </c>
      <c r="C825" s="97">
        <v>61123995.678571403</v>
      </c>
      <c r="D825" s="97">
        <v>87119.5</v>
      </c>
      <c r="E825" s="48" t="s">
        <v>86</v>
      </c>
      <c r="F825" s="94" t="s">
        <v>108</v>
      </c>
      <c r="G825" s="94" t="s">
        <v>721</v>
      </c>
      <c r="H825" s="94" t="s">
        <v>129</v>
      </c>
      <c r="I825" s="94" t="s">
        <v>199</v>
      </c>
      <c r="J825" s="52">
        <v>10</v>
      </c>
      <c r="K825" s="52"/>
      <c r="L825" s="52"/>
      <c r="M825" s="52"/>
      <c r="N825" s="103">
        <f t="shared" si="164"/>
        <v>0</v>
      </c>
      <c r="O825" s="52"/>
      <c r="P825" s="52"/>
      <c r="Q825" s="52"/>
      <c r="R825" s="104">
        <f t="shared" si="165"/>
        <v>0</v>
      </c>
      <c r="S825" s="86">
        <f t="shared" si="166"/>
        <v>10</v>
      </c>
      <c r="AB825" s="111"/>
      <c r="AC825" s="111"/>
      <c r="AD825" s="111"/>
      <c r="AE825" s="112"/>
      <c r="AF825" s="113"/>
      <c r="AG825" s="49"/>
      <c r="AH825" s="49"/>
      <c r="AI825" s="112"/>
      <c r="AJ825" s="91"/>
      <c r="AK825" s="114"/>
      <c r="AL825" s="112"/>
      <c r="AP825" s="7"/>
    </row>
    <row r="826" spans="1:42" hidden="1" x14ac:dyDescent="0.35">
      <c r="A826" s="85">
        <v>46233</v>
      </c>
      <c r="B826" s="51" t="s">
        <v>85</v>
      </c>
      <c r="C826" s="97">
        <v>61123995.678571403</v>
      </c>
      <c r="D826" s="97">
        <v>87119.5</v>
      </c>
      <c r="E826" s="48" t="s">
        <v>86</v>
      </c>
      <c r="F826" s="94" t="s">
        <v>108</v>
      </c>
      <c r="G826" s="94" t="s">
        <v>722</v>
      </c>
      <c r="H826" s="94" t="s">
        <v>129</v>
      </c>
      <c r="I826" s="94" t="s">
        <v>199</v>
      </c>
      <c r="J826" s="52"/>
      <c r="K826" s="52"/>
      <c r="L826" s="52">
        <v>10</v>
      </c>
      <c r="M826" s="52"/>
      <c r="N826" s="103">
        <f t="shared" si="164"/>
        <v>10</v>
      </c>
      <c r="O826" s="52">
        <v>10</v>
      </c>
      <c r="P826" s="52"/>
      <c r="Q826" s="52"/>
      <c r="R826" s="104">
        <f t="shared" si="165"/>
        <v>10</v>
      </c>
      <c r="S826" s="86">
        <f t="shared" si="166"/>
        <v>20</v>
      </c>
      <c r="AB826" s="111"/>
      <c r="AC826" s="111"/>
      <c r="AD826" s="111"/>
      <c r="AE826" s="112"/>
      <c r="AF826" s="113"/>
      <c r="AG826" s="49"/>
      <c r="AH826" s="49"/>
      <c r="AI826" s="112"/>
      <c r="AJ826" s="91"/>
      <c r="AK826" s="114"/>
      <c r="AL826" s="112"/>
      <c r="AP826" s="7"/>
    </row>
    <row r="827" spans="1:42" hidden="1" x14ac:dyDescent="0.35">
      <c r="A827" s="85">
        <v>46233</v>
      </c>
      <c r="B827" s="51" t="s">
        <v>85</v>
      </c>
      <c r="C827" s="97">
        <v>61123995.678571403</v>
      </c>
      <c r="D827" s="97">
        <v>87119.5</v>
      </c>
      <c r="E827" s="48" t="s">
        <v>86</v>
      </c>
      <c r="F827" s="94" t="s">
        <v>108</v>
      </c>
      <c r="G827" s="94" t="s">
        <v>723</v>
      </c>
      <c r="H827" s="94" t="s">
        <v>129</v>
      </c>
      <c r="I827" s="94" t="s">
        <v>199</v>
      </c>
      <c r="J827" s="52"/>
      <c r="K827" s="52"/>
      <c r="L827" s="52"/>
      <c r="M827" s="52"/>
      <c r="N827" s="103">
        <f t="shared" si="164"/>
        <v>0</v>
      </c>
      <c r="O827" s="52">
        <v>15</v>
      </c>
      <c r="P827" s="52">
        <v>15</v>
      </c>
      <c r="Q827" s="52">
        <v>10</v>
      </c>
      <c r="R827" s="104">
        <f t="shared" si="165"/>
        <v>40</v>
      </c>
      <c r="S827" s="86">
        <f t="shared" si="166"/>
        <v>40</v>
      </c>
      <c r="AB827" s="111"/>
      <c r="AC827" s="111"/>
      <c r="AD827" s="111"/>
      <c r="AE827" s="112"/>
      <c r="AF827" s="113"/>
      <c r="AG827" s="49"/>
      <c r="AH827" s="49"/>
      <c r="AI827" s="112"/>
      <c r="AJ827" s="91"/>
      <c r="AK827" s="114"/>
      <c r="AL827" s="112"/>
      <c r="AP827" s="7"/>
    </row>
    <row r="828" spans="1:42" hidden="1" x14ac:dyDescent="0.35">
      <c r="A828" s="85">
        <v>46233</v>
      </c>
      <c r="B828" s="51" t="s">
        <v>85</v>
      </c>
      <c r="C828" s="97">
        <v>61123995.678571403</v>
      </c>
      <c r="D828" s="97">
        <v>87119.5</v>
      </c>
      <c r="E828" s="48" t="s">
        <v>86</v>
      </c>
      <c r="F828" s="94" t="s">
        <v>108</v>
      </c>
      <c r="G828" s="94" t="s">
        <v>323</v>
      </c>
      <c r="H828" s="94" t="s">
        <v>129</v>
      </c>
      <c r="I828" s="94" t="s">
        <v>199</v>
      </c>
      <c r="J828" s="52"/>
      <c r="K828" s="52"/>
      <c r="L828" s="52"/>
      <c r="M828" s="52"/>
      <c r="N828" s="103">
        <f t="shared" si="164"/>
        <v>0</v>
      </c>
      <c r="O828" s="52">
        <v>15</v>
      </c>
      <c r="P828" s="52">
        <v>10</v>
      </c>
      <c r="Q828" s="52">
        <v>15</v>
      </c>
      <c r="R828" s="104">
        <f t="shared" si="165"/>
        <v>40</v>
      </c>
      <c r="S828" s="86">
        <f t="shared" si="166"/>
        <v>40</v>
      </c>
      <c r="AB828" s="111"/>
      <c r="AC828" s="111"/>
      <c r="AD828" s="111"/>
      <c r="AE828" s="112"/>
      <c r="AF828" s="113"/>
      <c r="AG828" s="49"/>
      <c r="AH828" s="49"/>
      <c r="AI828" s="112"/>
      <c r="AJ828" s="91"/>
      <c r="AK828" s="114"/>
      <c r="AL828" s="112"/>
      <c r="AP828" s="7"/>
    </row>
    <row r="829" spans="1:42" hidden="1" x14ac:dyDescent="0.35">
      <c r="A829" s="85">
        <v>46233</v>
      </c>
      <c r="B829" s="51" t="s">
        <v>85</v>
      </c>
      <c r="C829" s="97">
        <v>61123995.678571403</v>
      </c>
      <c r="D829" s="97">
        <v>87119.5</v>
      </c>
      <c r="E829" s="48" t="s">
        <v>86</v>
      </c>
      <c r="F829" s="94" t="s">
        <v>108</v>
      </c>
      <c r="G829" s="94" t="s">
        <v>139</v>
      </c>
      <c r="H829" s="94" t="s">
        <v>129</v>
      </c>
      <c r="I829" s="94" t="s">
        <v>199</v>
      </c>
      <c r="J829" s="52">
        <v>40</v>
      </c>
      <c r="K829" s="52">
        <v>20</v>
      </c>
      <c r="L829" s="52">
        <v>20</v>
      </c>
      <c r="M829" s="52"/>
      <c r="N829" s="103">
        <f t="shared" si="164"/>
        <v>40</v>
      </c>
      <c r="O829" s="52">
        <v>20</v>
      </c>
      <c r="P829" s="52">
        <v>20</v>
      </c>
      <c r="Q829" s="52">
        <v>40</v>
      </c>
      <c r="R829" s="104">
        <f t="shared" si="165"/>
        <v>80</v>
      </c>
      <c r="S829" s="86">
        <f t="shared" si="166"/>
        <v>160</v>
      </c>
      <c r="AB829" s="111"/>
      <c r="AC829" s="111"/>
      <c r="AD829" s="111"/>
      <c r="AE829" s="112"/>
      <c r="AF829" s="113"/>
      <c r="AG829" s="49"/>
      <c r="AH829" s="49"/>
      <c r="AI829" s="112"/>
      <c r="AJ829" s="91"/>
      <c r="AK829" s="114"/>
      <c r="AL829" s="112"/>
      <c r="AP829" s="7"/>
    </row>
    <row r="830" spans="1:42" hidden="1" x14ac:dyDescent="0.35">
      <c r="A830" s="85">
        <v>46233</v>
      </c>
      <c r="B830" s="51" t="s">
        <v>85</v>
      </c>
      <c r="C830" s="97">
        <v>61123995.678571403</v>
      </c>
      <c r="D830" s="97">
        <v>87119.5</v>
      </c>
      <c r="E830" s="48" t="s">
        <v>86</v>
      </c>
      <c r="F830" s="94" t="s">
        <v>108</v>
      </c>
      <c r="G830" s="94" t="s">
        <v>669</v>
      </c>
      <c r="H830" s="94" t="s">
        <v>129</v>
      </c>
      <c r="I830" s="94" t="s">
        <v>199</v>
      </c>
      <c r="J830" s="52">
        <v>40</v>
      </c>
      <c r="K830" s="52">
        <v>20</v>
      </c>
      <c r="L830" s="52">
        <v>20</v>
      </c>
      <c r="M830" s="52"/>
      <c r="N830" s="103">
        <f t="shared" si="164"/>
        <v>40</v>
      </c>
      <c r="O830" s="52">
        <v>10</v>
      </c>
      <c r="P830" s="52">
        <v>10</v>
      </c>
      <c r="Q830" s="52">
        <v>20</v>
      </c>
      <c r="R830" s="104">
        <f t="shared" si="165"/>
        <v>40</v>
      </c>
      <c r="S830" s="86">
        <f t="shared" si="166"/>
        <v>120</v>
      </c>
      <c r="AB830" s="111"/>
      <c r="AC830" s="111"/>
      <c r="AD830" s="111"/>
      <c r="AE830" s="112"/>
      <c r="AF830" s="113"/>
      <c r="AG830" s="49"/>
      <c r="AH830" s="49"/>
      <c r="AI830" s="112"/>
      <c r="AJ830" s="91"/>
      <c r="AK830" s="114"/>
      <c r="AL830" s="112"/>
      <c r="AP830" s="7"/>
    </row>
    <row r="831" spans="1:42" x14ac:dyDescent="0.35">
      <c r="A831" s="85">
        <v>46234</v>
      </c>
      <c r="B831" s="51" t="s">
        <v>85</v>
      </c>
      <c r="C831" s="97">
        <v>61123995.678571403</v>
      </c>
      <c r="D831" s="97">
        <v>87119.5</v>
      </c>
      <c r="E831" s="48" t="s">
        <v>86</v>
      </c>
      <c r="F831" s="94" t="s">
        <v>87</v>
      </c>
      <c r="G831" s="94" t="s">
        <v>724</v>
      </c>
      <c r="H831" s="94" t="s">
        <v>89</v>
      </c>
      <c r="I831" s="94" t="s">
        <v>94</v>
      </c>
      <c r="J831" s="52">
        <v>5600</v>
      </c>
      <c r="K831" s="52">
        <v>600</v>
      </c>
      <c r="L831" s="52">
        <v>600</v>
      </c>
      <c r="M831" s="52"/>
      <c r="N831" s="103">
        <f t="shared" si="164"/>
        <v>1200</v>
      </c>
      <c r="O831" s="52">
        <v>800</v>
      </c>
      <c r="P831" s="52">
        <v>1000</v>
      </c>
      <c r="Q831" s="52">
        <v>1000</v>
      </c>
      <c r="R831" s="104">
        <f t="shared" si="165"/>
        <v>2800</v>
      </c>
      <c r="S831" s="86">
        <f t="shared" si="166"/>
        <v>9600</v>
      </c>
      <c r="AB831" s="111"/>
      <c r="AC831" s="111"/>
      <c r="AD831" s="111"/>
      <c r="AE831" s="112"/>
      <c r="AF831" s="113"/>
      <c r="AG831" s="49"/>
      <c r="AH831" s="49"/>
      <c r="AI831" s="112"/>
      <c r="AJ831" s="91"/>
      <c r="AK831" s="114"/>
      <c r="AL831" s="112"/>
      <c r="AP831" s="7"/>
    </row>
    <row r="832" spans="1:42" hidden="1" x14ac:dyDescent="0.35">
      <c r="A832" s="85">
        <v>46234</v>
      </c>
      <c r="B832" s="51" t="s">
        <v>85</v>
      </c>
      <c r="C832" s="97">
        <v>61123995.678571403</v>
      </c>
      <c r="D832" s="97">
        <v>87119.5</v>
      </c>
      <c r="E832" s="48" t="s">
        <v>86</v>
      </c>
      <c r="F832" s="118" t="s">
        <v>367</v>
      </c>
      <c r="G832" s="118" t="s">
        <v>420</v>
      </c>
      <c r="H832" s="118" t="s">
        <v>732</v>
      </c>
      <c r="I832" s="52" t="s">
        <v>247</v>
      </c>
      <c r="J832" s="52">
        <v>4000</v>
      </c>
      <c r="K832" s="52"/>
      <c r="L832" s="52"/>
      <c r="M832" s="52">
        <v>2000</v>
      </c>
      <c r="N832" s="103">
        <f t="shared" si="164"/>
        <v>2000</v>
      </c>
      <c r="O832" s="52">
        <v>2800</v>
      </c>
      <c r="P832" s="52">
        <v>2400</v>
      </c>
      <c r="Q832" s="52">
        <v>2800</v>
      </c>
      <c r="R832" s="104">
        <f t="shared" si="165"/>
        <v>8000</v>
      </c>
      <c r="S832" s="86">
        <f t="shared" si="166"/>
        <v>14000</v>
      </c>
      <c r="T832" s="110"/>
      <c r="AB832" s="111"/>
      <c r="AC832" s="111"/>
      <c r="AD832" s="111"/>
      <c r="AE832" s="112"/>
      <c r="AF832" s="113"/>
      <c r="AG832" s="49"/>
      <c r="AH832" s="49"/>
      <c r="AI832" s="112"/>
      <c r="AJ832" s="91"/>
      <c r="AK832" s="114"/>
      <c r="AL832" s="112"/>
      <c r="AP832" s="7"/>
    </row>
    <row r="833" spans="1:42" x14ac:dyDescent="0.35">
      <c r="A833" s="85">
        <v>46234</v>
      </c>
      <c r="B833" s="51" t="s">
        <v>85</v>
      </c>
      <c r="C833" s="97">
        <v>61123995.678571403</v>
      </c>
      <c r="D833" s="97">
        <v>87119.5</v>
      </c>
      <c r="E833" s="48" t="s">
        <v>86</v>
      </c>
      <c r="F833" s="94" t="s">
        <v>87</v>
      </c>
      <c r="G833" s="94" t="s">
        <v>347</v>
      </c>
      <c r="H833" s="94" t="s">
        <v>89</v>
      </c>
      <c r="I833" s="94" t="s">
        <v>94</v>
      </c>
      <c r="J833" s="52"/>
      <c r="K833" s="52">
        <v>200</v>
      </c>
      <c r="L833" s="52">
        <v>160</v>
      </c>
      <c r="M833" s="52">
        <v>160</v>
      </c>
      <c r="N833" s="103">
        <f t="shared" si="164"/>
        <v>520</v>
      </c>
      <c r="O833" s="52">
        <v>360</v>
      </c>
      <c r="P833" s="52">
        <v>280</v>
      </c>
      <c r="Q833" s="52">
        <v>600</v>
      </c>
      <c r="R833" s="104">
        <f t="shared" ref="R833:R849" si="167">SUM(O833:Q833)</f>
        <v>1240</v>
      </c>
      <c r="S833" s="86">
        <f t="shared" ref="S833:S849" si="168">R833+N833+J833</f>
        <v>1760</v>
      </c>
      <c r="AB833" s="111"/>
      <c r="AC833" s="111"/>
      <c r="AD833" s="111"/>
      <c r="AE833" s="112"/>
      <c r="AF833" s="113"/>
      <c r="AG833" s="49"/>
      <c r="AH833" s="49"/>
      <c r="AI833" s="112"/>
      <c r="AJ833" s="91"/>
      <c r="AK833" s="114"/>
      <c r="AL833" s="112"/>
      <c r="AP833" s="7"/>
    </row>
    <row r="834" spans="1:42" x14ac:dyDescent="0.35">
      <c r="A834" s="85">
        <v>46234</v>
      </c>
      <c r="B834" s="51" t="s">
        <v>85</v>
      </c>
      <c r="C834" s="97">
        <v>61123995.678571403</v>
      </c>
      <c r="D834" s="97">
        <v>87119.5</v>
      </c>
      <c r="E834" s="48" t="s">
        <v>86</v>
      </c>
      <c r="F834" s="94" t="s">
        <v>87</v>
      </c>
      <c r="G834" s="94" t="s">
        <v>725</v>
      </c>
      <c r="H834" s="94" t="s">
        <v>89</v>
      </c>
      <c r="I834" s="94" t="s">
        <v>733</v>
      </c>
      <c r="J834" s="52"/>
      <c r="K834" s="52">
        <v>40</v>
      </c>
      <c r="L834" s="52"/>
      <c r="M834" s="52">
        <v>40</v>
      </c>
      <c r="N834" s="103">
        <f t="shared" si="164"/>
        <v>80</v>
      </c>
      <c r="O834" s="52">
        <v>80</v>
      </c>
      <c r="P834" s="52"/>
      <c r="Q834" s="52">
        <v>80</v>
      </c>
      <c r="R834" s="104">
        <f t="shared" si="167"/>
        <v>160</v>
      </c>
      <c r="S834" s="86">
        <f t="shared" si="168"/>
        <v>240</v>
      </c>
      <c r="AB834" s="111"/>
      <c r="AC834" s="111"/>
      <c r="AD834" s="111"/>
      <c r="AE834" s="112"/>
      <c r="AF834" s="113"/>
      <c r="AG834" s="49"/>
      <c r="AH834" s="49"/>
      <c r="AI834" s="112"/>
      <c r="AJ834" s="91"/>
      <c r="AK834" s="114"/>
      <c r="AL834" s="112"/>
      <c r="AP834" s="7"/>
    </row>
    <row r="835" spans="1:42" x14ac:dyDescent="0.35">
      <c r="A835" s="85">
        <v>46234</v>
      </c>
      <c r="B835" s="51" t="s">
        <v>85</v>
      </c>
      <c r="C835" s="97">
        <v>61123995.678571403</v>
      </c>
      <c r="D835" s="97">
        <v>87119.5</v>
      </c>
      <c r="E835" s="48" t="s">
        <v>86</v>
      </c>
      <c r="F835" s="94" t="s">
        <v>87</v>
      </c>
      <c r="G835" s="94" t="s">
        <v>726</v>
      </c>
      <c r="H835" s="94" t="s">
        <v>89</v>
      </c>
      <c r="I835" s="94" t="s">
        <v>734</v>
      </c>
      <c r="J835" s="52"/>
      <c r="K835" s="52"/>
      <c r="L835" s="52">
        <v>80</v>
      </c>
      <c r="M835" s="52">
        <v>120</v>
      </c>
      <c r="N835" s="103">
        <f t="shared" si="164"/>
        <v>200</v>
      </c>
      <c r="O835" s="52">
        <v>40</v>
      </c>
      <c r="P835" s="52">
        <v>80</v>
      </c>
      <c r="Q835" s="52">
        <v>40</v>
      </c>
      <c r="R835" s="104">
        <f t="shared" si="167"/>
        <v>160</v>
      </c>
      <c r="S835" s="86">
        <f t="shared" si="168"/>
        <v>360</v>
      </c>
      <c r="AB835" s="111"/>
      <c r="AC835" s="111"/>
      <c r="AD835" s="111"/>
      <c r="AE835" s="112"/>
      <c r="AF835" s="113"/>
      <c r="AG835" s="49"/>
      <c r="AH835" s="49"/>
      <c r="AI835" s="112"/>
      <c r="AJ835" s="91"/>
      <c r="AK835" s="114"/>
      <c r="AL835" s="112"/>
      <c r="AP835" s="7"/>
    </row>
    <row r="836" spans="1:42" x14ac:dyDescent="0.35">
      <c r="A836" s="85">
        <v>46234</v>
      </c>
      <c r="B836" s="51" t="s">
        <v>85</v>
      </c>
      <c r="C836" s="97">
        <v>61123995.678571403</v>
      </c>
      <c r="D836" s="97">
        <v>87119.5</v>
      </c>
      <c r="E836" s="48" t="s">
        <v>86</v>
      </c>
      <c r="F836" s="94" t="s">
        <v>87</v>
      </c>
      <c r="G836" s="94" t="s">
        <v>403</v>
      </c>
      <c r="H836" s="94" t="s">
        <v>89</v>
      </c>
      <c r="I836" s="94" t="s">
        <v>405</v>
      </c>
      <c r="J836" s="52"/>
      <c r="K836" s="52">
        <v>40</v>
      </c>
      <c r="L836" s="52">
        <v>40</v>
      </c>
      <c r="M836" s="52">
        <v>40</v>
      </c>
      <c r="N836" s="103">
        <f t="shared" si="164"/>
        <v>120</v>
      </c>
      <c r="O836" s="52">
        <v>40</v>
      </c>
      <c r="P836" s="52">
        <v>40</v>
      </c>
      <c r="Q836" s="52">
        <v>40</v>
      </c>
      <c r="R836" s="104">
        <f t="shared" si="167"/>
        <v>120</v>
      </c>
      <c r="S836" s="86">
        <f t="shared" si="168"/>
        <v>240</v>
      </c>
      <c r="AB836" s="111"/>
      <c r="AC836" s="111"/>
      <c r="AD836" s="111"/>
      <c r="AE836" s="112"/>
      <c r="AF836" s="113"/>
      <c r="AG836" s="49"/>
      <c r="AH836" s="49"/>
      <c r="AI836" s="112"/>
      <c r="AJ836" s="91"/>
      <c r="AK836" s="114"/>
      <c r="AL836" s="112"/>
      <c r="AP836" s="7"/>
    </row>
    <row r="837" spans="1:42" x14ac:dyDescent="0.35">
      <c r="A837" s="85">
        <v>46234</v>
      </c>
      <c r="B837" s="51" t="s">
        <v>85</v>
      </c>
      <c r="C837" s="97">
        <v>61123995.678571403</v>
      </c>
      <c r="D837" s="97">
        <v>87119.5</v>
      </c>
      <c r="E837" s="48" t="s">
        <v>86</v>
      </c>
      <c r="F837" s="94" t="s">
        <v>87</v>
      </c>
      <c r="G837" s="94" t="s">
        <v>727</v>
      </c>
      <c r="H837" s="94" t="s">
        <v>89</v>
      </c>
      <c r="I837" s="94" t="s">
        <v>735</v>
      </c>
      <c r="J837" s="52"/>
      <c r="K837" s="52"/>
      <c r="L837" s="52">
        <v>38</v>
      </c>
      <c r="M837" s="52">
        <v>80</v>
      </c>
      <c r="N837" s="103">
        <f t="shared" si="164"/>
        <v>118</v>
      </c>
      <c r="O837" s="52">
        <v>40</v>
      </c>
      <c r="P837" s="52">
        <v>77</v>
      </c>
      <c r="Q837" s="52">
        <v>79</v>
      </c>
      <c r="R837" s="104">
        <f t="shared" si="167"/>
        <v>196</v>
      </c>
      <c r="S837" s="86">
        <f t="shared" si="168"/>
        <v>314</v>
      </c>
      <c r="AB837" s="111"/>
      <c r="AC837" s="111"/>
      <c r="AD837" s="111"/>
      <c r="AE837" s="112"/>
      <c r="AF837" s="113"/>
      <c r="AG837" s="49"/>
      <c r="AH837" s="49"/>
      <c r="AI837" s="112"/>
      <c r="AJ837" s="91"/>
      <c r="AK837" s="114"/>
      <c r="AL837" s="112"/>
      <c r="AP837" s="7"/>
    </row>
    <row r="838" spans="1:42" x14ac:dyDescent="0.35">
      <c r="A838" s="85">
        <v>46234</v>
      </c>
      <c r="B838" s="51" t="s">
        <v>85</v>
      </c>
      <c r="C838" s="97">
        <v>61123995.678571403</v>
      </c>
      <c r="D838" s="97">
        <v>87119.5</v>
      </c>
      <c r="E838" s="48" t="s">
        <v>86</v>
      </c>
      <c r="F838" s="94" t="s">
        <v>87</v>
      </c>
      <c r="G838" s="94" t="s">
        <v>728</v>
      </c>
      <c r="H838" s="94" t="s">
        <v>89</v>
      </c>
      <c r="I838" s="94" t="s">
        <v>649</v>
      </c>
      <c r="J838" s="52"/>
      <c r="K838" s="52"/>
      <c r="L838" s="52"/>
      <c r="M838" s="52">
        <v>80</v>
      </c>
      <c r="N838" s="103">
        <f t="shared" si="164"/>
        <v>80</v>
      </c>
      <c r="O838" s="52">
        <v>40</v>
      </c>
      <c r="P838" s="52"/>
      <c r="Q838" s="52"/>
      <c r="R838" s="104">
        <f t="shared" si="167"/>
        <v>40</v>
      </c>
      <c r="S838" s="86">
        <f t="shared" si="168"/>
        <v>120</v>
      </c>
      <c r="AB838" s="111"/>
      <c r="AC838" s="111"/>
      <c r="AD838" s="111"/>
      <c r="AE838" s="112"/>
      <c r="AF838" s="113"/>
      <c r="AG838" s="49"/>
      <c r="AH838" s="49"/>
      <c r="AI838" s="112"/>
      <c r="AJ838" s="91"/>
      <c r="AK838" s="114"/>
      <c r="AL838" s="112"/>
      <c r="AP838" s="7"/>
    </row>
    <row r="839" spans="1:42" x14ac:dyDescent="0.35">
      <c r="A839" s="85">
        <v>46234</v>
      </c>
      <c r="B839" s="51" t="s">
        <v>85</v>
      </c>
      <c r="C839" s="97">
        <v>61123995.678571403</v>
      </c>
      <c r="D839" s="97">
        <v>87119.5</v>
      </c>
      <c r="E839" s="48" t="s">
        <v>86</v>
      </c>
      <c r="F839" s="94" t="s">
        <v>87</v>
      </c>
      <c r="G839" s="94" t="s">
        <v>729</v>
      </c>
      <c r="H839" s="94" t="s">
        <v>89</v>
      </c>
      <c r="I839" s="94" t="s">
        <v>736</v>
      </c>
      <c r="J839" s="52"/>
      <c r="K839" s="52">
        <v>40</v>
      </c>
      <c r="L839" s="52">
        <v>40</v>
      </c>
      <c r="M839" s="52">
        <v>80</v>
      </c>
      <c r="N839" s="103">
        <f t="shared" si="164"/>
        <v>160</v>
      </c>
      <c r="O839" s="52">
        <v>40</v>
      </c>
      <c r="P839" s="52">
        <v>40</v>
      </c>
      <c r="Q839" s="52">
        <v>80</v>
      </c>
      <c r="R839" s="104">
        <f t="shared" si="167"/>
        <v>160</v>
      </c>
      <c r="S839" s="86">
        <f t="shared" si="168"/>
        <v>320</v>
      </c>
      <c r="AB839" s="111"/>
      <c r="AC839" s="111"/>
      <c r="AD839" s="111"/>
      <c r="AE839" s="112"/>
      <c r="AF839" s="113"/>
      <c r="AG839" s="49"/>
      <c r="AH839" s="49"/>
      <c r="AI839" s="112"/>
      <c r="AJ839" s="91"/>
      <c r="AK839" s="114"/>
      <c r="AL839" s="112"/>
      <c r="AP839" s="7"/>
    </row>
    <row r="840" spans="1:42" x14ac:dyDescent="0.35">
      <c r="A840" s="85">
        <v>46234</v>
      </c>
      <c r="B840" s="51" t="s">
        <v>85</v>
      </c>
      <c r="C840" s="97">
        <v>61123995.678571403</v>
      </c>
      <c r="D840" s="97">
        <v>87119.5</v>
      </c>
      <c r="E840" s="48" t="s">
        <v>86</v>
      </c>
      <c r="F840" s="94" t="s">
        <v>87</v>
      </c>
      <c r="G840" s="94" t="s">
        <v>730</v>
      </c>
      <c r="H840" s="94" t="s">
        <v>89</v>
      </c>
      <c r="I840" s="94" t="s">
        <v>737</v>
      </c>
      <c r="J840" s="52"/>
      <c r="K840" s="52"/>
      <c r="L840" s="52"/>
      <c r="M840" s="52"/>
      <c r="N840" s="103">
        <f t="shared" si="164"/>
        <v>0</v>
      </c>
      <c r="O840" s="52">
        <v>120</v>
      </c>
      <c r="P840" s="52">
        <v>120</v>
      </c>
      <c r="Q840" s="52">
        <v>120</v>
      </c>
      <c r="R840" s="104">
        <f t="shared" si="167"/>
        <v>360</v>
      </c>
      <c r="S840" s="86">
        <f t="shared" si="168"/>
        <v>360</v>
      </c>
      <c r="AB840" s="111"/>
      <c r="AC840" s="111"/>
      <c r="AD840" s="111"/>
      <c r="AE840" s="112"/>
      <c r="AF840" s="113"/>
      <c r="AG840" s="49"/>
      <c r="AH840" s="49"/>
      <c r="AI840" s="112"/>
      <c r="AJ840" s="91"/>
      <c r="AK840" s="114"/>
      <c r="AL840" s="112"/>
      <c r="AP840" s="7"/>
    </row>
    <row r="841" spans="1:42" x14ac:dyDescent="0.35">
      <c r="A841" s="85">
        <v>46234</v>
      </c>
      <c r="B841" s="51" t="s">
        <v>85</v>
      </c>
      <c r="C841" s="97">
        <v>61123995.678571403</v>
      </c>
      <c r="D841" s="97">
        <v>87119.5</v>
      </c>
      <c r="E841" s="48" t="s">
        <v>86</v>
      </c>
      <c r="F841" s="94" t="s">
        <v>87</v>
      </c>
      <c r="G841" s="94" t="s">
        <v>731</v>
      </c>
      <c r="H841" s="94" t="s">
        <v>89</v>
      </c>
      <c r="I841" s="94" t="s">
        <v>738</v>
      </c>
      <c r="J841" s="52"/>
      <c r="K841" s="52"/>
      <c r="L841" s="52"/>
      <c r="M841" s="52">
        <v>200</v>
      </c>
      <c r="N841" s="103">
        <f t="shared" si="164"/>
        <v>200</v>
      </c>
      <c r="O841" s="52">
        <v>120</v>
      </c>
      <c r="P841" s="52">
        <v>40</v>
      </c>
      <c r="Q841" s="52"/>
      <c r="R841" s="104">
        <f t="shared" si="167"/>
        <v>160</v>
      </c>
      <c r="S841" s="86">
        <f t="shared" si="168"/>
        <v>360</v>
      </c>
      <c r="AB841" s="111"/>
      <c r="AC841" s="111"/>
      <c r="AD841" s="111"/>
      <c r="AE841" s="112"/>
      <c r="AF841" s="113"/>
      <c r="AG841" s="49"/>
      <c r="AH841" s="49"/>
      <c r="AI841" s="112"/>
      <c r="AJ841" s="91"/>
      <c r="AK841" s="114"/>
      <c r="AL841" s="112"/>
      <c r="AP841" s="7"/>
    </row>
    <row r="842" spans="1:42" hidden="1" x14ac:dyDescent="0.35">
      <c r="A842" s="85">
        <v>46234</v>
      </c>
      <c r="B842" s="51" t="s">
        <v>85</v>
      </c>
      <c r="C842" s="97">
        <v>61123995.678571403</v>
      </c>
      <c r="D842" s="97">
        <v>87119.5</v>
      </c>
      <c r="E842" s="48" t="s">
        <v>86</v>
      </c>
      <c r="F842" s="94" t="s">
        <v>108</v>
      </c>
      <c r="G842" s="94" t="s">
        <v>372</v>
      </c>
      <c r="H842" s="94" t="s">
        <v>112</v>
      </c>
      <c r="I842" s="94" t="s">
        <v>625</v>
      </c>
      <c r="J842" s="52"/>
      <c r="K842" s="52"/>
      <c r="L842" s="52"/>
      <c r="M842" s="52"/>
      <c r="N842" s="103">
        <f t="shared" si="164"/>
        <v>0</v>
      </c>
      <c r="O842" s="52"/>
      <c r="P842" s="52"/>
      <c r="Q842" s="52">
        <v>40</v>
      </c>
      <c r="R842" s="104">
        <f t="shared" si="167"/>
        <v>40</v>
      </c>
      <c r="S842" s="86">
        <f t="shared" si="168"/>
        <v>40</v>
      </c>
      <c r="AB842" s="111"/>
      <c r="AC842" s="111"/>
      <c r="AD842" s="111"/>
      <c r="AE842" s="112"/>
      <c r="AF842" s="113"/>
      <c r="AG842" s="49"/>
      <c r="AH842" s="49"/>
      <c r="AI842" s="112"/>
      <c r="AJ842" s="91"/>
      <c r="AK842" s="114"/>
      <c r="AL842" s="112"/>
      <c r="AP842" s="7"/>
    </row>
    <row r="843" spans="1:42" hidden="1" x14ac:dyDescent="0.35">
      <c r="A843" s="85">
        <v>46234</v>
      </c>
      <c r="B843" s="51" t="s">
        <v>85</v>
      </c>
      <c r="C843" s="97">
        <v>61123995.678571403</v>
      </c>
      <c r="D843" s="97">
        <v>87119.5</v>
      </c>
      <c r="E843" s="48" t="s">
        <v>86</v>
      </c>
      <c r="F843" s="94" t="s">
        <v>108</v>
      </c>
      <c r="G843" s="94" t="s">
        <v>280</v>
      </c>
      <c r="H843" s="94" t="s">
        <v>112</v>
      </c>
      <c r="I843" s="94" t="s">
        <v>625</v>
      </c>
      <c r="J843" s="52">
        <v>12</v>
      </c>
      <c r="K843" s="52">
        <v>12</v>
      </c>
      <c r="L843" s="52">
        <v>12</v>
      </c>
      <c r="M843" s="52"/>
      <c r="N843" s="103">
        <f t="shared" si="164"/>
        <v>24</v>
      </c>
      <c r="O843" s="52">
        <v>11</v>
      </c>
      <c r="P843" s="52">
        <v>8</v>
      </c>
      <c r="Q843" s="52">
        <v>7</v>
      </c>
      <c r="R843" s="104">
        <f t="shared" si="167"/>
        <v>26</v>
      </c>
      <c r="S843" s="86">
        <f t="shared" si="168"/>
        <v>62</v>
      </c>
      <c r="AB843" s="111"/>
      <c r="AC843" s="111"/>
      <c r="AD843" s="111"/>
      <c r="AE843" s="112"/>
      <c r="AF843" s="113"/>
      <c r="AG843" s="49"/>
      <c r="AH843" s="49"/>
      <c r="AI843" s="112"/>
      <c r="AJ843" s="91"/>
      <c r="AK843" s="114"/>
      <c r="AL843" s="112"/>
      <c r="AP843" s="7"/>
    </row>
    <row r="844" spans="1:42" hidden="1" x14ac:dyDescent="0.35">
      <c r="A844" s="85">
        <v>46234</v>
      </c>
      <c r="B844" s="51" t="s">
        <v>85</v>
      </c>
      <c r="C844" s="97">
        <v>61123995.678571403</v>
      </c>
      <c r="D844" s="97">
        <v>87119.5</v>
      </c>
      <c r="E844" s="48" t="s">
        <v>86</v>
      </c>
      <c r="F844" s="94" t="s">
        <v>108</v>
      </c>
      <c r="G844" s="94" t="s">
        <v>739</v>
      </c>
      <c r="H844" s="94" t="s">
        <v>112</v>
      </c>
      <c r="I844" s="94" t="s">
        <v>625</v>
      </c>
      <c r="J844" s="52"/>
      <c r="K844" s="52"/>
      <c r="L844" s="52"/>
      <c r="M844" s="52"/>
      <c r="N844" s="103">
        <f t="shared" si="164"/>
        <v>0</v>
      </c>
      <c r="O844" s="52">
        <v>12</v>
      </c>
      <c r="P844" s="52"/>
      <c r="Q844" s="52">
        <v>28</v>
      </c>
      <c r="R844" s="104">
        <f t="shared" si="167"/>
        <v>40</v>
      </c>
      <c r="S844" s="86">
        <f t="shared" si="168"/>
        <v>40</v>
      </c>
      <c r="AB844" s="111"/>
      <c r="AC844" s="111"/>
      <c r="AD844" s="111"/>
      <c r="AE844" s="112"/>
      <c r="AF844" s="113"/>
      <c r="AG844" s="49"/>
      <c r="AH844" s="49"/>
      <c r="AI844" s="112"/>
      <c r="AJ844" s="91"/>
      <c r="AK844" s="114"/>
      <c r="AL844" s="112"/>
      <c r="AP844" s="7"/>
    </row>
    <row r="845" spans="1:42" hidden="1" x14ac:dyDescent="0.35">
      <c r="A845" s="85">
        <v>46234</v>
      </c>
      <c r="B845" s="51" t="s">
        <v>85</v>
      </c>
      <c r="C845" s="97">
        <v>61123995.678571403</v>
      </c>
      <c r="D845" s="97">
        <v>87119.5</v>
      </c>
      <c r="E845" s="48" t="s">
        <v>86</v>
      </c>
      <c r="F845" s="94" t="s">
        <v>108</v>
      </c>
      <c r="G845" s="94" t="s">
        <v>225</v>
      </c>
      <c r="H845" s="94" t="s">
        <v>112</v>
      </c>
      <c r="I845" s="94" t="s">
        <v>625</v>
      </c>
      <c r="J845" s="52"/>
      <c r="K845" s="52"/>
      <c r="L845" s="52"/>
      <c r="M845" s="52"/>
      <c r="N845" s="103">
        <f t="shared" si="164"/>
        <v>0</v>
      </c>
      <c r="O845" s="52">
        <v>40</v>
      </c>
      <c r="P845" s="52">
        <v>40</v>
      </c>
      <c r="Q845" s="52">
        <v>80</v>
      </c>
      <c r="R845" s="104">
        <f t="shared" si="167"/>
        <v>160</v>
      </c>
      <c r="S845" s="86">
        <f t="shared" si="168"/>
        <v>160</v>
      </c>
      <c r="AB845" s="111"/>
      <c r="AC845" s="111"/>
      <c r="AD845" s="111"/>
      <c r="AE845" s="112"/>
      <c r="AF845" s="113"/>
      <c r="AG845" s="49"/>
      <c r="AH845" s="49"/>
      <c r="AI845" s="112"/>
      <c r="AJ845" s="91"/>
      <c r="AK845" s="114"/>
      <c r="AL845" s="112"/>
      <c r="AP845" s="7"/>
    </row>
    <row r="846" spans="1:42" hidden="1" x14ac:dyDescent="0.35">
      <c r="A846" s="85">
        <v>46234</v>
      </c>
      <c r="B846" s="51" t="s">
        <v>85</v>
      </c>
      <c r="C846" s="97">
        <v>61123995.678571403</v>
      </c>
      <c r="D846" s="97">
        <v>87119.5</v>
      </c>
      <c r="E846" s="48" t="s">
        <v>86</v>
      </c>
      <c r="F846" s="94" t="s">
        <v>108</v>
      </c>
      <c r="G846" s="94" t="s">
        <v>740</v>
      </c>
      <c r="H846" s="94" t="s">
        <v>112</v>
      </c>
      <c r="I846" s="94" t="s">
        <v>625</v>
      </c>
      <c r="J846" s="52">
        <v>40</v>
      </c>
      <c r="K846" s="52"/>
      <c r="L846" s="52"/>
      <c r="M846" s="52"/>
      <c r="N846" s="103">
        <f t="shared" si="164"/>
        <v>0</v>
      </c>
      <c r="O846" s="52"/>
      <c r="P846" s="52"/>
      <c r="Q846" s="52"/>
      <c r="R846" s="104">
        <f t="shared" si="167"/>
        <v>0</v>
      </c>
      <c r="S846" s="86">
        <f t="shared" si="168"/>
        <v>40</v>
      </c>
      <c r="AB846" s="111"/>
      <c r="AC846" s="111"/>
      <c r="AD846" s="111"/>
      <c r="AE846" s="112"/>
      <c r="AF846" s="113"/>
      <c r="AG846" s="49"/>
      <c r="AH846" s="49"/>
      <c r="AI846" s="112"/>
      <c r="AJ846" s="91"/>
      <c r="AK846" s="114"/>
      <c r="AL846" s="112"/>
      <c r="AP846" s="7"/>
    </row>
    <row r="847" spans="1:42" hidden="1" x14ac:dyDescent="0.35">
      <c r="A847" s="85">
        <v>46234</v>
      </c>
      <c r="B847" s="51" t="s">
        <v>85</v>
      </c>
      <c r="C847" s="97">
        <v>61123995.678571403</v>
      </c>
      <c r="D847" s="97">
        <v>87119.5</v>
      </c>
      <c r="E847" s="48" t="s">
        <v>86</v>
      </c>
      <c r="F847" s="94" t="s">
        <v>108</v>
      </c>
      <c r="G847" s="94" t="s">
        <v>741</v>
      </c>
      <c r="H847" s="94" t="s">
        <v>433</v>
      </c>
      <c r="I847" s="94" t="s">
        <v>742</v>
      </c>
      <c r="J847" s="52">
        <v>80</v>
      </c>
      <c r="K847" s="52"/>
      <c r="L847" s="52"/>
      <c r="M847" s="52"/>
      <c r="N847" s="103">
        <f t="shared" si="164"/>
        <v>0</v>
      </c>
      <c r="O847" s="52">
        <v>81</v>
      </c>
      <c r="P847" s="52">
        <v>75</v>
      </c>
      <c r="Q847" s="52">
        <v>56</v>
      </c>
      <c r="R847" s="104">
        <f t="shared" si="167"/>
        <v>212</v>
      </c>
      <c r="S847" s="86">
        <f t="shared" si="168"/>
        <v>292</v>
      </c>
      <c r="AB847" s="111"/>
      <c r="AC847" s="111"/>
      <c r="AD847" s="111"/>
      <c r="AE847" s="112"/>
      <c r="AF847" s="113"/>
      <c r="AG847" s="49"/>
      <c r="AH847" s="49"/>
      <c r="AI847" s="112"/>
      <c r="AJ847" s="91"/>
      <c r="AK847" s="114"/>
      <c r="AL847" s="112"/>
      <c r="AP847" s="7"/>
    </row>
    <row r="848" spans="1:42" hidden="1" x14ac:dyDescent="0.35">
      <c r="A848" s="85">
        <v>46234</v>
      </c>
      <c r="B848" s="51" t="s">
        <v>85</v>
      </c>
      <c r="C848" s="97">
        <v>61123995.678571403</v>
      </c>
      <c r="D848" s="97">
        <v>87119.5</v>
      </c>
      <c r="E848" s="48" t="s">
        <v>86</v>
      </c>
      <c r="F848" s="94" t="s">
        <v>108</v>
      </c>
      <c r="G848" s="94" t="s">
        <v>743</v>
      </c>
      <c r="H848" s="94" t="s">
        <v>129</v>
      </c>
      <c r="I848" s="94" t="s">
        <v>558</v>
      </c>
      <c r="J848" s="52">
        <v>132</v>
      </c>
      <c r="K848" s="52">
        <v>20</v>
      </c>
      <c r="L848" s="52">
        <v>20</v>
      </c>
      <c r="M848" s="52"/>
      <c r="N848" s="103">
        <f t="shared" si="164"/>
        <v>40</v>
      </c>
      <c r="O848" s="52">
        <v>85</v>
      </c>
      <c r="P848" s="52">
        <v>44</v>
      </c>
      <c r="Q848" s="52">
        <v>165</v>
      </c>
      <c r="R848" s="104">
        <f t="shared" ref="R848" si="169">SUM(O848:Q848)</f>
        <v>294</v>
      </c>
      <c r="S848" s="86">
        <f t="shared" ref="S848" si="170">R848+N848+J848</f>
        <v>466</v>
      </c>
      <c r="AB848" s="111"/>
      <c r="AC848" s="111"/>
      <c r="AD848" s="111"/>
      <c r="AE848" s="112"/>
      <c r="AF848" s="113"/>
      <c r="AG848" s="49"/>
      <c r="AH848" s="49"/>
      <c r="AI848" s="112"/>
      <c r="AJ848" s="91"/>
      <c r="AK848" s="114"/>
      <c r="AL848" s="112"/>
      <c r="AP848" s="7"/>
    </row>
    <row r="849" spans="1:42" hidden="1" x14ac:dyDescent="0.35">
      <c r="A849" s="85"/>
      <c r="B849" s="51"/>
      <c r="C849" s="97"/>
      <c r="D849" s="97"/>
      <c r="E849" s="48"/>
      <c r="F849" s="94"/>
      <c r="G849" s="94"/>
      <c r="H849" s="94"/>
      <c r="I849" s="94"/>
      <c r="J849" s="52"/>
      <c r="K849" s="52"/>
      <c r="L849" s="52"/>
      <c r="M849" s="52"/>
      <c r="N849" s="103"/>
      <c r="O849" s="52"/>
      <c r="P849" s="52"/>
      <c r="Q849" s="52"/>
      <c r="R849" s="104">
        <f t="shared" si="167"/>
        <v>0</v>
      </c>
      <c r="S849" s="86">
        <f t="shared" si="168"/>
        <v>0</v>
      </c>
      <c r="AB849" s="111"/>
      <c r="AC849" s="111"/>
      <c r="AD849" s="111"/>
      <c r="AE849" s="112"/>
      <c r="AF849" s="113"/>
      <c r="AG849" s="49"/>
      <c r="AH849" s="49"/>
      <c r="AI849" s="112"/>
      <c r="AJ849" s="91"/>
      <c r="AK849" s="114"/>
      <c r="AL849" s="112"/>
      <c r="AP849" s="7"/>
    </row>
    <row r="850" spans="1:42" x14ac:dyDescent="0.35">
      <c r="A850" s="85">
        <v>46234</v>
      </c>
      <c r="B850" s="51" t="s">
        <v>85</v>
      </c>
      <c r="C850" s="97">
        <v>61123995.678571403</v>
      </c>
      <c r="D850" s="97">
        <v>87119.5</v>
      </c>
      <c r="E850" s="48" t="s">
        <v>86</v>
      </c>
      <c r="F850" s="94" t="s">
        <v>87</v>
      </c>
      <c r="G850" s="94" t="s">
        <v>744</v>
      </c>
      <c r="H850" s="94" t="s">
        <v>89</v>
      </c>
      <c r="I850" s="94" t="s">
        <v>422</v>
      </c>
      <c r="J850" s="52">
        <v>2</v>
      </c>
      <c r="K850" s="52">
        <v>20</v>
      </c>
      <c r="L850" s="52">
        <v>22</v>
      </c>
      <c r="M850" s="52"/>
      <c r="N850" s="103">
        <f t="shared" si="164"/>
        <v>42</v>
      </c>
      <c r="O850" s="52">
        <v>2</v>
      </c>
      <c r="P850" s="52"/>
      <c r="Q850" s="52"/>
      <c r="R850" s="104">
        <f t="shared" ref="R850:R858" si="171">SUM(O850:Q850)</f>
        <v>2</v>
      </c>
      <c r="S850" s="86">
        <f t="shared" ref="S850:S858" si="172">R850+N850+J850</f>
        <v>46</v>
      </c>
      <c r="AB850" s="111"/>
      <c r="AC850" s="111"/>
      <c r="AD850" s="111"/>
      <c r="AE850" s="112"/>
      <c r="AF850" s="113"/>
      <c r="AG850" s="49"/>
      <c r="AH850" s="49"/>
      <c r="AI850" s="112"/>
      <c r="AJ850" s="91"/>
      <c r="AK850" s="114"/>
      <c r="AL850" s="112"/>
      <c r="AP850" s="7"/>
    </row>
    <row r="851" spans="1:42" hidden="1" x14ac:dyDescent="0.35">
      <c r="A851" s="85"/>
      <c r="B851" s="51"/>
      <c r="C851" s="97"/>
      <c r="D851" s="97"/>
      <c r="E851" s="48"/>
      <c r="F851" s="94"/>
      <c r="G851" s="94"/>
      <c r="H851" s="94"/>
      <c r="I851" s="94"/>
      <c r="J851" s="52"/>
      <c r="K851" s="52"/>
      <c r="L851" s="52"/>
      <c r="M851" s="52"/>
      <c r="N851" s="103">
        <f t="shared" si="164"/>
        <v>0</v>
      </c>
      <c r="O851" s="52"/>
      <c r="P851" s="52"/>
      <c r="Q851" s="52"/>
      <c r="R851" s="104">
        <f t="shared" si="171"/>
        <v>0</v>
      </c>
      <c r="S851" s="86">
        <f t="shared" si="172"/>
        <v>0</v>
      </c>
      <c r="AB851" s="111"/>
      <c r="AC851" s="111"/>
      <c r="AD851" s="111"/>
      <c r="AE851" s="112"/>
      <c r="AF851" s="113"/>
      <c r="AG851" s="49"/>
      <c r="AH851" s="49"/>
      <c r="AI851" s="112"/>
      <c r="AJ851" s="91"/>
      <c r="AK851" s="114"/>
      <c r="AL851" s="112"/>
      <c r="AP851" s="7"/>
    </row>
    <row r="852" spans="1:42" hidden="1" x14ac:dyDescent="0.35">
      <c r="A852" s="85"/>
      <c r="B852" s="51"/>
      <c r="C852" s="97"/>
      <c r="D852" s="97"/>
      <c r="E852" s="48"/>
      <c r="F852" s="94"/>
      <c r="G852" s="94"/>
      <c r="H852" s="94"/>
      <c r="I852" s="94"/>
      <c r="J852" s="52"/>
      <c r="K852" s="52"/>
      <c r="L852" s="52"/>
      <c r="M852" s="52"/>
      <c r="N852" s="103">
        <f t="shared" si="164"/>
        <v>0</v>
      </c>
      <c r="O852" s="52"/>
      <c r="P852" s="52"/>
      <c r="Q852" s="52"/>
      <c r="R852" s="104">
        <f t="shared" si="171"/>
        <v>0</v>
      </c>
      <c r="S852" s="86">
        <f t="shared" si="172"/>
        <v>0</v>
      </c>
      <c r="AB852" s="111"/>
      <c r="AC852" s="111"/>
      <c r="AD852" s="111"/>
      <c r="AE852" s="112"/>
      <c r="AF852" s="113"/>
      <c r="AG852" s="49"/>
      <c r="AH852" s="49"/>
      <c r="AI852" s="112"/>
      <c r="AJ852" s="91"/>
      <c r="AK852" s="114"/>
      <c r="AL852" s="112"/>
      <c r="AP852" s="7"/>
    </row>
    <row r="853" spans="1:42" hidden="1" x14ac:dyDescent="0.35">
      <c r="A853" s="85"/>
      <c r="B853" s="51"/>
      <c r="C853" s="97"/>
      <c r="D853" s="97"/>
      <c r="E853" s="48"/>
      <c r="F853" s="94"/>
      <c r="G853" s="94"/>
      <c r="H853" s="94"/>
      <c r="I853" s="94"/>
      <c r="J853" s="52"/>
      <c r="K853" s="52"/>
      <c r="L853" s="52"/>
      <c r="M853" s="52"/>
      <c r="N853" s="103">
        <f t="shared" si="164"/>
        <v>0</v>
      </c>
      <c r="O853" s="52"/>
      <c r="P853" s="52"/>
      <c r="Q853" s="52"/>
      <c r="R853" s="104">
        <f t="shared" si="171"/>
        <v>0</v>
      </c>
      <c r="S853" s="86">
        <f t="shared" si="172"/>
        <v>0</v>
      </c>
      <c r="AB853" s="111"/>
      <c r="AC853" s="111"/>
      <c r="AD853" s="111"/>
      <c r="AE853" s="112"/>
      <c r="AF853" s="113"/>
      <c r="AG853" s="49"/>
      <c r="AH853" s="49"/>
      <c r="AI853" s="112"/>
      <c r="AJ853" s="91"/>
      <c r="AK853" s="114"/>
      <c r="AL853" s="112"/>
      <c r="AP853" s="7"/>
    </row>
    <row r="854" spans="1:42" hidden="1" x14ac:dyDescent="0.35">
      <c r="A854" s="85"/>
      <c r="B854" s="51"/>
      <c r="C854" s="97"/>
      <c r="D854" s="97"/>
      <c r="E854" s="48"/>
      <c r="F854" s="94"/>
      <c r="G854" s="94"/>
      <c r="H854" s="94"/>
      <c r="I854" s="94"/>
      <c r="J854" s="52"/>
      <c r="K854" s="52"/>
      <c r="L854" s="52"/>
      <c r="M854" s="52"/>
      <c r="N854" s="103">
        <f t="shared" si="164"/>
        <v>0</v>
      </c>
      <c r="O854" s="52"/>
      <c r="P854" s="52"/>
      <c r="Q854" s="52"/>
      <c r="R854" s="104">
        <f t="shared" si="171"/>
        <v>0</v>
      </c>
      <c r="S854" s="86">
        <f t="shared" si="172"/>
        <v>0</v>
      </c>
      <c r="AB854" s="111"/>
      <c r="AC854" s="111"/>
      <c r="AD854" s="111"/>
      <c r="AE854" s="112"/>
      <c r="AF854" s="113"/>
      <c r="AG854" s="49"/>
      <c r="AH854" s="49"/>
      <c r="AI854" s="112"/>
      <c r="AJ854" s="91"/>
      <c r="AK854" s="114"/>
      <c r="AL854" s="112"/>
      <c r="AP854" s="7"/>
    </row>
    <row r="855" spans="1:42" hidden="1" x14ac:dyDescent="0.35">
      <c r="A855" s="85"/>
      <c r="B855" s="51"/>
      <c r="C855" s="97"/>
      <c r="D855" s="97"/>
      <c r="E855" s="48"/>
      <c r="F855" s="94"/>
      <c r="G855" s="94"/>
      <c r="H855" s="94"/>
      <c r="I855" s="94"/>
      <c r="J855" s="52"/>
      <c r="K855" s="52"/>
      <c r="L855" s="52"/>
      <c r="M855" s="52"/>
      <c r="N855" s="103">
        <f t="shared" si="164"/>
        <v>0</v>
      </c>
      <c r="O855" s="52"/>
      <c r="P855" s="52"/>
      <c r="Q855" s="52"/>
      <c r="R855" s="104">
        <f t="shared" si="171"/>
        <v>0</v>
      </c>
      <c r="S855" s="86">
        <f t="shared" si="172"/>
        <v>0</v>
      </c>
      <c r="AB855" s="111"/>
      <c r="AC855" s="111"/>
      <c r="AD855" s="111"/>
      <c r="AE855" s="112"/>
      <c r="AF855" s="113"/>
      <c r="AG855" s="49"/>
      <c r="AH855" s="49"/>
      <c r="AI855" s="112"/>
      <c r="AJ855" s="91"/>
      <c r="AK855" s="114"/>
      <c r="AL855" s="112"/>
      <c r="AP855" s="7"/>
    </row>
    <row r="856" spans="1:42" hidden="1" x14ac:dyDescent="0.35">
      <c r="A856" s="85"/>
      <c r="B856" s="51"/>
      <c r="C856" s="97"/>
      <c r="D856" s="97"/>
      <c r="E856" s="48"/>
      <c r="F856" s="94"/>
      <c r="G856" s="94"/>
      <c r="H856" s="94"/>
      <c r="I856" s="94"/>
      <c r="J856" s="52"/>
      <c r="K856" s="52"/>
      <c r="L856" s="52"/>
      <c r="M856" s="52"/>
      <c r="N856" s="103">
        <f t="shared" si="164"/>
        <v>0</v>
      </c>
      <c r="O856" s="52"/>
      <c r="P856" s="52"/>
      <c r="Q856" s="52"/>
      <c r="R856" s="104">
        <f t="shared" si="171"/>
        <v>0</v>
      </c>
      <c r="S856" s="86">
        <f t="shared" si="172"/>
        <v>0</v>
      </c>
      <c r="AB856" s="111"/>
      <c r="AC856" s="111"/>
      <c r="AD856" s="111"/>
      <c r="AE856" s="112"/>
      <c r="AF856" s="113"/>
      <c r="AG856" s="49"/>
      <c r="AH856" s="49"/>
      <c r="AI856" s="112"/>
      <c r="AJ856" s="91"/>
      <c r="AK856" s="114"/>
      <c r="AL856" s="112"/>
      <c r="AP856" s="7"/>
    </row>
    <row r="857" spans="1:42" hidden="1" x14ac:dyDescent="0.35">
      <c r="A857" s="85"/>
      <c r="B857" s="51"/>
      <c r="C857" s="97"/>
      <c r="D857" s="97"/>
      <c r="E857" s="48"/>
      <c r="F857" s="94"/>
      <c r="G857" s="94"/>
      <c r="H857" s="94"/>
      <c r="I857" s="94"/>
      <c r="J857" s="52"/>
      <c r="K857" s="52"/>
      <c r="L857" s="52"/>
      <c r="M857" s="52"/>
      <c r="N857" s="103">
        <f t="shared" si="164"/>
        <v>0</v>
      </c>
      <c r="O857" s="52"/>
      <c r="P857" s="52"/>
      <c r="Q857" s="52"/>
      <c r="R857" s="104">
        <f t="shared" si="171"/>
        <v>0</v>
      </c>
      <c r="S857" s="86">
        <f t="shared" si="172"/>
        <v>0</v>
      </c>
      <c r="AB857" s="88">
        <v>39.270000000000003</v>
      </c>
      <c r="AC857" s="88">
        <v>52.462499999999999</v>
      </c>
      <c r="AD857" s="88">
        <v>72.64</v>
      </c>
      <c r="AE857" s="89">
        <f t="shared" si="143"/>
        <v>0</v>
      </c>
      <c r="AF857" s="90">
        <v>6.5000000000000002E-2</v>
      </c>
      <c r="AG857" s="4">
        <f t="shared" si="144"/>
        <v>0</v>
      </c>
      <c r="AH857" s="49">
        <f t="shared" si="145"/>
        <v>0</v>
      </c>
      <c r="AI857" s="89">
        <f t="shared" si="146"/>
        <v>0</v>
      </c>
      <c r="AJ857" s="91">
        <v>0.18</v>
      </c>
      <c r="AK857" s="5">
        <f t="shared" si="147"/>
        <v>0</v>
      </c>
      <c r="AL857" s="89">
        <f t="shared" si="148"/>
        <v>0</v>
      </c>
      <c r="AP857" s="7"/>
    </row>
    <row r="858" spans="1:42" hidden="1" x14ac:dyDescent="0.35">
      <c r="A858" s="94"/>
      <c r="B858" s="76"/>
      <c r="C858" s="94"/>
      <c r="D858" s="102"/>
      <c r="E858" s="94"/>
      <c r="F858" s="94"/>
      <c r="G858" s="94"/>
      <c r="H858" s="94"/>
      <c r="I858" s="94"/>
      <c r="J858" s="52"/>
      <c r="K858" s="52"/>
      <c r="L858" s="52"/>
      <c r="M858" s="52"/>
      <c r="N858" s="104">
        <f t="shared" ref="N857:N860" si="173">K858+L858+M858</f>
        <v>0</v>
      </c>
      <c r="O858" s="52"/>
      <c r="P858" s="52"/>
      <c r="Q858" s="52"/>
      <c r="R858" s="104">
        <f t="shared" si="171"/>
        <v>0</v>
      </c>
      <c r="S858" s="86">
        <f t="shared" si="172"/>
        <v>0</v>
      </c>
      <c r="AB858" s="88">
        <v>39.270000000000003</v>
      </c>
      <c r="AC858" s="88">
        <v>52.462499999999999</v>
      </c>
      <c r="AD858" s="88">
        <v>72.64</v>
      </c>
      <c r="AE858" s="89">
        <f t="shared" si="143"/>
        <v>0</v>
      </c>
      <c r="AF858" s="90">
        <v>6.5000000000000002E-2</v>
      </c>
      <c r="AG858" s="4">
        <f t="shared" si="144"/>
        <v>0</v>
      </c>
      <c r="AH858" s="49">
        <f t="shared" si="145"/>
        <v>0</v>
      </c>
      <c r="AI858" s="89">
        <f t="shared" si="146"/>
        <v>0</v>
      </c>
      <c r="AJ858" s="91">
        <v>0.18</v>
      </c>
      <c r="AK858" s="5">
        <f t="shared" si="147"/>
        <v>0</v>
      </c>
      <c r="AL858" s="89">
        <f t="shared" si="148"/>
        <v>0</v>
      </c>
      <c r="AP858" s="7"/>
    </row>
    <row r="859" spans="1:42" hidden="1" x14ac:dyDescent="0.35">
      <c r="A859" s="94"/>
      <c r="B859" s="76"/>
      <c r="C859" s="94"/>
      <c r="D859" s="102"/>
      <c r="E859" s="94"/>
      <c r="F859" s="94"/>
      <c r="G859" s="94"/>
      <c r="H859" s="94"/>
      <c r="I859" s="94"/>
      <c r="J859" s="52"/>
      <c r="K859" s="52"/>
      <c r="L859" s="52"/>
      <c r="M859" s="52"/>
      <c r="N859" s="104">
        <f t="shared" si="173"/>
        <v>0</v>
      </c>
      <c r="O859" s="52"/>
      <c r="P859" s="52"/>
      <c r="Q859" s="52"/>
      <c r="R859" s="104">
        <f t="shared" ref="R857:R860" si="174">SUM(O859:Q859)</f>
        <v>0</v>
      </c>
      <c r="S859" s="86">
        <f t="shared" ref="S857:S860" si="175">R859+N859+J859</f>
        <v>0</v>
      </c>
      <c r="AB859" s="88">
        <v>39.270000000000003</v>
      </c>
      <c r="AC859" s="88">
        <v>52.462499999999999</v>
      </c>
      <c r="AD859" s="88">
        <v>72.64</v>
      </c>
      <c r="AE859" s="89">
        <f t="shared" si="143"/>
        <v>0</v>
      </c>
      <c r="AF859" s="90">
        <v>6.5000000000000002E-2</v>
      </c>
      <c r="AG859" s="4">
        <f t="shared" si="144"/>
        <v>0</v>
      </c>
      <c r="AH859" s="49">
        <f t="shared" si="145"/>
        <v>0</v>
      </c>
      <c r="AI859" s="89">
        <f t="shared" si="146"/>
        <v>0</v>
      </c>
      <c r="AJ859" s="91">
        <v>0.18</v>
      </c>
      <c r="AK859" s="5">
        <f t="shared" si="147"/>
        <v>0</v>
      </c>
      <c r="AL859" s="89">
        <f t="shared" si="148"/>
        <v>0</v>
      </c>
      <c r="AP859" s="7"/>
    </row>
    <row r="860" spans="1:42" hidden="1" x14ac:dyDescent="0.35">
      <c r="A860" s="79"/>
      <c r="B860" s="80"/>
      <c r="D860" s="81"/>
      <c r="J860" s="108"/>
      <c r="K860" s="108"/>
      <c r="L860" s="108"/>
      <c r="M860" s="108"/>
      <c r="N860" s="104">
        <f t="shared" si="173"/>
        <v>0</v>
      </c>
      <c r="O860" s="108"/>
      <c r="P860" s="108"/>
      <c r="Q860" s="108"/>
      <c r="R860" s="104">
        <f t="shared" si="174"/>
        <v>0</v>
      </c>
      <c r="S860" s="86">
        <f t="shared" si="175"/>
        <v>0</v>
      </c>
      <c r="AP860" s="7"/>
    </row>
    <row r="861" spans="1:42" hidden="1" x14ac:dyDescent="0.35">
      <c r="A861" s="3"/>
      <c r="J861" s="107">
        <f>SUM(J3:J860)</f>
        <v>30091</v>
      </c>
      <c r="K861" s="107">
        <f t="shared" ref="K861:S861" si="176">SUM(K3:K860)</f>
        <v>15765</v>
      </c>
      <c r="L861" s="107">
        <f t="shared" si="176"/>
        <v>16067</v>
      </c>
      <c r="M861" s="107">
        <f t="shared" si="176"/>
        <v>2800</v>
      </c>
      <c r="N861" s="107">
        <f t="shared" si="176"/>
        <v>34632</v>
      </c>
      <c r="O861" s="107">
        <f t="shared" si="176"/>
        <v>30794</v>
      </c>
      <c r="P861" s="107">
        <f t="shared" si="176"/>
        <v>25380</v>
      </c>
      <c r="Q861" s="107">
        <f t="shared" si="176"/>
        <v>36540</v>
      </c>
      <c r="R861" s="107">
        <f t="shared" si="176"/>
        <v>92714</v>
      </c>
      <c r="S861" s="107">
        <f t="shared" si="176"/>
        <v>157437</v>
      </c>
      <c r="AP861" s="7"/>
    </row>
    <row r="862" spans="1:42" hidden="1" x14ac:dyDescent="0.35">
      <c r="A862" s="3"/>
      <c r="J862" s="52"/>
      <c r="K862" s="52"/>
      <c r="L862" s="52"/>
      <c r="M862" s="52"/>
      <c r="N862" s="52"/>
      <c r="O862" s="52"/>
      <c r="P862" s="52"/>
      <c r="Q862" s="52"/>
      <c r="R862" s="52"/>
      <c r="S862" s="43"/>
      <c r="AC862" t="s">
        <v>50</v>
      </c>
      <c r="AP862" s="7"/>
    </row>
    <row r="863" spans="1:42" hidden="1" x14ac:dyDescent="0.35">
      <c r="J863" s="41" t="s">
        <v>63</v>
      </c>
      <c r="K863" s="41" t="s">
        <v>74</v>
      </c>
      <c r="L863" s="41" t="s">
        <v>27</v>
      </c>
      <c r="M863" s="41" t="s">
        <v>67</v>
      </c>
      <c r="N863" s="41" t="s">
        <v>29</v>
      </c>
      <c r="O863" s="41" t="s">
        <v>69</v>
      </c>
      <c r="P863" s="41" t="s">
        <v>30</v>
      </c>
      <c r="Q863" s="41" t="s">
        <v>70</v>
      </c>
      <c r="R863" s="41" t="s">
        <v>31</v>
      </c>
      <c r="S863" s="55"/>
      <c r="T863" s="7"/>
      <c r="U863" s="7"/>
      <c r="V863" s="7"/>
      <c r="W863" s="7"/>
      <c r="X863" s="7"/>
      <c r="Y863" s="7"/>
      <c r="Z863" s="7"/>
      <c r="AA863" s="7"/>
      <c r="AB863" s="7"/>
      <c r="AF863"/>
    </row>
    <row r="864" spans="1:42" hidden="1" x14ac:dyDescent="0.35">
      <c r="I864" s="43" t="s">
        <v>50</v>
      </c>
      <c r="J864" s="47">
        <f>J861/40</f>
        <v>752.27499999999998</v>
      </c>
      <c r="K864" s="109">
        <f t="shared" ref="K864:S864" si="177">K861/40</f>
        <v>394.125</v>
      </c>
      <c r="L864" s="109">
        <f t="shared" si="177"/>
        <v>401.67500000000001</v>
      </c>
      <c r="M864" s="109">
        <f t="shared" si="177"/>
        <v>70</v>
      </c>
      <c r="N864" s="47">
        <f t="shared" si="177"/>
        <v>865.8</v>
      </c>
      <c r="O864" s="109">
        <f t="shared" si="177"/>
        <v>769.85</v>
      </c>
      <c r="P864" s="109">
        <f t="shared" si="177"/>
        <v>634.5</v>
      </c>
      <c r="Q864" s="109">
        <f t="shared" si="177"/>
        <v>913.5</v>
      </c>
      <c r="R864" s="47">
        <f t="shared" si="177"/>
        <v>2317.85</v>
      </c>
      <c r="S864" s="109">
        <f t="shared" si="177"/>
        <v>3935.9250000000002</v>
      </c>
      <c r="T864" s="54">
        <f t="shared" ref="T864:AF864" si="178">+T433/40</f>
        <v>0</v>
      </c>
      <c r="U864" s="54">
        <f t="shared" si="178"/>
        <v>0</v>
      </c>
      <c r="V864" s="54">
        <f t="shared" si="178"/>
        <v>0</v>
      </c>
      <c r="W864" s="54">
        <f t="shared" si="178"/>
        <v>0</v>
      </c>
      <c r="X864" s="54">
        <f t="shared" si="178"/>
        <v>0</v>
      </c>
      <c r="Y864" s="54">
        <f t="shared" si="178"/>
        <v>0</v>
      </c>
      <c r="Z864" s="54">
        <f t="shared" si="178"/>
        <v>0</v>
      </c>
      <c r="AA864" s="54">
        <f t="shared" si="178"/>
        <v>0</v>
      </c>
      <c r="AB864" s="55"/>
      <c r="AC864" s="43">
        <f t="shared" si="178"/>
        <v>0</v>
      </c>
      <c r="AD864" s="43">
        <f t="shared" si="178"/>
        <v>0</v>
      </c>
      <c r="AE864" s="43">
        <f t="shared" si="178"/>
        <v>84640.158687499978</v>
      </c>
      <c r="AF864" s="43">
        <f t="shared" si="178"/>
        <v>0</v>
      </c>
      <c r="AG864" s="43"/>
      <c r="AH864" s="43"/>
      <c r="AI864" s="43"/>
      <c r="AJ864" s="43"/>
      <c r="AK864" s="43"/>
      <c r="AL864" s="43"/>
      <c r="AM864" s="43"/>
      <c r="AN864" s="55"/>
      <c r="AO864" s="55"/>
      <c r="AP864" s="43"/>
    </row>
    <row r="866" spans="19:24" x14ac:dyDescent="0.35">
      <c r="S866" s="53">
        <f>S864+W864+AA864</f>
        <v>3935.9250000000002</v>
      </c>
      <c r="X866" t="s">
        <v>50</v>
      </c>
    </row>
    <row r="868" spans="19:24" x14ac:dyDescent="0.35">
      <c r="S868" s="53"/>
    </row>
  </sheetData>
  <autoFilter ref="A1:AP864" xr:uid="{4909E717-3884-4AA3-A82A-69FACD0ADABD}">
    <filterColumn colId="0">
      <customFilters>
        <customFilter operator="notEqual" val=" "/>
      </customFilters>
    </filterColumn>
    <filterColumn colId="5">
      <filters>
        <filter val="LMT"/>
      </filters>
    </filterColumn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</autoFilter>
  <mergeCells count="27">
    <mergeCell ref="F1:F2"/>
    <mergeCell ref="O1:R1"/>
    <mergeCell ref="A1:A2"/>
    <mergeCell ref="B1:B2"/>
    <mergeCell ref="C1:C2"/>
    <mergeCell ref="D1:D2"/>
    <mergeCell ref="E1:E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AO1:AO2"/>
    <mergeCell ref="AP1:AP2"/>
    <mergeCell ref="AI1:AI2"/>
    <mergeCell ref="AJ1:AJ2"/>
    <mergeCell ref="AK1:AK2"/>
    <mergeCell ref="AL1:AL2"/>
    <mergeCell ref="AM1:AM2"/>
    <mergeCell ref="AN1:AN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31"/>
  <sheetViews>
    <sheetView topLeftCell="A4" workbookViewId="0">
      <selection activeCell="G20" sqref="G20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27" t="s">
        <v>36</v>
      </c>
      <c r="E4" s="128"/>
      <c r="F4" s="128"/>
      <c r="G4" s="128"/>
      <c r="H4" s="129"/>
    </row>
    <row r="5" spans="4:8" ht="15" thickBot="1" x14ac:dyDescent="0.4">
      <c r="D5" s="9" t="s">
        <v>419</v>
      </c>
      <c r="E5" s="130"/>
      <c r="F5" s="130"/>
      <c r="G5" s="130"/>
      <c r="H5" s="130"/>
    </row>
    <row r="6" spans="4:8" x14ac:dyDescent="0.35">
      <c r="D6" s="10" t="s">
        <v>37</v>
      </c>
      <c r="E6" s="11" t="s">
        <v>38</v>
      </c>
      <c r="F6" s="11" t="s">
        <v>39</v>
      </c>
      <c r="G6" s="11" t="s">
        <v>40</v>
      </c>
      <c r="H6" s="12" t="s">
        <v>41</v>
      </c>
    </row>
    <row r="7" spans="4:8" ht="16.5" x14ac:dyDescent="0.45">
      <c r="D7" s="13" t="s">
        <v>42</v>
      </c>
      <c r="E7" s="14">
        <v>273</v>
      </c>
      <c r="F7" s="15">
        <v>1047</v>
      </c>
      <c r="G7" s="16">
        <f>'STT Report'!Q864+'STT Report'!Z864</f>
        <v>913.5</v>
      </c>
      <c r="H7" s="17">
        <f>E7+F7-G7</f>
        <v>406.5</v>
      </c>
    </row>
    <row r="8" spans="4:8" ht="16.5" x14ac:dyDescent="0.45">
      <c r="D8" s="13" t="s">
        <v>43</v>
      </c>
      <c r="E8" s="14">
        <v>140</v>
      </c>
      <c r="F8" s="18">
        <v>203</v>
      </c>
      <c r="G8" s="16">
        <f>'STT Report'!P864+'STT Report'!Y864</f>
        <v>634.5</v>
      </c>
      <c r="H8" s="17">
        <f>E8+F8-G8</f>
        <v>-291.5</v>
      </c>
    </row>
    <row r="9" spans="4:8" ht="16.5" x14ac:dyDescent="0.45">
      <c r="D9" s="13" t="s">
        <v>44</v>
      </c>
      <c r="E9" s="14">
        <v>178</v>
      </c>
      <c r="F9" s="18">
        <v>750</v>
      </c>
      <c r="G9" s="16">
        <f>'STT Report'!O864+'STT Report'!X864</f>
        <v>769.85</v>
      </c>
      <c r="H9" s="17">
        <f>E9+F9-G9</f>
        <v>158.14999999999998</v>
      </c>
    </row>
    <row r="10" spans="4:8" x14ac:dyDescent="0.35">
      <c r="D10" s="19" t="s">
        <v>45</v>
      </c>
      <c r="E10" s="20">
        <f>SUM(E7:E9)</f>
        <v>591</v>
      </c>
      <c r="F10" s="21">
        <f>SUM(F7:F9)</f>
        <v>2000</v>
      </c>
      <c r="G10" s="22">
        <f>SUM(G7:G9)</f>
        <v>2317.85</v>
      </c>
      <c r="H10" s="23">
        <f>SUM(H7:H9)</f>
        <v>273.14999999999998</v>
      </c>
    </row>
    <row r="11" spans="4:8" ht="16.5" x14ac:dyDescent="0.45">
      <c r="D11" s="13" t="s">
        <v>61</v>
      </c>
      <c r="E11" s="14">
        <v>1653</v>
      </c>
      <c r="F11" s="15"/>
      <c r="G11" s="44">
        <f>'STT Report'!J864</f>
        <v>752.27499999999998</v>
      </c>
      <c r="H11" s="17">
        <f t="shared" ref="H11:H13" si="0">(E11+F11)-G11</f>
        <v>900.72500000000002</v>
      </c>
    </row>
    <row r="12" spans="4:8" ht="16.5" x14ac:dyDescent="0.45">
      <c r="D12" s="13"/>
      <c r="E12" s="18"/>
      <c r="F12" s="18"/>
      <c r="G12" s="18"/>
      <c r="H12" s="17">
        <f t="shared" si="0"/>
        <v>0</v>
      </c>
    </row>
    <row r="13" spans="4:8" ht="16.5" x14ac:dyDescent="0.45">
      <c r="D13" s="13"/>
      <c r="E13" s="18"/>
      <c r="F13" s="18"/>
      <c r="G13" s="18"/>
      <c r="H13" s="17">
        <f t="shared" si="0"/>
        <v>0</v>
      </c>
    </row>
    <row r="14" spans="4:8" x14ac:dyDescent="0.35">
      <c r="D14" s="19" t="s">
        <v>45</v>
      </c>
      <c r="E14" s="20">
        <f>SUM(E11:E13)</f>
        <v>1653</v>
      </c>
      <c r="F14" s="21">
        <f>SUM(F11:F13)</f>
        <v>0</v>
      </c>
      <c r="G14" s="20">
        <f>SUM(G11:G13)</f>
        <v>752.27499999999998</v>
      </c>
      <c r="H14" s="23">
        <f>SUM(H11:H13)</f>
        <v>900.72500000000002</v>
      </c>
    </row>
    <row r="15" spans="4:8" ht="16.5" x14ac:dyDescent="0.45">
      <c r="D15" s="13" t="s">
        <v>46</v>
      </c>
      <c r="E15" s="14">
        <v>0</v>
      </c>
      <c r="F15" s="15"/>
      <c r="G15" s="16">
        <f>'STT Report'!M864+'STT Report'!V864</f>
        <v>70</v>
      </c>
      <c r="H15" s="17">
        <f>E15+F15-G15</f>
        <v>-70</v>
      </c>
    </row>
    <row r="16" spans="4:8" ht="16.5" x14ac:dyDescent="0.45">
      <c r="D16" s="13" t="s">
        <v>47</v>
      </c>
      <c r="E16" s="14">
        <v>267</v>
      </c>
      <c r="F16" s="18"/>
      <c r="G16" s="16">
        <f>'STT Report'!L864+'STT Report'!U864</f>
        <v>401.67500000000001</v>
      </c>
      <c r="H16" s="17">
        <f>E16+F16-G16</f>
        <v>-134.67500000000001</v>
      </c>
    </row>
    <row r="17" spans="3:13" ht="16.5" x14ac:dyDescent="0.45">
      <c r="D17" s="13" t="s">
        <v>48</v>
      </c>
      <c r="E17" s="14">
        <v>240</v>
      </c>
      <c r="F17" s="18"/>
      <c r="G17" s="16">
        <f>'STT Report'!K864+'STT Report'!T864</f>
        <v>394.125</v>
      </c>
      <c r="H17" s="17">
        <f>E17+F17-G17</f>
        <v>-154.125</v>
      </c>
    </row>
    <row r="18" spans="3:13" x14ac:dyDescent="0.35">
      <c r="D18" s="19" t="s">
        <v>45</v>
      </c>
      <c r="E18" s="20">
        <f>SUM(E15+E16+E17)</f>
        <v>507</v>
      </c>
      <c r="F18" s="21">
        <f>SUM(F15:F17)</f>
        <v>0</v>
      </c>
      <c r="G18" s="22">
        <f>SUM(G15:G17)</f>
        <v>865.8</v>
      </c>
      <c r="H18" s="23">
        <f>SUM(H15:H17)</f>
        <v>-358.8</v>
      </c>
    </row>
    <row r="19" spans="3:13" ht="15" thickBot="1" x14ac:dyDescent="0.4">
      <c r="D19" s="24" t="s">
        <v>49</v>
      </c>
      <c r="E19" s="25">
        <f>E10+E14+E18</f>
        <v>2751</v>
      </c>
      <c r="F19" s="26">
        <f>F10+F14+F18</f>
        <v>2000</v>
      </c>
      <c r="G19" s="25">
        <f>G10+G14+G18</f>
        <v>3935.9250000000002</v>
      </c>
      <c r="H19" s="27">
        <f>H10+H14+H18</f>
        <v>815.07500000000005</v>
      </c>
    </row>
    <row r="20" spans="3:13" x14ac:dyDescent="0.35">
      <c r="C20" t="s">
        <v>50</v>
      </c>
    </row>
    <row r="21" spans="3:13" x14ac:dyDescent="0.35">
      <c r="C21" s="28" t="s">
        <v>51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spans="3:13" ht="15" thickBot="1" x14ac:dyDescent="0.4"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3:13" ht="26.5" thickBot="1" x14ac:dyDescent="0.4">
      <c r="C23" s="56" t="s">
        <v>52</v>
      </c>
      <c r="D23" s="57" t="s">
        <v>82</v>
      </c>
      <c r="E23" s="58" t="s">
        <v>84</v>
      </c>
      <c r="F23" s="58" t="s">
        <v>53</v>
      </c>
      <c r="G23" s="57" t="s">
        <v>54</v>
      </c>
      <c r="H23" s="57" t="s">
        <v>55</v>
      </c>
      <c r="I23" s="57" t="s">
        <v>56</v>
      </c>
      <c r="J23" s="57" t="s">
        <v>57</v>
      </c>
      <c r="K23" s="57" t="s">
        <v>64</v>
      </c>
      <c r="L23" s="29" t="s">
        <v>58</v>
      </c>
      <c r="M23" s="30" t="s">
        <v>59</v>
      </c>
    </row>
    <row r="24" spans="3:13" x14ac:dyDescent="0.35">
      <c r="C24" s="72" t="s">
        <v>75</v>
      </c>
      <c r="D24" s="31" t="s">
        <v>83</v>
      </c>
      <c r="E24" s="31">
        <v>500</v>
      </c>
      <c r="F24" s="45">
        <f t="shared" ref="F24:F30" si="1">I24+J24+K24</f>
        <v>0</v>
      </c>
      <c r="G24" s="32">
        <f>I24/10</f>
        <v>0</v>
      </c>
      <c r="H24" s="32">
        <f t="shared" ref="H24:H30" si="2">J24/10</f>
        <v>0</v>
      </c>
      <c r="I24" s="33"/>
      <c r="J24" s="33"/>
      <c r="K24" s="59"/>
      <c r="L24" s="61">
        <f t="shared" ref="L24:L30" si="3">I24+J24+G24+H24+K24</f>
        <v>0</v>
      </c>
      <c r="M24" s="65">
        <f t="shared" ref="M24:M30" si="4">L24/E24</f>
        <v>0</v>
      </c>
    </row>
    <row r="25" spans="3:13" x14ac:dyDescent="0.35">
      <c r="C25" s="73" t="s">
        <v>76</v>
      </c>
      <c r="D25" s="34" t="s">
        <v>83</v>
      </c>
      <c r="E25" s="34">
        <v>500</v>
      </c>
      <c r="F25" s="35">
        <f t="shared" si="1"/>
        <v>0</v>
      </c>
      <c r="G25" s="35">
        <f t="shared" ref="G25:G30" si="5">I25/10</f>
        <v>0</v>
      </c>
      <c r="H25" s="35">
        <f t="shared" si="2"/>
        <v>0</v>
      </c>
      <c r="I25" s="36"/>
      <c r="J25" s="36"/>
      <c r="K25" s="60"/>
      <c r="L25" s="62">
        <f t="shared" si="3"/>
        <v>0</v>
      </c>
      <c r="M25" s="66">
        <f t="shared" si="4"/>
        <v>0</v>
      </c>
    </row>
    <row r="26" spans="3:13" x14ac:dyDescent="0.35">
      <c r="C26" s="73" t="s">
        <v>77</v>
      </c>
      <c r="D26" s="34" t="s">
        <v>83</v>
      </c>
      <c r="E26" s="34">
        <v>500</v>
      </c>
      <c r="F26" s="35">
        <f t="shared" si="1"/>
        <v>0</v>
      </c>
      <c r="G26" s="35">
        <f t="shared" si="5"/>
        <v>0</v>
      </c>
      <c r="H26" s="35">
        <f t="shared" si="2"/>
        <v>0</v>
      </c>
      <c r="I26" s="36"/>
      <c r="J26" s="36"/>
      <c r="K26" s="60"/>
      <c r="L26" s="62">
        <f t="shared" si="3"/>
        <v>0</v>
      </c>
      <c r="M26" s="66">
        <f t="shared" si="4"/>
        <v>0</v>
      </c>
    </row>
    <row r="27" spans="3:13" x14ac:dyDescent="0.35">
      <c r="C27" s="73" t="s">
        <v>79</v>
      </c>
      <c r="D27" s="34" t="s">
        <v>83</v>
      </c>
      <c r="E27" s="34">
        <v>500</v>
      </c>
      <c r="F27" s="35">
        <f t="shared" si="1"/>
        <v>0</v>
      </c>
      <c r="G27" s="35">
        <f t="shared" si="5"/>
        <v>0</v>
      </c>
      <c r="H27" s="35">
        <f t="shared" si="2"/>
        <v>0</v>
      </c>
      <c r="I27" s="36"/>
      <c r="J27" s="36"/>
      <c r="K27" s="60"/>
      <c r="L27" s="63">
        <f t="shared" si="3"/>
        <v>0</v>
      </c>
      <c r="M27" s="67">
        <f t="shared" si="4"/>
        <v>0</v>
      </c>
    </row>
    <row r="28" spans="3:13" x14ac:dyDescent="0.35">
      <c r="C28" s="73" t="s">
        <v>78</v>
      </c>
      <c r="D28" s="34" t="s">
        <v>83</v>
      </c>
      <c r="E28" s="34">
        <v>500</v>
      </c>
      <c r="F28" s="35">
        <f t="shared" si="1"/>
        <v>0</v>
      </c>
      <c r="G28" s="35">
        <f t="shared" si="5"/>
        <v>0</v>
      </c>
      <c r="H28" s="35">
        <f t="shared" si="2"/>
        <v>0</v>
      </c>
      <c r="I28" s="36"/>
      <c r="J28" s="36"/>
      <c r="K28" s="60"/>
      <c r="L28" s="63">
        <f t="shared" si="3"/>
        <v>0</v>
      </c>
      <c r="M28" s="67">
        <f t="shared" si="4"/>
        <v>0</v>
      </c>
    </row>
    <row r="29" spans="3:13" x14ac:dyDescent="0.35">
      <c r="C29" s="73" t="s">
        <v>80</v>
      </c>
      <c r="D29" s="34" t="s">
        <v>83</v>
      </c>
      <c r="E29" s="34">
        <v>500</v>
      </c>
      <c r="F29" s="35">
        <f t="shared" si="1"/>
        <v>0</v>
      </c>
      <c r="G29" s="35">
        <f t="shared" si="5"/>
        <v>0</v>
      </c>
      <c r="H29" s="35">
        <f t="shared" si="2"/>
        <v>0</v>
      </c>
      <c r="I29" s="36"/>
      <c r="J29" s="36"/>
      <c r="K29" s="60"/>
      <c r="L29" s="63">
        <f t="shared" si="3"/>
        <v>0</v>
      </c>
      <c r="M29" s="67">
        <f t="shared" si="4"/>
        <v>0</v>
      </c>
    </row>
    <row r="30" spans="3:13" ht="15" thickBot="1" x14ac:dyDescent="0.4">
      <c r="C30" s="74" t="s">
        <v>81</v>
      </c>
      <c r="D30" s="68" t="s">
        <v>83</v>
      </c>
      <c r="E30" s="68">
        <v>5000</v>
      </c>
      <c r="F30" s="46">
        <f t="shared" si="1"/>
        <v>0</v>
      </c>
      <c r="G30" s="69">
        <f t="shared" si="5"/>
        <v>0</v>
      </c>
      <c r="H30" s="69">
        <f t="shared" si="2"/>
        <v>0</v>
      </c>
      <c r="I30" s="70"/>
      <c r="J30" s="70"/>
      <c r="K30" s="71"/>
      <c r="L30" s="64">
        <f t="shared" si="3"/>
        <v>0</v>
      </c>
      <c r="M30" s="67">
        <f t="shared" si="4"/>
        <v>0</v>
      </c>
    </row>
    <row r="31" spans="3:13" ht="16" thickBot="1" x14ac:dyDescent="0.4">
      <c r="C31" s="131" t="s">
        <v>60</v>
      </c>
      <c r="D31" s="132"/>
      <c r="E31" s="37">
        <f>SUM(E24:E30)</f>
        <v>8000</v>
      </c>
      <c r="F31" s="38">
        <f t="shared" ref="F31:L31" si="6">SUM(F24:F27)</f>
        <v>0</v>
      </c>
      <c r="G31" s="38">
        <f t="shared" si="6"/>
        <v>0</v>
      </c>
      <c r="H31" s="38">
        <f t="shared" si="6"/>
        <v>0</v>
      </c>
      <c r="I31" s="39">
        <f t="shared" si="6"/>
        <v>0</v>
      </c>
      <c r="J31" s="39">
        <f t="shared" si="6"/>
        <v>0</v>
      </c>
      <c r="K31" s="38">
        <f t="shared" si="6"/>
        <v>0</v>
      </c>
      <c r="L31" s="38">
        <f t="shared" si="6"/>
        <v>0</v>
      </c>
      <c r="M31" s="40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2026-08-03T05:48:59Z</dcterms:modified>
</cp:coreProperties>
</file>