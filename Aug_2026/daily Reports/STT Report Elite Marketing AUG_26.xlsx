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EE59E1C2-27EC-4DFC-BD10-D293046BD085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Report'!$A$1:$AP$864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32" i="1" l="1"/>
  <c r="T134" i="1"/>
  <c r="K861" i="1" l="1"/>
  <c r="L861" i="1"/>
  <c r="M861" i="1"/>
  <c r="U4" i="1"/>
  <c r="R858" i="1" l="1"/>
  <c r="R857" i="1"/>
  <c r="R856" i="1"/>
  <c r="R855" i="1"/>
  <c r="R854" i="1"/>
  <c r="R853" i="1"/>
  <c r="R852" i="1"/>
  <c r="R851" i="1"/>
  <c r="R850" i="1"/>
  <c r="R848" i="1"/>
  <c r="N857" i="1"/>
  <c r="N856" i="1"/>
  <c r="N855" i="1"/>
  <c r="N854" i="1"/>
  <c r="N853" i="1"/>
  <c r="N852" i="1"/>
  <c r="N851" i="1"/>
  <c r="N850" i="1"/>
  <c r="N848" i="1"/>
  <c r="N847" i="1"/>
  <c r="N846" i="1"/>
  <c r="N845" i="1"/>
  <c r="N844" i="1"/>
  <c r="N843" i="1"/>
  <c r="N842" i="1"/>
  <c r="S850" i="1" l="1"/>
  <c r="S854" i="1"/>
  <c r="S855" i="1"/>
  <c r="S852" i="1"/>
  <c r="S856" i="1"/>
  <c r="S851" i="1"/>
  <c r="S848" i="1"/>
  <c r="S853" i="1"/>
  <c r="S857" i="1"/>
  <c r="R833" i="1" l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S846" i="1" s="1"/>
  <c r="R847" i="1"/>
  <c r="R849" i="1"/>
  <c r="S849" i="1" s="1"/>
  <c r="N833" i="1"/>
  <c r="N834" i="1"/>
  <c r="N835" i="1"/>
  <c r="S835" i="1" s="1"/>
  <c r="N836" i="1"/>
  <c r="S836" i="1" s="1"/>
  <c r="N837" i="1"/>
  <c r="S837" i="1" s="1"/>
  <c r="N838" i="1"/>
  <c r="N839" i="1"/>
  <c r="S839" i="1" s="1"/>
  <c r="N840" i="1"/>
  <c r="S840" i="1" s="1"/>
  <c r="N841" i="1"/>
  <c r="S841" i="1" s="1"/>
  <c r="S838" i="1" l="1"/>
  <c r="S834" i="1"/>
  <c r="S833" i="1"/>
  <c r="S842" i="1"/>
  <c r="S845" i="1"/>
  <c r="S847" i="1"/>
  <c r="S844" i="1"/>
  <c r="S843" i="1"/>
  <c r="R822" i="1"/>
  <c r="R823" i="1"/>
  <c r="R824" i="1"/>
  <c r="R825" i="1"/>
  <c r="R826" i="1"/>
  <c r="R827" i="1"/>
  <c r="R828" i="1"/>
  <c r="R829" i="1"/>
  <c r="R830" i="1"/>
  <c r="R831" i="1"/>
  <c r="R832" i="1"/>
  <c r="N813" i="1"/>
  <c r="N814" i="1"/>
  <c r="N815" i="1"/>
  <c r="N816" i="1"/>
  <c r="N817" i="1"/>
  <c r="N818" i="1"/>
  <c r="N819" i="1"/>
  <c r="N820" i="1"/>
  <c r="N821" i="1"/>
  <c r="N822" i="1"/>
  <c r="S822" i="1" s="1"/>
  <c r="N823" i="1"/>
  <c r="N824" i="1"/>
  <c r="S824" i="1" s="1"/>
  <c r="N825" i="1"/>
  <c r="N826" i="1"/>
  <c r="N827" i="1"/>
  <c r="N828" i="1"/>
  <c r="N829" i="1"/>
  <c r="N830" i="1"/>
  <c r="N831" i="1"/>
  <c r="S831" i="1" s="1"/>
  <c r="N832" i="1"/>
  <c r="S832" i="1" s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S825" i="1" l="1"/>
  <c r="S815" i="1"/>
  <c r="S810" i="1"/>
  <c r="S806" i="1"/>
  <c r="S798" i="1"/>
  <c r="S820" i="1"/>
  <c r="S816" i="1"/>
  <c r="S811" i="1"/>
  <c r="S812" i="1"/>
  <c r="S808" i="1"/>
  <c r="S814" i="1"/>
  <c r="S818" i="1"/>
  <c r="S823" i="1"/>
  <c r="S819" i="1"/>
  <c r="S827" i="1"/>
  <c r="S807" i="1"/>
  <c r="S804" i="1"/>
  <c r="S800" i="1"/>
  <c r="S796" i="1"/>
  <c r="S826" i="1"/>
  <c r="S797" i="1"/>
  <c r="S799" i="1"/>
  <c r="S795" i="1"/>
  <c r="S817" i="1"/>
  <c r="S813" i="1"/>
  <c r="S801" i="1"/>
  <c r="S802" i="1"/>
  <c r="S828" i="1"/>
  <c r="S830" i="1"/>
  <c r="S829" i="1"/>
  <c r="S821" i="1"/>
  <c r="S809" i="1"/>
  <c r="S805" i="1"/>
  <c r="S803" i="1"/>
  <c r="R777" i="1"/>
  <c r="R778" i="1"/>
  <c r="R779" i="1"/>
  <c r="R780" i="1"/>
  <c r="R781" i="1"/>
  <c r="R782" i="1"/>
  <c r="R783" i="1"/>
  <c r="R784" i="1"/>
  <c r="R785" i="1"/>
  <c r="R786" i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N777" i="1"/>
  <c r="N778" i="1"/>
  <c r="N779" i="1"/>
  <c r="N780" i="1"/>
  <c r="N781" i="1"/>
  <c r="N782" i="1"/>
  <c r="N783" i="1"/>
  <c r="N784" i="1"/>
  <c r="N785" i="1"/>
  <c r="N786" i="1"/>
  <c r="S784" i="1" l="1"/>
  <c r="S780" i="1"/>
  <c r="S785" i="1"/>
  <c r="S783" i="1"/>
  <c r="S779" i="1"/>
  <c r="S782" i="1"/>
  <c r="S778" i="1"/>
  <c r="S777" i="1"/>
  <c r="S786" i="1"/>
  <c r="S781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N750" i="1"/>
  <c r="R750" i="1"/>
  <c r="N751" i="1"/>
  <c r="R751" i="1"/>
  <c r="N752" i="1"/>
  <c r="R752" i="1"/>
  <c r="N753" i="1"/>
  <c r="R753" i="1"/>
  <c r="N754" i="1"/>
  <c r="R754" i="1"/>
  <c r="N755" i="1"/>
  <c r="R755" i="1"/>
  <c r="N756" i="1"/>
  <c r="R756" i="1"/>
  <c r="N757" i="1"/>
  <c r="R757" i="1"/>
  <c r="N758" i="1"/>
  <c r="R758" i="1"/>
  <c r="N759" i="1"/>
  <c r="R759" i="1"/>
  <c r="N760" i="1"/>
  <c r="R760" i="1"/>
  <c r="N761" i="1"/>
  <c r="R761" i="1"/>
  <c r="N762" i="1"/>
  <c r="R762" i="1"/>
  <c r="N763" i="1"/>
  <c r="R763" i="1"/>
  <c r="N764" i="1"/>
  <c r="R764" i="1"/>
  <c r="N765" i="1"/>
  <c r="R765" i="1"/>
  <c r="N766" i="1"/>
  <c r="R766" i="1"/>
  <c r="N767" i="1"/>
  <c r="R767" i="1"/>
  <c r="N768" i="1"/>
  <c r="R768" i="1"/>
  <c r="N769" i="1"/>
  <c r="R769" i="1"/>
  <c r="N770" i="1"/>
  <c r="R770" i="1"/>
  <c r="N771" i="1"/>
  <c r="R771" i="1"/>
  <c r="N772" i="1"/>
  <c r="R772" i="1"/>
  <c r="N773" i="1"/>
  <c r="R773" i="1"/>
  <c r="N774" i="1"/>
  <c r="R774" i="1"/>
  <c r="N775" i="1"/>
  <c r="R775" i="1"/>
  <c r="N776" i="1"/>
  <c r="R776" i="1"/>
  <c r="N738" i="1"/>
  <c r="N739" i="1"/>
  <c r="N740" i="1"/>
  <c r="N741" i="1"/>
  <c r="N742" i="1"/>
  <c r="S749" i="1" l="1"/>
  <c r="S773" i="1"/>
  <c r="S765" i="1"/>
  <c r="S763" i="1"/>
  <c r="S761" i="1"/>
  <c r="S757" i="1"/>
  <c r="S755" i="1"/>
  <c r="S753" i="1"/>
  <c r="S751" i="1"/>
  <c r="S776" i="1"/>
  <c r="S774" i="1"/>
  <c r="S772" i="1"/>
  <c r="S768" i="1"/>
  <c r="S762" i="1"/>
  <c r="S760" i="1"/>
  <c r="S756" i="1"/>
  <c r="S752" i="1"/>
  <c r="S775" i="1"/>
  <c r="S771" i="1"/>
  <c r="S770" i="1"/>
  <c r="S769" i="1"/>
  <c r="S767" i="1"/>
  <c r="S766" i="1"/>
  <c r="S764" i="1"/>
  <c r="S759" i="1"/>
  <c r="S758" i="1"/>
  <c r="S754" i="1"/>
  <c r="S750" i="1"/>
  <c r="N737" i="1" l="1"/>
  <c r="S743" i="1" l="1"/>
  <c r="S744" i="1"/>
  <c r="S745" i="1"/>
  <c r="S746" i="1"/>
  <c r="S747" i="1"/>
  <c r="S748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S713" i="1" l="1"/>
  <c r="S705" i="1"/>
  <c r="S735" i="1"/>
  <c r="S707" i="1"/>
  <c r="S703" i="1"/>
  <c r="S699" i="1"/>
  <c r="S695" i="1"/>
  <c r="S691" i="1"/>
  <c r="S687" i="1"/>
  <c r="S706" i="1"/>
  <c r="S698" i="1"/>
  <c r="S690" i="1"/>
  <c r="S734" i="1"/>
  <c r="S722" i="1"/>
  <c r="S725" i="1"/>
  <c r="S697" i="1"/>
  <c r="S689" i="1"/>
  <c r="S685" i="1"/>
  <c r="S728" i="1"/>
  <c r="S724" i="1"/>
  <c r="S716" i="1"/>
  <c r="S712" i="1"/>
  <c r="S708" i="1"/>
  <c r="S700" i="1"/>
  <c r="S696" i="1"/>
  <c r="S688" i="1"/>
  <c r="S684" i="1"/>
  <c r="S732" i="1"/>
  <c r="S720" i="1"/>
  <c r="S704" i="1"/>
  <c r="S731" i="1"/>
  <c r="S727" i="1"/>
  <c r="S723" i="1"/>
  <c r="S719" i="1"/>
  <c r="S715" i="1"/>
  <c r="S726" i="1"/>
  <c r="S710" i="1"/>
  <c r="S702" i="1"/>
  <c r="S694" i="1"/>
  <c r="S686" i="1"/>
  <c r="S692" i="1"/>
  <c r="S721" i="1"/>
  <c r="S717" i="1"/>
  <c r="S709" i="1"/>
  <c r="S701" i="1"/>
  <c r="S693" i="1"/>
  <c r="S736" i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601" i="1" l="1"/>
  <c r="S602" i="1"/>
  <c r="S668" i="1"/>
  <c r="S664" i="1"/>
  <c r="S660" i="1"/>
  <c r="S671" i="1"/>
  <c r="S667" i="1"/>
  <c r="S663" i="1"/>
  <c r="S659" i="1"/>
  <c r="S670" i="1"/>
  <c r="S666" i="1"/>
  <c r="S662" i="1"/>
  <c r="S658" i="1"/>
  <c r="S669" i="1"/>
  <c r="S665" i="1"/>
  <c r="S661" i="1"/>
  <c r="S580" i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S858" i="1" s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4" i="1"/>
  <c r="L864" i="1"/>
  <c r="K864" i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AE857" i="1"/>
  <c r="S565" i="1"/>
  <c r="AE565" i="1" s="1"/>
  <c r="S569" i="1"/>
  <c r="AE569" i="1" s="1"/>
  <c r="AE577" i="1"/>
  <c r="AE581" i="1"/>
  <c r="AE585" i="1"/>
  <c r="AE858" i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<sst xmlns="http://schemas.openxmlformats.org/spreadsheetml/2006/main" count="1119" uniqueCount="289">
  <si>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</si>
  <si>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</si>
  <si>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</si>
  <si>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</si>
  <si>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</si>
  <si>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</si>
  <si>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</si>
  <si>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</si>
  <si>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</si>
  <si>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</si>
  <si>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</si>
  <si>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</si>
  <si>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</si>
  <si>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</si>
  <si>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</si>
  <si>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</si>
  <si>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</si>
  <si>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</si>
  <si>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</si>
  <si>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</si>
  <si>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</si>
  <si>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</si>
  <si>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</si>
  <si>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</si>
  <si>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</si>
  <si>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</si>
  <si>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</si>
  <si>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</si>
  <si>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</si>
  <si>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</si>
  <si>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</si>
  <si>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</si>
  <si>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</si>
  <si>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</si>
  <si>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</si>
  <si>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</si>
  <si>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</si>
  <si>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</si>
  <si>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</si>
  <si>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</si>
  <si>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</si>
  <si>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</si>
  <si>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</si>
  <si>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</si>
  <si>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</si>
  <si>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</si>
  <si>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</si>
  <si>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</si>
  <si>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</si>
  <si>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</si>
  <si>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</si>
  <si>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</si>
  <si>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</si>
  <si>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</si>
  <si>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</si>
  <si>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</si>
  <si>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</si>
  <si>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</si>
  <si>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</si>
  <si>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</si>
  <si>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</si>
  <si>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</si>
  <si>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</si>
  <si>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</si>
  <si>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</si>
  <si>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</si>
  <si>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</si>
  <si>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</si>
  <si>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</si>
  <si>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</si>
  <si>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</si>
  <si>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</si>
  <si>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</si>
  <si>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</si>
  <si>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</si>
  <si>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</si>
  <si>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</si>
  <si>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</si>
  <si>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</si>
  <si>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</si>
  <si>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</si>
  <si>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</si>
  <si>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</si>
  <si>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</si>
  <si>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</si>
  <si>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Periode : 01 to 11July,2026</t>
  </si>
  <si>
    <t>AUG</t>
  </si>
  <si>
    <t>Lahore</t>
  </si>
  <si>
    <t xml:space="preserve">Retail </t>
  </si>
  <si>
    <t xml:space="preserve">Zesahn </t>
  </si>
  <si>
    <t>Peadise Store</t>
  </si>
  <si>
    <t>Rehman Store</t>
  </si>
  <si>
    <t>DHA</t>
  </si>
  <si>
    <t>Umair</t>
  </si>
  <si>
    <t xml:space="preserve">Panda Mart </t>
  </si>
  <si>
    <t>Awan Super Store</t>
  </si>
  <si>
    <t>Chauhan Super Store</t>
  </si>
  <si>
    <t>Roshan Store</t>
  </si>
  <si>
    <t xml:space="preserve">Premier Mart </t>
  </si>
  <si>
    <t xml:space="preserve">Pak Arab </t>
  </si>
  <si>
    <t>Salman</t>
  </si>
  <si>
    <t>My Store</t>
  </si>
  <si>
    <t>Lala G Store</t>
  </si>
  <si>
    <t>M Sadique Store</t>
  </si>
  <si>
    <t xml:space="preserve">Shera Mart </t>
  </si>
  <si>
    <t>Murad Store</t>
  </si>
  <si>
    <t>Chishtiya Sabiyan Store</t>
  </si>
  <si>
    <t xml:space="preserve">Falcon Society </t>
  </si>
  <si>
    <t>LMT</t>
  </si>
  <si>
    <t xml:space="preserve">Shakoor </t>
  </si>
  <si>
    <t xml:space="preserve">Gourmet Food </t>
  </si>
  <si>
    <t>Riwand Road</t>
  </si>
  <si>
    <t xml:space="preserve">Basic Mart </t>
  </si>
  <si>
    <t xml:space="preserve">Shell Select </t>
  </si>
  <si>
    <t>Shell Select 2</t>
  </si>
  <si>
    <t>Shehzad Store</t>
  </si>
  <si>
    <t>Adnan Store</t>
  </si>
  <si>
    <t>Bilal Store</t>
  </si>
  <si>
    <t>Zafer Ali Road</t>
  </si>
  <si>
    <t xml:space="preserve">Zeshan </t>
  </si>
  <si>
    <t>Fakher Store</t>
  </si>
  <si>
    <t>Mian Store</t>
  </si>
  <si>
    <t>Saleem Store</t>
  </si>
  <si>
    <t>Malik Store</t>
  </si>
  <si>
    <t xml:space="preserve">Rise Cash N Carry </t>
  </si>
  <si>
    <t xml:space="preserve">Khalil Bakers </t>
  </si>
  <si>
    <t>Haji Store</t>
  </si>
  <si>
    <t>Mushraq Store</t>
  </si>
  <si>
    <t>Toheed Store</t>
  </si>
  <si>
    <t>MM Store</t>
  </si>
  <si>
    <t>Iqbal  Store</t>
  </si>
  <si>
    <t xml:space="preserve">Al Ghani </t>
  </si>
  <si>
    <t>Groccer Store</t>
  </si>
  <si>
    <t>My Choice</t>
  </si>
  <si>
    <t>Hafiz Store</t>
  </si>
  <si>
    <t>Smart Store</t>
  </si>
  <si>
    <t>Groccer Store 2</t>
  </si>
  <si>
    <t xml:space="preserve">Captain Mart </t>
  </si>
  <si>
    <t xml:space="preserve">Afzal Mart </t>
  </si>
  <si>
    <t>Fresh Store</t>
  </si>
  <si>
    <t>Shell Pump</t>
  </si>
  <si>
    <t xml:space="preserve">Al Rehman Mart </t>
  </si>
  <si>
    <t xml:space="preserve">Ajwa Bakers </t>
  </si>
  <si>
    <t>Jalil Store</t>
  </si>
  <si>
    <t>Marwa Store</t>
  </si>
  <si>
    <t>Noor Store</t>
  </si>
  <si>
    <t xml:space="preserve">Omega Mart </t>
  </si>
  <si>
    <t xml:space="preserve">24 Mart </t>
  </si>
  <si>
    <t xml:space="preserve">Ali Mart </t>
  </si>
  <si>
    <t xml:space="preserve">D Mart </t>
  </si>
  <si>
    <t>Statelife</t>
  </si>
  <si>
    <t>Husnain Super Store</t>
  </si>
  <si>
    <t>Khatak Store</t>
  </si>
  <si>
    <t>KK Store</t>
  </si>
  <si>
    <t>Shahdab Colony</t>
  </si>
  <si>
    <t>Nishter Store</t>
  </si>
  <si>
    <t>Rana Store</t>
  </si>
  <si>
    <t xml:space="preserve">786 Mart </t>
  </si>
  <si>
    <t xml:space="preserve">Shareef Mart </t>
  </si>
  <si>
    <t>Chaudry Store</t>
  </si>
  <si>
    <t>786 Store</t>
  </si>
  <si>
    <t>MS Store</t>
  </si>
  <si>
    <t>Al Shreef Store</t>
  </si>
  <si>
    <t>Value Store</t>
  </si>
  <si>
    <t>Ibraheem Store</t>
  </si>
  <si>
    <t>Sheikh Store</t>
  </si>
  <si>
    <t xml:space="preserve">Khan Brother </t>
  </si>
  <si>
    <t>Lal Store</t>
  </si>
  <si>
    <t>Imran Store</t>
  </si>
  <si>
    <t>Faizan Store</t>
  </si>
  <si>
    <t>Adeel Store</t>
  </si>
  <si>
    <t>Usman Store</t>
  </si>
  <si>
    <t>Gosia Store</t>
  </si>
  <si>
    <t>Delesia Store</t>
  </si>
  <si>
    <t>Qadri Store</t>
  </si>
  <si>
    <t>Nishat Road</t>
  </si>
  <si>
    <t>Punjab Store</t>
  </si>
  <si>
    <t xml:space="preserve">Urban Mart </t>
  </si>
  <si>
    <t>Rise Store</t>
  </si>
  <si>
    <t>Maharaja Store</t>
  </si>
  <si>
    <t>Akhter GS</t>
  </si>
  <si>
    <t>Ghazi Road</t>
  </si>
  <si>
    <t xml:space="preserve">Salman </t>
  </si>
  <si>
    <t>Madina Bakers</t>
  </si>
  <si>
    <t>Baba Welfair Store</t>
  </si>
  <si>
    <t xml:space="preserve">Adeel Bakers </t>
  </si>
  <si>
    <t xml:space="preserve">W Mart </t>
  </si>
  <si>
    <t xml:space="preserve">AH Mart </t>
  </si>
  <si>
    <t>Makkah Store</t>
  </si>
  <si>
    <t xml:space="preserve">MG Mart </t>
  </si>
  <si>
    <t>Kashif Super Store</t>
  </si>
  <si>
    <t>Umer GS</t>
  </si>
  <si>
    <t>Kashmir Store</t>
  </si>
  <si>
    <t>Tajpura</t>
  </si>
  <si>
    <t xml:space="preserve">HA Mega Mart </t>
  </si>
  <si>
    <t xml:space="preserve">Lutaf Mart </t>
  </si>
  <si>
    <t xml:space="preserve">Fateh Gher </t>
  </si>
  <si>
    <t>Rangers Head Quarter</t>
  </si>
  <si>
    <t>Shakoor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</si>
  <si>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</si>
  <si>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</si>
  <si>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</si>
  <si>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</si>
  <si>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</si>
  <si>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>Sohail Traders</t>
  </si>
  <si>
    <t xml:space="preserve">Lake City </t>
  </si>
  <si>
    <t>Ghajumata</t>
  </si>
  <si>
    <t xml:space="preserve">Iqbal Town </t>
  </si>
  <si>
    <t>Sabzaazar</t>
  </si>
  <si>
    <t>LDA Avenue Riwand</t>
  </si>
  <si>
    <t>Kasoor</t>
  </si>
  <si>
    <t>SD</t>
  </si>
  <si>
    <t xml:space="preserve">Bilal </t>
  </si>
  <si>
    <t>Jabbar</t>
  </si>
  <si>
    <t>Guru Mangat</t>
  </si>
  <si>
    <t xml:space="preserve">Costorial Pharmacy </t>
  </si>
  <si>
    <t>Muhammad Ali Store</t>
  </si>
  <si>
    <t xml:space="preserve">Ahmad Usman </t>
  </si>
  <si>
    <t>Alfalah Store</t>
  </si>
  <si>
    <t>Wali Super Store</t>
  </si>
  <si>
    <t>Shahid And Son</t>
  </si>
  <si>
    <t xml:space="preserve">K Mart </t>
  </si>
  <si>
    <t>Al Fateh Store</t>
  </si>
  <si>
    <t>Cavelry Ground</t>
  </si>
  <si>
    <t xml:space="preserve">Gulshan Mart </t>
  </si>
  <si>
    <t>Shah Jee Store</t>
  </si>
  <si>
    <t>Al Makkah Store</t>
  </si>
  <si>
    <t>Mozzam Store</t>
  </si>
  <si>
    <t>Kekis Bakers</t>
  </si>
  <si>
    <t xml:space="preserve">Palace Bakers </t>
  </si>
  <si>
    <t>Awan Market</t>
  </si>
  <si>
    <t xml:space="preserve">Zesahan </t>
  </si>
  <si>
    <t>Pakistan Store</t>
  </si>
  <si>
    <t>Trust Store</t>
  </si>
  <si>
    <t xml:space="preserve">Bravo Mart </t>
  </si>
  <si>
    <t>KS Mart</t>
  </si>
  <si>
    <t xml:space="preserve">Choice Mart </t>
  </si>
  <si>
    <t>Al Rehman Store</t>
  </si>
  <si>
    <t>Al Ghani Store</t>
  </si>
  <si>
    <t>Tariq Store</t>
  </si>
  <si>
    <t>MHT Store</t>
  </si>
  <si>
    <t>Abdullah Store</t>
  </si>
  <si>
    <t xml:space="preserve">Clinix </t>
  </si>
  <si>
    <t xml:space="preserve">Gourmet Foods </t>
  </si>
  <si>
    <t>Multan Road</t>
  </si>
  <si>
    <t xml:space="preserve">Head Office </t>
  </si>
  <si>
    <t>6 Brother</t>
  </si>
  <si>
    <t>Ali GS</t>
  </si>
  <si>
    <t>Kshmir Store</t>
  </si>
  <si>
    <t xml:space="preserve">Fazal Bakers </t>
  </si>
  <si>
    <t>Banjoor Store</t>
  </si>
  <si>
    <t>Babra Market</t>
  </si>
  <si>
    <t>Hikma Store 1</t>
  </si>
  <si>
    <t>Hikma Store 2</t>
  </si>
  <si>
    <t xml:space="preserve">Pick &amp; Pack </t>
  </si>
  <si>
    <t>Umaima Super Store</t>
  </si>
  <si>
    <t xml:space="preserve">Al Mustafa Mart </t>
  </si>
  <si>
    <t xml:space="preserve">Paragon City </t>
  </si>
  <si>
    <t>Bismillah Mart</t>
  </si>
  <si>
    <t>Waleed Super Store</t>
  </si>
  <si>
    <t>Khan Store</t>
  </si>
  <si>
    <t>Moon Store</t>
  </si>
  <si>
    <t>Awan Store</t>
  </si>
  <si>
    <t>Manter Store</t>
  </si>
  <si>
    <t xml:space="preserve">Bin Hadi </t>
  </si>
  <si>
    <t xml:space="preserve">HR Mart </t>
  </si>
  <si>
    <t xml:space="preserve">Shery Mart </t>
  </si>
  <si>
    <t>Arslan Store</t>
  </si>
  <si>
    <t>Madina Store</t>
  </si>
  <si>
    <t>Baber Store</t>
  </si>
  <si>
    <t>Euro Store</t>
  </si>
  <si>
    <t>D Store</t>
  </si>
  <si>
    <t>Gulshan Colony</t>
  </si>
  <si>
    <t>Imperia Departmental Store</t>
  </si>
  <si>
    <t>Zubaida Associates</t>
  </si>
  <si>
    <t>Rehman Pura</t>
  </si>
  <si>
    <t xml:space="preserve">Shadra </t>
  </si>
  <si>
    <t xml:space="preserve">Shikhupura </t>
  </si>
  <si>
    <t xml:space="preserve">Gujranwala </t>
  </si>
  <si>
    <t>Attari Darbar</t>
  </si>
  <si>
    <t>Rainbow</t>
  </si>
  <si>
    <t xml:space="preserve">Rainbow </t>
  </si>
  <si>
    <t xml:space="preserve">Fatima Mini Mart </t>
  </si>
  <si>
    <t>Bake &amp; Bite</t>
  </si>
  <si>
    <t xml:space="preserve">Umair Bakery </t>
  </si>
  <si>
    <t xml:space="preserve">Canal Park </t>
  </si>
  <si>
    <t>Khan Zada Store</t>
  </si>
  <si>
    <t>Aashiyana Store</t>
  </si>
  <si>
    <t>Cavelary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</si>
</sst>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8"/>
  <sheetViews>
    <sheetView tabSelected="1" workbookViewId="0">
      <pane xSplit="1" ySplit="2" topLeftCell="I131" activePane="bottomRight" state="frozen"/>
      <selection pane="topRight" activeCell="B1" sqref="B1"/>
      <selection pane="bottomLeft" activeCell="A3" sqref="A3"/>
      <selection pane="bottomRight" activeCell="L131" sqref="L131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 t="s">
        <v>26</v>
      </c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x14ac:dyDescent="0.35">
      <c r="A3" s="85">
        <v>46235</v>
      </c>
      <c r="B3" s="51" t="s">
        <v>86</v>
      </c>
      <c r="C3" s="97">
        <v>1651561</v>
      </c>
      <c r="D3" s="97">
        <v>564561</v>
      </c>
      <c r="E3" s="48" t="s">
        <v>87</v>
      </c>
      <c r="F3" s="86" t="s">
        <v>88</v>
      </c>
      <c r="G3" s="86" t="s">
        <v>90</v>
      </c>
      <c r="H3" s="86" t="s">
        <v>89</v>
      </c>
      <c r="I3" s="48" t="s">
        <v>92</v>
      </c>
      <c r="J3" s="103">
        <v>40</v>
      </c>
      <c r="K3" s="86"/>
      <c r="L3" s="86"/>
      <c r="M3" s="86"/>
      <c r="N3" s="104">
        <f>K3+L3+M3</f>
        <v>0</v>
      </c>
      <c r="O3" s="105"/>
      <c r="P3" s="105">
        <v>40</v>
      </c>
      <c r="Q3" s="105">
        <v>40</v>
      </c>
      <c r="R3" s="104">
        <f t="shared" ref="R3:R66" si="0">SUM(O3:Q3)</f>
        <v>80</v>
      </c>
      <c r="S3" s="86">
        <f>R3+N3+J3</f>
        <v>120</v>
      </c>
      <c r="T3" s="87"/>
      <c r="U3" s="87">
        <v>79950</v>
      </c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10287.599999999999</v>
      </c>
      <c r="AF3" s="90">
        <v>0.08</v>
      </c>
      <c r="AG3" s="4">
        <f>AE3*AF3</f>
        <v>823.00799999999992</v>
      </c>
      <c r="AH3" s="49">
        <f>(AB3*J3)*$AH$1</f>
        <v>54.978000000000009</v>
      </c>
      <c r="AI3" s="89">
        <f>AE3-AG3-AH3</f>
        <v>9409.6139999999996</v>
      </c>
      <c r="AJ3" s="91">
        <v>0.18</v>
      </c>
      <c r="AK3" s="5">
        <f>AI3*AJ3</f>
        <v>1693.7305199999998</v>
      </c>
      <c r="AL3" s="89">
        <f>AI3+AK3</f>
        <v>11103.344519999999</v>
      </c>
      <c r="AM3" s="92"/>
      <c r="AN3" s="92"/>
      <c r="AO3" s="3"/>
      <c r="AP3" s="92"/>
    </row>
    <row r="4" spans="1:42" x14ac:dyDescent="0.35">
      <c r="A4" s="85">
        <v>46235</v>
      </c>
      <c r="B4" s="51" t="s">
        <v>86</v>
      </c>
      <c r="C4" s="97">
        <v>64564561</v>
      </c>
      <c r="D4" s="97">
        <v>456165</v>
      </c>
      <c r="E4" s="48" t="s">
        <v>87</v>
      </c>
      <c r="F4" s="86" t="s">
        <v>88</v>
      </c>
      <c r="G4" s="86" t="s">
        <v>91</v>
      </c>
      <c r="H4" s="86" t="s">
        <v>89</v>
      </c>
      <c r="I4" s="48" t="s">
        <v>92</v>
      </c>
      <c r="J4" s="103"/>
      <c r="K4" s="105"/>
      <c r="L4" s="105"/>
      <c r="M4" s="105"/>
      <c r="N4" s="104">
        <f t="shared" ref="N4:N67" si="1">K4+L4+M4</f>
        <v>0</v>
      </c>
      <c r="O4" s="86">
        <v>40</v>
      </c>
      <c r="P4" s="86">
        <v>40</v>
      </c>
      <c r="Q4" s="86"/>
      <c r="R4" s="104">
        <f t="shared" si="0"/>
        <v>80</v>
      </c>
      <c r="S4" s="86">
        <f t="shared" ref="S4:S67" si="2">R4+N4+J4</f>
        <v>80</v>
      </c>
      <c r="T4" s="87"/>
      <c r="U4" s="87">
        <f>U3/40</f>
        <v>1998.75</v>
      </c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5811.2</v>
      </c>
      <c r="AF4" s="90">
        <v>6.5000000000000002E-2</v>
      </c>
      <c r="AG4" s="4">
        <f t="shared" ref="AG4:AG55" si="4">AE4*AF4</f>
        <v>377.72800000000001</v>
      </c>
      <c r="AH4" s="49">
        <f t="shared" ref="AH4:AH69" si="5">(AB4*J4)*$AH$1</f>
        <v>0</v>
      </c>
      <c r="AI4" s="89">
        <f t="shared" ref="AI4:AI69" si="6">AE4-AG4</f>
        <v>5433.4719999999998</v>
      </c>
      <c r="AJ4" s="91">
        <v>0.18</v>
      </c>
      <c r="AK4" s="5">
        <f t="shared" ref="AK4:AK69" si="7">AI4*AJ4</f>
        <v>978.02495999999996</v>
      </c>
      <c r="AL4" s="89">
        <f t="shared" ref="AL4:AL69" si="8">AI4+AK4</f>
        <v>6411.4969599999995</v>
      </c>
      <c r="AM4" s="92"/>
      <c r="AN4" s="92"/>
      <c r="AO4" s="3"/>
      <c r="AP4" s="92"/>
    </row>
    <row r="5" spans="1:42" x14ac:dyDescent="0.35">
      <c r="A5" s="85">
        <v>46235</v>
      </c>
      <c r="B5" s="51" t="s">
        <v>86</v>
      </c>
      <c r="C5" s="97">
        <v>15651651</v>
      </c>
      <c r="D5" s="97">
        <v>456165</v>
      </c>
      <c r="E5" s="48" t="s">
        <v>87</v>
      </c>
      <c r="F5" s="86" t="s">
        <v>88</v>
      </c>
      <c r="G5" s="86" t="s">
        <v>94</v>
      </c>
      <c r="H5" s="86" t="s">
        <v>93</v>
      </c>
      <c r="I5" s="48" t="s">
        <v>99</v>
      </c>
      <c r="J5" s="103"/>
      <c r="K5" s="86"/>
      <c r="L5" s="86"/>
      <c r="M5" s="86"/>
      <c r="N5" s="104">
        <f t="shared" si="1"/>
        <v>0</v>
      </c>
      <c r="O5" s="86">
        <v>40</v>
      </c>
      <c r="P5" s="86">
        <v>40</v>
      </c>
      <c r="Q5" s="86">
        <v>40</v>
      </c>
      <c r="R5" s="104">
        <f t="shared" si="0"/>
        <v>120</v>
      </c>
      <c r="S5" s="86">
        <f t="shared" si="2"/>
        <v>120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8716.7999999999993</v>
      </c>
      <c r="AF5" s="90">
        <v>6.5000000000000002E-2</v>
      </c>
      <c r="AG5" s="4">
        <f t="shared" si="4"/>
        <v>566.59199999999998</v>
      </c>
      <c r="AH5" s="49">
        <f t="shared" si="5"/>
        <v>0</v>
      </c>
      <c r="AI5" s="89">
        <f t="shared" si="6"/>
        <v>8150.2079999999996</v>
      </c>
      <c r="AJ5" s="91">
        <v>0.18</v>
      </c>
      <c r="AK5" s="5">
        <f t="shared" si="7"/>
        <v>1467.0374399999998</v>
      </c>
      <c r="AL5" s="89">
        <f t="shared" si="8"/>
        <v>9617.2454399999988</v>
      </c>
      <c r="AM5" s="92"/>
      <c r="AN5" s="92"/>
      <c r="AO5" s="3"/>
      <c r="AP5" s="92"/>
    </row>
    <row r="6" spans="1:42" x14ac:dyDescent="0.35">
      <c r="A6" s="85">
        <v>46235</v>
      </c>
      <c r="B6" s="51" t="s">
        <v>86</v>
      </c>
      <c r="C6" s="97">
        <v>51651651</v>
      </c>
      <c r="D6" s="97">
        <v>383901</v>
      </c>
      <c r="E6" s="48" t="s">
        <v>87</v>
      </c>
      <c r="F6" s="86" t="s">
        <v>88</v>
      </c>
      <c r="G6" s="86" t="s">
        <v>95</v>
      </c>
      <c r="H6" s="86" t="s">
        <v>93</v>
      </c>
      <c r="I6" s="48" t="s">
        <v>99</v>
      </c>
      <c r="J6" s="103"/>
      <c r="K6" s="105"/>
      <c r="L6" s="105"/>
      <c r="M6" s="105"/>
      <c r="N6" s="104">
        <f t="shared" si="1"/>
        <v>0</v>
      </c>
      <c r="O6" s="86">
        <v>40</v>
      </c>
      <c r="P6" s="86">
        <v>40</v>
      </c>
      <c r="Q6" s="86">
        <v>40</v>
      </c>
      <c r="R6" s="104">
        <f t="shared" si="0"/>
        <v>120</v>
      </c>
      <c r="S6" s="86">
        <f t="shared" si="2"/>
        <v>120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8716.7999999999993</v>
      </c>
      <c r="AF6" s="90">
        <v>6.5000000000000002E-2</v>
      </c>
      <c r="AG6" s="4">
        <f t="shared" si="4"/>
        <v>566.59199999999998</v>
      </c>
      <c r="AH6" s="49">
        <f t="shared" si="5"/>
        <v>0</v>
      </c>
      <c r="AI6" s="89">
        <f t="shared" si="6"/>
        <v>8150.2079999999996</v>
      </c>
      <c r="AJ6" s="91">
        <v>0.18</v>
      </c>
      <c r="AK6" s="5">
        <f t="shared" si="7"/>
        <v>1467.0374399999998</v>
      </c>
      <c r="AL6" s="89">
        <f t="shared" si="8"/>
        <v>9617.2454399999988</v>
      </c>
      <c r="AM6" s="92"/>
      <c r="AN6" s="92"/>
      <c r="AO6" s="3"/>
      <c r="AP6" s="92"/>
    </row>
    <row r="7" spans="1:42" ht="15" thickBot="1" x14ac:dyDescent="0.4">
      <c r="A7" s="85">
        <v>46235</v>
      </c>
      <c r="B7" s="51" t="s">
        <v>86</v>
      </c>
      <c r="C7" s="97">
        <v>15615616</v>
      </c>
      <c r="D7" s="97">
        <v>329703</v>
      </c>
      <c r="E7" s="48" t="s">
        <v>87</v>
      </c>
      <c r="F7" s="86" t="s">
        <v>88</v>
      </c>
      <c r="G7" s="86" t="s">
        <v>96</v>
      </c>
      <c r="H7" s="86" t="s">
        <v>93</v>
      </c>
      <c r="I7" s="48" t="s">
        <v>99</v>
      </c>
      <c r="J7" s="52"/>
      <c r="K7" s="105">
        <v>20</v>
      </c>
      <c r="L7" s="105">
        <v>20</v>
      </c>
      <c r="M7" s="105"/>
      <c r="N7" s="104">
        <f t="shared" si="1"/>
        <v>40</v>
      </c>
      <c r="O7" s="86"/>
      <c r="P7" s="86"/>
      <c r="Q7" s="86"/>
      <c r="R7" s="104">
        <f t="shared" si="0"/>
        <v>0</v>
      </c>
      <c r="S7" s="86">
        <f t="shared" si="2"/>
        <v>40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5004.1000000000004</v>
      </c>
      <c r="AF7" s="90">
        <v>6.5000000000000002E-2</v>
      </c>
      <c r="AG7" s="4">
        <f>AE7*AF7</f>
        <v>325.26650000000001</v>
      </c>
      <c r="AH7" s="49">
        <f t="shared" si="5"/>
        <v>0</v>
      </c>
      <c r="AI7" s="89">
        <f t="shared" si="6"/>
        <v>4678.8335000000006</v>
      </c>
      <c r="AJ7" s="91">
        <v>0.18</v>
      </c>
      <c r="AK7" s="5">
        <f t="shared" si="7"/>
        <v>842.19003000000009</v>
      </c>
      <c r="AL7" s="89">
        <f t="shared" si="8"/>
        <v>5521.0235300000004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46235</v>
      </c>
      <c r="B8" s="51" t="s">
        <v>86</v>
      </c>
      <c r="C8" s="97">
        <v>1561651561</v>
      </c>
      <c r="D8" s="97">
        <v>275505</v>
      </c>
      <c r="E8" s="48" t="s">
        <v>87</v>
      </c>
      <c r="F8" s="86" t="s">
        <v>88</v>
      </c>
      <c r="G8" s="86" t="s">
        <v>97</v>
      </c>
      <c r="H8" s="86" t="s">
        <v>93</v>
      </c>
      <c r="I8" s="48" t="s">
        <v>99</v>
      </c>
      <c r="J8" s="52">
        <v>40</v>
      </c>
      <c r="K8" s="86"/>
      <c r="L8" s="86"/>
      <c r="M8" s="86"/>
      <c r="N8" s="104">
        <f t="shared" si="1"/>
        <v>0</v>
      </c>
      <c r="O8" s="86">
        <v>14</v>
      </c>
      <c r="P8" s="86">
        <v>14</v>
      </c>
      <c r="Q8" s="86">
        <v>12</v>
      </c>
      <c r="R8" s="104">
        <f t="shared" si="0"/>
        <v>40</v>
      </c>
      <c r="S8" s="86">
        <f t="shared" si="2"/>
        <v>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7382</v>
      </c>
      <c r="AF8" s="90">
        <v>6.5000000000000002E-2</v>
      </c>
      <c r="AG8" s="4">
        <f t="shared" si="4"/>
        <v>479.83000000000004</v>
      </c>
      <c r="AH8" s="49">
        <f t="shared" si="5"/>
        <v>54.978000000000009</v>
      </c>
      <c r="AI8" s="89">
        <f t="shared" si="6"/>
        <v>6902.17</v>
      </c>
      <c r="AJ8" s="91">
        <v>0.18</v>
      </c>
      <c r="AK8" s="5">
        <f t="shared" si="7"/>
        <v>1242.3905999999999</v>
      </c>
      <c r="AL8" s="89">
        <f t="shared" si="8"/>
        <v>8144.5605999999998</v>
      </c>
      <c r="AN8"/>
      <c r="AP8" s="92"/>
    </row>
    <row r="9" spans="1:42" x14ac:dyDescent="0.35">
      <c r="A9" s="85">
        <v>46235</v>
      </c>
      <c r="B9" s="51" t="s">
        <v>86</v>
      </c>
      <c r="C9" s="97">
        <v>56151651651</v>
      </c>
      <c r="D9" s="97">
        <v>221307</v>
      </c>
      <c r="E9" s="48" t="s">
        <v>87</v>
      </c>
      <c r="F9" s="86" t="s">
        <v>88</v>
      </c>
      <c r="G9" s="86" t="s">
        <v>98</v>
      </c>
      <c r="H9" s="86" t="s">
        <v>93</v>
      </c>
      <c r="I9" s="48" t="s">
        <v>99</v>
      </c>
      <c r="J9" s="52">
        <v>40</v>
      </c>
      <c r="K9" s="86">
        <v>20</v>
      </c>
      <c r="L9" s="86"/>
      <c r="M9" s="86"/>
      <c r="N9" s="104">
        <f t="shared" si="1"/>
        <v>20</v>
      </c>
      <c r="O9" s="86">
        <v>30</v>
      </c>
      <c r="P9" s="86">
        <v>30</v>
      </c>
      <c r="Q9" s="86"/>
      <c r="R9" s="104">
        <f t="shared" si="0"/>
        <v>60</v>
      </c>
      <c r="S9" s="86">
        <f t="shared" si="2"/>
        <v>120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11336.849999999999</v>
      </c>
      <c r="AF9" s="90">
        <v>0.1</v>
      </c>
      <c r="AG9" s="4">
        <f t="shared" si="4"/>
        <v>1133.6849999999999</v>
      </c>
      <c r="AH9" s="49">
        <f t="shared" si="5"/>
        <v>54.978000000000009</v>
      </c>
      <c r="AI9" s="89">
        <f t="shared" si="6"/>
        <v>10203.164999999999</v>
      </c>
      <c r="AJ9" s="91">
        <v>0.18</v>
      </c>
      <c r="AK9" s="5">
        <f t="shared" si="7"/>
        <v>1836.5696999999998</v>
      </c>
      <c r="AL9" s="89">
        <f t="shared" si="8"/>
        <v>12039.734699999999</v>
      </c>
      <c r="AN9"/>
      <c r="AP9" s="92"/>
    </row>
    <row r="10" spans="1:42" x14ac:dyDescent="0.35">
      <c r="A10" s="85">
        <v>46235</v>
      </c>
      <c r="B10" s="51" t="s">
        <v>86</v>
      </c>
      <c r="C10" s="97">
        <v>32758082355.285702</v>
      </c>
      <c r="D10" s="97">
        <v>167109</v>
      </c>
      <c r="E10" s="48" t="s">
        <v>87</v>
      </c>
      <c r="F10" s="86" t="s">
        <v>88</v>
      </c>
      <c r="G10" s="86" t="s">
        <v>101</v>
      </c>
      <c r="H10" s="86" t="s">
        <v>100</v>
      </c>
      <c r="I10" s="48" t="s">
        <v>107</v>
      </c>
      <c r="J10" s="52">
        <v>40</v>
      </c>
      <c r="K10" s="86"/>
      <c r="L10" s="86"/>
      <c r="M10" s="86"/>
      <c r="N10" s="104">
        <f t="shared" si="1"/>
        <v>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160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13193.2</v>
      </c>
      <c r="AF10" s="90">
        <v>6.5000000000000002E-2</v>
      </c>
      <c r="AG10" s="4">
        <f t="shared" si="4"/>
        <v>857.55800000000011</v>
      </c>
      <c r="AH10" s="49">
        <f t="shared" si="5"/>
        <v>54.978000000000009</v>
      </c>
      <c r="AI10" s="89">
        <f t="shared" si="6"/>
        <v>12335.642</v>
      </c>
      <c r="AJ10" s="91">
        <v>0.18</v>
      </c>
      <c r="AK10" s="5">
        <f t="shared" si="7"/>
        <v>2220.4155599999999</v>
      </c>
      <c r="AL10" s="89">
        <f t="shared" si="8"/>
        <v>14556.057559999999</v>
      </c>
      <c r="AP10" s="92"/>
    </row>
    <row r="11" spans="1:42" x14ac:dyDescent="0.35">
      <c r="A11" s="85">
        <v>46235</v>
      </c>
      <c r="B11" s="51" t="s">
        <v>86</v>
      </c>
      <c r="C11" s="97">
        <v>38881087292.25</v>
      </c>
      <c r="D11" s="97">
        <v>112911</v>
      </c>
      <c r="E11" s="48" t="s">
        <v>87</v>
      </c>
      <c r="F11" s="86" t="s">
        <v>88</v>
      </c>
      <c r="G11" s="86" t="s">
        <v>102</v>
      </c>
      <c r="H11" s="86" t="s">
        <v>100</v>
      </c>
      <c r="I11" s="48" t="s">
        <v>107</v>
      </c>
      <c r="J11" s="52">
        <v>40</v>
      </c>
      <c r="K11" s="105"/>
      <c r="L11" s="105"/>
      <c r="M11" s="105"/>
      <c r="N11" s="104">
        <f t="shared" si="1"/>
        <v>0</v>
      </c>
      <c r="O11" s="105">
        <v>12</v>
      </c>
      <c r="P11" s="86">
        <v>13</v>
      </c>
      <c r="Q11" s="105">
        <v>15</v>
      </c>
      <c r="R11" s="104">
        <f t="shared" si="0"/>
        <v>40</v>
      </c>
      <c r="S11" s="86">
        <f t="shared" si="2"/>
        <v>80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7382</v>
      </c>
      <c r="AF11" s="90">
        <v>6.5000000000000002E-2</v>
      </c>
      <c r="AG11" s="4">
        <f t="shared" si="4"/>
        <v>479.83000000000004</v>
      </c>
      <c r="AH11" s="49">
        <f t="shared" si="5"/>
        <v>54.978000000000009</v>
      </c>
      <c r="AI11" s="89">
        <f t="shared" si="6"/>
        <v>6902.17</v>
      </c>
      <c r="AJ11" s="91">
        <v>0.18</v>
      </c>
      <c r="AK11" s="5">
        <f t="shared" si="7"/>
        <v>1242.3905999999999</v>
      </c>
      <c r="AL11" s="89">
        <f t="shared" si="8"/>
        <v>8144.5605999999998</v>
      </c>
      <c r="AP11" s="92"/>
    </row>
    <row r="12" spans="1:42" x14ac:dyDescent="0.35">
      <c r="A12" s="85">
        <v>46235</v>
      </c>
      <c r="B12" s="51" t="s">
        <v>86</v>
      </c>
      <c r="C12" s="97">
        <v>45004092229.214302</v>
      </c>
      <c r="D12" s="97">
        <v>58713</v>
      </c>
      <c r="E12" s="48" t="s">
        <v>87</v>
      </c>
      <c r="F12" s="86" t="s">
        <v>88</v>
      </c>
      <c r="G12" s="86" t="s">
        <v>103</v>
      </c>
      <c r="H12" s="86" t="s">
        <v>100</v>
      </c>
      <c r="I12" s="48" t="s">
        <v>107</v>
      </c>
      <c r="J12" s="52">
        <v>20</v>
      </c>
      <c r="K12" s="86"/>
      <c r="L12" s="105"/>
      <c r="M12" s="86"/>
      <c r="N12" s="104">
        <f t="shared" si="1"/>
        <v>0</v>
      </c>
      <c r="O12" s="105"/>
      <c r="P12" s="105"/>
      <c r="Q12" s="105"/>
      <c r="R12" s="104">
        <f t="shared" si="0"/>
        <v>0</v>
      </c>
      <c r="S12" s="86">
        <f t="shared" si="2"/>
        <v>20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2238.1999999999998</v>
      </c>
      <c r="AF12" s="90">
        <v>6.5000000000000002E-2</v>
      </c>
      <c r="AG12" s="4">
        <f t="shared" si="4"/>
        <v>145.483</v>
      </c>
      <c r="AH12" s="49">
        <f t="shared" si="5"/>
        <v>27.489000000000004</v>
      </c>
      <c r="AI12" s="89">
        <f t="shared" si="6"/>
        <v>2092.7169999999996</v>
      </c>
      <c r="AJ12" s="91">
        <v>0.18</v>
      </c>
      <c r="AK12" s="5">
        <f t="shared" si="7"/>
        <v>376.68905999999993</v>
      </c>
      <c r="AL12" s="89">
        <f t="shared" si="8"/>
        <v>2469.4060599999993</v>
      </c>
      <c r="AP12" s="92"/>
    </row>
    <row r="13" spans="1:42" x14ac:dyDescent="0.35">
      <c r="A13" s="85">
        <v>46235</v>
      </c>
      <c r="B13" s="51" t="s">
        <v>86</v>
      </c>
      <c r="C13" s="97">
        <v>51127097166.178596</v>
      </c>
      <c r="D13" s="97">
        <v>4515</v>
      </c>
      <c r="E13" s="48" t="s">
        <v>87</v>
      </c>
      <c r="F13" s="86" t="s">
        <v>88</v>
      </c>
      <c r="G13" s="86" t="s">
        <v>104</v>
      </c>
      <c r="H13" s="86" t="s">
        <v>100</v>
      </c>
      <c r="I13" s="48" t="s">
        <v>107</v>
      </c>
      <c r="J13" s="52">
        <v>20</v>
      </c>
      <c r="K13" s="86">
        <v>20</v>
      </c>
      <c r="L13" s="86">
        <v>20</v>
      </c>
      <c r="M13" s="86"/>
      <c r="N13" s="104">
        <f t="shared" si="1"/>
        <v>40</v>
      </c>
      <c r="O13" s="105"/>
      <c r="P13" s="105"/>
      <c r="Q13" s="105"/>
      <c r="R13" s="104">
        <f t="shared" si="0"/>
        <v>0</v>
      </c>
      <c r="S13" s="86">
        <f t="shared" si="2"/>
        <v>60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7242.2999999999993</v>
      </c>
      <c r="AF13" s="90">
        <v>6.5000000000000002E-2</v>
      </c>
      <c r="AG13" s="4">
        <f t="shared" si="4"/>
        <v>470.74949999999995</v>
      </c>
      <c r="AH13" s="49">
        <f t="shared" si="5"/>
        <v>27.489000000000004</v>
      </c>
      <c r="AI13" s="89">
        <f t="shared" si="6"/>
        <v>6771.5504999999994</v>
      </c>
      <c r="AJ13" s="91">
        <v>0.18</v>
      </c>
      <c r="AK13" s="5">
        <f t="shared" si="7"/>
        <v>1218.8790899999999</v>
      </c>
      <c r="AL13" s="89">
        <f t="shared" si="8"/>
        <v>7990.4295899999997</v>
      </c>
      <c r="AP13" s="92"/>
    </row>
    <row r="14" spans="1:42" x14ac:dyDescent="0.35">
      <c r="A14" s="85">
        <v>46235</v>
      </c>
      <c r="B14" s="51" t="s">
        <v>86</v>
      </c>
      <c r="C14" s="97">
        <v>57250102103.142799</v>
      </c>
      <c r="D14" s="97">
        <v>49683</v>
      </c>
      <c r="E14" s="48" t="s">
        <v>87</v>
      </c>
      <c r="F14" s="86" t="s">
        <v>88</v>
      </c>
      <c r="G14" s="86" t="s">
        <v>105</v>
      </c>
      <c r="H14" s="86" t="s">
        <v>100</v>
      </c>
      <c r="I14" s="48" t="s">
        <v>107</v>
      </c>
      <c r="J14" s="52">
        <v>12</v>
      </c>
      <c r="K14" s="86"/>
      <c r="L14" s="86"/>
      <c r="M14" s="86"/>
      <c r="N14" s="104">
        <f t="shared" si="1"/>
        <v>0</v>
      </c>
      <c r="O14" s="105"/>
      <c r="P14" s="105"/>
      <c r="Q14" s="105"/>
      <c r="R14" s="104">
        <f t="shared" si="0"/>
        <v>0</v>
      </c>
      <c r="S14" s="86">
        <f t="shared" si="2"/>
        <v>12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1342.92</v>
      </c>
      <c r="AF14" s="90">
        <v>6.5000000000000002E-2</v>
      </c>
      <c r="AG14" s="4">
        <f t="shared" si="4"/>
        <v>87.289800000000014</v>
      </c>
      <c r="AH14" s="49">
        <f t="shared" si="5"/>
        <v>16.493400000000001</v>
      </c>
      <c r="AI14" s="89">
        <f t="shared" si="6"/>
        <v>1255.6302000000001</v>
      </c>
      <c r="AJ14" s="91">
        <v>0.18</v>
      </c>
      <c r="AK14" s="5">
        <f t="shared" si="7"/>
        <v>226.01343600000001</v>
      </c>
      <c r="AL14" s="89">
        <f t="shared" si="8"/>
        <v>1481.643636</v>
      </c>
      <c r="AP14" s="92"/>
    </row>
    <row r="15" spans="1:42" x14ac:dyDescent="0.35">
      <c r="A15" s="85">
        <v>46235</v>
      </c>
      <c r="B15" s="51" t="s">
        <v>86</v>
      </c>
      <c r="C15" s="97">
        <v>63373107040.107101</v>
      </c>
      <c r="D15" s="97">
        <v>103881</v>
      </c>
      <c r="E15" s="48" t="s">
        <v>87</v>
      </c>
      <c r="F15" s="86" t="s">
        <v>88</v>
      </c>
      <c r="G15" s="86" t="s">
        <v>106</v>
      </c>
      <c r="H15" s="86" t="s">
        <v>100</v>
      </c>
      <c r="I15" s="48" t="s">
        <v>107</v>
      </c>
      <c r="J15" s="52"/>
      <c r="K15" s="105">
        <v>15</v>
      </c>
      <c r="L15" s="105"/>
      <c r="M15" s="105"/>
      <c r="N15" s="104">
        <f t="shared" si="1"/>
        <v>15</v>
      </c>
      <c r="O15" s="86">
        <v>12</v>
      </c>
      <c r="P15" s="86"/>
      <c r="Q15" s="86"/>
      <c r="R15" s="104">
        <f t="shared" si="0"/>
        <v>12</v>
      </c>
      <c r="S15" s="86">
        <f t="shared" si="2"/>
        <v>27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2748.2174999999997</v>
      </c>
      <c r="AF15" s="90">
        <v>6.5000000000000002E-2</v>
      </c>
      <c r="AG15" s="4">
        <f t="shared" si="4"/>
        <v>178.63413749999998</v>
      </c>
      <c r="AH15" s="49">
        <f t="shared" si="5"/>
        <v>0</v>
      </c>
      <c r="AI15" s="89">
        <f t="shared" si="6"/>
        <v>2569.5833624999996</v>
      </c>
      <c r="AJ15" s="91">
        <v>0.18</v>
      </c>
      <c r="AK15" s="5">
        <f t="shared" si="7"/>
        <v>462.52500524999988</v>
      </c>
      <c r="AL15" s="89">
        <f t="shared" si="8"/>
        <v>3032.1083677499996</v>
      </c>
      <c r="AP15" s="92"/>
    </row>
    <row r="16" spans="1:42" x14ac:dyDescent="0.35">
      <c r="A16" s="85">
        <v>46235</v>
      </c>
      <c r="B16" s="51" t="s">
        <v>86</v>
      </c>
      <c r="C16" s="97">
        <v>69496111977.071396</v>
      </c>
      <c r="D16" s="97">
        <v>158079</v>
      </c>
      <c r="E16" s="48" t="s">
        <v>87</v>
      </c>
      <c r="F16" s="86" t="s">
        <v>108</v>
      </c>
      <c r="G16" s="86" t="s">
        <v>110</v>
      </c>
      <c r="H16" s="86" t="s">
        <v>109</v>
      </c>
      <c r="I16" s="48" t="s">
        <v>111</v>
      </c>
      <c r="J16" s="52">
        <v>40</v>
      </c>
      <c r="K16" s="86">
        <v>40</v>
      </c>
      <c r="L16" s="86">
        <v>40</v>
      </c>
      <c r="M16" s="86">
        <v>40</v>
      </c>
      <c r="N16" s="104">
        <f t="shared" si="1"/>
        <v>120</v>
      </c>
      <c r="O16" s="86">
        <v>40</v>
      </c>
      <c r="P16" s="105">
        <v>40</v>
      </c>
      <c r="Q16" s="105">
        <v>40</v>
      </c>
      <c r="R16" s="104">
        <f t="shared" si="0"/>
        <v>120</v>
      </c>
      <c r="S16" s="86">
        <f t="shared" si="2"/>
        <v>280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28205.5</v>
      </c>
      <c r="AF16" s="90">
        <v>6.5000000000000002E-2</v>
      </c>
      <c r="AG16" s="4">
        <f t="shared" si="4"/>
        <v>1833.3575000000001</v>
      </c>
      <c r="AH16" s="49">
        <f t="shared" si="5"/>
        <v>54.978000000000009</v>
      </c>
      <c r="AI16" s="89">
        <f t="shared" si="6"/>
        <v>26372.142500000002</v>
      </c>
      <c r="AJ16" s="91">
        <v>0.18</v>
      </c>
      <c r="AK16" s="5">
        <f t="shared" si="7"/>
        <v>4746.9856500000005</v>
      </c>
      <c r="AL16" s="89">
        <f t="shared" si="8"/>
        <v>31119.128150000004</v>
      </c>
      <c r="AP16" s="92"/>
    </row>
    <row r="17" spans="1:42" x14ac:dyDescent="0.35">
      <c r="A17" s="85">
        <v>46237</v>
      </c>
      <c r="B17" s="51" t="s">
        <v>86</v>
      </c>
      <c r="C17" s="97">
        <v>75619116914.035706</v>
      </c>
      <c r="D17" s="97">
        <v>212277</v>
      </c>
      <c r="E17" s="48" t="s">
        <v>87</v>
      </c>
      <c r="F17" s="86" t="s">
        <v>88</v>
      </c>
      <c r="G17" s="86" t="s">
        <v>112</v>
      </c>
      <c r="H17" s="86" t="s">
        <v>100</v>
      </c>
      <c r="I17" s="48" t="s">
        <v>118</v>
      </c>
      <c r="J17" s="52"/>
      <c r="K17" s="105"/>
      <c r="L17" s="105"/>
      <c r="M17" s="105"/>
      <c r="N17" s="104">
        <f t="shared" si="1"/>
        <v>0</v>
      </c>
      <c r="O17" s="86">
        <v>10</v>
      </c>
      <c r="P17" s="105">
        <v>15</v>
      </c>
      <c r="Q17" s="105">
        <v>15</v>
      </c>
      <c r="R17" s="104">
        <f t="shared" si="0"/>
        <v>40</v>
      </c>
      <c r="S17" s="86">
        <f t="shared" si="2"/>
        <v>40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2905.6</v>
      </c>
      <c r="AF17" s="90">
        <v>6.5000000000000002E-2</v>
      </c>
      <c r="AG17" s="4">
        <f t="shared" si="4"/>
        <v>188.864</v>
      </c>
      <c r="AH17" s="49">
        <f t="shared" si="5"/>
        <v>0</v>
      </c>
      <c r="AI17" s="89">
        <f t="shared" si="6"/>
        <v>2716.7359999999999</v>
      </c>
      <c r="AJ17" s="91">
        <v>0.18</v>
      </c>
      <c r="AK17" s="5">
        <f t="shared" si="7"/>
        <v>489.01247999999998</v>
      </c>
      <c r="AL17" s="89">
        <f t="shared" si="8"/>
        <v>3205.7484799999997</v>
      </c>
      <c r="AP17" s="92"/>
    </row>
    <row r="18" spans="1:42" x14ac:dyDescent="0.35">
      <c r="A18" s="85">
        <v>46237</v>
      </c>
      <c r="B18" s="51" t="s">
        <v>86</v>
      </c>
      <c r="C18" s="97">
        <v>81742121851</v>
      </c>
      <c r="D18" s="97">
        <v>266475</v>
      </c>
      <c r="E18" s="48" t="s">
        <v>87</v>
      </c>
      <c r="F18" s="86" t="s">
        <v>88</v>
      </c>
      <c r="G18" s="86" t="s">
        <v>113</v>
      </c>
      <c r="H18" s="86" t="s">
        <v>100</v>
      </c>
      <c r="I18" s="48" t="s">
        <v>118</v>
      </c>
      <c r="J18" s="52">
        <v>40</v>
      </c>
      <c r="K18" s="105"/>
      <c r="L18" s="105"/>
      <c r="M18" s="105"/>
      <c r="N18" s="104">
        <f t="shared" si="1"/>
        <v>0</v>
      </c>
      <c r="O18" s="86">
        <v>20</v>
      </c>
      <c r="P18" s="105"/>
      <c r="Q18" s="86"/>
      <c r="R18" s="104">
        <f t="shared" si="0"/>
        <v>20</v>
      </c>
      <c r="S18" s="86">
        <f t="shared" si="2"/>
        <v>60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5929.2</v>
      </c>
      <c r="AF18" s="90">
        <v>6.5000000000000002E-2</v>
      </c>
      <c r="AG18" s="4">
        <f t="shared" si="4"/>
        <v>385.39800000000002</v>
      </c>
      <c r="AH18" s="49">
        <f t="shared" si="5"/>
        <v>54.978000000000009</v>
      </c>
      <c r="AI18" s="89">
        <f t="shared" si="6"/>
        <v>5543.8019999999997</v>
      </c>
      <c r="AJ18" s="91">
        <v>0.18</v>
      </c>
      <c r="AK18" s="5">
        <f t="shared" si="7"/>
        <v>997.8843599999999</v>
      </c>
      <c r="AL18" s="89">
        <f t="shared" si="8"/>
        <v>6541.6863599999997</v>
      </c>
      <c r="AP18" s="92"/>
    </row>
    <row r="19" spans="1:42" x14ac:dyDescent="0.35">
      <c r="A19" s="85">
        <v>46237</v>
      </c>
      <c r="B19" s="51" t="s">
        <v>86</v>
      </c>
      <c r="C19" s="97">
        <v>87865126787.964294</v>
      </c>
      <c r="D19" s="97">
        <v>320673</v>
      </c>
      <c r="E19" s="48" t="s">
        <v>87</v>
      </c>
      <c r="F19" s="86" t="s">
        <v>88</v>
      </c>
      <c r="G19" s="86" t="s">
        <v>114</v>
      </c>
      <c r="H19" s="86" t="s">
        <v>100</v>
      </c>
      <c r="I19" s="48" t="s">
        <v>118</v>
      </c>
      <c r="J19" s="52">
        <v>40</v>
      </c>
      <c r="K19" s="86">
        <v>40</v>
      </c>
      <c r="L19" s="86">
        <v>40</v>
      </c>
      <c r="M19" s="86"/>
      <c r="N19" s="104">
        <f t="shared" si="1"/>
        <v>80</v>
      </c>
      <c r="O19" s="86">
        <v>40</v>
      </c>
      <c r="P19" s="86">
        <v>40</v>
      </c>
      <c r="Q19" s="86">
        <v>40</v>
      </c>
      <c r="R19" s="104">
        <f t="shared" si="0"/>
        <v>120</v>
      </c>
      <c r="S19" s="86">
        <f t="shared" si="2"/>
        <v>240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23201.399999999998</v>
      </c>
      <c r="AF19" s="90">
        <v>6.5000000000000002E-2</v>
      </c>
      <c r="AG19" s="4">
        <f t="shared" si="4"/>
        <v>1508.0909999999999</v>
      </c>
      <c r="AH19" s="49">
        <f t="shared" si="5"/>
        <v>54.978000000000009</v>
      </c>
      <c r="AI19" s="89">
        <f t="shared" si="6"/>
        <v>21693.308999999997</v>
      </c>
      <c r="AJ19" s="91">
        <v>0.18</v>
      </c>
      <c r="AK19" s="5">
        <f t="shared" si="7"/>
        <v>3904.7956199999994</v>
      </c>
      <c r="AL19" s="89">
        <f t="shared" si="8"/>
        <v>25598.104619999998</v>
      </c>
      <c r="AP19" s="92"/>
    </row>
    <row r="20" spans="1:42" x14ac:dyDescent="0.35">
      <c r="A20" s="85">
        <v>46237</v>
      </c>
      <c r="B20" s="51" t="s">
        <v>86</v>
      </c>
      <c r="C20" s="97">
        <v>93988131724.928696</v>
      </c>
      <c r="D20" s="97">
        <v>374871</v>
      </c>
      <c r="E20" s="48" t="s">
        <v>87</v>
      </c>
      <c r="F20" s="86" t="s">
        <v>88</v>
      </c>
      <c r="G20" s="86" t="s">
        <v>115</v>
      </c>
      <c r="H20" s="86" t="s">
        <v>100</v>
      </c>
      <c r="I20" s="48" t="s">
        <v>118</v>
      </c>
      <c r="J20" s="52">
        <v>40</v>
      </c>
      <c r="K20" s="105"/>
      <c r="L20" s="105"/>
      <c r="M20" s="105"/>
      <c r="N20" s="104">
        <f t="shared" si="1"/>
        <v>0</v>
      </c>
      <c r="O20" s="86"/>
      <c r="P20" s="86"/>
      <c r="Q20" s="86"/>
      <c r="R20" s="104">
        <f t="shared" si="0"/>
        <v>0</v>
      </c>
      <c r="S20" s="86">
        <f t="shared" si="2"/>
        <v>40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4476.3999999999996</v>
      </c>
      <c r="AF20" s="90">
        <v>6.5000000000000002E-2</v>
      </c>
      <c r="AG20" s="4">
        <f t="shared" si="4"/>
        <v>290.96600000000001</v>
      </c>
      <c r="AH20" s="49">
        <f t="shared" si="5"/>
        <v>54.978000000000009</v>
      </c>
      <c r="AI20" s="89">
        <f t="shared" si="6"/>
        <v>4185.4339999999993</v>
      </c>
      <c r="AJ20" s="91">
        <v>0.18</v>
      </c>
      <c r="AK20" s="5">
        <f t="shared" si="7"/>
        <v>753.37811999999985</v>
      </c>
      <c r="AL20" s="89">
        <f t="shared" si="8"/>
        <v>4938.8121199999987</v>
      </c>
      <c r="AP20" s="92"/>
    </row>
    <row r="21" spans="1:42" x14ac:dyDescent="0.35">
      <c r="A21" s="85">
        <v>46237</v>
      </c>
      <c r="B21" s="51" t="s">
        <v>86</v>
      </c>
      <c r="C21" s="97">
        <v>100111136661.89301</v>
      </c>
      <c r="D21" s="97">
        <v>429069</v>
      </c>
      <c r="E21" s="48" t="s">
        <v>87</v>
      </c>
      <c r="F21" s="86" t="s">
        <v>88</v>
      </c>
      <c r="G21" s="86" t="s">
        <v>116</v>
      </c>
      <c r="H21" s="86" t="s">
        <v>100</v>
      </c>
      <c r="I21" s="48" t="s">
        <v>118</v>
      </c>
      <c r="J21" s="52">
        <v>15</v>
      </c>
      <c r="K21" s="86"/>
      <c r="L21" s="86"/>
      <c r="M21" s="86"/>
      <c r="N21" s="104">
        <f t="shared" si="1"/>
        <v>0</v>
      </c>
      <c r="O21" s="86">
        <v>24</v>
      </c>
      <c r="P21" s="86"/>
      <c r="Q21" s="86"/>
      <c r="R21" s="104">
        <f t="shared" si="0"/>
        <v>24</v>
      </c>
      <c r="S21" s="86">
        <f t="shared" si="2"/>
        <v>39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3422.01</v>
      </c>
      <c r="AF21" s="90">
        <v>6.5000000000000002E-2</v>
      </c>
      <c r="AG21" s="4">
        <f t="shared" si="4"/>
        <v>222.43065000000001</v>
      </c>
      <c r="AH21" s="49">
        <f t="shared" si="5"/>
        <v>20.616750000000003</v>
      </c>
      <c r="AI21" s="89">
        <f t="shared" si="6"/>
        <v>3199.57935</v>
      </c>
      <c r="AJ21" s="91">
        <v>0.18</v>
      </c>
      <c r="AK21" s="5">
        <f t="shared" si="7"/>
        <v>575.92428299999995</v>
      </c>
      <c r="AL21" s="89">
        <f t="shared" si="8"/>
        <v>3775.5036329999998</v>
      </c>
      <c r="AP21" s="92"/>
    </row>
    <row r="22" spans="1:42" x14ac:dyDescent="0.35">
      <c r="A22" s="85">
        <v>46237</v>
      </c>
      <c r="B22" s="51" t="s">
        <v>86</v>
      </c>
      <c r="C22" s="97">
        <v>106234141598.85699</v>
      </c>
      <c r="D22" s="97">
        <v>483267</v>
      </c>
      <c r="E22" s="48" t="s">
        <v>87</v>
      </c>
      <c r="F22" s="86" t="s">
        <v>88</v>
      </c>
      <c r="G22" s="86" t="s">
        <v>117</v>
      </c>
      <c r="H22" s="86" t="s">
        <v>100</v>
      </c>
      <c r="I22" s="48" t="s">
        <v>118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10</v>
      </c>
      <c r="Q22" s="86">
        <v>20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46237</v>
      </c>
      <c r="B23" s="51" t="s">
        <v>86</v>
      </c>
      <c r="C23" s="97">
        <v>112357146535.82201</v>
      </c>
      <c r="D23" s="97">
        <v>537465</v>
      </c>
      <c r="E23" s="48" t="s">
        <v>87</v>
      </c>
      <c r="F23" s="86" t="s">
        <v>88</v>
      </c>
      <c r="G23" s="86" t="s">
        <v>120</v>
      </c>
      <c r="H23" s="86" t="s">
        <v>119</v>
      </c>
      <c r="I23" s="48" t="s">
        <v>118</v>
      </c>
      <c r="J23" s="52"/>
      <c r="K23" s="86"/>
      <c r="L23" s="105"/>
      <c r="M23" s="86"/>
      <c r="N23" s="104">
        <f t="shared" si="1"/>
        <v>0</v>
      </c>
      <c r="O23" s="86"/>
      <c r="P23" s="105"/>
      <c r="Q23" s="86">
        <v>10</v>
      </c>
      <c r="R23" s="104">
        <f t="shared" si="0"/>
        <v>10</v>
      </c>
      <c r="S23" s="86">
        <f t="shared" si="2"/>
        <v>10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726.4</v>
      </c>
      <c r="AF23" s="90">
        <v>6.5000000000000002E-2</v>
      </c>
      <c r="AG23" s="4">
        <f t="shared" si="4"/>
        <v>47.216000000000001</v>
      </c>
      <c r="AH23" s="49">
        <f t="shared" si="5"/>
        <v>0</v>
      </c>
      <c r="AI23" s="89">
        <f t="shared" si="6"/>
        <v>679.18399999999997</v>
      </c>
      <c r="AJ23" s="91">
        <v>0.18</v>
      </c>
      <c r="AK23" s="5">
        <f t="shared" si="7"/>
        <v>122.25312</v>
      </c>
      <c r="AL23" s="89">
        <f t="shared" si="8"/>
        <v>801.43711999999994</v>
      </c>
      <c r="AP23" s="92"/>
    </row>
    <row r="24" spans="1:42" x14ac:dyDescent="0.35">
      <c r="A24" s="85">
        <v>46237</v>
      </c>
      <c r="B24" s="51" t="s">
        <v>86</v>
      </c>
      <c r="C24" s="97">
        <v>118480151472.786</v>
      </c>
      <c r="D24" s="97">
        <v>591663</v>
      </c>
      <c r="E24" s="48" t="s">
        <v>87</v>
      </c>
      <c r="F24" s="86" t="s">
        <v>88</v>
      </c>
      <c r="G24" s="86" t="s">
        <v>121</v>
      </c>
      <c r="H24" s="86" t="s">
        <v>119</v>
      </c>
      <c r="I24" s="48" t="s">
        <v>118</v>
      </c>
      <c r="J24" s="52"/>
      <c r="K24" s="105"/>
      <c r="L24" s="105"/>
      <c r="M24" s="105"/>
      <c r="N24" s="104">
        <f t="shared" si="1"/>
        <v>0</v>
      </c>
      <c r="O24" s="86"/>
      <c r="P24" s="86"/>
      <c r="Q24" s="86">
        <v>10</v>
      </c>
      <c r="R24" s="104">
        <f t="shared" si="0"/>
        <v>10</v>
      </c>
      <c r="S24" s="86">
        <f t="shared" si="2"/>
        <v>10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726.4</v>
      </c>
      <c r="AF24" s="90">
        <v>6.5000000000000002E-2</v>
      </c>
      <c r="AG24" s="4">
        <f t="shared" si="4"/>
        <v>47.216000000000001</v>
      </c>
      <c r="AH24" s="49">
        <f t="shared" si="5"/>
        <v>0</v>
      </c>
      <c r="AI24" s="89">
        <f t="shared" si="6"/>
        <v>679.18399999999997</v>
      </c>
      <c r="AJ24" s="91">
        <v>0.18</v>
      </c>
      <c r="AK24" s="5">
        <f t="shared" si="7"/>
        <v>122.25312</v>
      </c>
      <c r="AL24" s="89">
        <f t="shared" si="8"/>
        <v>801.43711999999994</v>
      </c>
      <c r="AP24" s="92"/>
    </row>
    <row r="25" spans="1:42" x14ac:dyDescent="0.35">
      <c r="A25" s="85">
        <v>46237</v>
      </c>
      <c r="B25" s="51" t="s">
        <v>86</v>
      </c>
      <c r="C25" s="97">
        <v>124603156409.75</v>
      </c>
      <c r="D25" s="97">
        <v>645861</v>
      </c>
      <c r="E25" s="48" t="s">
        <v>87</v>
      </c>
      <c r="F25" s="86" t="s">
        <v>88</v>
      </c>
      <c r="G25" s="86" t="s">
        <v>122</v>
      </c>
      <c r="H25" s="86" t="s">
        <v>119</v>
      </c>
      <c r="I25" s="48" t="s">
        <v>118</v>
      </c>
      <c r="J25" s="52"/>
      <c r="K25" s="86"/>
      <c r="L25" s="105"/>
      <c r="M25" s="105"/>
      <c r="N25" s="104">
        <f t="shared" si="1"/>
        <v>0</v>
      </c>
      <c r="O25" s="86"/>
      <c r="P25" s="86"/>
      <c r="Q25" s="86">
        <v>10</v>
      </c>
      <c r="R25" s="104">
        <f t="shared" si="0"/>
        <v>10</v>
      </c>
      <c r="S25" s="86">
        <f t="shared" si="2"/>
        <v>10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726.4</v>
      </c>
      <c r="AF25" s="90">
        <v>0.1</v>
      </c>
      <c r="AG25" s="4">
        <f t="shared" si="4"/>
        <v>72.64</v>
      </c>
      <c r="AH25" s="49">
        <f t="shared" si="5"/>
        <v>0</v>
      </c>
      <c r="AI25" s="89">
        <f t="shared" si="6"/>
        <v>653.76</v>
      </c>
      <c r="AJ25" s="91">
        <v>0.18</v>
      </c>
      <c r="AK25" s="5">
        <f t="shared" si="7"/>
        <v>117.6768</v>
      </c>
      <c r="AL25" s="89">
        <f t="shared" si="8"/>
        <v>771.43679999999995</v>
      </c>
      <c r="AP25" s="92"/>
    </row>
    <row r="26" spans="1:42" x14ac:dyDescent="0.35">
      <c r="A26" s="85">
        <v>46237</v>
      </c>
      <c r="B26" s="51" t="s">
        <v>86</v>
      </c>
      <c r="C26" s="97">
        <v>130726161346.715</v>
      </c>
      <c r="D26" s="97">
        <v>700059</v>
      </c>
      <c r="E26" s="48" t="s">
        <v>87</v>
      </c>
      <c r="F26" s="86" t="s">
        <v>88</v>
      </c>
      <c r="G26" s="86" t="s">
        <v>123</v>
      </c>
      <c r="H26" s="86" t="s">
        <v>119</v>
      </c>
      <c r="I26" s="48" t="s">
        <v>118</v>
      </c>
      <c r="J26" s="52"/>
      <c r="K26" s="105"/>
      <c r="L26" s="105"/>
      <c r="M26" s="105"/>
      <c r="N26" s="104">
        <f t="shared" si="1"/>
        <v>0</v>
      </c>
      <c r="O26" s="86"/>
      <c r="P26" s="105"/>
      <c r="Q26" s="86">
        <v>10</v>
      </c>
      <c r="R26" s="104">
        <f t="shared" si="0"/>
        <v>10</v>
      </c>
      <c r="S26" s="86">
        <f t="shared" si="2"/>
        <v>10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726.4</v>
      </c>
      <c r="AF26" s="90">
        <v>6.5000000000000002E-2</v>
      </c>
      <c r="AG26" s="4">
        <f t="shared" si="4"/>
        <v>47.216000000000001</v>
      </c>
      <c r="AH26" s="49">
        <f t="shared" si="5"/>
        <v>0</v>
      </c>
      <c r="AI26" s="89">
        <f t="shared" si="6"/>
        <v>679.18399999999997</v>
      </c>
      <c r="AJ26" s="91">
        <v>0.18</v>
      </c>
      <c r="AK26" s="5">
        <f t="shared" si="7"/>
        <v>122.25312</v>
      </c>
      <c r="AL26" s="89">
        <f t="shared" si="8"/>
        <v>801.43711999999994</v>
      </c>
      <c r="AP26" s="92"/>
    </row>
    <row r="27" spans="1:42" x14ac:dyDescent="0.35">
      <c r="A27" s="85">
        <v>46237</v>
      </c>
      <c r="B27" s="51" t="s">
        <v>86</v>
      </c>
      <c r="C27" s="97">
        <v>136849166283.679</v>
      </c>
      <c r="D27" s="97">
        <v>754257</v>
      </c>
      <c r="E27" s="48" t="s">
        <v>87</v>
      </c>
      <c r="F27" s="86" t="s">
        <v>88</v>
      </c>
      <c r="G27" s="86" t="s">
        <v>124</v>
      </c>
      <c r="H27" s="86" t="s">
        <v>119</v>
      </c>
      <c r="I27" s="48" t="s">
        <v>118</v>
      </c>
      <c r="J27" s="52">
        <v>80</v>
      </c>
      <c r="K27" s="105">
        <v>40</v>
      </c>
      <c r="L27" s="105">
        <v>40</v>
      </c>
      <c r="M27" s="105"/>
      <c r="N27" s="104">
        <f t="shared" si="1"/>
        <v>80</v>
      </c>
      <c r="O27" s="86">
        <v>40</v>
      </c>
      <c r="P27" s="86">
        <v>40</v>
      </c>
      <c r="Q27" s="105">
        <v>80</v>
      </c>
      <c r="R27" s="104">
        <f t="shared" si="0"/>
        <v>160</v>
      </c>
      <c r="S27" s="86">
        <f t="shared" si="2"/>
        <v>320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30583.4</v>
      </c>
      <c r="AF27" s="90">
        <v>6.5000000000000002E-2</v>
      </c>
      <c r="AG27" s="4">
        <f t="shared" si="4"/>
        <v>1987.921</v>
      </c>
      <c r="AH27" s="49">
        <f t="shared" si="5"/>
        <v>109.95600000000002</v>
      </c>
      <c r="AI27" s="89">
        <f t="shared" si="6"/>
        <v>28595.479000000003</v>
      </c>
      <c r="AJ27" s="91">
        <v>0.18</v>
      </c>
      <c r="AK27" s="5">
        <f t="shared" si="7"/>
        <v>5147.1862200000005</v>
      </c>
      <c r="AL27" s="89">
        <f t="shared" si="8"/>
        <v>33742.665220000003</v>
      </c>
      <c r="AP27" s="92"/>
    </row>
    <row r="28" spans="1:42" x14ac:dyDescent="0.35">
      <c r="A28" s="85">
        <v>46237</v>
      </c>
      <c r="B28" s="51" t="s">
        <v>86</v>
      </c>
      <c r="C28" s="97">
        <v>142972171220.64301</v>
      </c>
      <c r="D28" s="97">
        <v>808455</v>
      </c>
      <c r="E28" s="48" t="s">
        <v>87</v>
      </c>
      <c r="F28" s="86" t="s">
        <v>88</v>
      </c>
      <c r="G28" s="86" t="s">
        <v>125</v>
      </c>
      <c r="H28" s="86" t="s">
        <v>119</v>
      </c>
      <c r="I28" s="48" t="s">
        <v>118</v>
      </c>
      <c r="J28" s="52"/>
      <c r="K28" s="105"/>
      <c r="L28" s="105"/>
      <c r="M28" s="105"/>
      <c r="N28" s="104">
        <f t="shared" si="1"/>
        <v>0</v>
      </c>
      <c r="O28" s="86">
        <v>10</v>
      </c>
      <c r="P28" s="86"/>
      <c r="Q28" s="86"/>
      <c r="R28" s="104">
        <f t="shared" si="0"/>
        <v>10</v>
      </c>
      <c r="S28" s="86">
        <f t="shared" si="2"/>
        <v>10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726.4</v>
      </c>
      <c r="AF28" s="90">
        <v>6.5000000000000002E-2</v>
      </c>
      <c r="AG28" s="4">
        <f t="shared" si="4"/>
        <v>47.216000000000001</v>
      </c>
      <c r="AH28" s="49">
        <f t="shared" si="5"/>
        <v>0</v>
      </c>
      <c r="AI28" s="89">
        <f t="shared" si="6"/>
        <v>679.18399999999997</v>
      </c>
      <c r="AJ28" s="91">
        <v>0.18</v>
      </c>
      <c r="AK28" s="5">
        <f t="shared" si="7"/>
        <v>122.25312</v>
      </c>
      <c r="AL28" s="89">
        <f t="shared" si="8"/>
        <v>801.43711999999994</v>
      </c>
      <c r="AP28" s="92"/>
    </row>
    <row r="29" spans="1:42" x14ac:dyDescent="0.35">
      <c r="A29" s="85">
        <v>46237</v>
      </c>
      <c r="B29" s="51" t="s">
        <v>86</v>
      </c>
      <c r="C29" s="97">
        <v>149095176157.60699</v>
      </c>
      <c r="D29" s="97">
        <v>862653</v>
      </c>
      <c r="E29" s="48" t="s">
        <v>87</v>
      </c>
      <c r="F29" s="86" t="s">
        <v>88</v>
      </c>
      <c r="G29" s="86" t="s">
        <v>126</v>
      </c>
      <c r="H29" s="86" t="s">
        <v>119</v>
      </c>
      <c r="I29" s="48" t="s">
        <v>118</v>
      </c>
      <c r="J29" s="52"/>
      <c r="K29" s="105"/>
      <c r="L29" s="105"/>
      <c r="M29" s="105"/>
      <c r="N29" s="104">
        <f t="shared" si="1"/>
        <v>0</v>
      </c>
      <c r="O29" s="105">
        <v>10</v>
      </c>
      <c r="P29" s="105"/>
      <c r="Q29" s="86"/>
      <c r="R29" s="104">
        <f t="shared" si="0"/>
        <v>10</v>
      </c>
      <c r="S29" s="86">
        <f t="shared" si="2"/>
        <v>10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726.4</v>
      </c>
      <c r="AF29" s="90">
        <v>6.5000000000000002E-2</v>
      </c>
      <c r="AG29" s="4">
        <f t="shared" si="4"/>
        <v>47.216000000000001</v>
      </c>
      <c r="AH29" s="49">
        <f t="shared" si="5"/>
        <v>0</v>
      </c>
      <c r="AI29" s="89">
        <f t="shared" si="6"/>
        <v>679.18399999999997</v>
      </c>
      <c r="AJ29" s="91">
        <v>0.18</v>
      </c>
      <c r="AK29" s="5">
        <f t="shared" si="7"/>
        <v>122.25312</v>
      </c>
      <c r="AL29" s="89">
        <f t="shared" si="8"/>
        <v>801.43711999999994</v>
      </c>
      <c r="AP29" s="92"/>
    </row>
    <row r="30" spans="1:42" x14ac:dyDescent="0.35">
      <c r="A30" s="85">
        <v>46237</v>
      </c>
      <c r="B30" s="51" t="s">
        <v>86</v>
      </c>
      <c r="C30" s="97">
        <v>155218181094.57199</v>
      </c>
      <c r="D30" s="97">
        <v>916851</v>
      </c>
      <c r="E30" s="48" t="s">
        <v>87</v>
      </c>
      <c r="F30" s="86" t="s">
        <v>88</v>
      </c>
      <c r="G30" s="86" t="s">
        <v>127</v>
      </c>
      <c r="H30" s="86" t="s">
        <v>119</v>
      </c>
      <c r="I30" s="48" t="s">
        <v>118</v>
      </c>
      <c r="J30" s="52"/>
      <c r="K30" s="105"/>
      <c r="L30" s="105"/>
      <c r="M30" s="105"/>
      <c r="N30" s="104">
        <f t="shared" si="1"/>
        <v>0</v>
      </c>
      <c r="O30" s="105">
        <v>10</v>
      </c>
      <c r="P30" s="86"/>
      <c r="Q30" s="86"/>
      <c r="R30" s="104">
        <f t="shared" si="0"/>
        <v>10</v>
      </c>
      <c r="S30" s="86">
        <f t="shared" si="2"/>
        <v>10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726.4</v>
      </c>
      <c r="AF30" s="90">
        <v>6.5000000000000002E-2</v>
      </c>
      <c r="AG30" s="4">
        <f t="shared" si="4"/>
        <v>47.216000000000001</v>
      </c>
      <c r="AH30" s="49">
        <f t="shared" si="5"/>
        <v>0</v>
      </c>
      <c r="AI30" s="89">
        <f t="shared" si="6"/>
        <v>679.18399999999997</v>
      </c>
      <c r="AJ30" s="91">
        <v>0.18</v>
      </c>
      <c r="AK30" s="5">
        <f t="shared" si="7"/>
        <v>122.25312</v>
      </c>
      <c r="AL30" s="89">
        <f t="shared" si="8"/>
        <v>801.43711999999994</v>
      </c>
      <c r="AP30" s="92"/>
    </row>
    <row r="31" spans="1:42" x14ac:dyDescent="0.35">
      <c r="A31" s="85">
        <v>46237</v>
      </c>
      <c r="B31" s="51" t="s">
        <v>86</v>
      </c>
      <c r="C31" s="97">
        <v>161341186031.53601</v>
      </c>
      <c r="D31" s="97">
        <v>971049</v>
      </c>
      <c r="E31" s="48" t="s">
        <v>87</v>
      </c>
      <c r="F31" s="86" t="s">
        <v>88</v>
      </c>
      <c r="G31" s="86" t="s">
        <v>128</v>
      </c>
      <c r="H31" s="86" t="s">
        <v>119</v>
      </c>
      <c r="I31" s="48" t="s">
        <v>118</v>
      </c>
      <c r="J31" s="52">
        <v>40</v>
      </c>
      <c r="K31" s="105">
        <v>40</v>
      </c>
      <c r="L31" s="105">
        <v>33</v>
      </c>
      <c r="M31" s="105"/>
      <c r="N31" s="104">
        <f t="shared" si="1"/>
        <v>73</v>
      </c>
      <c r="O31" s="86">
        <v>40</v>
      </c>
      <c r="P31" s="105">
        <v>40</v>
      </c>
      <c r="Q31" s="86">
        <v>40</v>
      </c>
      <c r="R31" s="104">
        <f t="shared" si="0"/>
        <v>120</v>
      </c>
      <c r="S31" s="86">
        <f t="shared" si="2"/>
        <v>233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22325.682499999999</v>
      </c>
      <c r="AF31" s="90">
        <v>6.5000000000000002E-2</v>
      </c>
      <c r="AG31" s="4">
        <f t="shared" si="4"/>
        <v>1451.1693625</v>
      </c>
      <c r="AH31" s="49">
        <f t="shared" si="5"/>
        <v>54.978000000000009</v>
      </c>
      <c r="AI31" s="89">
        <f t="shared" si="6"/>
        <v>20874.513137499998</v>
      </c>
      <c r="AJ31" s="91">
        <v>0.18</v>
      </c>
      <c r="AK31" s="5">
        <f t="shared" si="7"/>
        <v>3757.4123647499996</v>
      </c>
      <c r="AL31" s="89">
        <f t="shared" si="8"/>
        <v>24631.925502249996</v>
      </c>
      <c r="AP31" s="92"/>
    </row>
    <row r="32" spans="1:42" x14ac:dyDescent="0.35">
      <c r="A32" s="85">
        <v>46237</v>
      </c>
      <c r="B32" s="51" t="s">
        <v>86</v>
      </c>
      <c r="C32" s="97">
        <v>167464190968.5</v>
      </c>
      <c r="D32" s="97">
        <v>1025247</v>
      </c>
      <c r="E32" s="48" t="s">
        <v>87</v>
      </c>
      <c r="F32" s="86" t="s">
        <v>88</v>
      </c>
      <c r="G32" s="86" t="s">
        <v>129</v>
      </c>
      <c r="H32" s="86" t="s">
        <v>119</v>
      </c>
      <c r="I32" s="48" t="s">
        <v>118</v>
      </c>
      <c r="J32" s="52"/>
      <c r="K32" s="105"/>
      <c r="L32" s="105"/>
      <c r="M32" s="105"/>
      <c r="N32" s="104">
        <f t="shared" si="1"/>
        <v>0</v>
      </c>
      <c r="O32" s="86"/>
      <c r="P32" s="86">
        <v>10</v>
      </c>
      <c r="Q32" s="86"/>
      <c r="R32" s="104">
        <f t="shared" si="0"/>
        <v>10</v>
      </c>
      <c r="S32" s="86">
        <f t="shared" si="2"/>
        <v>10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726.4</v>
      </c>
      <c r="AF32" s="90">
        <v>6.5000000000000002E-2</v>
      </c>
      <c r="AG32" s="4">
        <f t="shared" si="4"/>
        <v>47.216000000000001</v>
      </c>
      <c r="AH32" s="49">
        <f t="shared" si="5"/>
        <v>0</v>
      </c>
      <c r="AI32" s="89">
        <f t="shared" si="6"/>
        <v>679.18399999999997</v>
      </c>
      <c r="AJ32" s="91">
        <v>0.18</v>
      </c>
      <c r="AK32" s="5">
        <f t="shared" si="7"/>
        <v>122.25312</v>
      </c>
      <c r="AL32" s="89">
        <f t="shared" si="8"/>
        <v>801.43711999999994</v>
      </c>
      <c r="AP32" s="92"/>
    </row>
    <row r="33" spans="1:42" x14ac:dyDescent="0.35">
      <c r="A33" s="85">
        <v>46237</v>
      </c>
      <c r="B33" s="51" t="s">
        <v>86</v>
      </c>
      <c r="C33" s="97">
        <v>173587195905.465</v>
      </c>
      <c r="D33" s="97">
        <v>1079445</v>
      </c>
      <c r="E33" s="48" t="s">
        <v>87</v>
      </c>
      <c r="F33" s="86" t="s">
        <v>88</v>
      </c>
      <c r="G33" s="86" t="s">
        <v>91</v>
      </c>
      <c r="H33" s="86" t="s">
        <v>119</v>
      </c>
      <c r="I33" s="48" t="s">
        <v>118</v>
      </c>
      <c r="J33" s="52"/>
      <c r="K33" s="105"/>
      <c r="L33" s="105"/>
      <c r="M33" s="105"/>
      <c r="N33" s="104">
        <f t="shared" si="1"/>
        <v>0</v>
      </c>
      <c r="O33" s="86"/>
      <c r="P33" s="86">
        <v>10</v>
      </c>
      <c r="Q33" s="105"/>
      <c r="R33" s="104">
        <f t="shared" si="0"/>
        <v>10</v>
      </c>
      <c r="S33" s="86">
        <f t="shared" si="2"/>
        <v>10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726.4</v>
      </c>
      <c r="AF33" s="90">
        <v>6.5000000000000002E-2</v>
      </c>
      <c r="AG33" s="4">
        <f t="shared" si="4"/>
        <v>47.216000000000001</v>
      </c>
      <c r="AH33" s="49">
        <f t="shared" si="5"/>
        <v>0</v>
      </c>
      <c r="AI33" s="89">
        <f t="shared" si="6"/>
        <v>679.18399999999997</v>
      </c>
      <c r="AJ33" s="91">
        <v>0.18</v>
      </c>
      <c r="AK33" s="5">
        <f t="shared" si="7"/>
        <v>122.25312</v>
      </c>
      <c r="AL33" s="89">
        <f t="shared" si="8"/>
        <v>801.43711999999994</v>
      </c>
      <c r="AP33" s="92"/>
    </row>
    <row r="34" spans="1:42" x14ac:dyDescent="0.35">
      <c r="A34" s="85">
        <v>46237</v>
      </c>
      <c r="B34" s="51" t="s">
        <v>86</v>
      </c>
      <c r="C34" s="97">
        <v>179710200842.42899</v>
      </c>
      <c r="D34" s="97">
        <v>1133643</v>
      </c>
      <c r="E34" s="48" t="s">
        <v>87</v>
      </c>
      <c r="F34" s="86" t="s">
        <v>88</v>
      </c>
      <c r="G34" s="86" t="s">
        <v>130</v>
      </c>
      <c r="H34" s="86" t="s">
        <v>119</v>
      </c>
      <c r="I34" s="48" t="s">
        <v>118</v>
      </c>
      <c r="J34" s="52"/>
      <c r="K34" s="86"/>
      <c r="L34" s="86"/>
      <c r="M34" s="86"/>
      <c r="N34" s="104">
        <f t="shared" si="1"/>
        <v>0</v>
      </c>
      <c r="O34" s="86"/>
      <c r="P34" s="86">
        <v>10</v>
      </c>
      <c r="Q34" s="86"/>
      <c r="R34" s="104">
        <f t="shared" si="0"/>
        <v>10</v>
      </c>
      <c r="S34" s="86">
        <f t="shared" si="2"/>
        <v>10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726.4</v>
      </c>
      <c r="AF34" s="90">
        <v>6.5000000000000002E-2</v>
      </c>
      <c r="AG34" s="4">
        <f t="shared" si="4"/>
        <v>47.216000000000001</v>
      </c>
      <c r="AH34" s="49">
        <f t="shared" si="5"/>
        <v>0</v>
      </c>
      <c r="AI34" s="89">
        <f t="shared" si="6"/>
        <v>679.18399999999997</v>
      </c>
      <c r="AJ34" s="91">
        <v>0.18</v>
      </c>
      <c r="AK34" s="5">
        <f t="shared" si="7"/>
        <v>122.25312</v>
      </c>
      <c r="AL34" s="89">
        <f t="shared" si="8"/>
        <v>801.43711999999994</v>
      </c>
      <c r="AP34" s="92"/>
    </row>
    <row r="35" spans="1:42" x14ac:dyDescent="0.35">
      <c r="A35" s="85">
        <v>46238</v>
      </c>
      <c r="B35" s="51" t="s">
        <v>86</v>
      </c>
      <c r="C35" s="97">
        <v>185833205779.39301</v>
      </c>
      <c r="D35" s="97">
        <v>1187841</v>
      </c>
      <c r="E35" s="48" t="s">
        <v>87</v>
      </c>
      <c r="F35" s="86" t="s">
        <v>88</v>
      </c>
      <c r="G35" s="86" t="s">
        <v>131</v>
      </c>
      <c r="H35" s="86" t="s">
        <v>119</v>
      </c>
      <c r="I35" s="48" t="s">
        <v>150</v>
      </c>
      <c r="J35" s="52"/>
      <c r="K35" s="86"/>
      <c r="L35" s="105"/>
      <c r="M35" s="105"/>
      <c r="N35" s="104">
        <f t="shared" si="1"/>
        <v>0</v>
      </c>
      <c r="O35" s="86"/>
      <c r="P35" s="86"/>
      <c r="Q35" s="105">
        <v>10</v>
      </c>
      <c r="R35" s="104">
        <f t="shared" si="0"/>
        <v>10</v>
      </c>
      <c r="S35" s="86">
        <f t="shared" si="2"/>
        <v>10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726.4</v>
      </c>
      <c r="AF35" s="90">
        <v>6.5000000000000002E-2</v>
      </c>
      <c r="AG35" s="4">
        <f t="shared" si="4"/>
        <v>47.216000000000001</v>
      </c>
      <c r="AH35" s="49">
        <f t="shared" si="5"/>
        <v>0</v>
      </c>
      <c r="AI35" s="89">
        <f t="shared" si="6"/>
        <v>679.18399999999997</v>
      </c>
      <c r="AJ35" s="91">
        <v>0.18</v>
      </c>
      <c r="AK35" s="5">
        <f t="shared" si="7"/>
        <v>122.25312</v>
      </c>
      <c r="AL35" s="89">
        <f t="shared" si="8"/>
        <v>801.43711999999994</v>
      </c>
      <c r="AP35" s="92"/>
    </row>
    <row r="36" spans="1:42" x14ac:dyDescent="0.35">
      <c r="A36" s="85">
        <v>46238</v>
      </c>
      <c r="B36" s="51" t="s">
        <v>86</v>
      </c>
      <c r="C36" s="97">
        <v>191956210716.35699</v>
      </c>
      <c r="D36" s="97">
        <v>1242039</v>
      </c>
      <c r="E36" s="48" t="s">
        <v>87</v>
      </c>
      <c r="F36" s="86" t="s">
        <v>88</v>
      </c>
      <c r="G36" s="86" t="s">
        <v>132</v>
      </c>
      <c r="H36" s="86" t="s">
        <v>119</v>
      </c>
      <c r="I36" s="48" t="s">
        <v>150</v>
      </c>
      <c r="J36" s="52"/>
      <c r="K36" s="86"/>
      <c r="L36" s="86"/>
      <c r="M36" s="105"/>
      <c r="N36" s="104">
        <f t="shared" si="1"/>
        <v>0</v>
      </c>
      <c r="O36" s="105"/>
      <c r="P36" s="105"/>
      <c r="Q36" s="105">
        <v>10</v>
      </c>
      <c r="R36" s="104">
        <f t="shared" si="0"/>
        <v>10</v>
      </c>
      <c r="S36" s="86">
        <f t="shared" si="2"/>
        <v>10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726.4</v>
      </c>
      <c r="AF36" s="90">
        <v>6.5000000000000002E-2</v>
      </c>
      <c r="AG36" s="4">
        <f t="shared" si="4"/>
        <v>47.216000000000001</v>
      </c>
      <c r="AH36" s="49">
        <f t="shared" si="5"/>
        <v>0</v>
      </c>
      <c r="AI36" s="89">
        <f t="shared" si="6"/>
        <v>679.18399999999997</v>
      </c>
      <c r="AJ36" s="91">
        <v>0.18</v>
      </c>
      <c r="AK36" s="5">
        <f t="shared" si="7"/>
        <v>122.25312</v>
      </c>
      <c r="AL36" s="89">
        <f t="shared" si="8"/>
        <v>801.43711999999994</v>
      </c>
      <c r="AP36" s="92"/>
    </row>
    <row r="37" spans="1:42" x14ac:dyDescent="0.35">
      <c r="A37" s="85">
        <v>46238</v>
      </c>
      <c r="B37" s="51" t="s">
        <v>86</v>
      </c>
      <c r="C37" s="97">
        <v>198079215653.32199</v>
      </c>
      <c r="D37" s="97">
        <v>1296237</v>
      </c>
      <c r="E37" s="48" t="s">
        <v>87</v>
      </c>
      <c r="F37" s="86" t="s">
        <v>88</v>
      </c>
      <c r="G37" s="86" t="s">
        <v>133</v>
      </c>
      <c r="H37" s="86" t="s">
        <v>119</v>
      </c>
      <c r="I37" s="48" t="s">
        <v>150</v>
      </c>
      <c r="J37" s="52"/>
      <c r="K37" s="105"/>
      <c r="L37" s="105"/>
      <c r="M37" s="105"/>
      <c r="N37" s="104">
        <f t="shared" si="1"/>
        <v>0</v>
      </c>
      <c r="O37" s="86"/>
      <c r="P37" s="86"/>
      <c r="Q37" s="86">
        <v>10</v>
      </c>
      <c r="R37" s="104">
        <f t="shared" si="0"/>
        <v>10</v>
      </c>
      <c r="S37" s="86">
        <f t="shared" si="2"/>
        <v>10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726.4</v>
      </c>
      <c r="AF37" s="90">
        <v>6.5000000000000002E-2</v>
      </c>
      <c r="AG37" s="4">
        <f t="shared" si="4"/>
        <v>47.216000000000001</v>
      </c>
      <c r="AH37" s="49">
        <f t="shared" si="5"/>
        <v>0</v>
      </c>
      <c r="AI37" s="89">
        <f t="shared" si="6"/>
        <v>679.18399999999997</v>
      </c>
      <c r="AJ37" s="91">
        <v>0.18</v>
      </c>
      <c r="AK37" s="5">
        <f t="shared" si="7"/>
        <v>122.25312</v>
      </c>
      <c r="AL37" s="89">
        <f t="shared" si="8"/>
        <v>801.43711999999994</v>
      </c>
      <c r="AP37" s="92"/>
    </row>
    <row r="38" spans="1:42" x14ac:dyDescent="0.35">
      <c r="A38" s="85">
        <v>46238</v>
      </c>
      <c r="B38" s="51" t="s">
        <v>86</v>
      </c>
      <c r="C38" s="97">
        <v>204202220590.28601</v>
      </c>
      <c r="D38" s="97">
        <v>1350435</v>
      </c>
      <c r="E38" s="48" t="s">
        <v>87</v>
      </c>
      <c r="F38" s="86" t="s">
        <v>88</v>
      </c>
      <c r="G38" s="86" t="s">
        <v>134</v>
      </c>
      <c r="H38" s="86" t="s">
        <v>119</v>
      </c>
      <c r="I38" s="48" t="s">
        <v>150</v>
      </c>
      <c r="J38" s="52"/>
      <c r="K38" s="105"/>
      <c r="L38" s="105"/>
      <c r="M38" s="105"/>
      <c r="N38" s="104">
        <f t="shared" si="1"/>
        <v>0</v>
      </c>
      <c r="O38" s="86"/>
      <c r="P38" s="86"/>
      <c r="Q38" s="86">
        <v>10</v>
      </c>
      <c r="R38" s="104">
        <f t="shared" si="0"/>
        <v>10</v>
      </c>
      <c r="S38" s="86">
        <f t="shared" si="2"/>
        <v>10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726.4</v>
      </c>
      <c r="AF38" s="90">
        <v>6.5000000000000002E-2</v>
      </c>
      <c r="AG38" s="4">
        <f t="shared" si="4"/>
        <v>47.216000000000001</v>
      </c>
      <c r="AH38" s="49">
        <f t="shared" si="5"/>
        <v>0</v>
      </c>
      <c r="AI38" s="89">
        <f t="shared" si="6"/>
        <v>679.18399999999997</v>
      </c>
      <c r="AJ38" s="91">
        <v>0.18</v>
      </c>
      <c r="AK38" s="5">
        <f t="shared" si="7"/>
        <v>122.25312</v>
      </c>
      <c r="AL38" s="89">
        <f t="shared" si="8"/>
        <v>801.43711999999994</v>
      </c>
      <c r="AP38" s="92"/>
    </row>
    <row r="39" spans="1:42" x14ac:dyDescent="0.35">
      <c r="A39" s="85">
        <v>46238</v>
      </c>
      <c r="B39" s="51" t="s">
        <v>86</v>
      </c>
      <c r="C39" s="97">
        <v>210325225527.25</v>
      </c>
      <c r="D39" s="97">
        <v>1404633</v>
      </c>
      <c r="E39" s="48" t="s">
        <v>87</v>
      </c>
      <c r="F39" s="86" t="s">
        <v>88</v>
      </c>
      <c r="G39" s="95" t="s">
        <v>135</v>
      </c>
      <c r="H39" s="86" t="s">
        <v>119</v>
      </c>
      <c r="I39" s="48" t="s">
        <v>150</v>
      </c>
      <c r="J39" s="52">
        <v>40</v>
      </c>
      <c r="K39" s="106"/>
      <c r="L39" s="106"/>
      <c r="M39" s="106"/>
      <c r="N39" s="104">
        <f t="shared" si="1"/>
        <v>0</v>
      </c>
      <c r="O39" s="95"/>
      <c r="P39" s="95"/>
      <c r="Q39" s="86"/>
      <c r="R39" s="104">
        <f t="shared" si="0"/>
        <v>0</v>
      </c>
      <c r="S39" s="86">
        <f t="shared" si="2"/>
        <v>40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4476.3999999999996</v>
      </c>
      <c r="AF39" s="90">
        <v>6.5000000000000002E-2</v>
      </c>
      <c r="AG39" s="4">
        <f t="shared" ref="AG39:AG41" si="10">AE39*AF39</f>
        <v>290.96600000000001</v>
      </c>
      <c r="AH39" s="49">
        <f t="shared" ref="AH39:AH41" si="11">(AB39*J39)*$AH$1</f>
        <v>54.978000000000009</v>
      </c>
      <c r="AI39" s="89">
        <f t="shared" ref="AI39:AI41" si="12">AE39-AG39</f>
        <v>4185.4339999999993</v>
      </c>
      <c r="AJ39" s="91">
        <v>0.18</v>
      </c>
      <c r="AK39" s="5">
        <f t="shared" ref="AK39:AK41" si="13">AI39*AJ39</f>
        <v>753.37811999999985</v>
      </c>
      <c r="AL39" s="89">
        <f t="shared" ref="AL39:AL41" si="14">AI39+AK39</f>
        <v>4938.8121199999987</v>
      </c>
      <c r="AP39" s="92"/>
    </row>
    <row r="40" spans="1:42" x14ac:dyDescent="0.35">
      <c r="A40" s="85">
        <v>46238</v>
      </c>
      <c r="B40" s="51" t="s">
        <v>86</v>
      </c>
      <c r="C40" s="97">
        <v>216448230464.215</v>
      </c>
      <c r="D40" s="97">
        <v>1458831</v>
      </c>
      <c r="E40" s="48" t="s">
        <v>87</v>
      </c>
      <c r="F40" s="86" t="s">
        <v>88</v>
      </c>
      <c r="G40" s="95" t="s">
        <v>136</v>
      </c>
      <c r="H40" s="86" t="s">
        <v>119</v>
      </c>
      <c r="I40" s="48" t="s">
        <v>150</v>
      </c>
      <c r="J40" s="52">
        <v>40</v>
      </c>
      <c r="K40" s="106">
        <v>20</v>
      </c>
      <c r="L40" s="106">
        <v>20</v>
      </c>
      <c r="M40" s="106"/>
      <c r="N40" s="104">
        <f t="shared" si="1"/>
        <v>40</v>
      </c>
      <c r="O40" s="95">
        <v>15</v>
      </c>
      <c r="P40" s="95">
        <v>10</v>
      </c>
      <c r="Q40" s="86">
        <v>15</v>
      </c>
      <c r="R40" s="104">
        <f t="shared" si="0"/>
        <v>40</v>
      </c>
      <c r="S40" s="86">
        <f t="shared" si="2"/>
        <v>120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12386.099999999999</v>
      </c>
      <c r="AF40" s="90">
        <v>6.5000000000000002E-2</v>
      </c>
      <c r="AG40" s="4">
        <f t="shared" si="10"/>
        <v>805.09649999999988</v>
      </c>
      <c r="AH40" s="49">
        <f t="shared" si="11"/>
        <v>54.978000000000009</v>
      </c>
      <c r="AI40" s="89">
        <f t="shared" si="12"/>
        <v>11581.003499999999</v>
      </c>
      <c r="AJ40" s="91">
        <v>0.18</v>
      </c>
      <c r="AK40" s="5">
        <f t="shared" si="13"/>
        <v>2084.5806299999999</v>
      </c>
      <c r="AL40" s="89">
        <f t="shared" si="14"/>
        <v>13665.584129999999</v>
      </c>
      <c r="AP40" s="92"/>
    </row>
    <row r="41" spans="1:42" x14ac:dyDescent="0.35">
      <c r="A41" s="85">
        <v>46238</v>
      </c>
      <c r="B41" s="51" t="s">
        <v>86</v>
      </c>
      <c r="C41" s="97">
        <v>222571235401.17899</v>
      </c>
      <c r="D41" s="97">
        <v>1513029</v>
      </c>
      <c r="E41" s="48" t="s">
        <v>87</v>
      </c>
      <c r="F41" s="86" t="s">
        <v>88</v>
      </c>
      <c r="G41" s="95" t="s">
        <v>137</v>
      </c>
      <c r="H41" s="86" t="s">
        <v>119</v>
      </c>
      <c r="I41" s="48" t="s">
        <v>150</v>
      </c>
      <c r="J41" s="52"/>
      <c r="K41" s="106"/>
      <c r="L41" s="106"/>
      <c r="M41" s="106"/>
      <c r="N41" s="104">
        <f t="shared" si="1"/>
        <v>0</v>
      </c>
      <c r="O41" s="95">
        <v>10</v>
      </c>
      <c r="P41" s="95"/>
      <c r="Q41" s="86"/>
      <c r="R41" s="104">
        <f t="shared" si="0"/>
        <v>10</v>
      </c>
      <c r="S41" s="86">
        <f t="shared" si="2"/>
        <v>10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726.4</v>
      </c>
      <c r="AF41" s="90">
        <v>6.5000000000000002E-2</v>
      </c>
      <c r="AG41" s="4">
        <f t="shared" si="10"/>
        <v>47.216000000000001</v>
      </c>
      <c r="AH41" s="49">
        <f t="shared" si="11"/>
        <v>0</v>
      </c>
      <c r="AI41" s="89">
        <f t="shared" si="12"/>
        <v>679.18399999999997</v>
      </c>
      <c r="AJ41" s="91">
        <v>0.18</v>
      </c>
      <c r="AK41" s="5">
        <f t="shared" si="13"/>
        <v>122.25312</v>
      </c>
      <c r="AL41" s="89">
        <f t="shared" si="14"/>
        <v>801.43711999999994</v>
      </c>
      <c r="AP41" s="92"/>
    </row>
    <row r="42" spans="1:42" x14ac:dyDescent="0.35">
      <c r="A42" s="85">
        <v>46238</v>
      </c>
      <c r="B42" s="51" t="s">
        <v>86</v>
      </c>
      <c r="C42" s="97">
        <v>228694240338.14301</v>
      </c>
      <c r="D42" s="97">
        <v>1567227</v>
      </c>
      <c r="E42" s="48" t="s">
        <v>87</v>
      </c>
      <c r="F42" s="86" t="s">
        <v>88</v>
      </c>
      <c r="G42" s="86" t="s">
        <v>138</v>
      </c>
      <c r="H42" s="86" t="s">
        <v>119</v>
      </c>
      <c r="I42" s="48" t="s">
        <v>150</v>
      </c>
      <c r="J42" s="52"/>
      <c r="K42" s="52"/>
      <c r="L42" s="105"/>
      <c r="M42" s="86"/>
      <c r="N42" s="104">
        <f t="shared" si="1"/>
        <v>0</v>
      </c>
      <c r="O42" s="86">
        <v>10</v>
      </c>
      <c r="P42" s="105"/>
      <c r="Q42" s="105"/>
      <c r="R42" s="104">
        <f t="shared" si="0"/>
        <v>10</v>
      </c>
      <c r="S42" s="86">
        <f t="shared" si="2"/>
        <v>10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726.4</v>
      </c>
      <c r="AF42" s="90">
        <v>6.5000000000000002E-2</v>
      </c>
      <c r="AG42" s="4">
        <f t="shared" si="4"/>
        <v>47.216000000000001</v>
      </c>
      <c r="AH42" s="49">
        <f t="shared" si="5"/>
        <v>0</v>
      </c>
      <c r="AI42" s="89">
        <f t="shared" si="6"/>
        <v>679.18399999999997</v>
      </c>
      <c r="AJ42" s="91">
        <v>0.18</v>
      </c>
      <c r="AK42" s="5">
        <f t="shared" si="7"/>
        <v>122.25312</v>
      </c>
      <c r="AL42" s="89">
        <f t="shared" si="8"/>
        <v>801.43711999999994</v>
      </c>
      <c r="AP42" s="92"/>
    </row>
    <row r="43" spans="1:42" x14ac:dyDescent="0.35">
      <c r="A43" s="85">
        <v>46238</v>
      </c>
      <c r="B43" s="51" t="s">
        <v>86</v>
      </c>
      <c r="C43" s="97">
        <v>234817245275.10699</v>
      </c>
      <c r="D43" s="97">
        <v>1621425</v>
      </c>
      <c r="E43" s="48" t="s">
        <v>87</v>
      </c>
      <c r="F43" s="86" t="s">
        <v>88</v>
      </c>
      <c r="G43" s="86" t="s">
        <v>139</v>
      </c>
      <c r="H43" s="86" t="s">
        <v>119</v>
      </c>
      <c r="I43" s="48" t="s">
        <v>150</v>
      </c>
      <c r="J43" s="52"/>
      <c r="K43" s="52"/>
      <c r="L43" s="86"/>
      <c r="M43" s="86"/>
      <c r="N43" s="104">
        <f t="shared" si="1"/>
        <v>0</v>
      </c>
      <c r="O43" s="86">
        <v>10</v>
      </c>
      <c r="P43" s="86"/>
      <c r="Q43" s="86"/>
      <c r="R43" s="104">
        <f t="shared" si="0"/>
        <v>10</v>
      </c>
      <c r="S43" s="86">
        <f t="shared" si="2"/>
        <v>10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726.4</v>
      </c>
      <c r="AF43" s="90">
        <v>6.5000000000000002E-2</v>
      </c>
      <c r="AG43" s="4">
        <f t="shared" si="4"/>
        <v>47.216000000000001</v>
      </c>
      <c r="AH43" s="49">
        <f t="shared" si="5"/>
        <v>0</v>
      </c>
      <c r="AI43" s="89">
        <f t="shared" si="6"/>
        <v>679.18399999999997</v>
      </c>
      <c r="AJ43" s="91">
        <v>0.18</v>
      </c>
      <c r="AK43" s="5">
        <f t="shared" si="7"/>
        <v>122.25312</v>
      </c>
      <c r="AL43" s="89">
        <f t="shared" si="8"/>
        <v>801.43711999999994</v>
      </c>
      <c r="AP43" s="92"/>
    </row>
    <row r="44" spans="1:42" x14ac:dyDescent="0.35">
      <c r="A44" s="85">
        <v>46238</v>
      </c>
      <c r="B44" s="51" t="s">
        <v>86</v>
      </c>
      <c r="C44" s="97">
        <v>240940250212.07199</v>
      </c>
      <c r="D44" s="97">
        <v>1675623</v>
      </c>
      <c r="E44" s="48" t="s">
        <v>87</v>
      </c>
      <c r="F44" s="86" t="s">
        <v>88</v>
      </c>
      <c r="G44" s="86" t="s">
        <v>140</v>
      </c>
      <c r="H44" s="86" t="s">
        <v>119</v>
      </c>
      <c r="I44" s="48" t="s">
        <v>150</v>
      </c>
      <c r="J44" s="52"/>
      <c r="K44" s="52"/>
      <c r="L44" s="105"/>
      <c r="M44" s="105"/>
      <c r="N44" s="104">
        <f t="shared" si="1"/>
        <v>0</v>
      </c>
      <c r="O44" s="86">
        <v>40</v>
      </c>
      <c r="P44" s="105">
        <v>40</v>
      </c>
      <c r="Q44" s="86">
        <v>40</v>
      </c>
      <c r="R44" s="104">
        <f t="shared" si="0"/>
        <v>120</v>
      </c>
      <c r="S44" s="86">
        <f t="shared" si="2"/>
        <v>120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8716.7999999999993</v>
      </c>
      <c r="AF44" s="90">
        <v>6.5000000000000002E-2</v>
      </c>
      <c r="AG44" s="4">
        <f t="shared" si="4"/>
        <v>566.59199999999998</v>
      </c>
      <c r="AH44" s="49">
        <f t="shared" si="5"/>
        <v>0</v>
      </c>
      <c r="AI44" s="89">
        <f t="shared" si="6"/>
        <v>8150.2079999999996</v>
      </c>
      <c r="AJ44" s="91">
        <v>0.18</v>
      </c>
      <c r="AK44" s="5">
        <f t="shared" si="7"/>
        <v>1467.0374399999998</v>
      </c>
      <c r="AL44" s="89">
        <f t="shared" si="8"/>
        <v>9617.2454399999988</v>
      </c>
      <c r="AP44" s="92"/>
    </row>
    <row r="45" spans="1:42" x14ac:dyDescent="0.35">
      <c r="A45" s="85">
        <v>46238</v>
      </c>
      <c r="B45" s="51" t="s">
        <v>86</v>
      </c>
      <c r="C45" s="97">
        <v>247063255149.03601</v>
      </c>
      <c r="D45" s="97">
        <v>1729821</v>
      </c>
      <c r="E45" s="48" t="s">
        <v>87</v>
      </c>
      <c r="F45" s="86" t="s">
        <v>88</v>
      </c>
      <c r="G45" s="95" t="s">
        <v>141</v>
      </c>
      <c r="H45" s="86" t="s">
        <v>119</v>
      </c>
      <c r="I45" s="48" t="s">
        <v>150</v>
      </c>
      <c r="J45" s="52">
        <v>40</v>
      </c>
      <c r="K45" s="52">
        <v>40</v>
      </c>
      <c r="L45" s="106">
        <v>40</v>
      </c>
      <c r="M45" s="106"/>
      <c r="N45" s="104">
        <f t="shared" si="1"/>
        <v>80</v>
      </c>
      <c r="O45" s="95">
        <v>40</v>
      </c>
      <c r="P45" s="106">
        <v>40</v>
      </c>
      <c r="Q45" s="86">
        <v>40</v>
      </c>
      <c r="R45" s="104">
        <f t="shared" si="0"/>
        <v>120</v>
      </c>
      <c r="S45" s="86">
        <f t="shared" si="2"/>
        <v>240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23201.399999999998</v>
      </c>
      <c r="AF45" s="90">
        <v>6.5000000000000002E-2</v>
      </c>
      <c r="AG45" s="4">
        <f t="shared" ref="AG45:AG46" si="16">AE45*AF45</f>
        <v>1508.0909999999999</v>
      </c>
      <c r="AH45" s="49">
        <f t="shared" ref="AH45:AH46" si="17">(AB45*J45)*$AH$1</f>
        <v>54.978000000000009</v>
      </c>
      <c r="AI45" s="89">
        <f t="shared" ref="AI45:AI46" si="18">AE45-AG45</f>
        <v>21693.308999999997</v>
      </c>
      <c r="AJ45" s="91">
        <v>0.18</v>
      </c>
      <c r="AK45" s="5">
        <f t="shared" ref="AK45:AK46" si="19">AI45*AJ45</f>
        <v>3904.7956199999994</v>
      </c>
      <c r="AL45" s="89">
        <f t="shared" ref="AL45:AL46" si="20">AI45+AK45</f>
        <v>25598.104619999998</v>
      </c>
      <c r="AP45" s="92"/>
    </row>
    <row r="46" spans="1:42" x14ac:dyDescent="0.35">
      <c r="A46" s="85">
        <v>46238</v>
      </c>
      <c r="B46" s="51" t="s">
        <v>86</v>
      </c>
      <c r="C46" s="97">
        <v>253186260086</v>
      </c>
      <c r="D46" s="97">
        <v>1784019</v>
      </c>
      <c r="E46" s="48" t="s">
        <v>87</v>
      </c>
      <c r="F46" s="86" t="s">
        <v>88</v>
      </c>
      <c r="G46" s="95" t="s">
        <v>142</v>
      </c>
      <c r="H46" s="86" t="s">
        <v>119</v>
      </c>
      <c r="I46" s="48" t="s">
        <v>150</v>
      </c>
      <c r="J46" s="52"/>
      <c r="K46" s="52"/>
      <c r="L46" s="106"/>
      <c r="M46" s="106"/>
      <c r="N46" s="104">
        <f t="shared" si="1"/>
        <v>0</v>
      </c>
      <c r="O46" s="95">
        <v>15</v>
      </c>
      <c r="P46" s="106">
        <v>10</v>
      </c>
      <c r="Q46" s="86">
        <v>15</v>
      </c>
      <c r="R46" s="104">
        <f t="shared" si="0"/>
        <v>40</v>
      </c>
      <c r="S46" s="86">
        <f t="shared" si="2"/>
        <v>40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2905.6</v>
      </c>
      <c r="AF46" s="90">
        <v>6.5000000000000002E-2</v>
      </c>
      <c r="AG46" s="4">
        <f t="shared" si="16"/>
        <v>188.864</v>
      </c>
      <c r="AH46" s="49">
        <f t="shared" si="17"/>
        <v>0</v>
      </c>
      <c r="AI46" s="89">
        <f t="shared" si="18"/>
        <v>2716.7359999999999</v>
      </c>
      <c r="AJ46" s="91">
        <v>0.18</v>
      </c>
      <c r="AK46" s="5">
        <f t="shared" si="19"/>
        <v>489.01247999999998</v>
      </c>
      <c r="AL46" s="89">
        <f t="shared" si="20"/>
        <v>3205.7484799999997</v>
      </c>
      <c r="AP46" s="92"/>
    </row>
    <row r="47" spans="1:42" x14ac:dyDescent="0.35">
      <c r="A47" s="85">
        <v>46238</v>
      </c>
      <c r="B47" s="51" t="s">
        <v>86</v>
      </c>
      <c r="C47" s="97">
        <v>259309265022.965</v>
      </c>
      <c r="D47" s="97">
        <v>1838217</v>
      </c>
      <c r="E47" s="48" t="s">
        <v>87</v>
      </c>
      <c r="F47" s="86" t="s">
        <v>88</v>
      </c>
      <c r="G47" s="86" t="s">
        <v>143</v>
      </c>
      <c r="H47" s="86" t="s">
        <v>119</v>
      </c>
      <c r="I47" s="48" t="s">
        <v>150</v>
      </c>
      <c r="J47" s="52"/>
      <c r="K47" s="86"/>
      <c r="L47" s="86"/>
      <c r="M47" s="105"/>
      <c r="N47" s="104">
        <f t="shared" si="1"/>
        <v>0</v>
      </c>
      <c r="O47" s="105"/>
      <c r="P47" s="105">
        <v>10</v>
      </c>
      <c r="Q47" s="105"/>
      <c r="R47" s="104">
        <f t="shared" si="0"/>
        <v>10</v>
      </c>
      <c r="S47" s="86">
        <f t="shared" si="2"/>
        <v>10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726.4</v>
      </c>
      <c r="AF47" s="90">
        <v>6.5000000000000002E-2</v>
      </c>
      <c r="AG47" s="4">
        <f t="shared" si="4"/>
        <v>47.216000000000001</v>
      </c>
      <c r="AH47" s="49">
        <f t="shared" si="5"/>
        <v>0</v>
      </c>
      <c r="AI47" s="89">
        <f t="shared" si="6"/>
        <v>679.18399999999997</v>
      </c>
      <c r="AJ47" s="91">
        <v>0.18</v>
      </c>
      <c r="AK47" s="5">
        <f t="shared" si="7"/>
        <v>122.25312</v>
      </c>
      <c r="AL47" s="89">
        <f t="shared" si="8"/>
        <v>801.43711999999994</v>
      </c>
      <c r="AP47" s="92"/>
    </row>
    <row r="48" spans="1:42" x14ac:dyDescent="0.35">
      <c r="A48" s="85">
        <v>46238</v>
      </c>
      <c r="B48" s="51" t="s">
        <v>86</v>
      </c>
      <c r="C48" s="97">
        <v>265432269959.92899</v>
      </c>
      <c r="D48" s="97">
        <v>1892415</v>
      </c>
      <c r="E48" s="48" t="s">
        <v>87</v>
      </c>
      <c r="F48" s="86" t="s">
        <v>88</v>
      </c>
      <c r="G48" s="86" t="s">
        <v>144</v>
      </c>
      <c r="H48" s="86" t="s">
        <v>119</v>
      </c>
      <c r="I48" s="48" t="s">
        <v>150</v>
      </c>
      <c r="J48" s="52">
        <v>40</v>
      </c>
      <c r="K48" s="105"/>
      <c r="L48" s="105"/>
      <c r="M48" s="105"/>
      <c r="N48" s="104">
        <f t="shared" si="1"/>
        <v>0</v>
      </c>
      <c r="O48" s="86">
        <v>15</v>
      </c>
      <c r="P48" s="86">
        <v>10</v>
      </c>
      <c r="Q48" s="105">
        <v>15</v>
      </c>
      <c r="R48" s="104">
        <f t="shared" si="0"/>
        <v>40</v>
      </c>
      <c r="S48" s="86">
        <f t="shared" si="2"/>
        <v>80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7382</v>
      </c>
      <c r="AF48" s="90">
        <v>6.5000000000000002E-2</v>
      </c>
      <c r="AG48" s="4">
        <f t="shared" si="4"/>
        <v>479.83000000000004</v>
      </c>
      <c r="AH48" s="49">
        <f t="shared" si="5"/>
        <v>54.978000000000009</v>
      </c>
      <c r="AI48" s="89">
        <f t="shared" si="6"/>
        <v>6902.17</v>
      </c>
      <c r="AJ48" s="91">
        <v>0.18</v>
      </c>
      <c r="AK48" s="5">
        <f t="shared" si="7"/>
        <v>1242.3905999999999</v>
      </c>
      <c r="AL48" s="89">
        <f t="shared" si="8"/>
        <v>8144.5605999999998</v>
      </c>
      <c r="AP48" s="92"/>
    </row>
    <row r="49" spans="1:42" x14ac:dyDescent="0.35">
      <c r="A49" s="85">
        <v>46238</v>
      </c>
      <c r="B49" s="51" t="s">
        <v>86</v>
      </c>
      <c r="C49" s="97">
        <v>271555274896.89301</v>
      </c>
      <c r="D49" s="97">
        <v>1946613</v>
      </c>
      <c r="E49" s="48" t="s">
        <v>87</v>
      </c>
      <c r="F49" s="86" t="s">
        <v>88</v>
      </c>
      <c r="G49" s="86" t="s">
        <v>145</v>
      </c>
      <c r="H49" s="86" t="s">
        <v>119</v>
      </c>
      <c r="I49" s="48" t="s">
        <v>150</v>
      </c>
      <c r="J49" s="52"/>
      <c r="K49" s="105"/>
      <c r="L49" s="105"/>
      <c r="M49" s="105"/>
      <c r="N49" s="104">
        <f t="shared" si="1"/>
        <v>0</v>
      </c>
      <c r="O49" s="86"/>
      <c r="P49" s="86">
        <v>10</v>
      </c>
      <c r="Q49" s="105"/>
      <c r="R49" s="104">
        <f t="shared" si="0"/>
        <v>10</v>
      </c>
      <c r="S49" s="86">
        <f t="shared" si="2"/>
        <v>10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726.4</v>
      </c>
      <c r="AF49" s="90">
        <v>6.5000000000000002E-2</v>
      </c>
      <c r="AG49" s="4">
        <f t="shared" si="4"/>
        <v>47.216000000000001</v>
      </c>
      <c r="AH49" s="49">
        <f t="shared" si="5"/>
        <v>0</v>
      </c>
      <c r="AI49" s="89">
        <f t="shared" si="6"/>
        <v>679.18399999999997</v>
      </c>
      <c r="AJ49" s="91">
        <v>0.18</v>
      </c>
      <c r="AK49" s="5">
        <f t="shared" si="7"/>
        <v>122.25312</v>
      </c>
      <c r="AL49" s="89">
        <f t="shared" si="8"/>
        <v>801.43711999999994</v>
      </c>
      <c r="AP49" s="92"/>
    </row>
    <row r="50" spans="1:42" x14ac:dyDescent="0.35">
      <c r="A50" s="85">
        <v>46238</v>
      </c>
      <c r="B50" s="51" t="s">
        <v>86</v>
      </c>
      <c r="C50" s="97">
        <v>277678279833.85699</v>
      </c>
      <c r="D50" s="97">
        <v>2000811</v>
      </c>
      <c r="E50" s="48" t="s">
        <v>87</v>
      </c>
      <c r="F50" s="86" t="s">
        <v>88</v>
      </c>
      <c r="G50" s="86" t="s">
        <v>146</v>
      </c>
      <c r="H50" s="86" t="s">
        <v>119</v>
      </c>
      <c r="I50" s="48" t="s">
        <v>150</v>
      </c>
      <c r="J50" s="52">
        <v>12</v>
      </c>
      <c r="K50" s="86">
        <v>12</v>
      </c>
      <c r="L50" s="86">
        <v>12</v>
      </c>
      <c r="M50" s="86"/>
      <c r="N50" s="104">
        <f t="shared" si="1"/>
        <v>24</v>
      </c>
      <c r="O50" s="105"/>
      <c r="P50" s="105"/>
      <c r="Q50" s="105"/>
      <c r="R50" s="104">
        <f t="shared" si="0"/>
        <v>0</v>
      </c>
      <c r="S50" s="86">
        <f t="shared" si="2"/>
        <v>36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4345.38</v>
      </c>
      <c r="AF50" s="90">
        <v>6.5000000000000002E-2</v>
      </c>
      <c r="AG50" s="4">
        <f t="shared" si="4"/>
        <v>282.44970000000001</v>
      </c>
      <c r="AH50" s="49">
        <f t="shared" si="5"/>
        <v>16.493400000000001</v>
      </c>
      <c r="AI50" s="89">
        <f t="shared" si="6"/>
        <v>4062.9303</v>
      </c>
      <c r="AJ50" s="91">
        <v>0.18</v>
      </c>
      <c r="AK50" s="5">
        <f t="shared" si="7"/>
        <v>731.32745399999999</v>
      </c>
      <c r="AL50" s="89">
        <f t="shared" si="8"/>
        <v>4794.2577540000002</v>
      </c>
      <c r="AP50" s="92"/>
    </row>
    <row r="51" spans="1:42" x14ac:dyDescent="0.35">
      <c r="A51" s="85">
        <v>46238</v>
      </c>
      <c r="B51" s="51" t="s">
        <v>86</v>
      </c>
      <c r="C51" s="97">
        <v>283801284770.82202</v>
      </c>
      <c r="D51" s="97">
        <v>2055009</v>
      </c>
      <c r="E51" s="48" t="s">
        <v>87</v>
      </c>
      <c r="F51" s="86" t="s">
        <v>88</v>
      </c>
      <c r="G51" s="86" t="s">
        <v>147</v>
      </c>
      <c r="H51" s="86" t="s">
        <v>119</v>
      </c>
      <c r="I51" s="48" t="s">
        <v>150</v>
      </c>
      <c r="J51" s="52"/>
      <c r="K51" s="105"/>
      <c r="L51" s="105"/>
      <c r="M51" s="105"/>
      <c r="N51" s="104">
        <f t="shared" si="1"/>
        <v>0</v>
      </c>
      <c r="O51" s="86">
        <v>15</v>
      </c>
      <c r="P51" s="105">
        <v>10</v>
      </c>
      <c r="Q51" s="105">
        <v>15</v>
      </c>
      <c r="R51" s="104">
        <f t="shared" si="0"/>
        <v>40</v>
      </c>
      <c r="S51" s="86">
        <f t="shared" si="2"/>
        <v>40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2905.6</v>
      </c>
      <c r="AF51" s="90">
        <v>6.5000000000000002E-2</v>
      </c>
      <c r="AG51" s="4">
        <f t="shared" si="4"/>
        <v>188.864</v>
      </c>
      <c r="AH51" s="49">
        <f t="shared" si="5"/>
        <v>0</v>
      </c>
      <c r="AI51" s="89">
        <f t="shared" si="6"/>
        <v>2716.7359999999999</v>
      </c>
      <c r="AJ51" s="91">
        <v>0.18</v>
      </c>
      <c r="AK51" s="5">
        <f t="shared" si="7"/>
        <v>489.01247999999998</v>
      </c>
      <c r="AL51" s="89">
        <f t="shared" si="8"/>
        <v>3205.7484799999997</v>
      </c>
      <c r="AP51" s="92"/>
    </row>
    <row r="52" spans="1:42" x14ac:dyDescent="0.35">
      <c r="A52" s="85">
        <v>46238</v>
      </c>
      <c r="B52" s="51" t="s">
        <v>86</v>
      </c>
      <c r="C52" s="97">
        <v>289924289707.78601</v>
      </c>
      <c r="D52" s="97">
        <v>2109207</v>
      </c>
      <c r="E52" s="48" t="s">
        <v>87</v>
      </c>
      <c r="F52" s="86" t="s">
        <v>88</v>
      </c>
      <c r="G52" s="86" t="s">
        <v>148</v>
      </c>
      <c r="H52" s="86" t="s">
        <v>119</v>
      </c>
      <c r="I52" s="48" t="s">
        <v>150</v>
      </c>
      <c r="J52" s="52">
        <v>40</v>
      </c>
      <c r="K52" s="105">
        <v>20</v>
      </c>
      <c r="L52" s="86">
        <v>20</v>
      </c>
      <c r="M52" s="105"/>
      <c r="N52" s="104">
        <f t="shared" si="1"/>
        <v>40</v>
      </c>
      <c r="O52" s="86"/>
      <c r="P52" s="86"/>
      <c r="Q52" s="86"/>
      <c r="R52" s="104">
        <f t="shared" si="0"/>
        <v>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9480.5</v>
      </c>
      <c r="AF52" s="90">
        <v>0.14000000000000001</v>
      </c>
      <c r="AG52" s="4">
        <f t="shared" si="4"/>
        <v>1327.2700000000002</v>
      </c>
      <c r="AH52" s="49">
        <f t="shared" si="5"/>
        <v>54.978000000000009</v>
      </c>
      <c r="AI52" s="89">
        <f t="shared" si="6"/>
        <v>8153.23</v>
      </c>
      <c r="AJ52" s="91">
        <v>0.18</v>
      </c>
      <c r="AK52" s="5">
        <f t="shared" si="7"/>
        <v>1467.5813999999998</v>
      </c>
      <c r="AL52" s="89">
        <f t="shared" si="8"/>
        <v>9620.8113999999987</v>
      </c>
      <c r="AP52" s="92"/>
    </row>
    <row r="53" spans="1:42" x14ac:dyDescent="0.35">
      <c r="A53" s="85">
        <v>46238</v>
      </c>
      <c r="B53" s="51" t="s">
        <v>86</v>
      </c>
      <c r="C53" s="97">
        <v>289924289707.78601</v>
      </c>
      <c r="D53" s="97">
        <v>2109207</v>
      </c>
      <c r="E53" s="48" t="s">
        <v>87</v>
      </c>
      <c r="F53" s="86" t="s">
        <v>88</v>
      </c>
      <c r="G53" s="86" t="s">
        <v>149</v>
      </c>
      <c r="H53" s="86" t="s">
        <v>119</v>
      </c>
      <c r="I53" s="48" t="s">
        <v>150</v>
      </c>
      <c r="J53" s="52"/>
      <c r="K53" s="105"/>
      <c r="L53" s="86"/>
      <c r="M53" s="86"/>
      <c r="N53" s="104">
        <f t="shared" si="1"/>
        <v>0</v>
      </c>
      <c r="O53" s="86">
        <v>10</v>
      </c>
      <c r="P53" s="86">
        <v>10</v>
      </c>
      <c r="Q53" s="86"/>
      <c r="R53" s="104">
        <f t="shared" si="0"/>
        <v>20</v>
      </c>
      <c r="S53" s="86">
        <f t="shared" si="2"/>
        <v>20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1452.8</v>
      </c>
      <c r="AF53" s="90">
        <v>6.5000000000000002E-2</v>
      </c>
      <c r="AG53" s="4">
        <f t="shared" si="4"/>
        <v>94.432000000000002</v>
      </c>
      <c r="AH53" s="49">
        <f t="shared" si="5"/>
        <v>0</v>
      </c>
      <c r="AI53" s="89">
        <f t="shared" si="6"/>
        <v>1358.3679999999999</v>
      </c>
      <c r="AJ53" s="91">
        <v>0.18</v>
      </c>
      <c r="AK53" s="5">
        <f t="shared" si="7"/>
        <v>244.50623999999999</v>
      </c>
      <c r="AL53" s="89">
        <f t="shared" si="8"/>
        <v>1602.8742399999999</v>
      </c>
      <c r="AP53" s="92"/>
    </row>
    <row r="54" spans="1:42" x14ac:dyDescent="0.35">
      <c r="A54" s="85">
        <v>46238</v>
      </c>
      <c r="B54" s="51" t="s">
        <v>86</v>
      </c>
      <c r="C54" s="97">
        <v>289924289707.78601</v>
      </c>
      <c r="D54" s="97">
        <v>2109207</v>
      </c>
      <c r="E54" s="48" t="s">
        <v>87</v>
      </c>
      <c r="F54" s="86" t="s">
        <v>88</v>
      </c>
      <c r="G54" s="86" t="s">
        <v>151</v>
      </c>
      <c r="H54" s="95" t="s">
        <v>93</v>
      </c>
      <c r="I54" s="48" t="s">
        <v>154</v>
      </c>
      <c r="J54" s="52">
        <v>40</v>
      </c>
      <c r="K54" s="105"/>
      <c r="L54" s="105"/>
      <c r="M54" s="105"/>
      <c r="N54" s="104">
        <f t="shared" si="1"/>
        <v>0</v>
      </c>
      <c r="O54" s="105"/>
      <c r="P54" s="105"/>
      <c r="Q54" s="86"/>
      <c r="R54" s="104">
        <f t="shared" si="0"/>
        <v>0</v>
      </c>
      <c r="S54" s="86">
        <f t="shared" si="2"/>
        <v>40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4476.3999999999996</v>
      </c>
      <c r="AF54" s="90">
        <v>6.5000000000000002E-2</v>
      </c>
      <c r="AG54" s="4">
        <f t="shared" si="4"/>
        <v>290.96600000000001</v>
      </c>
      <c r="AH54" s="49">
        <f t="shared" si="5"/>
        <v>54.978000000000009</v>
      </c>
      <c r="AI54" s="89">
        <f t="shared" si="6"/>
        <v>4185.4339999999993</v>
      </c>
      <c r="AJ54" s="91">
        <v>0.18</v>
      </c>
      <c r="AK54" s="5">
        <f t="shared" si="7"/>
        <v>753.37811999999985</v>
      </c>
      <c r="AL54" s="89">
        <f t="shared" si="8"/>
        <v>4938.8121199999987</v>
      </c>
      <c r="AP54" s="92"/>
    </row>
    <row r="55" spans="1:42" x14ac:dyDescent="0.35">
      <c r="A55" s="85">
        <v>46238</v>
      </c>
      <c r="B55" s="51" t="s">
        <v>86</v>
      </c>
      <c r="C55" s="97">
        <v>289924289707.78601</v>
      </c>
      <c r="D55" s="97">
        <v>2109207</v>
      </c>
      <c r="E55" s="48" t="s">
        <v>87</v>
      </c>
      <c r="F55" s="86" t="s">
        <v>88</v>
      </c>
      <c r="G55" s="86" t="s">
        <v>152</v>
      </c>
      <c r="H55" s="95" t="s">
        <v>93</v>
      </c>
      <c r="I55" s="48" t="s">
        <v>154</v>
      </c>
      <c r="J55" s="52">
        <v>40</v>
      </c>
      <c r="K55" s="86"/>
      <c r="L55" s="86"/>
      <c r="M55" s="86"/>
      <c r="N55" s="104">
        <f t="shared" si="1"/>
        <v>0</v>
      </c>
      <c r="O55" s="86">
        <v>40</v>
      </c>
      <c r="P55" s="86"/>
      <c r="Q55" s="86"/>
      <c r="R55" s="104">
        <f t="shared" si="0"/>
        <v>40</v>
      </c>
      <c r="S55" s="86">
        <f t="shared" si="2"/>
        <v>80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7382</v>
      </c>
      <c r="AF55" s="90">
        <v>6.5000000000000002E-2</v>
      </c>
      <c r="AG55" s="4">
        <f t="shared" si="4"/>
        <v>479.83000000000004</v>
      </c>
      <c r="AH55" s="49">
        <f t="shared" si="5"/>
        <v>54.978000000000009</v>
      </c>
      <c r="AI55" s="89">
        <f t="shared" si="6"/>
        <v>6902.17</v>
      </c>
      <c r="AJ55" s="91">
        <v>0.18</v>
      </c>
      <c r="AK55" s="5">
        <f t="shared" si="7"/>
        <v>1242.3905999999999</v>
      </c>
      <c r="AL55" s="89">
        <f t="shared" si="8"/>
        <v>8144.5605999999998</v>
      </c>
      <c r="AP55" s="92"/>
    </row>
    <row r="56" spans="1:42" x14ac:dyDescent="0.35">
      <c r="A56" s="85">
        <v>46238</v>
      </c>
      <c r="B56" s="51" t="s">
        <v>86</v>
      </c>
      <c r="C56" s="97">
        <v>289924289707.78601</v>
      </c>
      <c r="D56" s="97">
        <v>2109207</v>
      </c>
      <c r="E56" s="48" t="s">
        <v>87</v>
      </c>
      <c r="F56" s="86" t="s">
        <v>88</v>
      </c>
      <c r="G56" s="86" t="s">
        <v>153</v>
      </c>
      <c r="H56" s="95" t="s">
        <v>93</v>
      </c>
      <c r="I56" s="48" t="s">
        <v>154</v>
      </c>
      <c r="J56" s="52"/>
      <c r="K56" s="105"/>
      <c r="L56" s="105"/>
      <c r="M56" s="105"/>
      <c r="N56" s="104">
        <f t="shared" si="1"/>
        <v>0</v>
      </c>
      <c r="O56" s="86">
        <v>20</v>
      </c>
      <c r="P56" s="86">
        <v>20</v>
      </c>
      <c r="Q56" s="86">
        <v>40</v>
      </c>
      <c r="R56" s="104">
        <f t="shared" si="0"/>
        <v>80</v>
      </c>
      <c r="S56" s="86">
        <f t="shared" si="2"/>
        <v>80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5811.2</v>
      </c>
      <c r="AF56" s="90">
        <v>6.5000000000000002E-2</v>
      </c>
      <c r="AG56" s="4">
        <f t="shared" ref="AG56:AG123" si="21">AE56*AF56</f>
        <v>377.72800000000001</v>
      </c>
      <c r="AH56" s="49">
        <f t="shared" si="5"/>
        <v>0</v>
      </c>
      <c r="AI56" s="89">
        <f t="shared" si="6"/>
        <v>5433.4719999999998</v>
      </c>
      <c r="AJ56" s="91">
        <v>0.18</v>
      </c>
      <c r="AK56" s="5">
        <f t="shared" si="7"/>
        <v>978.02495999999996</v>
      </c>
      <c r="AL56" s="89">
        <f t="shared" si="8"/>
        <v>6411.4969599999995</v>
      </c>
      <c r="AP56" s="92"/>
    </row>
    <row r="57" spans="1:42" x14ac:dyDescent="0.35">
      <c r="A57" s="85">
        <v>46239</v>
      </c>
      <c r="B57" s="51" t="s">
        <v>86</v>
      </c>
      <c r="C57" s="97">
        <v>289924289707.78601</v>
      </c>
      <c r="D57" s="97">
        <v>2109207</v>
      </c>
      <c r="E57" s="48" t="s">
        <v>87</v>
      </c>
      <c r="F57" s="86" t="s">
        <v>88</v>
      </c>
      <c r="G57" s="86" t="s">
        <v>155</v>
      </c>
      <c r="H57" s="86" t="s">
        <v>119</v>
      </c>
      <c r="I57" s="48" t="s">
        <v>175</v>
      </c>
      <c r="J57" s="52">
        <v>40</v>
      </c>
      <c r="K57" s="86">
        <v>20</v>
      </c>
      <c r="L57" s="86">
        <v>20</v>
      </c>
      <c r="M57" s="86"/>
      <c r="N57" s="104">
        <f t="shared" si="1"/>
        <v>40</v>
      </c>
      <c r="O57" s="86"/>
      <c r="P57" s="86"/>
      <c r="Q57" s="86"/>
      <c r="R57" s="104">
        <f t="shared" si="0"/>
        <v>0</v>
      </c>
      <c r="S57" s="86">
        <f t="shared" si="2"/>
        <v>80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9480.5</v>
      </c>
      <c r="AF57" s="90">
        <v>0.1</v>
      </c>
      <c r="AG57" s="4">
        <f t="shared" si="21"/>
        <v>948.05000000000007</v>
      </c>
      <c r="AH57" s="49">
        <f t="shared" si="5"/>
        <v>54.978000000000009</v>
      </c>
      <c r="AI57" s="89">
        <f t="shared" si="6"/>
        <v>8532.4500000000007</v>
      </c>
      <c r="AJ57" s="91">
        <v>0.18</v>
      </c>
      <c r="AK57" s="5">
        <f t="shared" si="7"/>
        <v>1535.8410000000001</v>
      </c>
      <c r="AL57" s="89">
        <f t="shared" si="8"/>
        <v>10068.291000000001</v>
      </c>
      <c r="AP57" s="92"/>
    </row>
    <row r="58" spans="1:42" x14ac:dyDescent="0.35">
      <c r="A58" s="85">
        <v>46239</v>
      </c>
      <c r="B58" s="51" t="s">
        <v>86</v>
      </c>
      <c r="C58" s="97">
        <v>289924289707.78601</v>
      </c>
      <c r="D58" s="97">
        <v>2109207</v>
      </c>
      <c r="E58" s="48" t="s">
        <v>87</v>
      </c>
      <c r="F58" s="86" t="s">
        <v>88</v>
      </c>
      <c r="G58" s="86" t="s">
        <v>156</v>
      </c>
      <c r="H58" s="86" t="s">
        <v>119</v>
      </c>
      <c r="I58" s="48" t="s">
        <v>175</v>
      </c>
      <c r="J58" s="52"/>
      <c r="K58" s="105"/>
      <c r="L58" s="105"/>
      <c r="M58" s="105"/>
      <c r="N58" s="104">
        <f t="shared" si="1"/>
        <v>0</v>
      </c>
      <c r="O58" s="86">
        <v>15</v>
      </c>
      <c r="P58" s="105">
        <v>10</v>
      </c>
      <c r="Q58" s="86">
        <v>15</v>
      </c>
      <c r="R58" s="104">
        <f t="shared" si="0"/>
        <v>40</v>
      </c>
      <c r="S58" s="86">
        <f t="shared" si="2"/>
        <v>40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2905.6</v>
      </c>
      <c r="AF58" s="90">
        <v>0.1</v>
      </c>
      <c r="AG58" s="4">
        <f t="shared" si="21"/>
        <v>290.56</v>
      </c>
      <c r="AH58" s="49">
        <f t="shared" si="5"/>
        <v>0</v>
      </c>
      <c r="AI58" s="89">
        <f t="shared" si="6"/>
        <v>2615.04</v>
      </c>
      <c r="AJ58" s="91">
        <v>0.18</v>
      </c>
      <c r="AK58" s="5">
        <f t="shared" si="7"/>
        <v>470.7072</v>
      </c>
      <c r="AL58" s="89">
        <f t="shared" si="8"/>
        <v>3085.7471999999998</v>
      </c>
      <c r="AP58" s="92"/>
    </row>
    <row r="59" spans="1:42" x14ac:dyDescent="0.35">
      <c r="A59" s="85">
        <v>46239</v>
      </c>
      <c r="B59" s="51" t="s">
        <v>86</v>
      </c>
      <c r="C59" s="97">
        <v>289924289707.78601</v>
      </c>
      <c r="D59" s="97">
        <v>2109207</v>
      </c>
      <c r="E59" s="48" t="s">
        <v>87</v>
      </c>
      <c r="F59" s="86" t="s">
        <v>88</v>
      </c>
      <c r="G59" s="86" t="s">
        <v>157</v>
      </c>
      <c r="H59" s="86" t="s">
        <v>119</v>
      </c>
      <c r="I59" s="48" t="s">
        <v>175</v>
      </c>
      <c r="J59" s="52">
        <v>40</v>
      </c>
      <c r="K59" s="105">
        <v>20</v>
      </c>
      <c r="L59" s="105">
        <v>20</v>
      </c>
      <c r="M59" s="105"/>
      <c r="N59" s="104">
        <f t="shared" si="1"/>
        <v>40</v>
      </c>
      <c r="O59" s="105">
        <v>15</v>
      </c>
      <c r="P59" s="86">
        <v>10</v>
      </c>
      <c r="Q59" s="86">
        <v>15</v>
      </c>
      <c r="R59" s="104">
        <f t="shared" si="0"/>
        <v>40</v>
      </c>
      <c r="S59" s="86">
        <f t="shared" si="2"/>
        <v>120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12386.099999999999</v>
      </c>
      <c r="AF59" s="90">
        <v>6.5000000000000002E-2</v>
      </c>
      <c r="AG59" s="4">
        <f t="shared" si="21"/>
        <v>805.09649999999988</v>
      </c>
      <c r="AH59" s="49">
        <f t="shared" si="5"/>
        <v>54.978000000000009</v>
      </c>
      <c r="AI59" s="89">
        <f t="shared" si="6"/>
        <v>11581.003499999999</v>
      </c>
      <c r="AJ59" s="91">
        <v>0.18</v>
      </c>
      <c r="AK59" s="5">
        <f t="shared" si="7"/>
        <v>2084.5806299999999</v>
      </c>
      <c r="AL59" s="89">
        <f t="shared" si="8"/>
        <v>13665.584129999999</v>
      </c>
      <c r="AP59" s="92"/>
    </row>
    <row r="60" spans="1:42" x14ac:dyDescent="0.35">
      <c r="A60" s="85">
        <v>46239</v>
      </c>
      <c r="B60" s="51" t="s">
        <v>86</v>
      </c>
      <c r="C60" s="97">
        <v>289924289707.78601</v>
      </c>
      <c r="D60" s="97">
        <v>2109207</v>
      </c>
      <c r="E60" s="48" t="s">
        <v>87</v>
      </c>
      <c r="F60" s="86" t="s">
        <v>88</v>
      </c>
      <c r="G60" s="86" t="s">
        <v>158</v>
      </c>
      <c r="H60" s="86" t="s">
        <v>119</v>
      </c>
      <c r="I60" s="48" t="s">
        <v>175</v>
      </c>
      <c r="J60" s="52">
        <v>40</v>
      </c>
      <c r="K60" s="105">
        <v>20</v>
      </c>
      <c r="L60" s="105"/>
      <c r="M60" s="105"/>
      <c r="N60" s="104">
        <f t="shared" si="1"/>
        <v>20</v>
      </c>
      <c r="O60" s="86">
        <v>15</v>
      </c>
      <c r="P60" s="86">
        <v>10</v>
      </c>
      <c r="Q60" s="105">
        <v>15</v>
      </c>
      <c r="R60" s="104">
        <f t="shared" si="0"/>
        <v>40</v>
      </c>
      <c r="S60" s="86">
        <f t="shared" si="2"/>
        <v>100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9884.0499999999993</v>
      </c>
      <c r="AF60" s="90">
        <v>6.5000000000000002E-2</v>
      </c>
      <c r="AG60" s="4">
        <f t="shared" si="21"/>
        <v>642.46325000000002</v>
      </c>
      <c r="AH60" s="49">
        <f t="shared" si="5"/>
        <v>54.978000000000009</v>
      </c>
      <c r="AI60" s="89">
        <f t="shared" si="6"/>
        <v>9241.5867499999986</v>
      </c>
      <c r="AJ60" s="91">
        <v>0.18</v>
      </c>
      <c r="AK60" s="5">
        <f t="shared" si="7"/>
        <v>1663.4856149999996</v>
      </c>
      <c r="AL60" s="89">
        <f t="shared" si="8"/>
        <v>10905.072364999998</v>
      </c>
      <c r="AP60" s="92"/>
    </row>
    <row r="61" spans="1:42" x14ac:dyDescent="0.35">
      <c r="A61" s="85">
        <v>46239</v>
      </c>
      <c r="B61" s="51" t="s">
        <v>86</v>
      </c>
      <c r="C61" s="97">
        <v>289924289707.78601</v>
      </c>
      <c r="D61" s="97">
        <v>2109207</v>
      </c>
      <c r="E61" s="48" t="s">
        <v>87</v>
      </c>
      <c r="F61" s="86" t="s">
        <v>88</v>
      </c>
      <c r="G61" s="95" t="s">
        <v>159</v>
      </c>
      <c r="H61" s="86" t="s">
        <v>119</v>
      </c>
      <c r="I61" s="48" t="s">
        <v>175</v>
      </c>
      <c r="J61" s="52"/>
      <c r="K61" s="106">
        <v>10</v>
      </c>
      <c r="L61" s="106">
        <v>10</v>
      </c>
      <c r="M61" s="106"/>
      <c r="N61" s="104">
        <f t="shared" si="1"/>
        <v>20</v>
      </c>
      <c r="O61" s="95"/>
      <c r="P61" s="86"/>
      <c r="Q61" s="105"/>
      <c r="R61" s="104">
        <f t="shared" si="0"/>
        <v>0</v>
      </c>
      <c r="S61" s="86">
        <f t="shared" si="2"/>
        <v>20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2502.0500000000002</v>
      </c>
      <c r="AF61" s="90">
        <v>6.5000000000000002E-2</v>
      </c>
      <c r="AG61" s="4">
        <f t="shared" si="21"/>
        <v>162.63325</v>
      </c>
      <c r="AH61" s="49">
        <f t="shared" si="5"/>
        <v>0</v>
      </c>
      <c r="AI61" s="89">
        <f t="shared" si="6"/>
        <v>2339.4167500000003</v>
      </c>
      <c r="AJ61" s="91">
        <v>0.18</v>
      </c>
      <c r="AK61" s="5">
        <f t="shared" si="7"/>
        <v>421.09501500000005</v>
      </c>
      <c r="AL61" s="89">
        <f t="shared" si="8"/>
        <v>2760.5117650000002</v>
      </c>
      <c r="AP61" s="92"/>
    </row>
    <row r="62" spans="1:42" x14ac:dyDescent="0.35">
      <c r="A62" s="85">
        <v>46239</v>
      </c>
      <c r="B62" s="51" t="s">
        <v>86</v>
      </c>
      <c r="C62" s="97">
        <v>289924289707.78601</v>
      </c>
      <c r="D62" s="97">
        <v>2109207</v>
      </c>
      <c r="E62" s="48" t="s">
        <v>87</v>
      </c>
      <c r="F62" s="86" t="s">
        <v>88</v>
      </c>
      <c r="G62" s="95" t="s">
        <v>160</v>
      </c>
      <c r="H62" s="86" t="s">
        <v>119</v>
      </c>
      <c r="I62" s="48" t="s">
        <v>175</v>
      </c>
      <c r="J62" s="52"/>
      <c r="K62" s="106"/>
      <c r="L62" s="106"/>
      <c r="M62" s="106"/>
      <c r="N62" s="104">
        <f t="shared" si="1"/>
        <v>0</v>
      </c>
      <c r="O62" s="95">
        <v>30</v>
      </c>
      <c r="P62" s="86">
        <v>10</v>
      </c>
      <c r="Q62" s="105"/>
      <c r="R62" s="104">
        <f t="shared" si="0"/>
        <v>40</v>
      </c>
      <c r="S62" s="86">
        <f t="shared" si="2"/>
        <v>40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2905.6</v>
      </c>
      <c r="AF62" s="90">
        <v>6.5000000000000002E-2</v>
      </c>
      <c r="AG62" s="4">
        <f t="shared" si="21"/>
        <v>188.864</v>
      </c>
      <c r="AH62" s="49">
        <f t="shared" si="5"/>
        <v>0</v>
      </c>
      <c r="AI62" s="89">
        <f t="shared" si="6"/>
        <v>2716.7359999999999</v>
      </c>
      <c r="AJ62" s="91">
        <v>0.18</v>
      </c>
      <c r="AK62" s="5">
        <f t="shared" si="7"/>
        <v>489.01247999999998</v>
      </c>
      <c r="AL62" s="89">
        <f t="shared" si="8"/>
        <v>3205.7484799999997</v>
      </c>
      <c r="AP62" s="92"/>
    </row>
    <row r="63" spans="1:42" x14ac:dyDescent="0.35">
      <c r="A63" s="85">
        <v>46239</v>
      </c>
      <c r="B63" s="51" t="s">
        <v>86</v>
      </c>
      <c r="C63" s="97">
        <v>289924289707.78601</v>
      </c>
      <c r="D63" s="97">
        <v>2109207</v>
      </c>
      <c r="E63" s="48" t="s">
        <v>87</v>
      </c>
      <c r="F63" s="86" t="s">
        <v>88</v>
      </c>
      <c r="G63" s="86" t="s">
        <v>161</v>
      </c>
      <c r="H63" s="86" t="s">
        <v>119</v>
      </c>
      <c r="I63" s="48" t="s">
        <v>175</v>
      </c>
      <c r="J63" s="52"/>
      <c r="K63" s="105"/>
      <c r="L63" s="105"/>
      <c r="M63" s="105"/>
      <c r="N63" s="104">
        <f t="shared" si="1"/>
        <v>0</v>
      </c>
      <c r="O63" s="86">
        <v>120</v>
      </c>
      <c r="P63" s="86">
        <v>80</v>
      </c>
      <c r="Q63" s="86"/>
      <c r="R63" s="104">
        <f t="shared" si="0"/>
        <v>200</v>
      </c>
      <c r="S63" s="86">
        <f t="shared" si="2"/>
        <v>200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14528</v>
      </c>
      <c r="AF63" s="90">
        <v>6.5000000000000002E-2</v>
      </c>
      <c r="AG63" s="4">
        <f t="shared" si="21"/>
        <v>944.32</v>
      </c>
      <c r="AH63" s="49">
        <f t="shared" si="5"/>
        <v>0</v>
      </c>
      <c r="AI63" s="89">
        <f t="shared" si="6"/>
        <v>13583.68</v>
      </c>
      <c r="AJ63" s="91">
        <v>0.18</v>
      </c>
      <c r="AK63" s="5">
        <f t="shared" si="7"/>
        <v>2445.0623999999998</v>
      </c>
      <c r="AL63" s="89">
        <f t="shared" si="8"/>
        <v>16028.742399999999</v>
      </c>
      <c r="AP63" s="92"/>
    </row>
    <row r="64" spans="1:42" x14ac:dyDescent="0.35">
      <c r="A64" s="85">
        <v>46239</v>
      </c>
      <c r="B64" s="51" t="s">
        <v>86</v>
      </c>
      <c r="C64" s="97">
        <v>289924289707.78601</v>
      </c>
      <c r="D64" s="97">
        <v>2109207</v>
      </c>
      <c r="E64" s="48" t="s">
        <v>87</v>
      </c>
      <c r="F64" s="86" t="s">
        <v>88</v>
      </c>
      <c r="G64" s="86" t="s">
        <v>162</v>
      </c>
      <c r="H64" s="86" t="s">
        <v>119</v>
      </c>
      <c r="I64" s="48" t="s">
        <v>175</v>
      </c>
      <c r="J64" s="52">
        <v>40</v>
      </c>
      <c r="K64" s="105"/>
      <c r="L64" s="105"/>
      <c r="M64" s="105"/>
      <c r="N64" s="104">
        <f t="shared" si="1"/>
        <v>0</v>
      </c>
      <c r="O64" s="86"/>
      <c r="P64" s="86">
        <v>80</v>
      </c>
      <c r="Q64" s="86"/>
      <c r="R64" s="104">
        <f t="shared" si="0"/>
        <v>80</v>
      </c>
      <c r="S64" s="86">
        <f t="shared" si="2"/>
        <v>120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10287.599999999999</v>
      </c>
      <c r="AF64" s="90">
        <v>6.5000000000000002E-2</v>
      </c>
      <c r="AG64" s="4">
        <f t="shared" si="21"/>
        <v>668.69399999999996</v>
      </c>
      <c r="AH64" s="49">
        <f t="shared" si="5"/>
        <v>54.978000000000009</v>
      </c>
      <c r="AI64" s="89">
        <f t="shared" si="6"/>
        <v>9618.905999999999</v>
      </c>
      <c r="AJ64" s="91">
        <v>0.18</v>
      </c>
      <c r="AK64" s="5">
        <f t="shared" si="7"/>
        <v>1731.4030799999998</v>
      </c>
      <c r="AL64" s="89">
        <f t="shared" si="8"/>
        <v>11350.309079999999</v>
      </c>
      <c r="AP64" s="92"/>
    </row>
    <row r="65" spans="1:42" x14ac:dyDescent="0.35">
      <c r="A65" s="85">
        <v>46239</v>
      </c>
      <c r="B65" s="51" t="s">
        <v>86</v>
      </c>
      <c r="C65" s="97">
        <v>289924289707.78601</v>
      </c>
      <c r="D65" s="97">
        <v>2109207</v>
      </c>
      <c r="E65" s="48" t="s">
        <v>87</v>
      </c>
      <c r="F65" s="86" t="s">
        <v>88</v>
      </c>
      <c r="G65" s="86" t="s">
        <v>163</v>
      </c>
      <c r="H65" s="86" t="s">
        <v>119</v>
      </c>
      <c r="I65" s="48" t="s">
        <v>175</v>
      </c>
      <c r="J65" s="52"/>
      <c r="K65" s="86"/>
      <c r="L65" s="86"/>
      <c r="M65" s="86"/>
      <c r="N65" s="104">
        <f t="shared" si="1"/>
        <v>0</v>
      </c>
      <c r="O65" s="86"/>
      <c r="P65" s="86"/>
      <c r="Q65" s="86">
        <v>10</v>
      </c>
      <c r="R65" s="104">
        <f t="shared" si="0"/>
        <v>10</v>
      </c>
      <c r="S65" s="86">
        <f t="shared" si="2"/>
        <v>10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726.4</v>
      </c>
      <c r="AF65" s="90">
        <v>6.5000000000000002E-2</v>
      </c>
      <c r="AG65" s="4">
        <f t="shared" si="21"/>
        <v>47.216000000000001</v>
      </c>
      <c r="AH65" s="49">
        <f t="shared" si="5"/>
        <v>0</v>
      </c>
      <c r="AI65" s="89">
        <f t="shared" si="6"/>
        <v>679.18399999999997</v>
      </c>
      <c r="AJ65" s="91">
        <v>0.18</v>
      </c>
      <c r="AK65" s="5">
        <f t="shared" si="7"/>
        <v>122.25312</v>
      </c>
      <c r="AL65" s="89">
        <f t="shared" si="8"/>
        <v>801.43711999999994</v>
      </c>
      <c r="AP65" s="92"/>
    </row>
    <row r="66" spans="1:42" x14ac:dyDescent="0.35">
      <c r="A66" s="85">
        <v>46239</v>
      </c>
      <c r="B66" s="51" t="s">
        <v>86</v>
      </c>
      <c r="C66" s="97">
        <v>289924289707.78601</v>
      </c>
      <c r="D66" s="97">
        <v>2109207</v>
      </c>
      <c r="E66" s="48" t="s">
        <v>87</v>
      </c>
      <c r="F66" s="86" t="s">
        <v>88</v>
      </c>
      <c r="G66" s="86" t="s">
        <v>164</v>
      </c>
      <c r="H66" s="86" t="s">
        <v>119</v>
      </c>
      <c r="I66" s="48" t="s">
        <v>175</v>
      </c>
      <c r="J66" s="52"/>
      <c r="K66" s="105"/>
      <c r="L66" s="86"/>
      <c r="M66" s="86"/>
      <c r="N66" s="104">
        <f t="shared" si="1"/>
        <v>0</v>
      </c>
      <c r="O66" s="105"/>
      <c r="P66" s="105"/>
      <c r="Q66" s="105">
        <v>10</v>
      </c>
      <c r="R66" s="104">
        <f t="shared" si="0"/>
        <v>10</v>
      </c>
      <c r="S66" s="86">
        <f t="shared" si="2"/>
        <v>10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726.4</v>
      </c>
      <c r="AF66" s="90">
        <v>6.5000000000000002E-2</v>
      </c>
      <c r="AG66" s="4">
        <f t="shared" si="21"/>
        <v>47.216000000000001</v>
      </c>
      <c r="AH66" s="49">
        <f t="shared" si="5"/>
        <v>0</v>
      </c>
      <c r="AI66" s="89">
        <f t="shared" si="6"/>
        <v>679.18399999999997</v>
      </c>
      <c r="AJ66" s="91">
        <v>0.18</v>
      </c>
      <c r="AK66" s="5">
        <f t="shared" si="7"/>
        <v>122.25312</v>
      </c>
      <c r="AL66" s="89">
        <f t="shared" si="8"/>
        <v>801.43711999999994</v>
      </c>
      <c r="AP66" s="92"/>
    </row>
    <row r="67" spans="1:42" x14ac:dyDescent="0.35">
      <c r="A67" s="85">
        <v>46239</v>
      </c>
      <c r="B67" s="51" t="s">
        <v>86</v>
      </c>
      <c r="C67" s="97">
        <v>289924289707.78601</v>
      </c>
      <c r="D67" s="97">
        <v>2109207</v>
      </c>
      <c r="E67" s="48" t="s">
        <v>87</v>
      </c>
      <c r="F67" s="86" t="s">
        <v>88</v>
      </c>
      <c r="G67" s="86" t="s">
        <v>165</v>
      </c>
      <c r="H67" s="86" t="s">
        <v>119</v>
      </c>
      <c r="I67" s="48" t="s">
        <v>175</v>
      </c>
      <c r="J67" s="52"/>
      <c r="K67" s="105"/>
      <c r="L67" s="105"/>
      <c r="M67" s="105"/>
      <c r="N67" s="104">
        <f t="shared" si="1"/>
        <v>0</v>
      </c>
      <c r="O67" s="86"/>
      <c r="P67" s="86"/>
      <c r="Q67" s="105">
        <v>10</v>
      </c>
      <c r="R67" s="104">
        <f t="shared" ref="R67:R131" si="22">SUM(O67:Q67)</f>
        <v>10</v>
      </c>
      <c r="S67" s="86">
        <f t="shared" si="2"/>
        <v>10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726.4</v>
      </c>
      <c r="AF67" s="90">
        <v>6.5000000000000002E-2</v>
      </c>
      <c r="AG67" s="4">
        <f t="shared" si="21"/>
        <v>47.216000000000001</v>
      </c>
      <c r="AH67" s="49">
        <f t="shared" si="5"/>
        <v>0</v>
      </c>
      <c r="AI67" s="89">
        <f t="shared" si="6"/>
        <v>679.18399999999997</v>
      </c>
      <c r="AJ67" s="91">
        <v>0.18</v>
      </c>
      <c r="AK67" s="5">
        <f t="shared" si="7"/>
        <v>122.25312</v>
      </c>
      <c r="AL67" s="89">
        <f t="shared" si="8"/>
        <v>801.43711999999994</v>
      </c>
      <c r="AP67" s="92"/>
    </row>
    <row r="68" spans="1:42" x14ac:dyDescent="0.35">
      <c r="A68" s="85">
        <v>46239</v>
      </c>
      <c r="B68" s="51" t="s">
        <v>86</v>
      </c>
      <c r="C68" s="97">
        <v>289924289707.78601</v>
      </c>
      <c r="D68" s="97">
        <v>2109207</v>
      </c>
      <c r="E68" s="48" t="s">
        <v>87</v>
      </c>
      <c r="F68" s="86" t="s">
        <v>88</v>
      </c>
      <c r="G68" s="86" t="s">
        <v>166</v>
      </c>
      <c r="H68" s="86" t="s">
        <v>119</v>
      </c>
      <c r="I68" s="48" t="s">
        <v>175</v>
      </c>
      <c r="J68" s="52"/>
      <c r="K68" s="86"/>
      <c r="L68" s="86"/>
      <c r="M68" s="86"/>
      <c r="N68" s="104">
        <f t="shared" ref="N68:N132" si="23">K68+L68+M68</f>
        <v>0</v>
      </c>
      <c r="O68" s="86"/>
      <c r="P68" s="86"/>
      <c r="Q68" s="86">
        <v>10</v>
      </c>
      <c r="R68" s="104">
        <f t="shared" si="22"/>
        <v>10</v>
      </c>
      <c r="S68" s="86">
        <f t="shared" ref="S68:S132" si="24">R68+N68+J68</f>
        <v>10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726.4</v>
      </c>
      <c r="AF68" s="90">
        <v>6.5000000000000002E-2</v>
      </c>
      <c r="AG68" s="4">
        <f t="shared" si="21"/>
        <v>47.216000000000001</v>
      </c>
      <c r="AH68" s="49">
        <f t="shared" si="5"/>
        <v>0</v>
      </c>
      <c r="AI68" s="89">
        <f t="shared" si="6"/>
        <v>679.18399999999997</v>
      </c>
      <c r="AJ68" s="91">
        <v>0.18</v>
      </c>
      <c r="AK68" s="5">
        <f t="shared" si="7"/>
        <v>122.25312</v>
      </c>
      <c r="AL68" s="89">
        <f t="shared" si="8"/>
        <v>801.43711999999994</v>
      </c>
      <c r="AP68" s="92"/>
    </row>
    <row r="69" spans="1:42" x14ac:dyDescent="0.35">
      <c r="A69" s="85">
        <v>46239</v>
      </c>
      <c r="B69" s="51" t="s">
        <v>86</v>
      </c>
      <c r="C69" s="97">
        <v>289924289707.78601</v>
      </c>
      <c r="D69" s="97">
        <v>2109207</v>
      </c>
      <c r="E69" s="48" t="s">
        <v>87</v>
      </c>
      <c r="F69" s="86" t="s">
        <v>88</v>
      </c>
      <c r="G69" s="86" t="s">
        <v>117</v>
      </c>
      <c r="H69" s="86" t="s">
        <v>119</v>
      </c>
      <c r="I69" s="48" t="s">
        <v>175</v>
      </c>
      <c r="J69" s="52"/>
      <c r="K69" s="105"/>
      <c r="L69" s="105"/>
      <c r="M69" s="105"/>
      <c r="N69" s="104">
        <f t="shared" si="23"/>
        <v>0</v>
      </c>
      <c r="O69" s="86"/>
      <c r="P69" s="86"/>
      <c r="Q69" s="86">
        <v>10</v>
      </c>
      <c r="R69" s="104">
        <f t="shared" si="22"/>
        <v>10</v>
      </c>
      <c r="S69" s="86">
        <f t="shared" si="24"/>
        <v>10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726.4</v>
      </c>
      <c r="AF69" s="90">
        <v>6.5000000000000002E-2</v>
      </c>
      <c r="AG69" s="4">
        <f t="shared" si="21"/>
        <v>47.216000000000001</v>
      </c>
      <c r="AH69" s="49">
        <f t="shared" si="5"/>
        <v>0</v>
      </c>
      <c r="AI69" s="89">
        <f t="shared" si="6"/>
        <v>679.18399999999997</v>
      </c>
      <c r="AJ69" s="91">
        <v>0.18</v>
      </c>
      <c r="AK69" s="5">
        <f t="shared" si="7"/>
        <v>122.25312</v>
      </c>
      <c r="AL69" s="89">
        <f t="shared" si="8"/>
        <v>801.43711999999994</v>
      </c>
      <c r="AP69" s="92"/>
    </row>
    <row r="70" spans="1:42" x14ac:dyDescent="0.35">
      <c r="A70" s="85">
        <v>46239</v>
      </c>
      <c r="B70" s="51" t="s">
        <v>86</v>
      </c>
      <c r="C70" s="97">
        <v>289924289707.78601</v>
      </c>
      <c r="D70" s="97">
        <v>2109207</v>
      </c>
      <c r="E70" s="48" t="s">
        <v>87</v>
      </c>
      <c r="F70" s="86" t="s">
        <v>88</v>
      </c>
      <c r="G70" s="86" t="s">
        <v>167</v>
      </c>
      <c r="H70" s="86" t="s">
        <v>119</v>
      </c>
      <c r="I70" s="48" t="s">
        <v>175</v>
      </c>
      <c r="J70" s="52">
        <v>40</v>
      </c>
      <c r="K70" s="105"/>
      <c r="L70" s="105"/>
      <c r="M70" s="86"/>
      <c r="N70" s="104">
        <f t="shared" si="23"/>
        <v>0</v>
      </c>
      <c r="O70" s="86"/>
      <c r="P70" s="86"/>
      <c r="Q70" s="86"/>
      <c r="R70" s="104">
        <f t="shared" si="22"/>
        <v>0</v>
      </c>
      <c r="S70" s="86">
        <f t="shared" si="24"/>
        <v>40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4476.3999999999996</v>
      </c>
      <c r="AF70" s="90">
        <v>6.5000000000000002E-2</v>
      </c>
      <c r="AG70" s="4">
        <f t="shared" si="21"/>
        <v>290.96600000000001</v>
      </c>
      <c r="AH70" s="49">
        <f t="shared" ref="AH70:AH149" si="26">(AB70*J70)*$AH$1</f>
        <v>54.978000000000009</v>
      </c>
      <c r="AI70" s="89">
        <f t="shared" ref="AI70:AI149" si="27">AE70-AG70</f>
        <v>4185.4339999999993</v>
      </c>
      <c r="AJ70" s="91">
        <v>0.18</v>
      </c>
      <c r="AK70" s="5">
        <f t="shared" ref="AK70:AK149" si="28">AI70*AJ70</f>
        <v>753.37811999999985</v>
      </c>
      <c r="AL70" s="89">
        <f t="shared" ref="AL70:AL149" si="29">AI70+AK70</f>
        <v>4938.8121199999987</v>
      </c>
      <c r="AP70" s="92"/>
    </row>
    <row r="71" spans="1:42" x14ac:dyDescent="0.35">
      <c r="A71" s="85">
        <v>46239</v>
      </c>
      <c r="B71" s="51" t="s">
        <v>86</v>
      </c>
      <c r="C71" s="97">
        <v>289924289707.78601</v>
      </c>
      <c r="D71" s="97">
        <v>2109207</v>
      </c>
      <c r="E71" s="48" t="s">
        <v>87</v>
      </c>
      <c r="F71" s="86" t="s">
        <v>88</v>
      </c>
      <c r="G71" s="86" t="s">
        <v>168</v>
      </c>
      <c r="H71" s="86" t="s">
        <v>119</v>
      </c>
      <c r="I71" s="48" t="s">
        <v>175</v>
      </c>
      <c r="J71" s="52"/>
      <c r="K71" s="86"/>
      <c r="L71" s="105"/>
      <c r="M71" s="105"/>
      <c r="N71" s="104">
        <f t="shared" si="23"/>
        <v>0</v>
      </c>
      <c r="O71" s="105"/>
      <c r="P71" s="105"/>
      <c r="Q71" s="105">
        <v>10</v>
      </c>
      <c r="R71" s="104">
        <f t="shared" si="22"/>
        <v>10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726.4</v>
      </c>
      <c r="AF71" s="90">
        <v>6.5000000000000002E-2</v>
      </c>
      <c r="AG71" s="4">
        <f t="shared" si="21"/>
        <v>47.216000000000001</v>
      </c>
      <c r="AH71" s="49">
        <f t="shared" si="26"/>
        <v>0</v>
      </c>
      <c r="AI71" s="89">
        <f t="shared" si="27"/>
        <v>679.18399999999997</v>
      </c>
      <c r="AJ71" s="91">
        <v>0.18</v>
      </c>
      <c r="AK71" s="5">
        <f t="shared" si="28"/>
        <v>122.25312</v>
      </c>
      <c r="AL71" s="89">
        <f t="shared" si="29"/>
        <v>801.43711999999994</v>
      </c>
      <c r="AP71" s="92"/>
    </row>
    <row r="72" spans="1:42" x14ac:dyDescent="0.35">
      <c r="A72" s="85">
        <v>46239</v>
      </c>
      <c r="B72" s="51" t="s">
        <v>86</v>
      </c>
      <c r="C72" s="97">
        <v>289924289707.78601</v>
      </c>
      <c r="D72" s="97">
        <v>2109207</v>
      </c>
      <c r="E72" s="48" t="s">
        <v>87</v>
      </c>
      <c r="F72" s="86" t="s">
        <v>88</v>
      </c>
      <c r="G72" s="86" t="s">
        <v>169</v>
      </c>
      <c r="H72" s="86" t="s">
        <v>119</v>
      </c>
      <c r="I72" s="48" t="s">
        <v>175</v>
      </c>
      <c r="J72" s="52"/>
      <c r="K72" s="105"/>
      <c r="L72" s="105"/>
      <c r="M72" s="105"/>
      <c r="N72" s="104">
        <f t="shared" si="23"/>
        <v>0</v>
      </c>
      <c r="O72" s="86"/>
      <c r="P72" s="86"/>
      <c r="Q72" s="105">
        <v>10</v>
      </c>
      <c r="R72" s="104">
        <f t="shared" si="22"/>
        <v>10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726.4</v>
      </c>
      <c r="AF72" s="90">
        <v>6.5000000000000002E-2</v>
      </c>
      <c r="AG72" s="4">
        <f t="shared" si="21"/>
        <v>47.216000000000001</v>
      </c>
      <c r="AH72" s="49">
        <f t="shared" si="26"/>
        <v>0</v>
      </c>
      <c r="AI72" s="89">
        <f t="shared" si="27"/>
        <v>679.18399999999997</v>
      </c>
      <c r="AJ72" s="91">
        <v>0.18</v>
      </c>
      <c r="AK72" s="5">
        <f t="shared" si="28"/>
        <v>122.25312</v>
      </c>
      <c r="AL72" s="89">
        <f t="shared" si="29"/>
        <v>801.43711999999994</v>
      </c>
      <c r="AP72" s="92"/>
    </row>
    <row r="73" spans="1:42" x14ac:dyDescent="0.35">
      <c r="A73" s="85">
        <v>46239</v>
      </c>
      <c r="B73" s="51" t="s">
        <v>86</v>
      </c>
      <c r="C73" s="97">
        <v>289924289707.78601</v>
      </c>
      <c r="D73" s="97">
        <v>2109207</v>
      </c>
      <c r="E73" s="48" t="s">
        <v>87</v>
      </c>
      <c r="F73" s="86" t="s">
        <v>88</v>
      </c>
      <c r="G73" s="86" t="s">
        <v>170</v>
      </c>
      <c r="H73" s="86" t="s">
        <v>119</v>
      </c>
      <c r="I73" s="48" t="s">
        <v>175</v>
      </c>
      <c r="J73" s="52"/>
      <c r="K73" s="86"/>
      <c r="L73" s="86"/>
      <c r="M73" s="86"/>
      <c r="N73" s="104">
        <f t="shared" si="23"/>
        <v>0</v>
      </c>
      <c r="O73" s="86"/>
      <c r="P73" s="86"/>
      <c r="Q73" s="86">
        <v>10</v>
      </c>
      <c r="R73" s="104">
        <f t="shared" si="22"/>
        <v>10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726.4</v>
      </c>
      <c r="AF73" s="90">
        <v>6.5000000000000002E-2</v>
      </c>
      <c r="AG73" s="4">
        <f t="shared" si="21"/>
        <v>47.216000000000001</v>
      </c>
      <c r="AH73" s="49">
        <f t="shared" si="26"/>
        <v>0</v>
      </c>
      <c r="AI73" s="89">
        <f t="shared" si="27"/>
        <v>679.18399999999997</v>
      </c>
      <c r="AJ73" s="91">
        <v>0.18</v>
      </c>
      <c r="AK73" s="5">
        <f t="shared" si="28"/>
        <v>122.25312</v>
      </c>
      <c r="AL73" s="89">
        <f t="shared" si="29"/>
        <v>801.43711999999994</v>
      </c>
      <c r="AP73" s="92"/>
    </row>
    <row r="74" spans="1:42" x14ac:dyDescent="0.35">
      <c r="A74" s="85">
        <v>46239</v>
      </c>
      <c r="B74" s="51" t="s">
        <v>86</v>
      </c>
      <c r="C74" s="97">
        <v>289924289707.78601</v>
      </c>
      <c r="D74" s="97">
        <v>2109207</v>
      </c>
      <c r="E74" s="48" t="s">
        <v>87</v>
      </c>
      <c r="F74" s="86" t="s">
        <v>88</v>
      </c>
      <c r="G74" s="95" t="s">
        <v>171</v>
      </c>
      <c r="H74" s="86" t="s">
        <v>119</v>
      </c>
      <c r="I74" s="48" t="s">
        <v>175</v>
      </c>
      <c r="J74" s="52"/>
      <c r="K74" s="95"/>
      <c r="L74" s="95"/>
      <c r="M74" s="95"/>
      <c r="N74" s="104">
        <f t="shared" si="23"/>
        <v>0</v>
      </c>
      <c r="O74" s="95"/>
      <c r="P74" s="95"/>
      <c r="Q74" s="95">
        <v>10</v>
      </c>
      <c r="R74" s="104">
        <f t="shared" si="22"/>
        <v>10</v>
      </c>
      <c r="S74" s="86">
        <f t="shared" si="24"/>
        <v>10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726.4</v>
      </c>
      <c r="AF74" s="90">
        <v>6.5000000000000002E-2</v>
      </c>
      <c r="AG74" s="4">
        <f t="shared" ref="AG74" si="31">AE74*AF74</f>
        <v>47.216000000000001</v>
      </c>
      <c r="AH74" s="49">
        <f t="shared" ref="AH74" si="32">(AB74*J74)*$AH$1</f>
        <v>0</v>
      </c>
      <c r="AI74" s="89">
        <f t="shared" ref="AI74" si="33">AE74-AG74</f>
        <v>679.18399999999997</v>
      </c>
      <c r="AJ74" s="91">
        <v>0.18</v>
      </c>
      <c r="AK74" s="5">
        <f t="shared" ref="AK74" si="34">AI74*AJ74</f>
        <v>122.25312</v>
      </c>
      <c r="AL74" s="89">
        <f t="shared" ref="AL74" si="35">AI74+AK74</f>
        <v>801.43711999999994</v>
      </c>
      <c r="AP74" s="92"/>
    </row>
    <row r="75" spans="1:42" x14ac:dyDescent="0.35">
      <c r="A75" s="85">
        <v>46239</v>
      </c>
      <c r="B75" s="51" t="s">
        <v>86</v>
      </c>
      <c r="C75" s="97">
        <v>289924289707.78601</v>
      </c>
      <c r="D75" s="97">
        <v>2109207</v>
      </c>
      <c r="E75" s="48" t="s">
        <v>87</v>
      </c>
      <c r="F75" s="86" t="s">
        <v>88</v>
      </c>
      <c r="G75" s="95" t="s">
        <v>172</v>
      </c>
      <c r="H75" s="86" t="s">
        <v>119</v>
      </c>
      <c r="I75" s="48" t="s">
        <v>175</v>
      </c>
      <c r="J75" s="52"/>
      <c r="K75" s="95"/>
      <c r="L75" s="95"/>
      <c r="M75" s="95"/>
      <c r="N75" s="104">
        <f t="shared" si="23"/>
        <v>0</v>
      </c>
      <c r="O75" s="95"/>
      <c r="P75" s="95"/>
      <c r="Q75" s="95">
        <v>10</v>
      </c>
      <c r="R75" s="104">
        <f t="shared" si="22"/>
        <v>10</v>
      </c>
      <c r="S75" s="86">
        <f t="shared" si="24"/>
        <v>10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726.4</v>
      </c>
      <c r="AF75" s="90">
        <v>6.5000000000000002E-2</v>
      </c>
      <c r="AG75" s="4">
        <f t="shared" ref="AG75" si="37">AE75*AF75</f>
        <v>47.216000000000001</v>
      </c>
      <c r="AH75" s="49">
        <f t="shared" ref="AH75" si="38">(AB75*J75)*$AH$1</f>
        <v>0</v>
      </c>
      <c r="AI75" s="89">
        <f t="shared" ref="AI75" si="39">AE75-AG75</f>
        <v>679.18399999999997</v>
      </c>
      <c r="AJ75" s="91">
        <v>0.18</v>
      </c>
      <c r="AK75" s="5">
        <f t="shared" ref="AK75" si="40">AI75*AJ75</f>
        <v>122.25312</v>
      </c>
      <c r="AL75" s="89">
        <f t="shared" ref="AL75" si="41">AI75+AK75</f>
        <v>801.43711999999994</v>
      </c>
      <c r="AP75" s="92"/>
    </row>
    <row r="76" spans="1:42" x14ac:dyDescent="0.35">
      <c r="A76" s="85">
        <v>46239</v>
      </c>
      <c r="B76" s="51" t="s">
        <v>86</v>
      </c>
      <c r="C76" s="97">
        <v>289924289707.78601</v>
      </c>
      <c r="D76" s="97">
        <v>2109207</v>
      </c>
      <c r="E76" s="48" t="s">
        <v>87</v>
      </c>
      <c r="F76" s="86" t="s">
        <v>88</v>
      </c>
      <c r="G76" s="95" t="s">
        <v>173</v>
      </c>
      <c r="H76" s="86" t="s">
        <v>119</v>
      </c>
      <c r="I76" s="48" t="s">
        <v>175</v>
      </c>
      <c r="J76" s="52"/>
      <c r="K76" s="95"/>
      <c r="L76" s="95"/>
      <c r="M76" s="95"/>
      <c r="N76" s="104">
        <f t="shared" si="23"/>
        <v>0</v>
      </c>
      <c r="O76" s="95"/>
      <c r="P76" s="95"/>
      <c r="Q76" s="95">
        <v>20</v>
      </c>
      <c r="R76" s="104">
        <f t="shared" si="22"/>
        <v>20</v>
      </c>
      <c r="S76" s="86">
        <f t="shared" si="24"/>
        <v>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1452.8</v>
      </c>
      <c r="AF76" s="90">
        <v>6.5000000000000002E-2</v>
      </c>
      <c r="AG76" s="4">
        <f t="shared" ref="AG76" si="43">AE76*AF76</f>
        <v>94.432000000000002</v>
      </c>
      <c r="AH76" s="49">
        <f t="shared" ref="AH76" si="44">(AB76*J76)*$AH$1</f>
        <v>0</v>
      </c>
      <c r="AI76" s="89">
        <f t="shared" ref="AI76" si="45">AE76-AG76</f>
        <v>1358.3679999999999</v>
      </c>
      <c r="AJ76" s="91">
        <v>0.18</v>
      </c>
      <c r="AK76" s="5">
        <f t="shared" ref="AK76" si="46">AI76*AJ76</f>
        <v>244.50623999999999</v>
      </c>
      <c r="AL76" s="89">
        <f t="shared" ref="AL76" si="47">AI76+AK76</f>
        <v>1602.8742399999999</v>
      </c>
      <c r="AP76" s="92"/>
    </row>
    <row r="77" spans="1:42" x14ac:dyDescent="0.35">
      <c r="A77" s="85">
        <v>46239</v>
      </c>
      <c r="B77" s="51" t="s">
        <v>86</v>
      </c>
      <c r="C77" s="97">
        <v>289924289707.78601</v>
      </c>
      <c r="D77" s="97">
        <v>2109207</v>
      </c>
      <c r="E77" s="48" t="s">
        <v>87</v>
      </c>
      <c r="F77" s="86" t="s">
        <v>88</v>
      </c>
      <c r="G77" s="95" t="s">
        <v>174</v>
      </c>
      <c r="H77" s="86" t="s">
        <v>119</v>
      </c>
      <c r="I77" s="48" t="s">
        <v>175</v>
      </c>
      <c r="J77" s="52"/>
      <c r="K77" s="95"/>
      <c r="L77" s="95"/>
      <c r="M77" s="95"/>
      <c r="N77" s="104">
        <f t="shared" si="23"/>
        <v>0</v>
      </c>
      <c r="O77" s="95">
        <v>10</v>
      </c>
      <c r="P77" s="95">
        <v>10</v>
      </c>
      <c r="Q77" s="95"/>
      <c r="R77" s="104">
        <f t="shared" si="22"/>
        <v>20</v>
      </c>
      <c r="S77" s="86">
        <f t="shared" si="24"/>
        <v>20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1452.8</v>
      </c>
      <c r="AF77" s="90">
        <v>6.5000000000000002E-2</v>
      </c>
      <c r="AG77" s="4">
        <f t="shared" ref="AG77" si="49">AE77*AF77</f>
        <v>94.432000000000002</v>
      </c>
      <c r="AH77" s="49">
        <f t="shared" ref="AH77" si="50">(AB77*J77)*$AH$1</f>
        <v>0</v>
      </c>
      <c r="AI77" s="89">
        <f t="shared" ref="AI77" si="51">AE77-AG77</f>
        <v>1358.3679999999999</v>
      </c>
      <c r="AJ77" s="91">
        <v>0.18</v>
      </c>
      <c r="AK77" s="5">
        <f t="shared" ref="AK77" si="52">AI77*AJ77</f>
        <v>244.50623999999999</v>
      </c>
      <c r="AL77" s="89">
        <f t="shared" ref="AL77" si="53">AI77+AK77</f>
        <v>1602.8742399999999</v>
      </c>
      <c r="AP77" s="92"/>
    </row>
    <row r="78" spans="1:42" x14ac:dyDescent="0.35">
      <c r="A78" s="85">
        <v>46239</v>
      </c>
      <c r="B78" s="51" t="s">
        <v>86</v>
      </c>
      <c r="C78" s="97">
        <v>289924289707.78601</v>
      </c>
      <c r="D78" s="97">
        <v>2109207</v>
      </c>
      <c r="E78" s="48" t="s">
        <v>87</v>
      </c>
      <c r="F78" s="86" t="s">
        <v>88</v>
      </c>
      <c r="G78" s="95" t="s">
        <v>176</v>
      </c>
      <c r="H78" s="95" t="s">
        <v>93</v>
      </c>
      <c r="I78" s="52" t="s">
        <v>181</v>
      </c>
      <c r="J78" s="52">
        <v>80</v>
      </c>
      <c r="K78" s="95"/>
      <c r="L78" s="95"/>
      <c r="M78" s="95"/>
      <c r="N78" s="104">
        <f t="shared" si="23"/>
        <v>0</v>
      </c>
      <c r="O78" s="95"/>
      <c r="P78" s="95"/>
      <c r="Q78" s="95"/>
      <c r="R78" s="104">
        <f t="shared" si="22"/>
        <v>0</v>
      </c>
      <c r="S78" s="86">
        <f t="shared" si="24"/>
        <v>80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8952.7999999999993</v>
      </c>
      <c r="AF78" s="90">
        <v>6.5000000000000002E-2</v>
      </c>
      <c r="AG78" s="4">
        <f t="shared" ref="AG78" si="55">AE78*AF78</f>
        <v>581.93200000000002</v>
      </c>
      <c r="AH78" s="49">
        <f t="shared" ref="AH78" si="56">(AB78*J78)*$AH$1</f>
        <v>109.95600000000002</v>
      </c>
      <c r="AI78" s="89">
        <f t="shared" ref="AI78" si="57">AE78-AG78</f>
        <v>8370.8679999999986</v>
      </c>
      <c r="AJ78" s="91">
        <v>0.18</v>
      </c>
      <c r="AK78" s="5">
        <f t="shared" ref="AK78" si="58">AI78*AJ78</f>
        <v>1506.7562399999997</v>
      </c>
      <c r="AL78" s="89">
        <f t="shared" ref="AL78" si="59">AI78+AK78</f>
        <v>9877.6242399999974</v>
      </c>
      <c r="AP78" s="92"/>
    </row>
    <row r="79" spans="1:42" x14ac:dyDescent="0.35">
      <c r="A79" s="85">
        <v>46239</v>
      </c>
      <c r="B79" s="51" t="s">
        <v>86</v>
      </c>
      <c r="C79" s="97">
        <v>289924289707.78601</v>
      </c>
      <c r="D79" s="97">
        <v>2109207</v>
      </c>
      <c r="E79" s="48" t="s">
        <v>87</v>
      </c>
      <c r="F79" s="86" t="s">
        <v>88</v>
      </c>
      <c r="G79" s="95" t="s">
        <v>177</v>
      </c>
      <c r="H79" s="95" t="s">
        <v>93</v>
      </c>
      <c r="I79" s="52" t="s">
        <v>181</v>
      </c>
      <c r="J79" s="52"/>
      <c r="K79" s="95"/>
      <c r="L79" s="95"/>
      <c r="M79" s="95"/>
      <c r="N79" s="104">
        <f t="shared" si="23"/>
        <v>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120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8716.7999999999993</v>
      </c>
      <c r="AF79" s="90">
        <v>6.5000000000000002E-2</v>
      </c>
      <c r="AG79" s="4">
        <f t="shared" ref="AG79" si="61">AE79*AF79</f>
        <v>566.59199999999998</v>
      </c>
      <c r="AH79" s="49">
        <f t="shared" ref="AH79" si="62">(AB79*J79)*$AH$1</f>
        <v>0</v>
      </c>
      <c r="AI79" s="89">
        <f t="shared" ref="AI79" si="63">AE79-AG79</f>
        <v>8150.2079999999996</v>
      </c>
      <c r="AJ79" s="91">
        <v>0.18</v>
      </c>
      <c r="AK79" s="5">
        <f t="shared" ref="AK79" si="64">AI79*AJ79</f>
        <v>1467.0374399999998</v>
      </c>
      <c r="AL79" s="89">
        <f t="shared" ref="AL79" si="65">AI79+AK79</f>
        <v>9617.2454399999988</v>
      </c>
      <c r="AP79" s="92"/>
    </row>
    <row r="80" spans="1:42" x14ac:dyDescent="0.35">
      <c r="A80" s="85">
        <v>46239</v>
      </c>
      <c r="B80" s="51" t="s">
        <v>86</v>
      </c>
      <c r="C80" s="97">
        <v>289924289707.78601</v>
      </c>
      <c r="D80" s="97">
        <v>2109207</v>
      </c>
      <c r="E80" s="48" t="s">
        <v>87</v>
      </c>
      <c r="F80" s="86" t="s">
        <v>88</v>
      </c>
      <c r="G80" s="95" t="s">
        <v>178</v>
      </c>
      <c r="H80" s="95" t="s">
        <v>93</v>
      </c>
      <c r="I80" s="52" t="s">
        <v>181</v>
      </c>
      <c r="J80" s="52">
        <v>12</v>
      </c>
      <c r="K80" s="95"/>
      <c r="L80" s="95"/>
      <c r="M80" s="95"/>
      <c r="N80" s="104">
        <f t="shared" si="23"/>
        <v>0</v>
      </c>
      <c r="O80" s="95"/>
      <c r="P80" s="95"/>
      <c r="Q80" s="95"/>
      <c r="R80" s="104">
        <f t="shared" si="22"/>
        <v>0</v>
      </c>
      <c r="S80" s="86">
        <f t="shared" si="24"/>
        <v>12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1342.92</v>
      </c>
      <c r="AF80" s="90">
        <v>6.5000000000000002E-2</v>
      </c>
      <c r="AG80" s="4">
        <f t="shared" ref="AG80" si="67">AE80*AF80</f>
        <v>87.289800000000014</v>
      </c>
      <c r="AH80" s="49">
        <f t="shared" ref="AH80" si="68">(AB80*J80)*$AH$1</f>
        <v>16.493400000000001</v>
      </c>
      <c r="AI80" s="89">
        <f t="shared" ref="AI80" si="69">AE80-AG80</f>
        <v>1255.6302000000001</v>
      </c>
      <c r="AJ80" s="91">
        <v>0.18</v>
      </c>
      <c r="AK80" s="5">
        <f t="shared" ref="AK80" si="70">AI80*AJ80</f>
        <v>226.01343600000001</v>
      </c>
      <c r="AL80" s="89">
        <f t="shared" ref="AL80" si="71">AI80+AK80</f>
        <v>1481.643636</v>
      </c>
      <c r="AP80" s="92"/>
    </row>
    <row r="81" spans="1:42" x14ac:dyDescent="0.35">
      <c r="A81" s="85">
        <v>46239</v>
      </c>
      <c r="B81" s="51" t="s">
        <v>86</v>
      </c>
      <c r="C81" s="97">
        <v>289924289707.78601</v>
      </c>
      <c r="D81" s="97">
        <v>2109207</v>
      </c>
      <c r="E81" s="48" t="s">
        <v>87</v>
      </c>
      <c r="F81" s="86" t="s">
        <v>88</v>
      </c>
      <c r="G81" s="86" t="s">
        <v>179</v>
      </c>
      <c r="H81" s="95" t="s">
        <v>93</v>
      </c>
      <c r="I81" s="52" t="s">
        <v>181</v>
      </c>
      <c r="J81" s="52"/>
      <c r="K81" s="105"/>
      <c r="L81" s="105"/>
      <c r="M81" s="105"/>
      <c r="N81" s="104">
        <f t="shared" si="23"/>
        <v>0</v>
      </c>
      <c r="O81" s="86">
        <v>12</v>
      </c>
      <c r="P81" s="86"/>
      <c r="Q81" s="86">
        <v>18</v>
      </c>
      <c r="R81" s="104">
        <f t="shared" si="22"/>
        <v>30</v>
      </c>
      <c r="S81" s="86">
        <f t="shared" si="24"/>
        <v>30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2179.1999999999998</v>
      </c>
      <c r="AF81" s="90">
        <v>6.5000000000000002E-2</v>
      </c>
      <c r="AG81" s="4">
        <f t="shared" si="21"/>
        <v>141.648</v>
      </c>
      <c r="AH81" s="49">
        <f t="shared" si="26"/>
        <v>0</v>
      </c>
      <c r="AI81" s="89">
        <f t="shared" si="27"/>
        <v>2037.5519999999999</v>
      </c>
      <c r="AJ81" s="91">
        <v>0.18</v>
      </c>
      <c r="AK81" s="5">
        <f t="shared" si="28"/>
        <v>366.75935999999996</v>
      </c>
      <c r="AL81" s="89">
        <f t="shared" si="29"/>
        <v>2404.3113599999997</v>
      </c>
      <c r="AP81" s="92"/>
    </row>
    <row r="82" spans="1:42" x14ac:dyDescent="0.35">
      <c r="A82" s="85">
        <v>46239</v>
      </c>
      <c r="B82" s="51" t="s">
        <v>86</v>
      </c>
      <c r="C82" s="97">
        <v>289924289707.78601</v>
      </c>
      <c r="D82" s="97">
        <v>2109207</v>
      </c>
      <c r="E82" s="48" t="s">
        <v>87</v>
      </c>
      <c r="F82" s="86" t="s">
        <v>88</v>
      </c>
      <c r="G82" s="86" t="s">
        <v>180</v>
      </c>
      <c r="H82" s="95" t="s">
        <v>93</v>
      </c>
      <c r="I82" s="52" t="s">
        <v>181</v>
      </c>
      <c r="J82" s="52">
        <v>80</v>
      </c>
      <c r="K82" s="86">
        <v>20</v>
      </c>
      <c r="L82" s="86">
        <v>20</v>
      </c>
      <c r="M82" s="86"/>
      <c r="N82" s="104">
        <f t="shared" si="23"/>
        <v>40</v>
      </c>
      <c r="O82" s="86">
        <v>40</v>
      </c>
      <c r="P82" s="86">
        <v>40</v>
      </c>
      <c r="Q82" s="86">
        <v>40</v>
      </c>
      <c r="R82" s="104">
        <f t="shared" si="22"/>
        <v>120</v>
      </c>
      <c r="S82" s="86">
        <f t="shared" si="24"/>
        <v>240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22673.699999999997</v>
      </c>
      <c r="AF82" s="90">
        <v>6.5000000000000002E-2</v>
      </c>
      <c r="AG82" s="4">
        <f t="shared" si="21"/>
        <v>1473.7904999999998</v>
      </c>
      <c r="AH82" s="49">
        <f t="shared" si="26"/>
        <v>109.95600000000002</v>
      </c>
      <c r="AI82" s="89">
        <f t="shared" si="27"/>
        <v>21199.909499999998</v>
      </c>
      <c r="AJ82" s="91">
        <v>0.18</v>
      </c>
      <c r="AK82" s="5">
        <f t="shared" si="28"/>
        <v>3815.9837099999995</v>
      </c>
      <c r="AL82" s="89">
        <f t="shared" si="29"/>
        <v>25015.893209999998</v>
      </c>
      <c r="AP82" s="92"/>
    </row>
    <row r="83" spans="1:42" x14ac:dyDescent="0.35">
      <c r="A83" s="85">
        <v>46239</v>
      </c>
      <c r="B83" s="51" t="s">
        <v>86</v>
      </c>
      <c r="C83" s="97">
        <v>289924289707.78601</v>
      </c>
      <c r="D83" s="97">
        <v>2109207</v>
      </c>
      <c r="E83" s="48" t="s">
        <v>87</v>
      </c>
      <c r="F83" s="86" t="s">
        <v>88</v>
      </c>
      <c r="G83" s="86" t="s">
        <v>183</v>
      </c>
      <c r="H83" s="95" t="s">
        <v>182</v>
      </c>
      <c r="I83" s="48" t="s">
        <v>193</v>
      </c>
      <c r="J83" s="52"/>
      <c r="K83" s="86"/>
      <c r="L83" s="86"/>
      <c r="M83" s="86"/>
      <c r="N83" s="104">
        <f t="shared" si="23"/>
        <v>0</v>
      </c>
      <c r="O83" s="105">
        <v>15</v>
      </c>
      <c r="P83" s="105">
        <v>10</v>
      </c>
      <c r="Q83" s="105">
        <v>15</v>
      </c>
      <c r="R83" s="104">
        <f t="shared" si="22"/>
        <v>40</v>
      </c>
      <c r="S83" s="86">
        <f t="shared" si="24"/>
        <v>40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2905.6</v>
      </c>
      <c r="AF83" s="90">
        <v>6.5000000000000002E-2</v>
      </c>
      <c r="AG83" s="4">
        <f t="shared" si="21"/>
        <v>188.864</v>
      </c>
      <c r="AH83" s="49">
        <f t="shared" si="26"/>
        <v>0</v>
      </c>
      <c r="AI83" s="89">
        <f t="shared" si="27"/>
        <v>2716.7359999999999</v>
      </c>
      <c r="AJ83" s="91">
        <v>0.18</v>
      </c>
      <c r="AK83" s="5">
        <f t="shared" si="28"/>
        <v>489.01247999999998</v>
      </c>
      <c r="AL83" s="89">
        <f t="shared" si="29"/>
        <v>3205.7484799999997</v>
      </c>
      <c r="AP83" s="92"/>
    </row>
    <row r="84" spans="1:42" x14ac:dyDescent="0.35">
      <c r="A84" s="85">
        <v>46239</v>
      </c>
      <c r="B84" s="51" t="s">
        <v>86</v>
      </c>
      <c r="C84" s="97">
        <v>289924289707.78601</v>
      </c>
      <c r="D84" s="97">
        <v>2109207</v>
      </c>
      <c r="E84" s="48" t="s">
        <v>87</v>
      </c>
      <c r="F84" s="86" t="s">
        <v>88</v>
      </c>
      <c r="G84" s="95" t="s">
        <v>184</v>
      </c>
      <c r="H84" s="95" t="s">
        <v>182</v>
      </c>
      <c r="I84" s="48" t="s">
        <v>193</v>
      </c>
      <c r="J84" s="52"/>
      <c r="K84" s="86"/>
      <c r="L84" s="86"/>
      <c r="M84" s="86"/>
      <c r="N84" s="104">
        <f t="shared" si="23"/>
        <v>0</v>
      </c>
      <c r="O84" s="105">
        <v>15</v>
      </c>
      <c r="P84" s="105">
        <v>10</v>
      </c>
      <c r="Q84" s="105">
        <v>15</v>
      </c>
      <c r="R84" s="104">
        <f t="shared" si="22"/>
        <v>40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2905.6</v>
      </c>
      <c r="AF84" s="90">
        <v>6.5000000000000002E-2</v>
      </c>
      <c r="AG84" s="4">
        <f t="shared" si="21"/>
        <v>188.864</v>
      </c>
      <c r="AH84" s="49">
        <f t="shared" si="26"/>
        <v>0</v>
      </c>
      <c r="AI84" s="89">
        <f t="shared" si="27"/>
        <v>2716.7359999999999</v>
      </c>
      <c r="AJ84" s="91">
        <v>0.18</v>
      </c>
      <c r="AK84" s="5">
        <f t="shared" si="28"/>
        <v>489.01247999999998</v>
      </c>
      <c r="AL84" s="89">
        <f t="shared" si="29"/>
        <v>3205.7484799999997</v>
      </c>
      <c r="AP84" s="92"/>
    </row>
    <row r="85" spans="1:42" x14ac:dyDescent="0.35">
      <c r="A85" s="85">
        <v>46239</v>
      </c>
      <c r="B85" s="51" t="s">
        <v>86</v>
      </c>
      <c r="C85" s="97">
        <v>289924289707.78601</v>
      </c>
      <c r="D85" s="97">
        <v>2109207</v>
      </c>
      <c r="E85" s="48" t="s">
        <v>87</v>
      </c>
      <c r="F85" s="86" t="s">
        <v>88</v>
      </c>
      <c r="G85" s="95" t="s">
        <v>185</v>
      </c>
      <c r="H85" s="95" t="s">
        <v>182</v>
      </c>
      <c r="I85" s="48" t="s">
        <v>193</v>
      </c>
      <c r="J85" s="52">
        <v>20</v>
      </c>
      <c r="K85" s="86">
        <v>10</v>
      </c>
      <c r="L85" s="86">
        <v>10</v>
      </c>
      <c r="M85" s="86"/>
      <c r="N85" s="104">
        <f t="shared" si="23"/>
        <v>20</v>
      </c>
      <c r="O85" s="105"/>
      <c r="P85" s="105"/>
      <c r="Q85" s="105"/>
      <c r="R85" s="104">
        <f t="shared" si="22"/>
        <v>0</v>
      </c>
      <c r="S85" s="86">
        <f t="shared" si="24"/>
        <v>40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4740.25</v>
      </c>
      <c r="AF85" s="90">
        <v>6.5000000000000002E-2</v>
      </c>
      <c r="AG85" s="4">
        <f t="shared" si="21"/>
        <v>308.11625000000004</v>
      </c>
      <c r="AH85" s="49">
        <f t="shared" si="26"/>
        <v>27.489000000000004</v>
      </c>
      <c r="AI85" s="89">
        <f t="shared" si="27"/>
        <v>4432.13375</v>
      </c>
      <c r="AJ85" s="91">
        <v>0.18</v>
      </c>
      <c r="AK85" s="5">
        <f t="shared" si="28"/>
        <v>797.78407499999992</v>
      </c>
      <c r="AL85" s="89">
        <f t="shared" si="29"/>
        <v>5229.9178249999995</v>
      </c>
      <c r="AP85" s="92"/>
    </row>
    <row r="86" spans="1:42" x14ac:dyDescent="0.35">
      <c r="A86" s="85">
        <v>46239</v>
      </c>
      <c r="B86" s="51" t="s">
        <v>86</v>
      </c>
      <c r="C86" s="97">
        <v>289924289707.78601</v>
      </c>
      <c r="D86" s="97">
        <v>2109207</v>
      </c>
      <c r="E86" s="48" t="s">
        <v>87</v>
      </c>
      <c r="F86" s="86" t="s">
        <v>88</v>
      </c>
      <c r="G86" s="95" t="s">
        <v>186</v>
      </c>
      <c r="H86" s="95" t="s">
        <v>182</v>
      </c>
      <c r="I86" s="48" t="s">
        <v>193</v>
      </c>
      <c r="J86" s="52"/>
      <c r="K86" s="86"/>
      <c r="L86" s="86"/>
      <c r="M86" s="86"/>
      <c r="N86" s="104">
        <f t="shared" si="23"/>
        <v>0</v>
      </c>
      <c r="O86" s="105">
        <v>80</v>
      </c>
      <c r="P86" s="105">
        <v>80</v>
      </c>
      <c r="Q86" s="105">
        <v>80</v>
      </c>
      <c r="R86" s="104">
        <f t="shared" si="22"/>
        <v>240</v>
      </c>
      <c r="S86" s="86">
        <f t="shared" si="24"/>
        <v>240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17433.599999999999</v>
      </c>
      <c r="AF86" s="90">
        <v>6.5000000000000002E-2</v>
      </c>
      <c r="AG86" s="4">
        <f t="shared" si="21"/>
        <v>1133.184</v>
      </c>
      <c r="AH86" s="49">
        <f t="shared" si="26"/>
        <v>0</v>
      </c>
      <c r="AI86" s="89">
        <f t="shared" si="27"/>
        <v>16300.415999999999</v>
      </c>
      <c r="AJ86" s="91">
        <v>0.18</v>
      </c>
      <c r="AK86" s="5">
        <f t="shared" si="28"/>
        <v>2934.0748799999997</v>
      </c>
      <c r="AL86" s="89">
        <f t="shared" si="29"/>
        <v>19234.490879999998</v>
      </c>
      <c r="AP86" s="92"/>
    </row>
    <row r="87" spans="1:42" x14ac:dyDescent="0.35">
      <c r="A87" s="85">
        <v>46239</v>
      </c>
      <c r="B87" s="51" t="s">
        <v>86</v>
      </c>
      <c r="C87" s="97">
        <v>289924289707.78601</v>
      </c>
      <c r="D87" s="97">
        <v>2109207</v>
      </c>
      <c r="E87" s="48" t="s">
        <v>87</v>
      </c>
      <c r="F87" s="86" t="s">
        <v>88</v>
      </c>
      <c r="G87" s="86" t="s">
        <v>187</v>
      </c>
      <c r="H87" s="95" t="s">
        <v>182</v>
      </c>
      <c r="I87" s="48" t="s">
        <v>193</v>
      </c>
      <c r="J87" s="52"/>
      <c r="K87" s="105"/>
      <c r="L87" s="105"/>
      <c r="M87" s="105"/>
      <c r="N87" s="104">
        <f t="shared" si="23"/>
        <v>0</v>
      </c>
      <c r="O87" s="86"/>
      <c r="P87" s="86">
        <v>40</v>
      </c>
      <c r="Q87" s="86">
        <v>40</v>
      </c>
      <c r="R87" s="104">
        <f t="shared" si="22"/>
        <v>80</v>
      </c>
      <c r="S87" s="86">
        <f t="shared" si="24"/>
        <v>80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5811.2</v>
      </c>
      <c r="AF87" s="90">
        <v>6.5000000000000002E-2</v>
      </c>
      <c r="AG87" s="4">
        <f t="shared" si="21"/>
        <v>377.72800000000001</v>
      </c>
      <c r="AH87" s="49">
        <f t="shared" si="26"/>
        <v>0</v>
      </c>
      <c r="AI87" s="89">
        <f t="shared" si="27"/>
        <v>5433.4719999999998</v>
      </c>
      <c r="AJ87" s="91">
        <v>0.18</v>
      </c>
      <c r="AK87" s="5">
        <f t="shared" si="28"/>
        <v>978.02495999999996</v>
      </c>
      <c r="AL87" s="89">
        <f t="shared" si="29"/>
        <v>6411.4969599999995</v>
      </c>
      <c r="AP87" s="92"/>
    </row>
    <row r="88" spans="1:42" x14ac:dyDescent="0.35">
      <c r="A88" s="85">
        <v>46239</v>
      </c>
      <c r="B88" s="51" t="s">
        <v>86</v>
      </c>
      <c r="C88" s="97">
        <v>289924289707.78601</v>
      </c>
      <c r="D88" s="97">
        <v>2109207</v>
      </c>
      <c r="E88" s="48" t="s">
        <v>87</v>
      </c>
      <c r="F88" s="86" t="s">
        <v>88</v>
      </c>
      <c r="G88" s="86" t="s">
        <v>188</v>
      </c>
      <c r="H88" s="95" t="s">
        <v>182</v>
      </c>
      <c r="I88" s="48" t="s">
        <v>193</v>
      </c>
      <c r="J88" s="52">
        <v>15</v>
      </c>
      <c r="K88" s="86"/>
      <c r="L88" s="86"/>
      <c r="M88" s="86"/>
      <c r="N88" s="104">
        <f t="shared" si="23"/>
        <v>0</v>
      </c>
      <c r="O88" s="86"/>
      <c r="P88" s="86"/>
      <c r="Q88" s="86"/>
      <c r="R88" s="104">
        <f t="shared" si="22"/>
        <v>0</v>
      </c>
      <c r="S88" s="86">
        <f t="shared" si="24"/>
        <v>15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1678.65</v>
      </c>
      <c r="AF88" s="90">
        <v>6.5000000000000002E-2</v>
      </c>
      <c r="AG88" s="4">
        <f t="shared" si="21"/>
        <v>109.11225</v>
      </c>
      <c r="AH88" s="49">
        <f t="shared" si="26"/>
        <v>20.616750000000003</v>
      </c>
      <c r="AI88" s="89">
        <f t="shared" si="27"/>
        <v>1569.5377500000002</v>
      </c>
      <c r="AJ88" s="91">
        <v>0.18</v>
      </c>
      <c r="AK88" s="5">
        <f t="shared" si="28"/>
        <v>282.516795</v>
      </c>
      <c r="AL88" s="89">
        <f t="shared" si="29"/>
        <v>1852.0545450000002</v>
      </c>
      <c r="AP88" s="92"/>
    </row>
    <row r="89" spans="1:42" x14ac:dyDescent="0.35">
      <c r="A89" s="85">
        <v>46239</v>
      </c>
      <c r="B89" s="51" t="s">
        <v>86</v>
      </c>
      <c r="C89" s="97">
        <v>289924289707.78601</v>
      </c>
      <c r="D89" s="97">
        <v>2109207</v>
      </c>
      <c r="E89" s="48" t="s">
        <v>87</v>
      </c>
      <c r="F89" s="86" t="s">
        <v>88</v>
      </c>
      <c r="G89" s="86" t="s">
        <v>189</v>
      </c>
      <c r="H89" s="95" t="s">
        <v>182</v>
      </c>
      <c r="I89" s="48" t="s">
        <v>193</v>
      </c>
      <c r="J89" s="52">
        <v>40</v>
      </c>
      <c r="K89" s="105">
        <v>20</v>
      </c>
      <c r="L89" s="105">
        <v>20</v>
      </c>
      <c r="M89" s="105"/>
      <c r="N89" s="104">
        <f t="shared" si="23"/>
        <v>40</v>
      </c>
      <c r="O89" s="86">
        <v>15</v>
      </c>
      <c r="P89" s="86">
        <v>15</v>
      </c>
      <c r="Q89" s="105">
        <v>10</v>
      </c>
      <c r="R89" s="104">
        <f t="shared" si="22"/>
        <v>40</v>
      </c>
      <c r="S89" s="86">
        <f t="shared" si="24"/>
        <v>120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12386.099999999999</v>
      </c>
      <c r="AF89" s="90">
        <v>6.5000000000000002E-2</v>
      </c>
      <c r="AG89" s="4">
        <f t="shared" si="21"/>
        <v>805.09649999999988</v>
      </c>
      <c r="AH89" s="49">
        <f t="shared" si="26"/>
        <v>54.978000000000009</v>
      </c>
      <c r="AI89" s="89">
        <f t="shared" si="27"/>
        <v>11581.003499999999</v>
      </c>
      <c r="AJ89" s="91">
        <v>0.18</v>
      </c>
      <c r="AK89" s="5">
        <f t="shared" si="28"/>
        <v>2084.5806299999999</v>
      </c>
      <c r="AL89" s="89">
        <f t="shared" si="29"/>
        <v>13665.584129999999</v>
      </c>
      <c r="AP89" s="92"/>
    </row>
    <row r="90" spans="1:42" x14ac:dyDescent="0.35">
      <c r="A90" s="85">
        <v>46239</v>
      </c>
      <c r="B90" s="51" t="s">
        <v>86</v>
      </c>
      <c r="C90" s="97">
        <v>289924289707.78601</v>
      </c>
      <c r="D90" s="97">
        <v>2109207</v>
      </c>
      <c r="E90" s="48" t="s">
        <v>87</v>
      </c>
      <c r="F90" s="86" t="s">
        <v>88</v>
      </c>
      <c r="G90" s="86" t="s">
        <v>190</v>
      </c>
      <c r="H90" s="95" t="s">
        <v>182</v>
      </c>
      <c r="I90" s="48" t="s">
        <v>193</v>
      </c>
      <c r="J90" s="52"/>
      <c r="K90" s="105">
        <v>20</v>
      </c>
      <c r="L90" s="105">
        <v>20</v>
      </c>
      <c r="M90" s="105"/>
      <c r="N90" s="104">
        <f t="shared" si="23"/>
        <v>40</v>
      </c>
      <c r="O90" s="86">
        <v>15</v>
      </c>
      <c r="P90" s="86">
        <v>10</v>
      </c>
      <c r="Q90" s="86">
        <v>15</v>
      </c>
      <c r="R90" s="104">
        <f t="shared" si="22"/>
        <v>40</v>
      </c>
      <c r="S90" s="86">
        <f t="shared" si="24"/>
        <v>80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7909.7</v>
      </c>
      <c r="AF90" s="90">
        <v>6.5000000000000002E-2</v>
      </c>
      <c r="AG90" s="4">
        <f t="shared" si="21"/>
        <v>514.13049999999998</v>
      </c>
      <c r="AH90" s="49">
        <f t="shared" si="26"/>
        <v>0</v>
      </c>
      <c r="AI90" s="89">
        <f t="shared" si="27"/>
        <v>7395.5694999999996</v>
      </c>
      <c r="AJ90" s="91">
        <v>0.18</v>
      </c>
      <c r="AK90" s="5">
        <f t="shared" si="28"/>
        <v>1331.2025099999998</v>
      </c>
      <c r="AL90" s="89">
        <f t="shared" si="29"/>
        <v>8726.7720099999988</v>
      </c>
      <c r="AP90" s="92"/>
    </row>
    <row r="91" spans="1:42" x14ac:dyDescent="0.35">
      <c r="A91" s="85">
        <v>46239</v>
      </c>
      <c r="B91" s="51" t="s">
        <v>86</v>
      </c>
      <c r="C91" s="97">
        <v>289924289707.78601</v>
      </c>
      <c r="D91" s="97">
        <v>2109207</v>
      </c>
      <c r="E91" s="48" t="s">
        <v>87</v>
      </c>
      <c r="F91" s="86" t="s">
        <v>88</v>
      </c>
      <c r="G91" s="86" t="s">
        <v>188</v>
      </c>
      <c r="H91" s="95" t="s">
        <v>182</v>
      </c>
      <c r="I91" s="48" t="s">
        <v>193</v>
      </c>
      <c r="J91" s="52"/>
      <c r="K91" s="105"/>
      <c r="L91" s="105"/>
      <c r="M91" s="105"/>
      <c r="N91" s="104">
        <f t="shared" si="23"/>
        <v>0</v>
      </c>
      <c r="O91" s="105">
        <v>5</v>
      </c>
      <c r="P91" s="86">
        <v>15</v>
      </c>
      <c r="Q91" s="86">
        <v>20</v>
      </c>
      <c r="R91" s="104">
        <f t="shared" si="22"/>
        <v>40</v>
      </c>
      <c r="S91" s="86">
        <f t="shared" si="24"/>
        <v>40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2905.6</v>
      </c>
      <c r="AF91" s="90">
        <v>6.5000000000000002E-2</v>
      </c>
      <c r="AG91" s="4">
        <f t="shared" si="21"/>
        <v>188.864</v>
      </c>
      <c r="AH91" s="49">
        <f t="shared" si="26"/>
        <v>0</v>
      </c>
      <c r="AI91" s="89">
        <f t="shared" si="27"/>
        <v>2716.7359999999999</v>
      </c>
      <c r="AJ91" s="91">
        <v>0.18</v>
      </c>
      <c r="AK91" s="5">
        <f t="shared" si="28"/>
        <v>489.01247999999998</v>
      </c>
      <c r="AL91" s="89">
        <f t="shared" si="29"/>
        <v>3205.7484799999997</v>
      </c>
      <c r="AP91" s="92"/>
    </row>
    <row r="92" spans="1:42" x14ac:dyDescent="0.35">
      <c r="A92" s="85">
        <v>46239</v>
      </c>
      <c r="B92" s="51" t="s">
        <v>86</v>
      </c>
      <c r="C92" s="97">
        <v>289924289707.78601</v>
      </c>
      <c r="D92" s="97">
        <v>2109207</v>
      </c>
      <c r="E92" s="48" t="s">
        <v>87</v>
      </c>
      <c r="F92" s="86" t="s">
        <v>88</v>
      </c>
      <c r="G92" s="86" t="s">
        <v>191</v>
      </c>
      <c r="H92" s="95" t="s">
        <v>182</v>
      </c>
      <c r="I92" s="48" t="s">
        <v>193</v>
      </c>
      <c r="J92" s="52"/>
      <c r="K92" s="105"/>
      <c r="L92" s="105"/>
      <c r="M92" s="105"/>
      <c r="N92" s="104">
        <f t="shared" si="23"/>
        <v>0</v>
      </c>
      <c r="O92" s="86">
        <v>15</v>
      </c>
      <c r="P92" s="105">
        <v>10</v>
      </c>
      <c r="Q92" s="105">
        <v>15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46239</v>
      </c>
      <c r="B93" s="51" t="s">
        <v>86</v>
      </c>
      <c r="C93" s="97">
        <v>289924289707.78601</v>
      </c>
      <c r="D93" s="97">
        <v>2109207</v>
      </c>
      <c r="E93" s="48" t="s">
        <v>87</v>
      </c>
      <c r="F93" s="86" t="s">
        <v>88</v>
      </c>
      <c r="G93" s="86" t="s">
        <v>192</v>
      </c>
      <c r="H93" s="95" t="s">
        <v>182</v>
      </c>
      <c r="I93" s="48" t="s">
        <v>193</v>
      </c>
      <c r="J93" s="52"/>
      <c r="K93" s="86"/>
      <c r="L93" s="86"/>
      <c r="M93" s="86"/>
      <c r="N93" s="104">
        <f t="shared" si="23"/>
        <v>0</v>
      </c>
      <c r="O93" s="86">
        <v>10</v>
      </c>
      <c r="P93" s="86">
        <v>10</v>
      </c>
      <c r="Q93" s="86">
        <v>40</v>
      </c>
      <c r="R93" s="104">
        <f t="shared" si="22"/>
        <v>60</v>
      </c>
      <c r="S93" s="86">
        <f t="shared" si="24"/>
        <v>60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4358.3999999999996</v>
      </c>
      <c r="AF93" s="90">
        <v>0.14000000000000001</v>
      </c>
      <c r="AG93" s="4">
        <f t="shared" si="21"/>
        <v>610.17600000000004</v>
      </c>
      <c r="AH93" s="49">
        <f t="shared" si="26"/>
        <v>0</v>
      </c>
      <c r="AI93" s="89">
        <f t="shared" si="27"/>
        <v>3748.2239999999997</v>
      </c>
      <c r="AJ93" s="91">
        <v>0.18</v>
      </c>
      <c r="AK93" s="5">
        <f t="shared" si="28"/>
        <v>674.68031999999994</v>
      </c>
      <c r="AL93" s="89">
        <f t="shared" si="29"/>
        <v>4422.9043199999996</v>
      </c>
      <c r="AP93" s="92"/>
    </row>
    <row r="94" spans="1:42" x14ac:dyDescent="0.35">
      <c r="A94" s="85">
        <v>46239</v>
      </c>
      <c r="B94" s="51" t="s">
        <v>86</v>
      </c>
      <c r="C94" s="97">
        <v>289924289707.78601</v>
      </c>
      <c r="D94" s="97">
        <v>2109207</v>
      </c>
      <c r="E94" s="48" t="s">
        <v>87</v>
      </c>
      <c r="F94" s="86" t="s">
        <v>108</v>
      </c>
      <c r="G94" s="86" t="s">
        <v>194</v>
      </c>
      <c r="H94" s="86" t="s">
        <v>198</v>
      </c>
      <c r="I94" s="48" t="s">
        <v>196</v>
      </c>
      <c r="J94" s="52"/>
      <c r="K94" s="86"/>
      <c r="L94" s="86"/>
      <c r="M94" s="86">
        <v>120</v>
      </c>
      <c r="N94" s="104">
        <f t="shared" si="23"/>
        <v>120</v>
      </c>
      <c r="O94" s="86"/>
      <c r="P94" s="86">
        <v>40</v>
      </c>
      <c r="Q94" s="86">
        <v>40</v>
      </c>
      <c r="R94" s="104">
        <f t="shared" si="22"/>
        <v>80</v>
      </c>
      <c r="S94" s="86">
        <f t="shared" si="24"/>
        <v>200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20823.5</v>
      </c>
      <c r="AF94" s="90">
        <v>0.14000000000000001</v>
      </c>
      <c r="AG94" s="4">
        <f t="shared" si="21"/>
        <v>2915.2900000000004</v>
      </c>
      <c r="AH94" s="49">
        <f t="shared" si="26"/>
        <v>0</v>
      </c>
      <c r="AI94" s="89">
        <f t="shared" si="27"/>
        <v>17908.21</v>
      </c>
      <c r="AJ94" s="91">
        <v>0.18</v>
      </c>
      <c r="AK94" s="5">
        <f t="shared" si="28"/>
        <v>3223.4777999999997</v>
      </c>
      <c r="AL94" s="89">
        <f t="shared" si="29"/>
        <v>21131.6878</v>
      </c>
      <c r="AP94" s="92"/>
    </row>
    <row r="95" spans="1:42" x14ac:dyDescent="0.35">
      <c r="A95" s="85">
        <v>46239</v>
      </c>
      <c r="B95" s="51" t="s">
        <v>86</v>
      </c>
      <c r="C95" s="97">
        <v>289924289707.78601</v>
      </c>
      <c r="D95" s="97">
        <v>2109207</v>
      </c>
      <c r="E95" s="48" t="s">
        <v>87</v>
      </c>
      <c r="F95" s="86" t="s">
        <v>108</v>
      </c>
      <c r="G95" s="86" t="s">
        <v>195</v>
      </c>
      <c r="H95" s="86" t="s">
        <v>198</v>
      </c>
      <c r="I95" s="48" t="s">
        <v>197</v>
      </c>
      <c r="J95" s="52"/>
      <c r="K95" s="86">
        <v>120</v>
      </c>
      <c r="L95" s="86">
        <v>120</v>
      </c>
      <c r="M95" s="86">
        <v>120</v>
      </c>
      <c r="N95" s="104">
        <f t="shared" si="23"/>
        <v>360</v>
      </c>
      <c r="O95" s="105">
        <v>200</v>
      </c>
      <c r="P95" s="105">
        <v>200</v>
      </c>
      <c r="Q95" s="105">
        <v>200</v>
      </c>
      <c r="R95" s="104">
        <f t="shared" si="22"/>
        <v>600</v>
      </c>
      <c r="S95" s="86">
        <f t="shared" si="24"/>
        <v>960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88620.9</v>
      </c>
      <c r="AF95" s="90">
        <v>6.5000000000000002E-2</v>
      </c>
      <c r="AG95" s="4">
        <f t="shared" si="21"/>
        <v>5760.3584999999994</v>
      </c>
      <c r="AH95" s="49">
        <f t="shared" si="26"/>
        <v>0</v>
      </c>
      <c r="AI95" s="89">
        <f t="shared" si="27"/>
        <v>82860.541499999992</v>
      </c>
      <c r="AJ95" s="91">
        <v>0.18</v>
      </c>
      <c r="AK95" s="5">
        <f t="shared" si="28"/>
        <v>14914.897469999998</v>
      </c>
      <c r="AL95" s="89">
        <f t="shared" si="29"/>
        <v>97775.438969999988</v>
      </c>
      <c r="AP95" s="92"/>
    </row>
    <row r="96" spans="1:42" x14ac:dyDescent="0.35">
      <c r="A96" s="85">
        <v>46240</v>
      </c>
      <c r="B96" s="51" t="s">
        <v>86</v>
      </c>
      <c r="C96" s="97">
        <v>289924289707.78601</v>
      </c>
      <c r="D96" s="97">
        <v>2109207</v>
      </c>
      <c r="E96" s="48" t="s">
        <v>87</v>
      </c>
      <c r="F96" s="86" t="s">
        <v>108</v>
      </c>
      <c r="G96" s="86" t="s">
        <v>199</v>
      </c>
      <c r="H96" s="86" t="s">
        <v>198</v>
      </c>
      <c r="I96" s="48" t="s">
        <v>205</v>
      </c>
      <c r="J96" s="52"/>
      <c r="K96" s="105"/>
      <c r="L96" s="105"/>
      <c r="M96" s="105"/>
      <c r="N96" s="104">
        <f t="shared" si="23"/>
        <v>0</v>
      </c>
      <c r="O96" s="86">
        <v>120</v>
      </c>
      <c r="P96" s="86">
        <v>120</v>
      </c>
      <c r="Q96" s="86">
        <v>120</v>
      </c>
      <c r="R96" s="104">
        <f t="shared" si="22"/>
        <v>360</v>
      </c>
      <c r="S96" s="86">
        <f t="shared" si="24"/>
        <v>360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26150.400000000001</v>
      </c>
      <c r="AF96" s="90">
        <v>6.5000000000000002E-2</v>
      </c>
      <c r="AG96" s="4">
        <f t="shared" si="21"/>
        <v>1699.7760000000001</v>
      </c>
      <c r="AH96" s="49">
        <f t="shared" si="26"/>
        <v>0</v>
      </c>
      <c r="AI96" s="89">
        <f t="shared" si="27"/>
        <v>24450.624</v>
      </c>
      <c r="AJ96" s="91">
        <v>0.18</v>
      </c>
      <c r="AK96" s="5">
        <f t="shared" si="28"/>
        <v>4401.1123200000002</v>
      </c>
      <c r="AL96" s="89">
        <f t="shared" si="29"/>
        <v>28851.73632</v>
      </c>
      <c r="AP96" s="92"/>
    </row>
    <row r="97" spans="1:42" x14ac:dyDescent="0.35">
      <c r="A97" s="85">
        <v>46240</v>
      </c>
      <c r="B97" s="51" t="s">
        <v>86</v>
      </c>
      <c r="C97" s="97">
        <v>289924289707.78601</v>
      </c>
      <c r="D97" s="97">
        <v>2109207</v>
      </c>
      <c r="E97" s="48" t="s">
        <v>87</v>
      </c>
      <c r="F97" s="86" t="s">
        <v>108</v>
      </c>
      <c r="G97" s="86" t="s">
        <v>200</v>
      </c>
      <c r="H97" s="86" t="s">
        <v>198</v>
      </c>
      <c r="I97" s="48" t="s">
        <v>206</v>
      </c>
      <c r="J97" s="52"/>
      <c r="K97" s="86">
        <v>198</v>
      </c>
      <c r="L97" s="86"/>
      <c r="M97" s="86">
        <v>160</v>
      </c>
      <c r="N97" s="104">
        <f t="shared" si="23"/>
        <v>358</v>
      </c>
      <c r="O97" s="105">
        <v>120</v>
      </c>
      <c r="P97" s="105"/>
      <c r="Q97" s="105">
        <v>158</v>
      </c>
      <c r="R97" s="104">
        <f t="shared" si="22"/>
        <v>278</v>
      </c>
      <c r="S97" s="86">
        <f t="shared" si="24"/>
        <v>636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64980.615000000005</v>
      </c>
      <c r="AF97" s="90">
        <v>6.5000000000000002E-2</v>
      </c>
      <c r="AG97" s="4">
        <f t="shared" si="21"/>
        <v>4223.7399750000004</v>
      </c>
      <c r="AH97" s="49">
        <f t="shared" si="26"/>
        <v>0</v>
      </c>
      <c r="AI97" s="89">
        <f t="shared" si="27"/>
        <v>60756.875025000001</v>
      </c>
      <c r="AJ97" s="91">
        <v>0.18</v>
      </c>
      <c r="AK97" s="5">
        <f t="shared" si="28"/>
        <v>10936.237504499999</v>
      </c>
      <c r="AL97" s="89">
        <f t="shared" si="29"/>
        <v>71693.112529499995</v>
      </c>
      <c r="AP97" s="92"/>
    </row>
    <row r="98" spans="1:42" x14ac:dyDescent="0.35">
      <c r="A98" s="85">
        <v>46240</v>
      </c>
      <c r="B98" s="51" t="s">
        <v>86</v>
      </c>
      <c r="C98" s="97">
        <v>289924289707.78601</v>
      </c>
      <c r="D98" s="97">
        <v>2109207</v>
      </c>
      <c r="E98" s="48" t="s">
        <v>87</v>
      </c>
      <c r="F98" s="86" t="s">
        <v>108</v>
      </c>
      <c r="G98" s="86" t="s">
        <v>201</v>
      </c>
      <c r="H98" s="86" t="s">
        <v>198</v>
      </c>
      <c r="I98" s="48" t="s">
        <v>207</v>
      </c>
      <c r="J98" s="52"/>
      <c r="K98" s="86">
        <v>200</v>
      </c>
      <c r="L98" s="105">
        <v>240</v>
      </c>
      <c r="M98" s="105">
        <v>239</v>
      </c>
      <c r="N98" s="104">
        <f t="shared" si="23"/>
        <v>679</v>
      </c>
      <c r="O98" s="86">
        <v>320</v>
      </c>
      <c r="P98" s="105">
        <v>320</v>
      </c>
      <c r="Q98" s="105">
        <v>600</v>
      </c>
      <c r="R98" s="104">
        <f t="shared" si="22"/>
        <v>1240</v>
      </c>
      <c r="S98" s="86">
        <f t="shared" si="24"/>
        <v>1919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175018.19750000001</v>
      </c>
      <c r="AF98" s="90">
        <v>6.5000000000000002E-2</v>
      </c>
      <c r="AG98" s="4">
        <f t="shared" si="21"/>
        <v>11376.1828375</v>
      </c>
      <c r="AH98" s="49">
        <f t="shared" si="26"/>
        <v>0</v>
      </c>
      <c r="AI98" s="89">
        <f t="shared" si="27"/>
        <v>163642.01466250001</v>
      </c>
      <c r="AJ98" s="91">
        <v>0.18</v>
      </c>
      <c r="AK98" s="5">
        <f t="shared" si="28"/>
        <v>29455.562639250002</v>
      </c>
      <c r="AL98" s="89">
        <f t="shared" si="29"/>
        <v>193097.57730175002</v>
      </c>
      <c r="AP98" s="92"/>
    </row>
    <row r="99" spans="1:42" x14ac:dyDescent="0.35">
      <c r="A99" s="85">
        <v>46240</v>
      </c>
      <c r="B99" s="51" t="s">
        <v>86</v>
      </c>
      <c r="C99" s="97">
        <v>289924289707.78601</v>
      </c>
      <c r="D99" s="97">
        <v>2109207</v>
      </c>
      <c r="E99" s="48" t="s">
        <v>87</v>
      </c>
      <c r="F99" s="86" t="s">
        <v>108</v>
      </c>
      <c r="G99" s="95" t="s">
        <v>202</v>
      </c>
      <c r="H99" s="86" t="s">
        <v>198</v>
      </c>
      <c r="I99" s="52" t="s">
        <v>208</v>
      </c>
      <c r="J99" s="52">
        <v>80</v>
      </c>
      <c r="K99" s="95">
        <v>40</v>
      </c>
      <c r="L99" s="106">
        <v>40</v>
      </c>
      <c r="M99" s="106">
        <v>80</v>
      </c>
      <c r="N99" s="104">
        <f t="shared" si="23"/>
        <v>160</v>
      </c>
      <c r="O99" s="95"/>
      <c r="P99" s="106"/>
      <c r="Q99" s="106"/>
      <c r="R99" s="104">
        <f t="shared" si="22"/>
        <v>0</v>
      </c>
      <c r="S99" s="86">
        <f t="shared" si="24"/>
        <v>240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28969.199999999997</v>
      </c>
      <c r="AF99" s="90">
        <v>6.5000000000000002E-2</v>
      </c>
      <c r="AG99" s="4">
        <f t="shared" si="21"/>
        <v>1882.9979999999998</v>
      </c>
      <c r="AH99" s="49">
        <f t="shared" si="26"/>
        <v>109.95600000000002</v>
      </c>
      <c r="AI99" s="89">
        <f t="shared" si="27"/>
        <v>27086.201999999997</v>
      </c>
      <c r="AJ99" s="91">
        <v>0.18</v>
      </c>
      <c r="AK99" s="5">
        <f t="shared" si="28"/>
        <v>4875.5163599999996</v>
      </c>
      <c r="AL99" s="89">
        <f t="shared" si="29"/>
        <v>31961.718359999999</v>
      </c>
      <c r="AP99" s="92"/>
    </row>
    <row r="100" spans="1:42" x14ac:dyDescent="0.35">
      <c r="A100" s="85">
        <v>46240</v>
      </c>
      <c r="B100" s="51" t="s">
        <v>86</v>
      </c>
      <c r="C100" s="97">
        <v>289924289707.78601</v>
      </c>
      <c r="D100" s="97">
        <v>2109207</v>
      </c>
      <c r="E100" s="48" t="s">
        <v>87</v>
      </c>
      <c r="F100" s="86" t="s">
        <v>108</v>
      </c>
      <c r="G100" s="95" t="s">
        <v>203</v>
      </c>
      <c r="H100" s="86" t="s">
        <v>198</v>
      </c>
      <c r="I100" s="52" t="s">
        <v>209</v>
      </c>
      <c r="J100" s="52">
        <v>200</v>
      </c>
      <c r="K100" s="95">
        <v>200</v>
      </c>
      <c r="L100" s="106">
        <v>200</v>
      </c>
      <c r="M100" s="106">
        <v>200</v>
      </c>
      <c r="N100" s="104">
        <f t="shared" si="23"/>
        <v>600</v>
      </c>
      <c r="O100" s="95">
        <v>200</v>
      </c>
      <c r="P100" s="106">
        <v>200</v>
      </c>
      <c r="Q100" s="106">
        <v>200</v>
      </c>
      <c r="R100" s="104">
        <f t="shared" si="22"/>
        <v>600</v>
      </c>
      <c r="S100" s="86">
        <f t="shared" si="24"/>
        <v>1400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141027.5</v>
      </c>
      <c r="AF100" s="90">
        <v>6.5000000000000002E-2</v>
      </c>
      <c r="AG100" s="4">
        <f t="shared" si="21"/>
        <v>9166.7875000000004</v>
      </c>
      <c r="AH100" s="49">
        <f t="shared" si="26"/>
        <v>274.89000000000004</v>
      </c>
      <c r="AI100" s="89">
        <f t="shared" si="27"/>
        <v>131860.71249999999</v>
      </c>
      <c r="AJ100" s="91">
        <v>0.18</v>
      </c>
      <c r="AK100" s="5">
        <f t="shared" si="28"/>
        <v>23734.928249999997</v>
      </c>
      <c r="AL100" s="89">
        <f t="shared" si="29"/>
        <v>155595.64074999999</v>
      </c>
      <c r="AP100" s="92"/>
    </row>
    <row r="101" spans="1:42" x14ac:dyDescent="0.35">
      <c r="A101" s="85">
        <v>46240</v>
      </c>
      <c r="B101" s="51" t="s">
        <v>86</v>
      </c>
      <c r="C101" s="97">
        <v>289924289707.78601</v>
      </c>
      <c r="D101" s="97">
        <v>2109207</v>
      </c>
      <c r="E101" s="48" t="s">
        <v>87</v>
      </c>
      <c r="F101" s="86" t="s">
        <v>211</v>
      </c>
      <c r="G101" s="95" t="s">
        <v>204</v>
      </c>
      <c r="H101" s="95" t="s">
        <v>212</v>
      </c>
      <c r="I101" s="52" t="s">
        <v>210</v>
      </c>
      <c r="J101" s="52">
        <v>1600</v>
      </c>
      <c r="K101" s="95"/>
      <c r="L101" s="106"/>
      <c r="M101" s="106"/>
      <c r="N101" s="104">
        <f t="shared" si="23"/>
        <v>0</v>
      </c>
      <c r="O101" s="95">
        <v>600</v>
      </c>
      <c r="P101" s="106">
        <v>800</v>
      </c>
      <c r="Q101" s="106">
        <v>1000</v>
      </c>
      <c r="R101" s="104">
        <f t="shared" si="22"/>
        <v>2400</v>
      </c>
      <c r="S101" s="86">
        <f t="shared" si="24"/>
        <v>4000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353392</v>
      </c>
      <c r="AF101" s="90">
        <v>6.5000000000000002E-2</v>
      </c>
      <c r="AG101" s="4">
        <f t="shared" si="21"/>
        <v>22970.48</v>
      </c>
      <c r="AH101" s="49">
        <f t="shared" si="26"/>
        <v>2199.1200000000003</v>
      </c>
      <c r="AI101" s="89">
        <f t="shared" si="27"/>
        <v>330421.52</v>
      </c>
      <c r="AJ101" s="91">
        <v>0.18</v>
      </c>
      <c r="AK101" s="5">
        <f t="shared" si="28"/>
        <v>59475.873599999999</v>
      </c>
      <c r="AL101" s="89">
        <f t="shared" si="29"/>
        <v>389897.39360000001</v>
      </c>
      <c r="AP101" s="92"/>
    </row>
    <row r="102" spans="1:42" x14ac:dyDescent="0.35">
      <c r="A102" s="85">
        <v>46240</v>
      </c>
      <c r="B102" s="51" t="s">
        <v>86</v>
      </c>
      <c r="C102" s="97">
        <v>289924289707.78601</v>
      </c>
      <c r="D102" s="97">
        <v>2109207</v>
      </c>
      <c r="E102" s="48" t="s">
        <v>87</v>
      </c>
      <c r="F102" s="95" t="s">
        <v>88</v>
      </c>
      <c r="G102" s="95" t="s">
        <v>215</v>
      </c>
      <c r="H102" s="95" t="s">
        <v>213</v>
      </c>
      <c r="I102" s="52" t="s">
        <v>214</v>
      </c>
      <c r="J102" s="52">
        <v>6</v>
      </c>
      <c r="K102" s="95"/>
      <c r="L102" s="106"/>
      <c r="M102" s="106"/>
      <c r="N102" s="104">
        <f t="shared" si="23"/>
        <v>0</v>
      </c>
      <c r="O102" s="95"/>
      <c r="P102" s="106"/>
      <c r="Q102" s="106"/>
      <c r="R102" s="104">
        <f t="shared" si="22"/>
        <v>0</v>
      </c>
      <c r="S102" s="86">
        <f t="shared" si="24"/>
        <v>6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671.46</v>
      </c>
      <c r="AF102" s="90">
        <v>6.5000000000000002E-2</v>
      </c>
      <c r="AG102" s="4">
        <f t="shared" si="21"/>
        <v>43.644900000000007</v>
      </c>
      <c r="AH102" s="49">
        <f t="shared" si="26"/>
        <v>8.2467000000000006</v>
      </c>
      <c r="AI102" s="89">
        <f t="shared" si="27"/>
        <v>627.81510000000003</v>
      </c>
      <c r="AJ102" s="91">
        <v>0.18</v>
      </c>
      <c r="AK102" s="5">
        <f t="shared" si="28"/>
        <v>113.00671800000001</v>
      </c>
      <c r="AL102" s="89">
        <f t="shared" si="29"/>
        <v>740.82181800000001</v>
      </c>
      <c r="AP102" s="92"/>
    </row>
    <row r="103" spans="1:42" x14ac:dyDescent="0.35">
      <c r="A103" s="85">
        <v>46240</v>
      </c>
      <c r="B103" s="51" t="s">
        <v>86</v>
      </c>
      <c r="C103" s="97">
        <v>289924289707.78601</v>
      </c>
      <c r="D103" s="97">
        <v>2109207</v>
      </c>
      <c r="E103" s="48" t="s">
        <v>87</v>
      </c>
      <c r="F103" s="95" t="s">
        <v>88</v>
      </c>
      <c r="G103" s="86" t="s">
        <v>216</v>
      </c>
      <c r="H103" s="95" t="s">
        <v>213</v>
      </c>
      <c r="I103" s="52" t="s">
        <v>214</v>
      </c>
      <c r="J103" s="52">
        <v>6</v>
      </c>
      <c r="K103" s="105"/>
      <c r="L103" s="105"/>
      <c r="M103" s="86"/>
      <c r="N103" s="104">
        <f t="shared" si="23"/>
        <v>0</v>
      </c>
      <c r="O103" s="105"/>
      <c r="P103" s="86"/>
      <c r="Q103" s="105"/>
      <c r="R103" s="104">
        <f t="shared" si="22"/>
        <v>0</v>
      </c>
      <c r="S103" s="86">
        <f t="shared" si="24"/>
        <v>6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671.46</v>
      </c>
      <c r="AF103" s="90">
        <v>0.1</v>
      </c>
      <c r="AG103" s="4">
        <f t="shared" si="21"/>
        <v>67.146000000000001</v>
      </c>
      <c r="AH103" s="49">
        <f t="shared" si="26"/>
        <v>8.2467000000000006</v>
      </c>
      <c r="AI103" s="89">
        <f t="shared" si="27"/>
        <v>604.31400000000008</v>
      </c>
      <c r="AJ103" s="91">
        <v>0.18</v>
      </c>
      <c r="AK103" s="5">
        <f t="shared" si="28"/>
        <v>108.77652</v>
      </c>
      <c r="AL103" s="89">
        <f t="shared" si="29"/>
        <v>713.09052000000008</v>
      </c>
      <c r="AP103" s="92"/>
    </row>
    <row r="104" spans="1:42" x14ac:dyDescent="0.35">
      <c r="A104" s="85">
        <v>46240</v>
      </c>
      <c r="B104" s="51" t="s">
        <v>86</v>
      </c>
      <c r="C104" s="97">
        <v>289924289707.78601</v>
      </c>
      <c r="D104" s="97">
        <v>2109207</v>
      </c>
      <c r="E104" s="48" t="s">
        <v>87</v>
      </c>
      <c r="F104" s="95" t="s">
        <v>88</v>
      </c>
      <c r="G104" s="86" t="s">
        <v>217</v>
      </c>
      <c r="H104" s="95" t="s">
        <v>182</v>
      </c>
      <c r="I104" s="52" t="s">
        <v>223</v>
      </c>
      <c r="J104" s="52">
        <v>40</v>
      </c>
      <c r="K104" s="86">
        <v>40</v>
      </c>
      <c r="L104" s="86">
        <v>20</v>
      </c>
      <c r="M104" s="86"/>
      <c r="N104" s="104">
        <f t="shared" si="23"/>
        <v>60</v>
      </c>
      <c r="O104" s="105">
        <v>40</v>
      </c>
      <c r="P104" s="105">
        <v>20</v>
      </c>
      <c r="Q104" s="105">
        <v>20</v>
      </c>
      <c r="R104" s="104">
        <f t="shared" si="22"/>
        <v>80</v>
      </c>
      <c r="S104" s="86">
        <f t="shared" si="24"/>
        <v>180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17793.75</v>
      </c>
      <c r="AF104" s="90">
        <v>6.5000000000000002E-2</v>
      </c>
      <c r="AG104" s="4">
        <f t="shared" si="21"/>
        <v>1156.59375</v>
      </c>
      <c r="AH104" s="49">
        <f t="shared" si="26"/>
        <v>54.978000000000009</v>
      </c>
      <c r="AI104" s="89">
        <f t="shared" si="27"/>
        <v>16637.15625</v>
      </c>
      <c r="AJ104" s="91">
        <v>0.18</v>
      </c>
      <c r="AK104" s="5">
        <f t="shared" si="28"/>
        <v>2994.6881249999997</v>
      </c>
      <c r="AL104" s="89">
        <f t="shared" si="29"/>
        <v>19631.844375000001</v>
      </c>
      <c r="AP104" s="92"/>
    </row>
    <row r="105" spans="1:42" x14ac:dyDescent="0.35">
      <c r="A105" s="85">
        <v>46240</v>
      </c>
      <c r="B105" s="51" t="s">
        <v>86</v>
      </c>
      <c r="C105" s="97">
        <v>289924289707.78601</v>
      </c>
      <c r="D105" s="97">
        <v>2109207</v>
      </c>
      <c r="E105" s="48" t="s">
        <v>87</v>
      </c>
      <c r="F105" s="95" t="s">
        <v>88</v>
      </c>
      <c r="G105" s="86" t="s">
        <v>218</v>
      </c>
      <c r="H105" s="95" t="s">
        <v>182</v>
      </c>
      <c r="I105" s="52" t="s">
        <v>223</v>
      </c>
      <c r="J105" s="52">
        <v>40</v>
      </c>
      <c r="K105" s="105"/>
      <c r="L105" s="105"/>
      <c r="M105" s="105"/>
      <c r="N105" s="104">
        <f t="shared" si="23"/>
        <v>0</v>
      </c>
      <c r="O105" s="86">
        <v>15</v>
      </c>
      <c r="P105" s="86">
        <v>10</v>
      </c>
      <c r="Q105" s="86">
        <v>15</v>
      </c>
      <c r="R105" s="104">
        <f t="shared" si="22"/>
        <v>40</v>
      </c>
      <c r="S105" s="86">
        <f t="shared" si="24"/>
        <v>80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7382</v>
      </c>
      <c r="AF105" s="90">
        <v>6.5000000000000002E-2</v>
      </c>
      <c r="AG105" s="4">
        <f t="shared" si="21"/>
        <v>479.83000000000004</v>
      </c>
      <c r="AH105" s="49">
        <f t="shared" si="26"/>
        <v>54.978000000000009</v>
      </c>
      <c r="AI105" s="89">
        <f t="shared" si="27"/>
        <v>6902.17</v>
      </c>
      <c r="AJ105" s="91">
        <v>0.18</v>
      </c>
      <c r="AK105" s="5">
        <f t="shared" si="28"/>
        <v>1242.3905999999999</v>
      </c>
      <c r="AL105" s="89">
        <f t="shared" si="29"/>
        <v>8144.5605999999998</v>
      </c>
      <c r="AP105" s="92"/>
    </row>
    <row r="106" spans="1:42" x14ac:dyDescent="0.35">
      <c r="A106" s="85">
        <v>46240</v>
      </c>
      <c r="B106" s="51" t="s">
        <v>86</v>
      </c>
      <c r="C106" s="97">
        <v>289924289707.78601</v>
      </c>
      <c r="D106" s="97">
        <v>2109207</v>
      </c>
      <c r="E106" s="48" t="s">
        <v>87</v>
      </c>
      <c r="F106" s="95" t="s">
        <v>88</v>
      </c>
      <c r="G106" s="86" t="s">
        <v>219</v>
      </c>
      <c r="H106" s="95" t="s">
        <v>182</v>
      </c>
      <c r="I106" s="52" t="s">
        <v>223</v>
      </c>
      <c r="J106" s="52">
        <v>20</v>
      </c>
      <c r="K106" s="86">
        <v>20</v>
      </c>
      <c r="L106" s="86">
        <v>20</v>
      </c>
      <c r="M106" s="86"/>
      <c r="N106" s="104">
        <f t="shared" si="23"/>
        <v>40</v>
      </c>
      <c r="O106" s="105"/>
      <c r="P106" s="105"/>
      <c r="Q106" s="105"/>
      <c r="R106" s="104">
        <f t="shared" si="22"/>
        <v>0</v>
      </c>
      <c r="S106" s="86">
        <f t="shared" si="24"/>
        <v>60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7242.2999999999993</v>
      </c>
      <c r="AF106" s="90">
        <v>6.5000000000000002E-2</v>
      </c>
      <c r="AG106" s="4">
        <f t="shared" si="21"/>
        <v>470.74949999999995</v>
      </c>
      <c r="AH106" s="49">
        <f t="shared" si="26"/>
        <v>27.489000000000004</v>
      </c>
      <c r="AI106" s="89">
        <f t="shared" si="27"/>
        <v>6771.5504999999994</v>
      </c>
      <c r="AJ106" s="91">
        <v>0.18</v>
      </c>
      <c r="AK106" s="5">
        <f t="shared" si="28"/>
        <v>1218.8790899999999</v>
      </c>
      <c r="AL106" s="89">
        <f t="shared" si="29"/>
        <v>7990.4295899999997</v>
      </c>
      <c r="AP106" s="92"/>
    </row>
    <row r="107" spans="1:42" x14ac:dyDescent="0.35">
      <c r="A107" s="85">
        <v>46240</v>
      </c>
      <c r="B107" s="51" t="s">
        <v>86</v>
      </c>
      <c r="C107" s="97">
        <v>289924289707.78601</v>
      </c>
      <c r="D107" s="97">
        <v>2109207</v>
      </c>
      <c r="E107" s="48" t="s">
        <v>87</v>
      </c>
      <c r="F107" s="95" t="s">
        <v>88</v>
      </c>
      <c r="G107" s="86" t="s">
        <v>220</v>
      </c>
      <c r="H107" s="95" t="s">
        <v>182</v>
      </c>
      <c r="I107" s="52" t="s">
        <v>223</v>
      </c>
      <c r="J107" s="52">
        <v>6</v>
      </c>
      <c r="K107" s="105">
        <v>6</v>
      </c>
      <c r="L107" s="105">
        <v>6</v>
      </c>
      <c r="M107" s="105"/>
      <c r="N107" s="104">
        <f t="shared" si="23"/>
        <v>12</v>
      </c>
      <c r="O107" s="86">
        <v>3</v>
      </c>
      <c r="P107" s="86">
        <v>3</v>
      </c>
      <c r="Q107" s="86">
        <v>3</v>
      </c>
      <c r="R107" s="104">
        <f t="shared" si="22"/>
        <v>9</v>
      </c>
      <c r="S107" s="86">
        <f t="shared" si="24"/>
        <v>27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2826.45</v>
      </c>
      <c r="AF107" s="90">
        <v>6.5000000000000002E-2</v>
      </c>
      <c r="AG107" s="4">
        <f t="shared" si="21"/>
        <v>183.71924999999999</v>
      </c>
      <c r="AH107" s="49">
        <f t="shared" si="26"/>
        <v>8.2467000000000006</v>
      </c>
      <c r="AI107" s="89">
        <f t="shared" si="27"/>
        <v>2642.7307499999997</v>
      </c>
      <c r="AJ107" s="91">
        <v>0.18</v>
      </c>
      <c r="AK107" s="5">
        <f t="shared" si="28"/>
        <v>475.69153499999993</v>
      </c>
      <c r="AL107" s="89">
        <f t="shared" si="29"/>
        <v>3118.4222849999996</v>
      </c>
      <c r="AP107" s="92"/>
    </row>
    <row r="108" spans="1:42" x14ac:dyDescent="0.35">
      <c r="A108" s="85">
        <v>46240</v>
      </c>
      <c r="B108" s="51" t="s">
        <v>86</v>
      </c>
      <c r="C108" s="97">
        <v>289924289707.78601</v>
      </c>
      <c r="D108" s="97">
        <v>2109207</v>
      </c>
      <c r="E108" s="48" t="s">
        <v>87</v>
      </c>
      <c r="F108" s="95" t="s">
        <v>88</v>
      </c>
      <c r="G108" s="86" t="s">
        <v>221</v>
      </c>
      <c r="H108" s="95" t="s">
        <v>182</v>
      </c>
      <c r="I108" s="52" t="s">
        <v>223</v>
      </c>
      <c r="J108" s="52"/>
      <c r="K108" s="86">
        <v>20</v>
      </c>
      <c r="L108" s="105">
        <v>20</v>
      </c>
      <c r="M108" s="86"/>
      <c r="N108" s="104">
        <f t="shared" si="23"/>
        <v>40</v>
      </c>
      <c r="O108" s="105">
        <v>20</v>
      </c>
      <c r="P108" s="105">
        <v>40</v>
      </c>
      <c r="Q108" s="105">
        <v>40</v>
      </c>
      <c r="R108" s="104">
        <f t="shared" si="22"/>
        <v>100</v>
      </c>
      <c r="S108" s="86">
        <f t="shared" si="24"/>
        <v>140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12268.1</v>
      </c>
      <c r="AF108" s="90">
        <v>6.5000000000000002E-2</v>
      </c>
      <c r="AG108" s="4">
        <f t="shared" si="21"/>
        <v>797.42650000000003</v>
      </c>
      <c r="AH108" s="49">
        <f t="shared" si="26"/>
        <v>0</v>
      </c>
      <c r="AI108" s="89">
        <f t="shared" si="27"/>
        <v>11470.673500000001</v>
      </c>
      <c r="AJ108" s="91">
        <v>0.18</v>
      </c>
      <c r="AK108" s="5">
        <f t="shared" si="28"/>
        <v>2064.7212300000001</v>
      </c>
      <c r="AL108" s="89">
        <f t="shared" si="29"/>
        <v>13535.39473</v>
      </c>
      <c r="AP108" s="92"/>
    </row>
    <row r="109" spans="1:42" x14ac:dyDescent="0.35">
      <c r="A109" s="85">
        <v>46240</v>
      </c>
      <c r="B109" s="51" t="s">
        <v>86</v>
      </c>
      <c r="C109" s="97">
        <v>289924289707.78601</v>
      </c>
      <c r="D109" s="97">
        <v>2109207</v>
      </c>
      <c r="E109" s="48" t="s">
        <v>87</v>
      </c>
      <c r="F109" s="95" t="s">
        <v>88</v>
      </c>
      <c r="G109" s="86" t="s">
        <v>222</v>
      </c>
      <c r="H109" s="95" t="s">
        <v>182</v>
      </c>
      <c r="I109" s="52" t="s">
        <v>223</v>
      </c>
      <c r="J109" s="52">
        <v>20</v>
      </c>
      <c r="K109" s="86">
        <v>10</v>
      </c>
      <c r="L109" s="86">
        <v>10</v>
      </c>
      <c r="M109" s="86"/>
      <c r="N109" s="104">
        <f t="shared" si="23"/>
        <v>20</v>
      </c>
      <c r="O109" s="105"/>
      <c r="P109" s="105"/>
      <c r="Q109" s="105"/>
      <c r="R109" s="104">
        <f t="shared" si="22"/>
        <v>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4740.25</v>
      </c>
      <c r="AF109" s="90">
        <v>6.5000000000000002E-2</v>
      </c>
      <c r="AG109" s="4">
        <f t="shared" si="21"/>
        <v>308.11625000000004</v>
      </c>
      <c r="AH109" s="49">
        <f t="shared" si="26"/>
        <v>27.489000000000004</v>
      </c>
      <c r="AI109" s="89">
        <f t="shared" si="27"/>
        <v>4432.13375</v>
      </c>
      <c r="AJ109" s="91">
        <v>0.18</v>
      </c>
      <c r="AK109" s="5">
        <f t="shared" si="28"/>
        <v>797.78407499999992</v>
      </c>
      <c r="AL109" s="89">
        <f t="shared" si="29"/>
        <v>5229.9178249999995</v>
      </c>
      <c r="AP109" s="92"/>
    </row>
    <row r="110" spans="1:42" x14ac:dyDescent="0.35">
      <c r="A110" s="85">
        <v>46240</v>
      </c>
      <c r="B110" s="51" t="s">
        <v>86</v>
      </c>
      <c r="C110" s="97">
        <v>289924289707.78601</v>
      </c>
      <c r="D110" s="97">
        <v>2109207</v>
      </c>
      <c r="E110" s="48" t="s">
        <v>87</v>
      </c>
      <c r="F110" s="95" t="s">
        <v>88</v>
      </c>
      <c r="G110" s="86" t="s">
        <v>224</v>
      </c>
      <c r="H110" s="95" t="s">
        <v>93</v>
      </c>
      <c r="I110" s="48" t="s">
        <v>230</v>
      </c>
      <c r="J110" s="52"/>
      <c r="K110" s="105">
        <v>10</v>
      </c>
      <c r="L110" s="105"/>
      <c r="M110" s="86"/>
      <c r="N110" s="104">
        <f t="shared" si="23"/>
        <v>10</v>
      </c>
      <c r="O110" s="86"/>
      <c r="P110" s="86"/>
      <c r="Q110" s="86"/>
      <c r="R110" s="104">
        <f t="shared" si="22"/>
        <v>0</v>
      </c>
      <c r="S110" s="86">
        <f t="shared" si="24"/>
        <v>10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1251.0250000000001</v>
      </c>
      <c r="AF110" s="90">
        <v>6.5000000000000002E-2</v>
      </c>
      <c r="AG110" s="4">
        <f t="shared" si="21"/>
        <v>81.316625000000002</v>
      </c>
      <c r="AH110" s="49">
        <f t="shared" si="26"/>
        <v>0</v>
      </c>
      <c r="AI110" s="89">
        <f t="shared" si="27"/>
        <v>1169.7083750000002</v>
      </c>
      <c r="AJ110" s="91">
        <v>0.18</v>
      </c>
      <c r="AK110" s="5">
        <f t="shared" si="28"/>
        <v>210.54750750000002</v>
      </c>
      <c r="AL110" s="89">
        <f t="shared" si="29"/>
        <v>1380.2558825000001</v>
      </c>
      <c r="AP110" s="92"/>
    </row>
    <row r="111" spans="1:42" x14ac:dyDescent="0.35">
      <c r="A111" s="85">
        <v>46240</v>
      </c>
      <c r="B111" s="51" t="s">
        <v>86</v>
      </c>
      <c r="C111" s="97">
        <v>289924289707.78601</v>
      </c>
      <c r="D111" s="97">
        <v>2109207</v>
      </c>
      <c r="E111" s="48" t="s">
        <v>87</v>
      </c>
      <c r="F111" s="95" t="s">
        <v>88</v>
      </c>
      <c r="G111" s="86" t="s">
        <v>225</v>
      </c>
      <c r="H111" s="95" t="s">
        <v>93</v>
      </c>
      <c r="I111" s="48" t="s">
        <v>230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46240</v>
      </c>
      <c r="B112" s="51" t="s">
        <v>86</v>
      </c>
      <c r="C112" s="97">
        <v>289924289707.78601</v>
      </c>
      <c r="D112" s="97">
        <v>2109207</v>
      </c>
      <c r="E112" s="48" t="s">
        <v>87</v>
      </c>
      <c r="F112" s="95" t="s">
        <v>88</v>
      </c>
      <c r="G112" s="86" t="s">
        <v>226</v>
      </c>
      <c r="H112" s="95" t="s">
        <v>93</v>
      </c>
      <c r="I112" s="48" t="s">
        <v>230</v>
      </c>
      <c r="J112" s="52">
        <v>40</v>
      </c>
      <c r="K112" s="86"/>
      <c r="L112" s="86"/>
      <c r="M112" s="86"/>
      <c r="N112" s="104">
        <f t="shared" si="23"/>
        <v>0</v>
      </c>
      <c r="O112" s="86"/>
      <c r="P112" s="86"/>
      <c r="Q112" s="86"/>
      <c r="R112" s="104">
        <f t="shared" si="22"/>
        <v>0</v>
      </c>
      <c r="S112" s="86">
        <f t="shared" si="24"/>
        <v>40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4476.3999999999996</v>
      </c>
      <c r="AF112" s="90">
        <v>6.5000000000000002E-2</v>
      </c>
      <c r="AG112" s="4">
        <f t="shared" si="21"/>
        <v>290.96600000000001</v>
      </c>
      <c r="AH112" s="49">
        <f t="shared" si="26"/>
        <v>54.978000000000009</v>
      </c>
      <c r="AI112" s="89">
        <f t="shared" si="27"/>
        <v>4185.4339999999993</v>
      </c>
      <c r="AJ112" s="91">
        <v>0.18</v>
      </c>
      <c r="AK112" s="5">
        <f t="shared" si="28"/>
        <v>753.37811999999985</v>
      </c>
      <c r="AL112" s="89">
        <f t="shared" si="29"/>
        <v>4938.8121199999987</v>
      </c>
      <c r="AP112" s="92"/>
    </row>
    <row r="113" spans="1:42" x14ac:dyDescent="0.35">
      <c r="A113" s="85">
        <v>46240</v>
      </c>
      <c r="B113" s="51" t="s">
        <v>86</v>
      </c>
      <c r="C113" s="97">
        <v>289924289707.78601</v>
      </c>
      <c r="D113" s="97">
        <v>2109207</v>
      </c>
      <c r="E113" s="48" t="s">
        <v>87</v>
      </c>
      <c r="F113" s="95" t="s">
        <v>88</v>
      </c>
      <c r="G113" s="95" t="s">
        <v>134</v>
      </c>
      <c r="H113" s="95" t="s">
        <v>93</v>
      </c>
      <c r="I113" s="48" t="s">
        <v>230</v>
      </c>
      <c r="J113" s="52"/>
      <c r="K113" s="95"/>
      <c r="L113" s="95"/>
      <c r="M113" s="95"/>
      <c r="N113" s="104">
        <f t="shared" si="23"/>
        <v>0</v>
      </c>
      <c r="O113" s="95">
        <v>3</v>
      </c>
      <c r="P113" s="95">
        <v>3</v>
      </c>
      <c r="Q113" s="95">
        <v>3</v>
      </c>
      <c r="R113" s="104">
        <f t="shared" si="22"/>
        <v>9</v>
      </c>
      <c r="S113" s="86">
        <f t="shared" si="24"/>
        <v>9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653.76</v>
      </c>
      <c r="AF113" s="90">
        <v>6.5000000000000002E-2</v>
      </c>
      <c r="AG113" s="4">
        <f t="shared" si="21"/>
        <v>42.494399999999999</v>
      </c>
      <c r="AH113" s="49">
        <f t="shared" si="26"/>
        <v>0</v>
      </c>
      <c r="AI113" s="89">
        <f t="shared" si="27"/>
        <v>611.26559999999995</v>
      </c>
      <c r="AJ113" s="91">
        <v>0.18</v>
      </c>
      <c r="AK113" s="5">
        <f t="shared" si="28"/>
        <v>110.02780799999999</v>
      </c>
      <c r="AL113" s="89">
        <f t="shared" si="29"/>
        <v>721.293408</v>
      </c>
      <c r="AP113" s="92"/>
    </row>
    <row r="114" spans="1:42" x14ac:dyDescent="0.35">
      <c r="A114" s="85">
        <v>46240</v>
      </c>
      <c r="B114" s="51" t="s">
        <v>86</v>
      </c>
      <c r="C114" s="97">
        <v>289924289707.78601</v>
      </c>
      <c r="D114" s="97">
        <v>2109207</v>
      </c>
      <c r="E114" s="48" t="s">
        <v>87</v>
      </c>
      <c r="F114" s="95" t="s">
        <v>88</v>
      </c>
      <c r="G114" s="86" t="s">
        <v>227</v>
      </c>
      <c r="H114" s="95" t="s">
        <v>93</v>
      </c>
      <c r="I114" s="48" t="s">
        <v>230</v>
      </c>
      <c r="J114" s="52"/>
      <c r="K114" s="105"/>
      <c r="L114" s="105"/>
      <c r="M114" s="105"/>
      <c r="N114" s="104">
        <f t="shared" si="23"/>
        <v>0</v>
      </c>
      <c r="O114" s="86">
        <v>40</v>
      </c>
      <c r="P114" s="86"/>
      <c r="Q114" s="86">
        <v>40</v>
      </c>
      <c r="R114" s="104">
        <f t="shared" si="22"/>
        <v>80</v>
      </c>
      <c r="S114" s="86">
        <f t="shared" si="24"/>
        <v>80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5811.2</v>
      </c>
      <c r="AF114" s="90">
        <v>6.5000000000000002E-2</v>
      </c>
      <c r="AG114" s="4">
        <f t="shared" ref="AG114" si="73">AE114*AF114</f>
        <v>377.72800000000001</v>
      </c>
      <c r="AH114" s="49">
        <f t="shared" ref="AH114" si="74">(AB114*J114)*$AH$1</f>
        <v>0</v>
      </c>
      <c r="AI114" s="89">
        <f t="shared" ref="AI114" si="75">AE114-AG114</f>
        <v>5433.4719999999998</v>
      </c>
      <c r="AJ114" s="91">
        <v>0.18</v>
      </c>
      <c r="AK114" s="5">
        <f t="shared" ref="AK114" si="76">AI114*AJ114</f>
        <v>978.02495999999996</v>
      </c>
      <c r="AL114" s="89">
        <f t="shared" ref="AL114" si="77">AI114+AK114</f>
        <v>6411.4969599999995</v>
      </c>
      <c r="AP114" s="92"/>
    </row>
    <row r="115" spans="1:42" x14ac:dyDescent="0.35">
      <c r="A115" s="85">
        <v>46240</v>
      </c>
      <c r="B115" s="51" t="s">
        <v>86</v>
      </c>
      <c r="C115" s="97">
        <v>289924289707.78601</v>
      </c>
      <c r="D115" s="97">
        <v>2109207</v>
      </c>
      <c r="E115" s="48" t="s">
        <v>87</v>
      </c>
      <c r="F115" s="95" t="s">
        <v>88</v>
      </c>
      <c r="G115" s="86" t="s">
        <v>228</v>
      </c>
      <c r="H115" s="95" t="s">
        <v>93</v>
      </c>
      <c r="I115" s="48" t="s">
        <v>230</v>
      </c>
      <c r="J115" s="52"/>
      <c r="K115" s="86"/>
      <c r="L115" s="86"/>
      <c r="M115" s="86"/>
      <c r="N115" s="104">
        <f t="shared" si="23"/>
        <v>0</v>
      </c>
      <c r="O115" s="86">
        <v>40</v>
      </c>
      <c r="P115" s="86">
        <v>20</v>
      </c>
      <c r="Q115" s="86">
        <v>20</v>
      </c>
      <c r="R115" s="104">
        <f t="shared" si="22"/>
        <v>80</v>
      </c>
      <c r="S115" s="86">
        <f t="shared" si="24"/>
        <v>80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5811.2</v>
      </c>
      <c r="AF115" s="90">
        <v>6.5000000000000002E-2</v>
      </c>
      <c r="AG115" s="4">
        <f t="shared" si="21"/>
        <v>377.72800000000001</v>
      </c>
      <c r="AH115" s="49">
        <f t="shared" si="26"/>
        <v>0</v>
      </c>
      <c r="AI115" s="89">
        <f t="shared" si="27"/>
        <v>5433.4719999999998</v>
      </c>
      <c r="AJ115" s="91">
        <v>0.18</v>
      </c>
      <c r="AK115" s="5">
        <f t="shared" si="28"/>
        <v>978.02495999999996</v>
      </c>
      <c r="AL115" s="89">
        <f t="shared" si="29"/>
        <v>6411.4969599999995</v>
      </c>
      <c r="AP115" s="92"/>
    </row>
    <row r="116" spans="1:42" x14ac:dyDescent="0.35">
      <c r="A116" s="85">
        <v>46240</v>
      </c>
      <c r="B116" s="51" t="s">
        <v>86</v>
      </c>
      <c r="C116" s="97">
        <v>289924289707.78601</v>
      </c>
      <c r="D116" s="97">
        <v>2109207</v>
      </c>
      <c r="E116" s="48" t="s">
        <v>87</v>
      </c>
      <c r="F116" s="95" t="s">
        <v>88</v>
      </c>
      <c r="G116" s="86" t="s">
        <v>229</v>
      </c>
      <c r="H116" s="95" t="s">
        <v>93</v>
      </c>
      <c r="I116" s="48" t="s">
        <v>230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46240</v>
      </c>
      <c r="B117" s="51" t="s">
        <v>86</v>
      </c>
      <c r="C117" s="97">
        <v>289924289707.78601</v>
      </c>
      <c r="D117" s="97">
        <v>2109207</v>
      </c>
      <c r="E117" s="48" t="s">
        <v>87</v>
      </c>
      <c r="F117" s="95" t="s">
        <v>88</v>
      </c>
      <c r="G117" s="95" t="s">
        <v>232</v>
      </c>
      <c r="H117" s="95" t="s">
        <v>231</v>
      </c>
      <c r="I117" s="52" t="s">
        <v>92</v>
      </c>
      <c r="J117" s="52">
        <v>6</v>
      </c>
      <c r="K117" s="95">
        <v>6</v>
      </c>
      <c r="L117" s="106">
        <v>6</v>
      </c>
      <c r="M117" s="95"/>
      <c r="N117" s="104">
        <f t="shared" si="23"/>
        <v>12</v>
      </c>
      <c r="O117" s="106">
        <v>6</v>
      </c>
      <c r="P117" s="106">
        <v>6</v>
      </c>
      <c r="Q117" s="106">
        <v>6</v>
      </c>
      <c r="R117" s="104">
        <f t="shared" si="22"/>
        <v>18</v>
      </c>
      <c r="S117" s="86">
        <f>R117+N117+J117</f>
        <v>36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46240</v>
      </c>
      <c r="B118" s="51" t="s">
        <v>86</v>
      </c>
      <c r="C118" s="97">
        <v>289924289707.78601</v>
      </c>
      <c r="D118" s="97">
        <v>2109207</v>
      </c>
      <c r="E118" s="48" t="s">
        <v>87</v>
      </c>
      <c r="F118" s="95" t="s">
        <v>88</v>
      </c>
      <c r="G118" s="86" t="s">
        <v>233</v>
      </c>
      <c r="H118" s="95" t="s">
        <v>231</v>
      </c>
      <c r="I118" s="52" t="s">
        <v>92</v>
      </c>
      <c r="J118" s="52">
        <v>10</v>
      </c>
      <c r="K118" s="105"/>
      <c r="L118" s="86"/>
      <c r="M118" s="105"/>
      <c r="N118" s="104">
        <f t="shared" si="23"/>
        <v>0</v>
      </c>
      <c r="O118" s="105"/>
      <c r="P118" s="105"/>
      <c r="Q118" s="105">
        <v>10</v>
      </c>
      <c r="R118" s="104">
        <f t="shared" si="22"/>
        <v>10</v>
      </c>
      <c r="S118" s="86">
        <f t="shared" si="24"/>
        <v>20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1845.5</v>
      </c>
      <c r="AF118" s="90">
        <v>6.5000000000000002E-2</v>
      </c>
      <c r="AG118" s="4">
        <f t="shared" si="21"/>
        <v>119.95750000000001</v>
      </c>
      <c r="AH118" s="49">
        <f t="shared" si="26"/>
        <v>13.744500000000002</v>
      </c>
      <c r="AI118" s="89">
        <f t="shared" si="27"/>
        <v>1725.5425</v>
      </c>
      <c r="AJ118" s="91">
        <v>0.18</v>
      </c>
      <c r="AK118" s="5">
        <f t="shared" si="28"/>
        <v>310.59764999999999</v>
      </c>
      <c r="AL118" s="89">
        <f t="shared" si="29"/>
        <v>2036.1401499999999</v>
      </c>
      <c r="AP118" s="92"/>
    </row>
    <row r="119" spans="1:42" x14ac:dyDescent="0.35">
      <c r="A119" s="85">
        <v>46240</v>
      </c>
      <c r="B119" s="51" t="s">
        <v>86</v>
      </c>
      <c r="C119" s="97">
        <v>289924289707.78601</v>
      </c>
      <c r="D119" s="97">
        <v>2109207</v>
      </c>
      <c r="E119" s="48" t="s">
        <v>87</v>
      </c>
      <c r="F119" s="95" t="s">
        <v>88</v>
      </c>
      <c r="G119" s="86" t="s">
        <v>234</v>
      </c>
      <c r="H119" s="95" t="s">
        <v>231</v>
      </c>
      <c r="I119" s="52" t="s">
        <v>92</v>
      </c>
      <c r="J119" s="52"/>
      <c r="K119" s="105"/>
      <c r="L119" s="105"/>
      <c r="M119" s="105"/>
      <c r="N119" s="104">
        <f t="shared" si="23"/>
        <v>0</v>
      </c>
      <c r="O119" s="86">
        <v>15</v>
      </c>
      <c r="P119" s="86">
        <v>10</v>
      </c>
      <c r="Q119" s="86">
        <v>15</v>
      </c>
      <c r="R119" s="104">
        <f t="shared" si="22"/>
        <v>40</v>
      </c>
      <c r="S119" s="86">
        <f t="shared" si="24"/>
        <v>40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2905.6</v>
      </c>
      <c r="AF119" s="90">
        <v>6.5000000000000002E-2</v>
      </c>
      <c r="AG119" s="4">
        <f t="shared" si="21"/>
        <v>188.864</v>
      </c>
      <c r="AH119" s="49">
        <f t="shared" si="26"/>
        <v>0</v>
      </c>
      <c r="AI119" s="89">
        <f t="shared" si="27"/>
        <v>2716.7359999999999</v>
      </c>
      <c r="AJ119" s="91">
        <v>0.18</v>
      </c>
      <c r="AK119" s="5">
        <f t="shared" si="28"/>
        <v>489.01247999999998</v>
      </c>
      <c r="AL119" s="89">
        <f t="shared" si="29"/>
        <v>3205.7484799999997</v>
      </c>
      <c r="AP119" s="92"/>
    </row>
    <row r="120" spans="1:42" x14ac:dyDescent="0.35">
      <c r="A120" s="85">
        <v>46240</v>
      </c>
      <c r="B120" s="51" t="s">
        <v>86</v>
      </c>
      <c r="C120" s="97">
        <v>289924289707.78601</v>
      </c>
      <c r="D120" s="97">
        <v>2109207</v>
      </c>
      <c r="E120" s="48" t="s">
        <v>87</v>
      </c>
      <c r="F120" s="95" t="s">
        <v>88</v>
      </c>
      <c r="G120" s="86" t="s">
        <v>134</v>
      </c>
      <c r="H120" s="95" t="s">
        <v>231</v>
      </c>
      <c r="I120" s="52" t="s">
        <v>92</v>
      </c>
      <c r="J120" s="52">
        <v>40</v>
      </c>
      <c r="K120" s="86">
        <v>20</v>
      </c>
      <c r="L120" s="86">
        <v>20</v>
      </c>
      <c r="M120" s="86"/>
      <c r="N120" s="104">
        <f t="shared" si="23"/>
        <v>40</v>
      </c>
      <c r="O120" s="86"/>
      <c r="P120" s="86"/>
      <c r="Q120" s="86"/>
      <c r="R120" s="104">
        <f t="shared" si="22"/>
        <v>0</v>
      </c>
      <c r="S120" s="86">
        <f t="shared" si="24"/>
        <v>80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9480.5</v>
      </c>
      <c r="AF120" s="90">
        <v>6.5000000000000002E-2</v>
      </c>
      <c r="AG120" s="4">
        <f t="shared" si="21"/>
        <v>616.23250000000007</v>
      </c>
      <c r="AH120" s="49">
        <f t="shared" si="26"/>
        <v>54.978000000000009</v>
      </c>
      <c r="AI120" s="89">
        <f t="shared" si="27"/>
        <v>8864.2674999999999</v>
      </c>
      <c r="AJ120" s="91">
        <v>0.18</v>
      </c>
      <c r="AK120" s="5">
        <f t="shared" si="28"/>
        <v>1595.5681499999998</v>
      </c>
      <c r="AL120" s="89">
        <f t="shared" si="29"/>
        <v>10459.835649999999</v>
      </c>
      <c r="AP120" s="92"/>
    </row>
    <row r="121" spans="1:42" x14ac:dyDescent="0.35">
      <c r="A121" s="85">
        <v>46240</v>
      </c>
      <c r="B121" s="51" t="s">
        <v>86</v>
      </c>
      <c r="C121" s="97">
        <v>289924289707.78601</v>
      </c>
      <c r="D121" s="97">
        <v>2109207</v>
      </c>
      <c r="E121" s="48" t="s">
        <v>87</v>
      </c>
      <c r="F121" s="95" t="s">
        <v>88</v>
      </c>
      <c r="G121" s="86" t="s">
        <v>235</v>
      </c>
      <c r="H121" s="95" t="s">
        <v>231</v>
      </c>
      <c r="I121" s="52" t="s">
        <v>92</v>
      </c>
      <c r="J121" s="52">
        <v>10</v>
      </c>
      <c r="K121" s="86"/>
      <c r="L121" s="86"/>
      <c r="M121" s="86"/>
      <c r="N121" s="104">
        <f t="shared" si="23"/>
        <v>0</v>
      </c>
      <c r="O121" s="86"/>
      <c r="P121" s="86"/>
      <c r="Q121" s="86"/>
      <c r="R121" s="104">
        <f t="shared" si="22"/>
        <v>0</v>
      </c>
      <c r="S121" s="86">
        <f t="shared" si="24"/>
        <v>10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1119.0999999999999</v>
      </c>
      <c r="AF121" s="90">
        <v>6.5000000000000002E-2</v>
      </c>
      <c r="AG121" s="4">
        <f t="shared" si="21"/>
        <v>72.741500000000002</v>
      </c>
      <c r="AH121" s="49">
        <f t="shared" si="26"/>
        <v>13.744500000000002</v>
      </c>
      <c r="AI121" s="89">
        <f t="shared" si="27"/>
        <v>1046.3584999999998</v>
      </c>
      <c r="AJ121" s="91">
        <v>0.18</v>
      </c>
      <c r="AK121" s="5">
        <f t="shared" si="28"/>
        <v>188.34452999999996</v>
      </c>
      <c r="AL121" s="89">
        <f t="shared" si="29"/>
        <v>1234.7030299999997</v>
      </c>
      <c r="AP121" s="92"/>
    </row>
    <row r="122" spans="1:42" x14ac:dyDescent="0.35">
      <c r="A122" s="85">
        <v>46240</v>
      </c>
      <c r="B122" s="51" t="s">
        <v>86</v>
      </c>
      <c r="C122" s="97">
        <v>289924289707.78601</v>
      </c>
      <c r="D122" s="97">
        <v>2109207</v>
      </c>
      <c r="E122" s="48" t="s">
        <v>87</v>
      </c>
      <c r="F122" s="95" t="s">
        <v>88</v>
      </c>
      <c r="G122" s="86" t="s">
        <v>236</v>
      </c>
      <c r="H122" s="95" t="s">
        <v>231</v>
      </c>
      <c r="I122" s="52" t="s">
        <v>92</v>
      </c>
      <c r="J122" s="52">
        <v>10</v>
      </c>
      <c r="K122" s="86"/>
      <c r="L122" s="86"/>
      <c r="M122" s="86"/>
      <c r="N122" s="104">
        <f t="shared" si="23"/>
        <v>0</v>
      </c>
      <c r="O122" s="86"/>
      <c r="P122" s="86"/>
      <c r="Q122" s="86"/>
      <c r="R122" s="104">
        <f t="shared" si="22"/>
        <v>0</v>
      </c>
      <c r="S122" s="86">
        <f t="shared" si="24"/>
        <v>10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1119.0999999999999</v>
      </c>
      <c r="AF122" s="90">
        <v>6.5000000000000002E-2</v>
      </c>
      <c r="AG122" s="4">
        <f t="shared" si="21"/>
        <v>72.741500000000002</v>
      </c>
      <c r="AH122" s="49">
        <f t="shared" si="26"/>
        <v>13.744500000000002</v>
      </c>
      <c r="AI122" s="89">
        <f t="shared" si="27"/>
        <v>1046.3584999999998</v>
      </c>
      <c r="AJ122" s="91">
        <v>0.18</v>
      </c>
      <c r="AK122" s="5">
        <f t="shared" si="28"/>
        <v>188.34452999999996</v>
      </c>
      <c r="AL122" s="89">
        <f t="shared" si="29"/>
        <v>1234.7030299999997</v>
      </c>
      <c r="AP122" s="92"/>
    </row>
    <row r="123" spans="1:42" x14ac:dyDescent="0.35">
      <c r="A123" s="85">
        <v>46240</v>
      </c>
      <c r="B123" s="51" t="s">
        <v>86</v>
      </c>
      <c r="C123" s="97">
        <v>289924289707.78601</v>
      </c>
      <c r="D123" s="97">
        <v>2109207</v>
      </c>
      <c r="E123" s="48" t="s">
        <v>87</v>
      </c>
      <c r="F123" s="95" t="s">
        <v>88</v>
      </c>
      <c r="G123" s="86" t="s">
        <v>237</v>
      </c>
      <c r="H123" s="95" t="s">
        <v>231</v>
      </c>
      <c r="I123" s="52" t="s">
        <v>92</v>
      </c>
      <c r="J123" s="52">
        <v>10</v>
      </c>
      <c r="K123" s="105"/>
      <c r="L123" s="105"/>
      <c r="M123" s="105"/>
      <c r="N123" s="104">
        <f t="shared" si="23"/>
        <v>0</v>
      </c>
      <c r="O123" s="86"/>
      <c r="P123" s="86"/>
      <c r="Q123" s="105"/>
      <c r="R123" s="104">
        <f t="shared" si="22"/>
        <v>0</v>
      </c>
      <c r="S123" s="86">
        <f t="shared" si="24"/>
        <v>10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1119.0999999999999</v>
      </c>
      <c r="AF123" s="90">
        <v>6.5000000000000002E-2</v>
      </c>
      <c r="AG123" s="4">
        <f t="shared" si="21"/>
        <v>72.741500000000002</v>
      </c>
      <c r="AH123" s="49">
        <f t="shared" si="26"/>
        <v>13.744500000000002</v>
      </c>
      <c r="AI123" s="89">
        <f t="shared" si="27"/>
        <v>1046.3584999999998</v>
      </c>
      <c r="AJ123" s="91">
        <v>0.18</v>
      </c>
      <c r="AK123" s="5">
        <f t="shared" si="28"/>
        <v>188.34452999999996</v>
      </c>
      <c r="AL123" s="89">
        <f t="shared" si="29"/>
        <v>1234.7030299999997</v>
      </c>
      <c r="AP123" s="92"/>
    </row>
    <row r="124" spans="1:42" x14ac:dyDescent="0.35">
      <c r="A124" s="85">
        <v>46240</v>
      </c>
      <c r="B124" s="51" t="s">
        <v>86</v>
      </c>
      <c r="C124" s="97">
        <v>289924289707.78601</v>
      </c>
      <c r="D124" s="97">
        <v>2109207</v>
      </c>
      <c r="E124" s="48" t="s">
        <v>87</v>
      </c>
      <c r="F124" s="95" t="s">
        <v>88</v>
      </c>
      <c r="G124" s="86" t="s">
        <v>160</v>
      </c>
      <c r="H124" s="95" t="s">
        <v>231</v>
      </c>
      <c r="I124" s="52" t="s">
        <v>92</v>
      </c>
      <c r="J124" s="52">
        <v>10</v>
      </c>
      <c r="K124" s="86"/>
      <c r="L124" s="86"/>
      <c r="M124" s="86"/>
      <c r="N124" s="104">
        <f t="shared" si="23"/>
        <v>0</v>
      </c>
      <c r="O124" s="86"/>
      <c r="P124" s="86"/>
      <c r="Q124" s="86"/>
      <c r="R124" s="104">
        <f t="shared" si="22"/>
        <v>0</v>
      </c>
      <c r="S124" s="86">
        <f t="shared" si="24"/>
        <v>10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1119.0999999999999</v>
      </c>
      <c r="AF124" s="90">
        <v>6.5000000000000002E-2</v>
      </c>
      <c r="AG124" s="4">
        <f t="shared" ref="AG124:AG180" si="78">AE124*AF124</f>
        <v>72.741500000000002</v>
      </c>
      <c r="AH124" s="49">
        <f t="shared" si="26"/>
        <v>13.744500000000002</v>
      </c>
      <c r="AI124" s="89">
        <f t="shared" si="27"/>
        <v>1046.3584999999998</v>
      </c>
      <c r="AJ124" s="91">
        <v>0.18</v>
      </c>
      <c r="AK124" s="5">
        <f t="shared" si="28"/>
        <v>188.34452999999996</v>
      </c>
      <c r="AL124" s="89">
        <f t="shared" si="29"/>
        <v>1234.7030299999997</v>
      </c>
      <c r="AP124" s="92"/>
    </row>
    <row r="125" spans="1:42" x14ac:dyDescent="0.35">
      <c r="A125" s="85">
        <v>46240</v>
      </c>
      <c r="B125" s="51" t="s">
        <v>86</v>
      </c>
      <c r="C125" s="97">
        <v>289924289707.78601</v>
      </c>
      <c r="D125" s="97">
        <v>2109207</v>
      </c>
      <c r="E125" s="48" t="s">
        <v>87</v>
      </c>
      <c r="F125" s="95" t="s">
        <v>88</v>
      </c>
      <c r="G125" s="86" t="s">
        <v>238</v>
      </c>
      <c r="H125" s="95" t="s">
        <v>231</v>
      </c>
      <c r="I125" s="52" t="s">
        <v>92</v>
      </c>
      <c r="J125" s="52"/>
      <c r="K125" s="105"/>
      <c r="L125" s="105"/>
      <c r="M125" s="105"/>
      <c r="N125" s="104">
        <f t="shared" si="23"/>
        <v>0</v>
      </c>
      <c r="O125" s="86"/>
      <c r="P125" s="86"/>
      <c r="Q125" s="105">
        <v>10</v>
      </c>
      <c r="R125" s="104">
        <f t="shared" si="22"/>
        <v>10</v>
      </c>
      <c r="S125" s="86">
        <f t="shared" si="24"/>
        <v>10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726.4</v>
      </c>
      <c r="AF125" s="90">
        <v>6.5000000000000002E-2</v>
      </c>
      <c r="AG125" s="4">
        <f t="shared" si="78"/>
        <v>47.216000000000001</v>
      </c>
      <c r="AH125" s="49">
        <f t="shared" si="26"/>
        <v>0</v>
      </c>
      <c r="AI125" s="89">
        <f t="shared" si="27"/>
        <v>679.18399999999997</v>
      </c>
      <c r="AJ125" s="91">
        <v>0.18</v>
      </c>
      <c r="AK125" s="5">
        <f t="shared" si="28"/>
        <v>122.25312</v>
      </c>
      <c r="AL125" s="89">
        <f t="shared" si="29"/>
        <v>801.43711999999994</v>
      </c>
      <c r="AP125" s="92"/>
    </row>
    <row r="126" spans="1:42" x14ac:dyDescent="0.35">
      <c r="A126" s="85">
        <v>46240</v>
      </c>
      <c r="B126" s="51" t="s">
        <v>86</v>
      </c>
      <c r="C126" s="97">
        <v>289924289707.78601</v>
      </c>
      <c r="D126" s="97">
        <v>2109207</v>
      </c>
      <c r="E126" s="48" t="s">
        <v>87</v>
      </c>
      <c r="F126" s="95" t="s">
        <v>88</v>
      </c>
      <c r="G126" s="86" t="s">
        <v>117</v>
      </c>
      <c r="H126" s="95" t="s">
        <v>231</v>
      </c>
      <c r="I126" s="52" t="s">
        <v>92</v>
      </c>
      <c r="J126" s="52"/>
      <c r="K126" s="105"/>
      <c r="L126" s="105"/>
      <c r="M126" s="105"/>
      <c r="N126" s="104">
        <f t="shared" si="23"/>
        <v>0</v>
      </c>
      <c r="O126" s="86">
        <v>10</v>
      </c>
      <c r="P126" s="86"/>
      <c r="Q126" s="86"/>
      <c r="R126" s="104">
        <f t="shared" si="22"/>
        <v>10</v>
      </c>
      <c r="S126" s="86">
        <f t="shared" si="24"/>
        <v>10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726.4</v>
      </c>
      <c r="AF126" s="90">
        <v>6.5000000000000002E-2</v>
      </c>
      <c r="AG126" s="4">
        <f t="shared" si="78"/>
        <v>47.216000000000001</v>
      </c>
      <c r="AH126" s="49">
        <f t="shared" si="26"/>
        <v>0</v>
      </c>
      <c r="AI126" s="89">
        <f t="shared" si="27"/>
        <v>679.18399999999997</v>
      </c>
      <c r="AJ126" s="91">
        <v>0.18</v>
      </c>
      <c r="AK126" s="5">
        <f t="shared" si="28"/>
        <v>122.25312</v>
      </c>
      <c r="AL126" s="89">
        <f t="shared" si="29"/>
        <v>801.43711999999994</v>
      </c>
      <c r="AP126" s="92"/>
    </row>
    <row r="127" spans="1:42" x14ac:dyDescent="0.35">
      <c r="A127" s="85">
        <v>46240</v>
      </c>
      <c r="B127" s="51" t="s">
        <v>86</v>
      </c>
      <c r="C127" s="97">
        <v>289924289707.78601</v>
      </c>
      <c r="D127" s="97">
        <v>2109207</v>
      </c>
      <c r="E127" s="48" t="s">
        <v>87</v>
      </c>
      <c r="F127" s="95" t="s">
        <v>88</v>
      </c>
      <c r="G127" s="86" t="s">
        <v>239</v>
      </c>
      <c r="H127" s="95" t="s">
        <v>231</v>
      </c>
      <c r="I127" s="52" t="s">
        <v>92</v>
      </c>
      <c r="J127" s="52"/>
      <c r="K127" s="86"/>
      <c r="L127" s="86"/>
      <c r="M127" s="105"/>
      <c r="N127" s="104">
        <f t="shared" si="23"/>
        <v>0</v>
      </c>
      <c r="O127" s="105">
        <v>10</v>
      </c>
      <c r="P127" s="105"/>
      <c r="Q127" s="105"/>
      <c r="R127" s="104">
        <f t="shared" si="22"/>
        <v>10</v>
      </c>
      <c r="S127" s="86">
        <f t="shared" si="24"/>
        <v>10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726.4</v>
      </c>
      <c r="AF127" s="90">
        <v>6.5000000000000002E-2</v>
      </c>
      <c r="AG127" s="4">
        <f t="shared" si="78"/>
        <v>47.216000000000001</v>
      </c>
      <c r="AH127" s="49">
        <f t="shared" si="26"/>
        <v>0</v>
      </c>
      <c r="AI127" s="89">
        <f t="shared" si="27"/>
        <v>679.18399999999997</v>
      </c>
      <c r="AJ127" s="91">
        <v>0.18</v>
      </c>
      <c r="AK127" s="5">
        <f t="shared" si="28"/>
        <v>122.25312</v>
      </c>
      <c r="AL127" s="89">
        <f t="shared" si="29"/>
        <v>801.43711999999994</v>
      </c>
      <c r="AP127" s="92"/>
    </row>
    <row r="128" spans="1:42" x14ac:dyDescent="0.35">
      <c r="A128" s="85">
        <v>46240</v>
      </c>
      <c r="B128" s="51" t="s">
        <v>86</v>
      </c>
      <c r="C128" s="97">
        <v>289924289707.78601</v>
      </c>
      <c r="D128" s="97">
        <v>2109207</v>
      </c>
      <c r="E128" s="48" t="s">
        <v>87</v>
      </c>
      <c r="F128" s="95" t="s">
        <v>88</v>
      </c>
      <c r="G128" s="86" t="s">
        <v>240</v>
      </c>
      <c r="H128" s="95" t="s">
        <v>231</v>
      </c>
      <c r="I128" s="52" t="s">
        <v>92</v>
      </c>
      <c r="J128" s="52"/>
      <c r="K128" s="86"/>
      <c r="L128" s="86"/>
      <c r="M128" s="86"/>
      <c r="N128" s="104">
        <f t="shared" si="23"/>
        <v>0</v>
      </c>
      <c r="O128" s="105"/>
      <c r="P128" s="105">
        <v>10</v>
      </c>
      <c r="Q128" s="105"/>
      <c r="R128" s="104">
        <f t="shared" si="22"/>
        <v>10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726.4</v>
      </c>
      <c r="AF128" s="90">
        <v>6.5000000000000002E-2</v>
      </c>
      <c r="AG128" s="4">
        <f t="shared" si="78"/>
        <v>47.216000000000001</v>
      </c>
      <c r="AH128" s="49">
        <f t="shared" si="26"/>
        <v>0</v>
      </c>
      <c r="AI128" s="89">
        <f t="shared" si="27"/>
        <v>679.18399999999997</v>
      </c>
      <c r="AJ128" s="91">
        <v>0.18</v>
      </c>
      <c r="AK128" s="5">
        <f t="shared" si="28"/>
        <v>122.25312</v>
      </c>
      <c r="AL128" s="89">
        <f t="shared" si="29"/>
        <v>801.43711999999994</v>
      </c>
      <c r="AP128" s="92"/>
    </row>
    <row r="129" spans="1:42" x14ac:dyDescent="0.35">
      <c r="A129" s="85">
        <v>46240</v>
      </c>
      <c r="B129" s="51" t="s">
        <v>86</v>
      </c>
      <c r="C129" s="97">
        <v>289924289707.78601</v>
      </c>
      <c r="D129" s="97">
        <v>2109207</v>
      </c>
      <c r="E129" s="48" t="s">
        <v>87</v>
      </c>
      <c r="F129" s="95" t="s">
        <v>88</v>
      </c>
      <c r="G129" s="86" t="s">
        <v>241</v>
      </c>
      <c r="H129" s="95" t="s">
        <v>231</v>
      </c>
      <c r="I129" s="52" t="s">
        <v>92</v>
      </c>
      <c r="J129" s="52"/>
      <c r="K129" s="105"/>
      <c r="L129" s="105"/>
      <c r="M129" s="105"/>
      <c r="N129" s="104">
        <f t="shared" si="23"/>
        <v>0</v>
      </c>
      <c r="O129" s="86"/>
      <c r="P129" s="86"/>
      <c r="Q129" s="86">
        <v>40</v>
      </c>
      <c r="R129" s="104">
        <f t="shared" si="22"/>
        <v>40</v>
      </c>
      <c r="S129" s="86">
        <f t="shared" si="24"/>
        <v>40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2905.6</v>
      </c>
      <c r="AF129" s="90">
        <v>6.5000000000000002E-2</v>
      </c>
      <c r="AG129" s="4">
        <f t="shared" si="78"/>
        <v>188.864</v>
      </c>
      <c r="AH129" s="49">
        <f t="shared" si="26"/>
        <v>0</v>
      </c>
      <c r="AI129" s="89">
        <f t="shared" si="27"/>
        <v>2716.7359999999999</v>
      </c>
      <c r="AJ129" s="91">
        <v>0.18</v>
      </c>
      <c r="AK129" s="5">
        <f t="shared" si="28"/>
        <v>489.01247999999998</v>
      </c>
      <c r="AL129" s="89">
        <f t="shared" si="29"/>
        <v>3205.7484799999997</v>
      </c>
      <c r="AP129" s="92"/>
    </row>
    <row r="130" spans="1:42" x14ac:dyDescent="0.35">
      <c r="A130" s="85">
        <v>46241</v>
      </c>
      <c r="B130" s="51" t="s">
        <v>86</v>
      </c>
      <c r="C130" s="97">
        <v>289924289707.78601</v>
      </c>
      <c r="D130" s="97">
        <v>2109207</v>
      </c>
      <c r="E130" s="48" t="s">
        <v>87</v>
      </c>
      <c r="F130" s="95" t="s">
        <v>108</v>
      </c>
      <c r="G130" s="86" t="s">
        <v>242</v>
      </c>
      <c r="H130" s="95" t="s">
        <v>198</v>
      </c>
      <c r="I130" s="48" t="s">
        <v>244</v>
      </c>
      <c r="J130" s="52"/>
      <c r="K130" s="105">
        <v>160</v>
      </c>
      <c r="L130" s="105">
        <v>280</v>
      </c>
      <c r="M130" s="105">
        <v>160</v>
      </c>
      <c r="N130" s="104">
        <f t="shared" si="23"/>
        <v>600</v>
      </c>
      <c r="O130" s="86">
        <v>240</v>
      </c>
      <c r="P130" s="86">
        <v>160</v>
      </c>
      <c r="Q130" s="86">
        <v>400</v>
      </c>
      <c r="R130" s="104">
        <f t="shared" si="22"/>
        <v>800</v>
      </c>
      <c r="S130" s="86">
        <f t="shared" si="24"/>
        <v>1400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133173.5</v>
      </c>
      <c r="AF130" s="90">
        <v>6.5000000000000002E-2</v>
      </c>
      <c r="AG130" s="4">
        <f t="shared" si="78"/>
        <v>8656.2775000000001</v>
      </c>
      <c r="AH130" s="49">
        <f t="shared" si="26"/>
        <v>0</v>
      </c>
      <c r="AI130" s="89">
        <f t="shared" si="27"/>
        <v>124517.2225</v>
      </c>
      <c r="AJ130" s="91">
        <v>0.18</v>
      </c>
      <c r="AK130" s="5">
        <f t="shared" si="28"/>
        <v>22413.100050000001</v>
      </c>
      <c r="AL130" s="89">
        <f t="shared" si="29"/>
        <v>146930.32255000001</v>
      </c>
      <c r="AP130" s="92"/>
    </row>
    <row r="131" spans="1:42" x14ac:dyDescent="0.35">
      <c r="A131" s="85">
        <v>46241</v>
      </c>
      <c r="B131" s="51" t="s">
        <v>86</v>
      </c>
      <c r="C131" s="97">
        <v>289924289707.78601</v>
      </c>
      <c r="D131" s="97">
        <v>2109207</v>
      </c>
      <c r="E131" s="48" t="s">
        <v>87</v>
      </c>
      <c r="F131" s="95" t="s">
        <v>108</v>
      </c>
      <c r="G131" s="86" t="s">
        <v>243</v>
      </c>
      <c r="H131" s="95" t="s">
        <v>198</v>
      </c>
      <c r="I131" s="48" t="s">
        <v>245</v>
      </c>
      <c r="J131" s="52">
        <v>123</v>
      </c>
      <c r="K131" s="105">
        <v>241</v>
      </c>
      <c r="L131" s="105">
        <v>243</v>
      </c>
      <c r="M131" s="105">
        <v>121</v>
      </c>
      <c r="N131" s="104">
        <f t="shared" si="23"/>
        <v>605</v>
      </c>
      <c r="O131" s="86">
        <v>263</v>
      </c>
      <c r="P131" s="86">
        <v>241</v>
      </c>
      <c r="Q131" s="86">
        <v>281</v>
      </c>
      <c r="R131" s="104">
        <f t="shared" si="22"/>
        <v>785</v>
      </c>
      <c r="S131" s="86">
        <f t="shared" si="24"/>
        <v>1513</v>
      </c>
      <c r="T131" s="87">
        <v>14490</v>
      </c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146474.3425</v>
      </c>
      <c r="AF131" s="90">
        <v>6.5000000000000002E-2</v>
      </c>
      <c r="AG131" s="4">
        <f t="shared" si="78"/>
        <v>9520.8322625000001</v>
      </c>
      <c r="AH131" s="49">
        <f t="shared" si="26"/>
        <v>169.05735000000001</v>
      </c>
      <c r="AI131" s="89">
        <f t="shared" si="27"/>
        <v>136953.51023750001</v>
      </c>
      <c r="AJ131" s="91">
        <v>0.18</v>
      </c>
      <c r="AK131" s="5">
        <f t="shared" si="28"/>
        <v>24651.631842750001</v>
      </c>
      <c r="AL131" s="89">
        <f t="shared" si="29"/>
        <v>161605.14208025002</v>
      </c>
      <c r="AP131" s="92"/>
    </row>
    <row r="132" spans="1:42" x14ac:dyDescent="0.35">
      <c r="A132" s="85">
        <v>46241</v>
      </c>
      <c r="B132" s="51" t="s">
        <v>86</v>
      </c>
      <c r="C132" s="97">
        <v>289924289707.78601</v>
      </c>
      <c r="D132" s="97">
        <v>2109207</v>
      </c>
      <c r="E132" s="48" t="s">
        <v>87</v>
      </c>
      <c r="F132" s="86" t="s">
        <v>88</v>
      </c>
      <c r="G132" s="86" t="s">
        <v>246</v>
      </c>
      <c r="H132" s="95" t="s">
        <v>213</v>
      </c>
      <c r="I132" s="48" t="s">
        <v>251</v>
      </c>
      <c r="J132" s="52">
        <v>6</v>
      </c>
      <c r="K132" s="105">
        <v>6</v>
      </c>
      <c r="L132" s="105">
        <v>6</v>
      </c>
      <c r="M132" s="105">
        <v>6</v>
      </c>
      <c r="N132" s="104">
        <f t="shared" si="23"/>
        <v>18</v>
      </c>
      <c r="O132" s="86">
        <v>6</v>
      </c>
      <c r="P132" s="86">
        <v>6</v>
      </c>
      <c r="Q132" s="86">
        <v>6</v>
      </c>
      <c r="R132" s="104">
        <f t="shared" ref="R132:R195" si="79">SUM(O132:Q132)</f>
        <v>18</v>
      </c>
      <c r="S132" s="86">
        <f t="shared" si="24"/>
        <v>42</v>
      </c>
      <c r="T132" s="87">
        <f>T131/40</f>
        <v>362.25</v>
      </c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4230.8249999999998</v>
      </c>
      <c r="AF132" s="90">
        <v>6.5000000000000002E-2</v>
      </c>
      <c r="AG132" s="4">
        <f t="shared" si="78"/>
        <v>275.003625</v>
      </c>
      <c r="AH132" s="49">
        <f t="shared" si="26"/>
        <v>8.2467000000000006</v>
      </c>
      <c r="AI132" s="89">
        <f t="shared" si="27"/>
        <v>3955.821375</v>
      </c>
      <c r="AJ132" s="91">
        <v>0.18</v>
      </c>
      <c r="AK132" s="5">
        <f t="shared" si="28"/>
        <v>712.04784749999999</v>
      </c>
      <c r="AL132" s="89">
        <f t="shared" si="29"/>
        <v>4667.8692224999995</v>
      </c>
      <c r="AP132" s="92"/>
    </row>
    <row r="133" spans="1:42" x14ac:dyDescent="0.35">
      <c r="A133" s="85">
        <v>46241</v>
      </c>
      <c r="B133" s="51" t="s">
        <v>86</v>
      </c>
      <c r="C133" s="97">
        <v>289924289707.78601</v>
      </c>
      <c r="D133" s="97">
        <v>2109207</v>
      </c>
      <c r="E133" s="48" t="s">
        <v>87</v>
      </c>
      <c r="F133" s="86" t="s">
        <v>88</v>
      </c>
      <c r="G133" s="86" t="s">
        <v>247</v>
      </c>
      <c r="H133" s="95" t="s">
        <v>213</v>
      </c>
      <c r="I133" s="48" t="s">
        <v>251</v>
      </c>
      <c r="J133" s="52">
        <v>40</v>
      </c>
      <c r="K133" s="86"/>
      <c r="L133" s="86"/>
      <c r="M133" s="105"/>
      <c r="N133" s="104">
        <f t="shared" ref="N133:N196" si="80">K133+L133+M133</f>
        <v>0</v>
      </c>
      <c r="O133" s="86"/>
      <c r="P133" s="86"/>
      <c r="Q133" s="86"/>
      <c r="R133" s="104">
        <f t="shared" si="79"/>
        <v>0</v>
      </c>
      <c r="S133" s="86">
        <f t="shared" ref="S133:S196" si="81">R133+N133+J133</f>
        <v>40</v>
      </c>
      <c r="T133" s="87">
        <v>1716</v>
      </c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4476.3999999999996</v>
      </c>
      <c r="AF133" s="90">
        <v>6.5000000000000002E-2</v>
      </c>
      <c r="AG133" s="4">
        <f t="shared" si="78"/>
        <v>290.96600000000001</v>
      </c>
      <c r="AH133" s="49">
        <f t="shared" si="26"/>
        <v>54.978000000000009</v>
      </c>
      <c r="AI133" s="89">
        <f t="shared" si="27"/>
        <v>4185.4339999999993</v>
      </c>
      <c r="AJ133" s="91">
        <v>0.18</v>
      </c>
      <c r="AK133" s="5">
        <f t="shared" si="28"/>
        <v>753.37811999999985</v>
      </c>
      <c r="AL133" s="89">
        <f t="shared" si="29"/>
        <v>4938.8121199999987</v>
      </c>
      <c r="AP133" s="92"/>
    </row>
    <row r="134" spans="1:42" x14ac:dyDescent="0.35">
      <c r="A134" s="85">
        <v>46241</v>
      </c>
      <c r="B134" s="51" t="s">
        <v>86</v>
      </c>
      <c r="C134" s="97">
        <v>289924289707.78601</v>
      </c>
      <c r="D134" s="97">
        <v>2109207</v>
      </c>
      <c r="E134" s="48" t="s">
        <v>87</v>
      </c>
      <c r="F134" s="86" t="s">
        <v>88</v>
      </c>
      <c r="G134" s="86" t="s">
        <v>248</v>
      </c>
      <c r="H134" s="95" t="s">
        <v>213</v>
      </c>
      <c r="I134" s="48" t="s">
        <v>251</v>
      </c>
      <c r="J134" s="52"/>
      <c r="K134" s="86">
        <v>6</v>
      </c>
      <c r="L134" s="86">
        <v>6</v>
      </c>
      <c r="M134" s="105">
        <v>6</v>
      </c>
      <c r="N134" s="104">
        <f t="shared" si="80"/>
        <v>18</v>
      </c>
      <c r="O134" s="86">
        <v>12</v>
      </c>
      <c r="P134" s="86">
        <v>4</v>
      </c>
      <c r="Q134" s="86">
        <v>6</v>
      </c>
      <c r="R134" s="104">
        <f t="shared" si="79"/>
        <v>22</v>
      </c>
      <c r="S134" s="86">
        <f t="shared" si="81"/>
        <v>40</v>
      </c>
      <c r="T134" s="87">
        <f>T133/40</f>
        <v>42.9</v>
      </c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3849.9249999999997</v>
      </c>
      <c r="AF134" s="90">
        <v>6.5000000000000002E-2</v>
      </c>
      <c r="AG134" s="4">
        <f t="shared" si="78"/>
        <v>250.245125</v>
      </c>
      <c r="AH134" s="49">
        <f t="shared" si="26"/>
        <v>0</v>
      </c>
      <c r="AI134" s="89">
        <f t="shared" si="27"/>
        <v>3599.6798749999998</v>
      </c>
      <c r="AJ134" s="91">
        <v>0.18</v>
      </c>
      <c r="AK134" s="5">
        <f t="shared" si="28"/>
        <v>647.94237749999991</v>
      </c>
      <c r="AL134" s="89">
        <f t="shared" si="29"/>
        <v>4247.6222524999994</v>
      </c>
      <c r="AP134" s="92"/>
    </row>
    <row r="135" spans="1:42" x14ac:dyDescent="0.35">
      <c r="A135" s="85">
        <v>46241</v>
      </c>
      <c r="B135" s="51" t="s">
        <v>86</v>
      </c>
      <c r="C135" s="97">
        <v>289924289707.78601</v>
      </c>
      <c r="D135" s="97">
        <v>2109207</v>
      </c>
      <c r="E135" s="48" t="s">
        <v>87</v>
      </c>
      <c r="F135" s="86" t="s">
        <v>88</v>
      </c>
      <c r="G135" s="86" t="s">
        <v>249</v>
      </c>
      <c r="H135" s="95" t="s">
        <v>213</v>
      </c>
      <c r="I135" s="48" t="s">
        <v>251</v>
      </c>
      <c r="J135" s="52">
        <v>12</v>
      </c>
      <c r="K135" s="86">
        <v>6</v>
      </c>
      <c r="L135" s="105">
        <v>6</v>
      </c>
      <c r="M135" s="86">
        <v>6</v>
      </c>
      <c r="N135" s="104">
        <f t="shared" si="80"/>
        <v>18</v>
      </c>
      <c r="O135" s="105">
        <v>6</v>
      </c>
      <c r="P135" s="86">
        <v>6</v>
      </c>
      <c r="Q135" s="86">
        <v>6</v>
      </c>
      <c r="R135" s="104">
        <f t="shared" si="79"/>
        <v>18</v>
      </c>
      <c r="S135" s="86">
        <f t="shared" si="81"/>
        <v>48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4902.2849999999999</v>
      </c>
      <c r="AF135" s="90">
        <v>6.5000000000000002E-2</v>
      </c>
      <c r="AG135" s="4">
        <f t="shared" si="78"/>
        <v>318.64852500000001</v>
      </c>
      <c r="AH135" s="49">
        <f t="shared" si="26"/>
        <v>16.493400000000001</v>
      </c>
      <c r="AI135" s="89">
        <f t="shared" si="27"/>
        <v>4583.6364750000002</v>
      </c>
      <c r="AJ135" s="91">
        <v>0.18</v>
      </c>
      <c r="AK135" s="5">
        <f t="shared" si="28"/>
        <v>825.05456549999997</v>
      </c>
      <c r="AL135" s="89">
        <f t="shared" si="29"/>
        <v>5408.6910404999999</v>
      </c>
      <c r="AP135" s="92"/>
    </row>
    <row r="136" spans="1:42" x14ac:dyDescent="0.35">
      <c r="A136" s="85">
        <v>46241</v>
      </c>
      <c r="B136" s="51" t="s">
        <v>86</v>
      </c>
      <c r="C136" s="97">
        <v>289924289707.78601</v>
      </c>
      <c r="D136" s="97">
        <v>2109207</v>
      </c>
      <c r="E136" s="48" t="s">
        <v>87</v>
      </c>
      <c r="F136" s="86" t="s">
        <v>88</v>
      </c>
      <c r="G136" s="86" t="s">
        <v>250</v>
      </c>
      <c r="H136" s="95" t="s">
        <v>213</v>
      </c>
      <c r="I136" s="48" t="s">
        <v>251</v>
      </c>
      <c r="J136" s="52">
        <v>40</v>
      </c>
      <c r="K136" s="105"/>
      <c r="L136" s="105"/>
      <c r="M136" s="105"/>
      <c r="N136" s="104">
        <f t="shared" si="80"/>
        <v>0</v>
      </c>
      <c r="O136" s="86"/>
      <c r="P136" s="105"/>
      <c r="Q136" s="105"/>
      <c r="R136" s="104">
        <f t="shared" si="79"/>
        <v>0</v>
      </c>
      <c r="S136" s="86">
        <f t="shared" si="81"/>
        <v>40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4476.3999999999996</v>
      </c>
      <c r="AF136" s="90">
        <v>6.5000000000000002E-2</v>
      </c>
      <c r="AG136" s="4">
        <f t="shared" si="78"/>
        <v>290.96600000000001</v>
      </c>
      <c r="AH136" s="49">
        <f t="shared" si="26"/>
        <v>54.978000000000009</v>
      </c>
      <c r="AI136" s="89">
        <f t="shared" si="27"/>
        <v>4185.4339999999993</v>
      </c>
      <c r="AJ136" s="91">
        <v>0.18</v>
      </c>
      <c r="AK136" s="5">
        <f t="shared" si="28"/>
        <v>753.37811999999985</v>
      </c>
      <c r="AL136" s="89">
        <f t="shared" si="29"/>
        <v>4938.8121199999987</v>
      </c>
      <c r="AP136" s="92"/>
    </row>
    <row r="137" spans="1:42" x14ac:dyDescent="0.35">
      <c r="A137" s="85">
        <v>46241</v>
      </c>
      <c r="B137" s="51" t="s">
        <v>86</v>
      </c>
      <c r="C137" s="97">
        <v>289924289707.78601</v>
      </c>
      <c r="D137" s="97">
        <v>2109207</v>
      </c>
      <c r="E137" s="48" t="s">
        <v>87</v>
      </c>
      <c r="F137" s="86" t="s">
        <v>88</v>
      </c>
      <c r="G137" s="86" t="s">
        <v>252</v>
      </c>
      <c r="H137" s="86" t="s">
        <v>182</v>
      </c>
      <c r="I137" s="48" t="s">
        <v>257</v>
      </c>
      <c r="J137" s="52"/>
      <c r="K137" s="105">
        <v>20</v>
      </c>
      <c r="L137" s="105"/>
      <c r="M137" s="105">
        <v>20</v>
      </c>
      <c r="N137" s="104">
        <f t="shared" si="80"/>
        <v>40</v>
      </c>
      <c r="O137" s="105">
        <v>20</v>
      </c>
      <c r="P137" s="86">
        <v>10</v>
      </c>
      <c r="Q137" s="105">
        <v>10</v>
      </c>
      <c r="R137" s="104">
        <f t="shared" si="79"/>
        <v>40</v>
      </c>
      <c r="S137" s="86">
        <f t="shared" si="81"/>
        <v>80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7909.7</v>
      </c>
      <c r="AF137" s="90">
        <v>0.1</v>
      </c>
      <c r="AG137" s="4">
        <f t="shared" si="78"/>
        <v>790.97</v>
      </c>
      <c r="AH137" s="49">
        <f t="shared" si="26"/>
        <v>0</v>
      </c>
      <c r="AI137" s="89">
        <f t="shared" si="27"/>
        <v>7118.73</v>
      </c>
      <c r="AJ137" s="91">
        <v>0.18</v>
      </c>
      <c r="AK137" s="5">
        <f t="shared" si="28"/>
        <v>1281.3713999999998</v>
      </c>
      <c r="AL137" s="89">
        <f t="shared" si="29"/>
        <v>8400.1013999999996</v>
      </c>
      <c r="AP137" s="92"/>
    </row>
    <row r="138" spans="1:42" x14ac:dyDescent="0.35">
      <c r="A138" s="85">
        <v>46241</v>
      </c>
      <c r="B138" s="51" t="s">
        <v>86</v>
      </c>
      <c r="C138" s="97">
        <v>289924289707.78601</v>
      </c>
      <c r="D138" s="97">
        <v>2109207</v>
      </c>
      <c r="E138" s="48" t="s">
        <v>87</v>
      </c>
      <c r="F138" s="86" t="s">
        <v>88</v>
      </c>
      <c r="G138" s="86" t="s">
        <v>253</v>
      </c>
      <c r="H138" s="86" t="s">
        <v>182</v>
      </c>
      <c r="I138" s="48" t="s">
        <v>257</v>
      </c>
      <c r="J138" s="52"/>
      <c r="K138" s="86"/>
      <c r="L138" s="86"/>
      <c r="M138" s="86"/>
      <c r="N138" s="104">
        <f t="shared" si="80"/>
        <v>0</v>
      </c>
      <c r="O138" s="86">
        <v>15</v>
      </c>
      <c r="P138" s="86">
        <v>10</v>
      </c>
      <c r="Q138" s="86">
        <v>15</v>
      </c>
      <c r="R138" s="104">
        <f t="shared" si="79"/>
        <v>40</v>
      </c>
      <c r="S138" s="86">
        <f t="shared" si="81"/>
        <v>40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2905.6</v>
      </c>
      <c r="AF138" s="90">
        <v>6.5000000000000002E-2</v>
      </c>
      <c r="AG138" s="4">
        <f t="shared" si="78"/>
        <v>188.864</v>
      </c>
      <c r="AH138" s="49">
        <f t="shared" si="26"/>
        <v>0</v>
      </c>
      <c r="AI138" s="89">
        <f t="shared" si="27"/>
        <v>2716.7359999999999</v>
      </c>
      <c r="AJ138" s="91">
        <v>0.18</v>
      </c>
      <c r="AK138" s="5">
        <f t="shared" si="28"/>
        <v>489.01247999999998</v>
      </c>
      <c r="AL138" s="89">
        <f t="shared" si="29"/>
        <v>3205.7484799999997</v>
      </c>
      <c r="AP138" s="92"/>
    </row>
    <row r="139" spans="1:42" x14ac:dyDescent="0.35">
      <c r="A139" s="85">
        <v>46241</v>
      </c>
      <c r="B139" s="51" t="s">
        <v>86</v>
      </c>
      <c r="C139" s="97">
        <v>289924289707.78601</v>
      </c>
      <c r="D139" s="97">
        <v>2109207</v>
      </c>
      <c r="E139" s="48" t="s">
        <v>87</v>
      </c>
      <c r="F139" s="86" t="s">
        <v>88</v>
      </c>
      <c r="G139" s="86" t="s">
        <v>254</v>
      </c>
      <c r="H139" s="86" t="s">
        <v>182</v>
      </c>
      <c r="I139" s="48" t="s">
        <v>257</v>
      </c>
      <c r="J139" s="52"/>
      <c r="K139" s="86">
        <v>12</v>
      </c>
      <c r="L139" s="105">
        <v>6</v>
      </c>
      <c r="M139" s="105">
        <v>6</v>
      </c>
      <c r="N139" s="104">
        <f t="shared" si="80"/>
        <v>24</v>
      </c>
      <c r="O139" s="105">
        <v>6</v>
      </c>
      <c r="P139" s="86">
        <v>6</v>
      </c>
      <c r="Q139" s="86">
        <v>12</v>
      </c>
      <c r="R139" s="104">
        <f t="shared" si="79"/>
        <v>24</v>
      </c>
      <c r="S139" s="86">
        <f t="shared" si="81"/>
        <v>48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4745.82</v>
      </c>
      <c r="AF139" s="90">
        <v>6.5000000000000002E-2</v>
      </c>
      <c r="AG139" s="4">
        <f t="shared" si="78"/>
        <v>308.47829999999999</v>
      </c>
      <c r="AH139" s="49">
        <f t="shared" si="26"/>
        <v>0</v>
      </c>
      <c r="AI139" s="89">
        <f t="shared" si="27"/>
        <v>4437.3416999999999</v>
      </c>
      <c r="AJ139" s="91">
        <v>0.18</v>
      </c>
      <c r="AK139" s="5">
        <f t="shared" si="28"/>
        <v>798.72150599999998</v>
      </c>
      <c r="AL139" s="89">
        <f t="shared" si="29"/>
        <v>5236.0632059999998</v>
      </c>
      <c r="AP139" s="92"/>
    </row>
    <row r="140" spans="1:42" x14ac:dyDescent="0.35">
      <c r="A140" s="85">
        <v>46241</v>
      </c>
      <c r="B140" s="51" t="s">
        <v>86</v>
      </c>
      <c r="C140" s="97">
        <v>289924289707.78601</v>
      </c>
      <c r="D140" s="97">
        <v>2109207</v>
      </c>
      <c r="E140" s="48" t="s">
        <v>87</v>
      </c>
      <c r="F140" s="86" t="s">
        <v>88</v>
      </c>
      <c r="G140" s="86" t="s">
        <v>255</v>
      </c>
      <c r="H140" s="86" t="s">
        <v>182</v>
      </c>
      <c r="I140" s="48" t="s">
        <v>257</v>
      </c>
      <c r="J140" s="52"/>
      <c r="K140" s="105"/>
      <c r="L140" s="105"/>
      <c r="M140" s="105">
        <v>40</v>
      </c>
      <c r="N140" s="104">
        <f t="shared" si="80"/>
        <v>40</v>
      </c>
      <c r="O140" s="86"/>
      <c r="P140" s="105">
        <v>40</v>
      </c>
      <c r="Q140" s="105"/>
      <c r="R140" s="104">
        <f t="shared" si="79"/>
        <v>40</v>
      </c>
      <c r="S140" s="86">
        <f t="shared" si="81"/>
        <v>80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7909.7</v>
      </c>
      <c r="AF140" s="90">
        <v>6.5000000000000002E-2</v>
      </c>
      <c r="AG140" s="4">
        <f t="shared" si="78"/>
        <v>514.13049999999998</v>
      </c>
      <c r="AH140" s="49">
        <f t="shared" si="26"/>
        <v>0</v>
      </c>
      <c r="AI140" s="89">
        <f t="shared" si="27"/>
        <v>7395.5694999999996</v>
      </c>
      <c r="AJ140" s="91">
        <v>0.18</v>
      </c>
      <c r="AK140" s="5">
        <f t="shared" si="28"/>
        <v>1331.2025099999998</v>
      </c>
      <c r="AL140" s="89">
        <f t="shared" si="29"/>
        <v>8726.7720099999988</v>
      </c>
      <c r="AP140" s="92"/>
    </row>
    <row r="141" spans="1:42" x14ac:dyDescent="0.35">
      <c r="A141" s="85">
        <v>46241</v>
      </c>
      <c r="B141" s="51" t="s">
        <v>86</v>
      </c>
      <c r="C141" s="97">
        <v>289924289707.78601</v>
      </c>
      <c r="D141" s="97">
        <v>2109207</v>
      </c>
      <c r="E141" s="48" t="s">
        <v>87</v>
      </c>
      <c r="F141" s="86" t="s">
        <v>88</v>
      </c>
      <c r="G141" s="86" t="s">
        <v>256</v>
      </c>
      <c r="H141" s="86" t="s">
        <v>182</v>
      </c>
      <c r="I141" s="48" t="s">
        <v>257</v>
      </c>
      <c r="J141" s="52"/>
      <c r="K141" s="105">
        <v>10</v>
      </c>
      <c r="L141" s="105">
        <v>10</v>
      </c>
      <c r="M141" s="105">
        <v>20</v>
      </c>
      <c r="N141" s="104">
        <f t="shared" si="80"/>
        <v>40</v>
      </c>
      <c r="O141" s="86"/>
      <c r="P141" s="86"/>
      <c r="Q141" s="86"/>
      <c r="R141" s="104">
        <f t="shared" si="79"/>
        <v>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5004.1000000000004</v>
      </c>
      <c r="AF141" s="90">
        <v>6.5000000000000002E-2</v>
      </c>
      <c r="AG141" s="4">
        <f t="shared" si="78"/>
        <v>325.26650000000001</v>
      </c>
      <c r="AH141" s="49">
        <f t="shared" si="26"/>
        <v>0</v>
      </c>
      <c r="AI141" s="89">
        <f t="shared" si="27"/>
        <v>4678.8335000000006</v>
      </c>
      <c r="AJ141" s="91">
        <v>0.18</v>
      </c>
      <c r="AK141" s="5">
        <f t="shared" si="28"/>
        <v>842.19003000000009</v>
      </c>
      <c r="AL141" s="89">
        <f t="shared" si="29"/>
        <v>5521.0235300000004</v>
      </c>
      <c r="AP141" s="92"/>
    </row>
    <row r="142" spans="1:42" x14ac:dyDescent="0.35">
      <c r="A142" s="85">
        <v>46241</v>
      </c>
      <c r="B142" s="51" t="s">
        <v>86</v>
      </c>
      <c r="C142" s="97">
        <v>289924289707.78601</v>
      </c>
      <c r="D142" s="97">
        <v>2109207</v>
      </c>
      <c r="E142" s="48" t="s">
        <v>87</v>
      </c>
      <c r="F142" s="86" t="s">
        <v>88</v>
      </c>
      <c r="G142" s="86" t="s">
        <v>126</v>
      </c>
      <c r="H142" s="86" t="s">
        <v>182</v>
      </c>
      <c r="I142" s="48" t="s">
        <v>257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>
        <v>12</v>
      </c>
      <c r="R142" s="104">
        <f t="shared" si="79"/>
        <v>12</v>
      </c>
      <c r="S142" s="86">
        <f t="shared" si="81"/>
        <v>24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2214.6000000000004</v>
      </c>
      <c r="AF142" s="90">
        <v>6.5000000000000002E-2</v>
      </c>
      <c r="AG142" s="4">
        <f t="shared" si="78"/>
        <v>143.94900000000004</v>
      </c>
      <c r="AH142" s="49">
        <f t="shared" si="26"/>
        <v>16.493400000000001</v>
      </c>
      <c r="AI142" s="89">
        <f t="shared" si="27"/>
        <v>2070.6510000000003</v>
      </c>
      <c r="AJ142" s="91">
        <v>0.18</v>
      </c>
      <c r="AK142" s="5">
        <f t="shared" si="28"/>
        <v>372.71718000000004</v>
      </c>
      <c r="AL142" s="89">
        <f t="shared" si="29"/>
        <v>2443.3681800000004</v>
      </c>
      <c r="AP142" s="92"/>
    </row>
    <row r="143" spans="1:42" x14ac:dyDescent="0.35">
      <c r="A143" s="85">
        <v>46241</v>
      </c>
      <c r="B143" s="51" t="s">
        <v>86</v>
      </c>
      <c r="C143" s="97">
        <v>289924289707.78601</v>
      </c>
      <c r="D143" s="97">
        <v>2109207</v>
      </c>
      <c r="E143" s="48" t="s">
        <v>87</v>
      </c>
      <c r="F143" s="86" t="s">
        <v>88</v>
      </c>
      <c r="G143" s="86" t="s">
        <v>94</v>
      </c>
      <c r="H143" s="86" t="s">
        <v>93</v>
      </c>
      <c r="I143" s="48" t="s">
        <v>99</v>
      </c>
      <c r="J143" s="52"/>
      <c r="K143" s="86"/>
      <c r="L143" s="105"/>
      <c r="M143" s="105"/>
      <c r="N143" s="104">
        <f t="shared" si="80"/>
        <v>0</v>
      </c>
      <c r="O143" s="86"/>
      <c r="P143" s="86"/>
      <c r="Q143" s="105">
        <v>40</v>
      </c>
      <c r="R143" s="104">
        <f t="shared" si="79"/>
        <v>40</v>
      </c>
      <c r="S143" s="86">
        <f t="shared" si="81"/>
        <v>40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2905.6</v>
      </c>
      <c r="AF143" s="90">
        <v>6.5000000000000002E-2</v>
      </c>
      <c r="AG143" s="4">
        <f t="shared" si="78"/>
        <v>188.864</v>
      </c>
      <c r="AH143" s="49">
        <f t="shared" si="26"/>
        <v>0</v>
      </c>
      <c r="AI143" s="89">
        <f t="shared" si="27"/>
        <v>2716.7359999999999</v>
      </c>
      <c r="AJ143" s="91">
        <v>0.18</v>
      </c>
      <c r="AK143" s="5">
        <f t="shared" si="28"/>
        <v>489.01247999999998</v>
      </c>
      <c r="AL143" s="89">
        <f t="shared" si="29"/>
        <v>3205.7484799999997</v>
      </c>
      <c r="AP143" s="92"/>
    </row>
    <row r="144" spans="1:42" x14ac:dyDescent="0.35">
      <c r="A144" s="85">
        <v>46241</v>
      </c>
      <c r="B144" s="51" t="s">
        <v>86</v>
      </c>
      <c r="C144" s="97">
        <v>289924289707.78601</v>
      </c>
      <c r="D144" s="97">
        <v>2109207</v>
      </c>
      <c r="E144" s="48" t="s">
        <v>87</v>
      </c>
      <c r="F144" s="86" t="s">
        <v>88</v>
      </c>
      <c r="G144" s="86" t="s">
        <v>258</v>
      </c>
      <c r="H144" s="86" t="s">
        <v>93</v>
      </c>
      <c r="I144" s="48" t="s">
        <v>99</v>
      </c>
      <c r="J144" s="52"/>
      <c r="K144" s="105"/>
      <c r="L144" s="105"/>
      <c r="M144" s="105"/>
      <c r="N144" s="104">
        <f t="shared" si="80"/>
        <v>0</v>
      </c>
      <c r="O144" s="86">
        <v>15</v>
      </c>
      <c r="P144" s="105">
        <v>10</v>
      </c>
      <c r="Q144" s="86">
        <v>15</v>
      </c>
      <c r="R144" s="104">
        <f t="shared" si="79"/>
        <v>40</v>
      </c>
      <c r="S144" s="86">
        <f t="shared" si="81"/>
        <v>40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2905.6</v>
      </c>
      <c r="AF144" s="90">
        <v>6.5000000000000002E-2</v>
      </c>
      <c r="AG144" s="4">
        <f t="shared" si="78"/>
        <v>188.864</v>
      </c>
      <c r="AH144" s="49">
        <f t="shared" si="26"/>
        <v>0</v>
      </c>
      <c r="AI144" s="89">
        <f t="shared" si="27"/>
        <v>2716.7359999999999</v>
      </c>
      <c r="AJ144" s="91">
        <v>0.18</v>
      </c>
      <c r="AK144" s="5">
        <f t="shared" si="28"/>
        <v>489.01247999999998</v>
      </c>
      <c r="AL144" s="89">
        <f t="shared" si="29"/>
        <v>3205.7484799999997</v>
      </c>
      <c r="AP144" s="92"/>
    </row>
    <row r="145" spans="1:42" x14ac:dyDescent="0.35">
      <c r="A145" s="85">
        <v>46241</v>
      </c>
      <c r="B145" s="51" t="s">
        <v>86</v>
      </c>
      <c r="C145" s="97">
        <v>289924289707.78601</v>
      </c>
      <c r="D145" s="97">
        <v>2109207</v>
      </c>
      <c r="E145" s="48" t="s">
        <v>87</v>
      </c>
      <c r="F145" s="86" t="s">
        <v>88</v>
      </c>
      <c r="G145" s="86" t="s">
        <v>95</v>
      </c>
      <c r="H145" s="86" t="s">
        <v>93</v>
      </c>
      <c r="I145" s="48" t="s">
        <v>99</v>
      </c>
      <c r="J145" s="52"/>
      <c r="K145" s="86"/>
      <c r="L145" s="105"/>
      <c r="M145" s="86"/>
      <c r="N145" s="104">
        <f t="shared" si="80"/>
        <v>0</v>
      </c>
      <c r="O145" s="86"/>
      <c r="P145" s="86">
        <v>5</v>
      </c>
      <c r="Q145" s="86">
        <v>15</v>
      </c>
      <c r="R145" s="104">
        <f t="shared" si="79"/>
        <v>20</v>
      </c>
      <c r="S145" s="86">
        <f t="shared" si="81"/>
        <v>20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1452.8</v>
      </c>
      <c r="AF145" s="90">
        <v>6.5000000000000002E-2</v>
      </c>
      <c r="AG145" s="4">
        <f t="shared" si="78"/>
        <v>94.432000000000002</v>
      </c>
      <c r="AH145" s="49">
        <f t="shared" si="26"/>
        <v>0</v>
      </c>
      <c r="AI145" s="89">
        <f t="shared" si="27"/>
        <v>1358.3679999999999</v>
      </c>
      <c r="AJ145" s="91">
        <v>0.18</v>
      </c>
      <c r="AK145" s="5">
        <f t="shared" si="28"/>
        <v>244.50623999999999</v>
      </c>
      <c r="AL145" s="89">
        <f t="shared" si="29"/>
        <v>1602.8742399999999</v>
      </c>
      <c r="AP145" s="92"/>
    </row>
    <row r="146" spans="1:42" x14ac:dyDescent="0.35">
      <c r="A146" s="85">
        <v>46241</v>
      </c>
      <c r="B146" s="51" t="s">
        <v>86</v>
      </c>
      <c r="C146" s="97">
        <v>289924289707.78601</v>
      </c>
      <c r="D146" s="97">
        <v>2109207</v>
      </c>
      <c r="E146" s="48" t="s">
        <v>87</v>
      </c>
      <c r="F146" s="86" t="s">
        <v>88</v>
      </c>
      <c r="G146" s="86" t="s">
        <v>259</v>
      </c>
      <c r="H146" s="86" t="s">
        <v>93</v>
      </c>
      <c r="I146" s="48" t="s">
        <v>99</v>
      </c>
      <c r="J146" s="52">
        <v>20</v>
      </c>
      <c r="K146" s="86"/>
      <c r="L146" s="86"/>
      <c r="M146" s="86"/>
      <c r="N146" s="104">
        <f t="shared" si="80"/>
        <v>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60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5143.7999999999993</v>
      </c>
      <c r="AF146" s="90">
        <v>6.5000000000000002E-2</v>
      </c>
      <c r="AG146" s="4">
        <f t="shared" si="78"/>
        <v>334.34699999999998</v>
      </c>
      <c r="AH146" s="49">
        <f t="shared" si="26"/>
        <v>27.489000000000004</v>
      </c>
      <c r="AI146" s="89">
        <f t="shared" si="27"/>
        <v>4809.4529999999995</v>
      </c>
      <c r="AJ146" s="91">
        <v>0.18</v>
      </c>
      <c r="AK146" s="5">
        <f t="shared" si="28"/>
        <v>865.70153999999991</v>
      </c>
      <c r="AL146" s="89">
        <f t="shared" si="29"/>
        <v>5675.1545399999995</v>
      </c>
      <c r="AP146" s="92"/>
    </row>
    <row r="147" spans="1:42" x14ac:dyDescent="0.35">
      <c r="A147" s="85">
        <v>46241</v>
      </c>
      <c r="B147" s="51" t="s">
        <v>86</v>
      </c>
      <c r="C147" s="97">
        <v>289924289707.78601</v>
      </c>
      <c r="D147" s="97">
        <v>2109207</v>
      </c>
      <c r="E147" s="48" t="s">
        <v>87</v>
      </c>
      <c r="F147" s="86" t="s">
        <v>88</v>
      </c>
      <c r="G147" s="86" t="s">
        <v>260</v>
      </c>
      <c r="H147" s="86" t="s">
        <v>119</v>
      </c>
      <c r="I147" s="48" t="s">
        <v>272</v>
      </c>
      <c r="J147" s="52">
        <v>10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10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1119.0999999999999</v>
      </c>
      <c r="AF147" s="90">
        <v>6.5000000000000002E-2</v>
      </c>
      <c r="AG147" s="4">
        <f t="shared" si="78"/>
        <v>72.741500000000002</v>
      </c>
      <c r="AH147" s="49">
        <f t="shared" si="26"/>
        <v>13.744500000000002</v>
      </c>
      <c r="AI147" s="89">
        <f t="shared" si="27"/>
        <v>1046.3584999999998</v>
      </c>
      <c r="AJ147" s="91">
        <v>0.18</v>
      </c>
      <c r="AK147" s="5">
        <f t="shared" si="28"/>
        <v>188.34452999999996</v>
      </c>
      <c r="AL147" s="89">
        <f t="shared" si="29"/>
        <v>1234.7030299999997</v>
      </c>
      <c r="AP147" s="92"/>
    </row>
    <row r="148" spans="1:42" x14ac:dyDescent="0.35">
      <c r="A148" s="85">
        <v>46241</v>
      </c>
      <c r="B148" s="51" t="s">
        <v>86</v>
      </c>
      <c r="C148" s="97">
        <v>289924289707.78601</v>
      </c>
      <c r="D148" s="97">
        <v>2109207</v>
      </c>
      <c r="E148" s="48" t="s">
        <v>87</v>
      </c>
      <c r="F148" s="86" t="s">
        <v>88</v>
      </c>
      <c r="G148" s="86" t="s">
        <v>261</v>
      </c>
      <c r="H148" s="86" t="s">
        <v>119</v>
      </c>
      <c r="I148" s="48" t="s">
        <v>272</v>
      </c>
      <c r="J148" s="52"/>
      <c r="K148" s="86"/>
      <c r="L148" s="86"/>
      <c r="M148" s="86"/>
      <c r="N148" s="104">
        <f t="shared" si="80"/>
        <v>0</v>
      </c>
      <c r="O148" s="86">
        <v>12</v>
      </c>
      <c r="P148" s="86">
        <v>6</v>
      </c>
      <c r="Q148" s="86">
        <v>12</v>
      </c>
      <c r="R148" s="104">
        <f t="shared" si="79"/>
        <v>30</v>
      </c>
      <c r="S148" s="86">
        <f t="shared" si="81"/>
        <v>30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2179.1999999999998</v>
      </c>
      <c r="AF148" s="90">
        <v>6.5000000000000002E-2</v>
      </c>
      <c r="AG148" s="4">
        <f t="shared" si="78"/>
        <v>141.648</v>
      </c>
      <c r="AH148" s="49">
        <f t="shared" si="26"/>
        <v>0</v>
      </c>
      <c r="AI148" s="89">
        <f t="shared" si="27"/>
        <v>2037.5519999999999</v>
      </c>
      <c r="AJ148" s="91">
        <v>0.18</v>
      </c>
      <c r="AK148" s="5">
        <f t="shared" si="28"/>
        <v>366.75935999999996</v>
      </c>
      <c r="AL148" s="89">
        <f t="shared" si="29"/>
        <v>2404.3113599999997</v>
      </c>
      <c r="AP148" s="92"/>
    </row>
    <row r="149" spans="1:42" x14ac:dyDescent="0.35">
      <c r="A149" s="85">
        <v>46241</v>
      </c>
      <c r="B149" s="51" t="s">
        <v>86</v>
      </c>
      <c r="C149" s="97">
        <v>289924289707.78601</v>
      </c>
      <c r="D149" s="97">
        <v>2109207</v>
      </c>
      <c r="E149" s="48" t="s">
        <v>87</v>
      </c>
      <c r="F149" s="86" t="s">
        <v>88</v>
      </c>
      <c r="G149" s="86" t="s">
        <v>262</v>
      </c>
      <c r="H149" s="86" t="s">
        <v>119</v>
      </c>
      <c r="I149" s="48" t="s">
        <v>272</v>
      </c>
      <c r="J149" s="52">
        <v>10</v>
      </c>
      <c r="K149" s="86"/>
      <c r="L149" s="86"/>
      <c r="M149" s="86"/>
      <c r="N149" s="104">
        <f t="shared" si="80"/>
        <v>0</v>
      </c>
      <c r="O149" s="105"/>
      <c r="P149" s="105"/>
      <c r="Q149" s="105"/>
      <c r="R149" s="104">
        <f t="shared" si="79"/>
        <v>0</v>
      </c>
      <c r="S149" s="86">
        <f t="shared" si="81"/>
        <v>10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1119.0999999999999</v>
      </c>
      <c r="AF149" s="90">
        <v>6.5000000000000002E-2</v>
      </c>
      <c r="AG149" s="4">
        <f t="shared" si="78"/>
        <v>72.741500000000002</v>
      </c>
      <c r="AH149" s="49">
        <f t="shared" si="26"/>
        <v>13.744500000000002</v>
      </c>
      <c r="AI149" s="89">
        <f t="shared" si="27"/>
        <v>1046.3584999999998</v>
      </c>
      <c r="AJ149" s="91">
        <v>0.18</v>
      </c>
      <c r="AK149" s="5">
        <f t="shared" si="28"/>
        <v>188.34452999999996</v>
      </c>
      <c r="AL149" s="89">
        <f t="shared" si="29"/>
        <v>1234.7030299999997</v>
      </c>
      <c r="AP149" s="92"/>
    </row>
    <row r="150" spans="1:42" x14ac:dyDescent="0.35">
      <c r="A150" s="85">
        <v>46241</v>
      </c>
      <c r="B150" s="51" t="s">
        <v>86</v>
      </c>
      <c r="C150" s="97">
        <v>289924289707.78601</v>
      </c>
      <c r="D150" s="97">
        <v>2109207</v>
      </c>
      <c r="E150" s="48" t="s">
        <v>87</v>
      </c>
      <c r="F150" s="86" t="s">
        <v>88</v>
      </c>
      <c r="G150" s="86" t="s">
        <v>117</v>
      </c>
      <c r="H150" s="86" t="s">
        <v>119</v>
      </c>
      <c r="I150" s="48" t="s">
        <v>272</v>
      </c>
      <c r="J150" s="52">
        <v>10</v>
      </c>
      <c r="K150" s="105"/>
      <c r="L150" s="105"/>
      <c r="M150" s="105"/>
      <c r="N150" s="104">
        <f t="shared" si="80"/>
        <v>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1119.0999999999999</v>
      </c>
      <c r="AF150" s="90">
        <v>6.5000000000000002E-2</v>
      </c>
      <c r="AG150" s="4">
        <f t="shared" si="78"/>
        <v>72.741500000000002</v>
      </c>
      <c r="AH150" s="49">
        <f t="shared" ref="AH150:AH213" si="83">(AB150*J150)*$AH$1</f>
        <v>13.744500000000002</v>
      </c>
      <c r="AI150" s="89">
        <f t="shared" ref="AI150:AI213" si="84">AE150-AG150</f>
        <v>1046.3584999999998</v>
      </c>
      <c r="AJ150" s="91">
        <v>0.18</v>
      </c>
      <c r="AK150" s="5">
        <f t="shared" ref="AK150:AK213" si="85">AI150*AJ150</f>
        <v>188.34452999999996</v>
      </c>
      <c r="AL150" s="89">
        <f t="shared" ref="AL150:AL213" si="86">AI150+AK150</f>
        <v>1234.7030299999997</v>
      </c>
      <c r="AP150" s="92"/>
    </row>
    <row r="151" spans="1:42" x14ac:dyDescent="0.35">
      <c r="A151" s="85">
        <v>46241</v>
      </c>
      <c r="B151" s="51" t="s">
        <v>86</v>
      </c>
      <c r="C151" s="97">
        <v>289924289707.78601</v>
      </c>
      <c r="D151" s="97">
        <v>2109207</v>
      </c>
      <c r="E151" s="48" t="s">
        <v>87</v>
      </c>
      <c r="F151" s="86" t="s">
        <v>88</v>
      </c>
      <c r="G151" s="86" t="s">
        <v>263</v>
      </c>
      <c r="H151" s="86" t="s">
        <v>119</v>
      </c>
      <c r="I151" s="48" t="s">
        <v>272</v>
      </c>
      <c r="J151" s="52">
        <v>10</v>
      </c>
      <c r="K151" s="86"/>
      <c r="L151" s="86"/>
      <c r="M151" s="105"/>
      <c r="N151" s="104">
        <f t="shared" si="80"/>
        <v>0</v>
      </c>
      <c r="O151" s="86"/>
      <c r="P151" s="105"/>
      <c r="Q151" s="86"/>
      <c r="R151" s="104">
        <f t="shared" si="79"/>
        <v>0</v>
      </c>
      <c r="S151" s="86">
        <f t="shared" si="81"/>
        <v>10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1119.0999999999999</v>
      </c>
      <c r="AF151" s="90">
        <v>6.5000000000000002E-2</v>
      </c>
      <c r="AG151" s="4">
        <f t="shared" si="78"/>
        <v>72.741500000000002</v>
      </c>
      <c r="AH151" s="49">
        <f t="shared" si="83"/>
        <v>13.744500000000002</v>
      </c>
      <c r="AI151" s="89">
        <f t="shared" si="84"/>
        <v>1046.3584999999998</v>
      </c>
      <c r="AJ151" s="91">
        <v>0.18</v>
      </c>
      <c r="AK151" s="5">
        <f t="shared" si="85"/>
        <v>188.34452999999996</v>
      </c>
      <c r="AL151" s="89">
        <f t="shared" si="86"/>
        <v>1234.7030299999997</v>
      </c>
      <c r="AP151" s="92"/>
    </row>
    <row r="152" spans="1:42" x14ac:dyDescent="0.35">
      <c r="A152" s="85">
        <v>46241</v>
      </c>
      <c r="B152" s="51" t="s">
        <v>86</v>
      </c>
      <c r="C152" s="97">
        <v>289924289707.78601</v>
      </c>
      <c r="D152" s="97">
        <v>2109207</v>
      </c>
      <c r="E152" s="48" t="s">
        <v>87</v>
      </c>
      <c r="F152" s="86" t="s">
        <v>88</v>
      </c>
      <c r="G152" s="86" t="s">
        <v>264</v>
      </c>
      <c r="H152" s="86" t="s">
        <v>119</v>
      </c>
      <c r="I152" s="48" t="s">
        <v>272</v>
      </c>
      <c r="J152" s="52">
        <v>10</v>
      </c>
      <c r="K152" s="105"/>
      <c r="L152" s="105"/>
      <c r="M152" s="105"/>
      <c r="N152" s="104">
        <f t="shared" si="80"/>
        <v>0</v>
      </c>
      <c r="O152" s="86"/>
      <c r="P152" s="86"/>
      <c r="Q152" s="105">
        <v>10</v>
      </c>
      <c r="R152" s="104">
        <f t="shared" si="79"/>
        <v>10</v>
      </c>
      <c r="S152" s="86">
        <f t="shared" si="81"/>
        <v>20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1845.5</v>
      </c>
      <c r="AF152" s="90">
        <v>6.5000000000000002E-2</v>
      </c>
      <c r="AG152" s="4">
        <f t="shared" si="78"/>
        <v>119.95750000000001</v>
      </c>
      <c r="AH152" s="49">
        <f t="shared" si="83"/>
        <v>13.744500000000002</v>
      </c>
      <c r="AI152" s="89">
        <f t="shared" si="84"/>
        <v>1725.5425</v>
      </c>
      <c r="AJ152" s="91">
        <v>0.18</v>
      </c>
      <c r="AK152" s="5">
        <f t="shared" si="85"/>
        <v>310.59764999999999</v>
      </c>
      <c r="AL152" s="89">
        <f t="shared" si="86"/>
        <v>2036.1401499999999</v>
      </c>
      <c r="AP152" s="92"/>
    </row>
    <row r="153" spans="1:42" x14ac:dyDescent="0.35">
      <c r="A153" s="85">
        <v>46241</v>
      </c>
      <c r="B153" s="51" t="s">
        <v>86</v>
      </c>
      <c r="C153" s="97">
        <v>289924289707.78601</v>
      </c>
      <c r="D153" s="97">
        <v>2109207</v>
      </c>
      <c r="E153" s="48" t="s">
        <v>87</v>
      </c>
      <c r="F153" s="86" t="s">
        <v>88</v>
      </c>
      <c r="G153" s="86" t="s">
        <v>265</v>
      </c>
      <c r="H153" s="86" t="s">
        <v>119</v>
      </c>
      <c r="I153" s="48" t="s">
        <v>272</v>
      </c>
      <c r="J153" s="52"/>
      <c r="K153" s="86"/>
      <c r="L153" s="86"/>
      <c r="M153" s="86"/>
      <c r="N153" s="104">
        <f t="shared" si="80"/>
        <v>0</v>
      </c>
      <c r="O153" s="86"/>
      <c r="P153" s="86"/>
      <c r="Q153" s="86">
        <v>10</v>
      </c>
      <c r="R153" s="104">
        <f t="shared" si="79"/>
        <v>10</v>
      </c>
      <c r="S153" s="86">
        <f t="shared" si="81"/>
        <v>10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726.4</v>
      </c>
      <c r="AF153" s="90">
        <v>6.5000000000000002E-2</v>
      </c>
      <c r="AG153" s="4">
        <f t="shared" si="78"/>
        <v>47.216000000000001</v>
      </c>
      <c r="AH153" s="49">
        <f t="shared" si="83"/>
        <v>0</v>
      </c>
      <c r="AI153" s="89">
        <f t="shared" si="84"/>
        <v>679.18399999999997</v>
      </c>
      <c r="AJ153" s="91">
        <v>0.18</v>
      </c>
      <c r="AK153" s="5">
        <f t="shared" si="85"/>
        <v>122.25312</v>
      </c>
      <c r="AL153" s="89">
        <f t="shared" si="86"/>
        <v>801.43711999999994</v>
      </c>
      <c r="AP153" s="92"/>
    </row>
    <row r="154" spans="1:42" x14ac:dyDescent="0.35">
      <c r="A154" s="85">
        <v>46241</v>
      </c>
      <c r="B154" s="51" t="s">
        <v>86</v>
      </c>
      <c r="C154" s="97">
        <v>289924289707.78601</v>
      </c>
      <c r="D154" s="97">
        <v>2109207</v>
      </c>
      <c r="E154" s="48" t="s">
        <v>87</v>
      </c>
      <c r="F154" s="86" t="s">
        <v>88</v>
      </c>
      <c r="G154" s="86" t="s">
        <v>266</v>
      </c>
      <c r="H154" s="86" t="s">
        <v>119</v>
      </c>
      <c r="I154" s="48" t="s">
        <v>272</v>
      </c>
      <c r="J154" s="52"/>
      <c r="K154" s="86"/>
      <c r="L154" s="105"/>
      <c r="M154" s="105"/>
      <c r="N154" s="104">
        <f t="shared" si="80"/>
        <v>0</v>
      </c>
      <c r="O154" s="86"/>
      <c r="P154" s="86"/>
      <c r="Q154" s="86">
        <v>10</v>
      </c>
      <c r="R154" s="104">
        <f t="shared" si="79"/>
        <v>10</v>
      </c>
      <c r="S154" s="86">
        <f t="shared" si="81"/>
        <v>10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726.4</v>
      </c>
      <c r="AF154" s="90">
        <v>6.5000000000000002E-2</v>
      </c>
      <c r="AG154" s="4">
        <f t="shared" si="78"/>
        <v>47.216000000000001</v>
      </c>
      <c r="AH154" s="49">
        <f t="shared" si="83"/>
        <v>0</v>
      </c>
      <c r="AI154" s="89">
        <f t="shared" si="84"/>
        <v>679.18399999999997</v>
      </c>
      <c r="AJ154" s="91">
        <v>0.18</v>
      </c>
      <c r="AK154" s="5">
        <f t="shared" si="85"/>
        <v>122.25312</v>
      </c>
      <c r="AL154" s="89">
        <f t="shared" si="86"/>
        <v>801.43711999999994</v>
      </c>
      <c r="AP154" s="92"/>
    </row>
    <row r="155" spans="1:42" x14ac:dyDescent="0.35">
      <c r="A155" s="85">
        <v>46241</v>
      </c>
      <c r="B155" s="51" t="s">
        <v>86</v>
      </c>
      <c r="C155" s="97">
        <v>289924289707.78601</v>
      </c>
      <c r="D155" s="97">
        <v>2109207</v>
      </c>
      <c r="E155" s="48" t="s">
        <v>87</v>
      </c>
      <c r="F155" s="86" t="s">
        <v>88</v>
      </c>
      <c r="G155" s="86" t="s">
        <v>267</v>
      </c>
      <c r="H155" s="86" t="s">
        <v>119</v>
      </c>
      <c r="I155" s="48" t="s">
        <v>272</v>
      </c>
      <c r="J155" s="52"/>
      <c r="K155" s="105"/>
      <c r="L155" s="105"/>
      <c r="M155" s="105"/>
      <c r="N155" s="104">
        <f t="shared" si="80"/>
        <v>0</v>
      </c>
      <c r="O155" s="86">
        <v>10</v>
      </c>
      <c r="P155" s="105"/>
      <c r="Q155" s="105"/>
      <c r="R155" s="104">
        <f t="shared" si="79"/>
        <v>10</v>
      </c>
      <c r="S155" s="86">
        <f t="shared" si="81"/>
        <v>10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726.4</v>
      </c>
      <c r="AF155" s="90">
        <v>6.5000000000000002E-2</v>
      </c>
      <c r="AG155" s="4">
        <f t="shared" si="78"/>
        <v>47.216000000000001</v>
      </c>
      <c r="AH155" s="49">
        <f t="shared" si="83"/>
        <v>0</v>
      </c>
      <c r="AI155" s="89">
        <f t="shared" si="84"/>
        <v>679.18399999999997</v>
      </c>
      <c r="AJ155" s="91">
        <v>0.18</v>
      </c>
      <c r="AK155" s="5">
        <f t="shared" si="85"/>
        <v>122.25312</v>
      </c>
      <c r="AL155" s="89">
        <f t="shared" si="86"/>
        <v>801.43711999999994</v>
      </c>
      <c r="AP155" s="92"/>
    </row>
    <row r="156" spans="1:42" x14ac:dyDescent="0.35">
      <c r="A156" s="85">
        <v>46241</v>
      </c>
      <c r="B156" s="51" t="s">
        <v>86</v>
      </c>
      <c r="C156" s="97">
        <v>289924289707.78601</v>
      </c>
      <c r="D156" s="97">
        <v>2109207</v>
      </c>
      <c r="E156" s="48" t="s">
        <v>87</v>
      </c>
      <c r="F156" s="86" t="s">
        <v>88</v>
      </c>
      <c r="G156" s="86" t="s">
        <v>268</v>
      </c>
      <c r="H156" s="86" t="s">
        <v>119</v>
      </c>
      <c r="I156" s="48" t="s">
        <v>272</v>
      </c>
      <c r="J156" s="52"/>
      <c r="K156" s="86"/>
      <c r="L156" s="105"/>
      <c r="M156" s="86"/>
      <c r="N156" s="104">
        <f t="shared" si="80"/>
        <v>0</v>
      </c>
      <c r="O156" s="86"/>
      <c r="P156" s="86">
        <v>10</v>
      </c>
      <c r="Q156" s="105"/>
      <c r="R156" s="104">
        <f t="shared" si="79"/>
        <v>10</v>
      </c>
      <c r="S156" s="86">
        <f t="shared" si="81"/>
        <v>10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726.4</v>
      </c>
      <c r="AF156" s="90">
        <v>6.5000000000000002E-2</v>
      </c>
      <c r="AG156" s="4">
        <f t="shared" si="78"/>
        <v>47.216000000000001</v>
      </c>
      <c r="AH156" s="49">
        <f t="shared" si="83"/>
        <v>0</v>
      </c>
      <c r="AI156" s="89">
        <f t="shared" si="84"/>
        <v>679.18399999999997</v>
      </c>
      <c r="AJ156" s="91">
        <v>0.18</v>
      </c>
      <c r="AK156" s="5">
        <f t="shared" si="85"/>
        <v>122.25312</v>
      </c>
      <c r="AL156" s="89">
        <f t="shared" si="86"/>
        <v>801.43711999999994</v>
      </c>
      <c r="AP156" s="92"/>
    </row>
    <row r="157" spans="1:42" x14ac:dyDescent="0.35">
      <c r="A157" s="85">
        <v>46241</v>
      </c>
      <c r="B157" s="51" t="s">
        <v>86</v>
      </c>
      <c r="C157" s="97">
        <v>289924289707.78601</v>
      </c>
      <c r="D157" s="97">
        <v>2109207</v>
      </c>
      <c r="E157" s="48" t="s">
        <v>87</v>
      </c>
      <c r="F157" s="86" t="s">
        <v>88</v>
      </c>
      <c r="G157" s="86" t="s">
        <v>269</v>
      </c>
      <c r="H157" s="86" t="s">
        <v>119</v>
      </c>
      <c r="I157" s="48" t="s">
        <v>272</v>
      </c>
      <c r="J157" s="52">
        <v>40</v>
      </c>
      <c r="K157" s="105">
        <v>20</v>
      </c>
      <c r="L157" s="105">
        <v>20</v>
      </c>
      <c r="M157" s="105"/>
      <c r="N157" s="104">
        <f t="shared" si="80"/>
        <v>40</v>
      </c>
      <c r="O157" s="86">
        <v>15</v>
      </c>
      <c r="P157" s="86">
        <v>10</v>
      </c>
      <c r="Q157" s="86">
        <v>15</v>
      </c>
      <c r="R157" s="104">
        <f t="shared" si="79"/>
        <v>40</v>
      </c>
      <c r="S157" s="86">
        <f t="shared" si="81"/>
        <v>120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12386.099999999999</v>
      </c>
      <c r="AF157" s="90">
        <v>6.5000000000000002E-2</v>
      </c>
      <c r="AG157" s="4">
        <f t="shared" si="78"/>
        <v>805.09649999999988</v>
      </c>
      <c r="AH157" s="49">
        <f t="shared" si="83"/>
        <v>54.978000000000009</v>
      </c>
      <c r="AI157" s="89">
        <f t="shared" si="84"/>
        <v>11581.003499999999</v>
      </c>
      <c r="AJ157" s="91">
        <v>0.18</v>
      </c>
      <c r="AK157" s="5">
        <f t="shared" si="85"/>
        <v>2084.5806299999999</v>
      </c>
      <c r="AL157" s="89">
        <f t="shared" si="86"/>
        <v>13665.584129999999</v>
      </c>
      <c r="AP157" s="92"/>
    </row>
    <row r="158" spans="1:42" x14ac:dyDescent="0.35">
      <c r="A158" s="85">
        <v>46241</v>
      </c>
      <c r="B158" s="51" t="s">
        <v>86</v>
      </c>
      <c r="C158" s="97">
        <v>289924289707.78601</v>
      </c>
      <c r="D158" s="97">
        <v>2109207</v>
      </c>
      <c r="E158" s="48" t="s">
        <v>87</v>
      </c>
      <c r="F158" s="86" t="s">
        <v>88</v>
      </c>
      <c r="G158" s="86" t="s">
        <v>270</v>
      </c>
      <c r="H158" s="86" t="s">
        <v>119</v>
      </c>
      <c r="I158" s="48" t="s">
        <v>272</v>
      </c>
      <c r="J158" s="52"/>
      <c r="K158" s="105"/>
      <c r="L158" s="105">
        <v>40</v>
      </c>
      <c r="M158" s="105"/>
      <c r="N158" s="104">
        <f t="shared" si="80"/>
        <v>40</v>
      </c>
      <c r="O158" s="86"/>
      <c r="P158" s="86"/>
      <c r="Q158" s="105">
        <v>40</v>
      </c>
      <c r="R158" s="104">
        <f t="shared" si="79"/>
        <v>40</v>
      </c>
      <c r="S158" s="86">
        <f t="shared" si="81"/>
        <v>80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7909.7</v>
      </c>
      <c r="AF158" s="90">
        <v>6.5000000000000002E-2</v>
      </c>
      <c r="AG158" s="4">
        <f t="shared" si="78"/>
        <v>514.13049999999998</v>
      </c>
      <c r="AH158" s="49">
        <f t="shared" si="83"/>
        <v>0</v>
      </c>
      <c r="AI158" s="89">
        <f t="shared" si="84"/>
        <v>7395.5694999999996</v>
      </c>
      <c r="AJ158" s="91">
        <v>0.18</v>
      </c>
      <c r="AK158" s="5">
        <f t="shared" si="85"/>
        <v>1331.2025099999998</v>
      </c>
      <c r="AL158" s="89">
        <f t="shared" si="86"/>
        <v>8726.7720099999988</v>
      </c>
      <c r="AP158" s="92"/>
    </row>
    <row r="159" spans="1:42" x14ac:dyDescent="0.35">
      <c r="A159" s="85">
        <v>46241</v>
      </c>
      <c r="B159" s="51" t="s">
        <v>86</v>
      </c>
      <c r="C159" s="97">
        <v>289924289707.78601</v>
      </c>
      <c r="D159" s="97">
        <v>2109207</v>
      </c>
      <c r="E159" s="48" t="s">
        <v>87</v>
      </c>
      <c r="F159" s="86" t="s">
        <v>88</v>
      </c>
      <c r="G159" s="86" t="s">
        <v>271</v>
      </c>
      <c r="H159" s="86" t="s">
        <v>119</v>
      </c>
      <c r="I159" s="48" t="s">
        <v>272</v>
      </c>
      <c r="J159" s="52"/>
      <c r="K159" s="86"/>
      <c r="L159" s="86"/>
      <c r="M159" s="86"/>
      <c r="N159" s="104">
        <f t="shared" si="80"/>
        <v>0</v>
      </c>
      <c r="O159" s="86">
        <v>40</v>
      </c>
      <c r="P159" s="86">
        <v>40</v>
      </c>
      <c r="Q159" s="86">
        <v>120</v>
      </c>
      <c r="R159" s="104">
        <f t="shared" si="79"/>
        <v>200</v>
      </c>
      <c r="S159" s="86">
        <f t="shared" si="81"/>
        <v>200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14528</v>
      </c>
      <c r="AF159" s="90">
        <v>6.5000000000000002E-2</v>
      </c>
      <c r="AG159" s="4">
        <f t="shared" si="78"/>
        <v>944.32</v>
      </c>
      <c r="AH159" s="49">
        <f t="shared" si="83"/>
        <v>0</v>
      </c>
      <c r="AI159" s="89">
        <f t="shared" si="84"/>
        <v>13583.68</v>
      </c>
      <c r="AJ159" s="91">
        <v>0.18</v>
      </c>
      <c r="AK159" s="5">
        <f t="shared" si="85"/>
        <v>2445.0623999999998</v>
      </c>
      <c r="AL159" s="89">
        <f t="shared" si="86"/>
        <v>16028.742399999999</v>
      </c>
      <c r="AP159" s="92"/>
    </row>
    <row r="160" spans="1:42" x14ac:dyDescent="0.35">
      <c r="A160" s="85">
        <v>46241</v>
      </c>
      <c r="B160" s="51" t="s">
        <v>86</v>
      </c>
      <c r="C160" s="97">
        <v>289924289707.78601</v>
      </c>
      <c r="D160" s="97">
        <v>2109207</v>
      </c>
      <c r="E160" s="48" t="s">
        <v>87</v>
      </c>
      <c r="F160" s="86" t="s">
        <v>88</v>
      </c>
      <c r="G160" s="86" t="s">
        <v>177</v>
      </c>
      <c r="H160" s="86" t="s">
        <v>119</v>
      </c>
      <c r="I160" s="48" t="s">
        <v>272</v>
      </c>
      <c r="J160" s="52">
        <v>52</v>
      </c>
      <c r="K160" s="86"/>
      <c r="L160" s="105"/>
      <c r="M160" s="86"/>
      <c r="N160" s="104">
        <f t="shared" si="80"/>
        <v>0</v>
      </c>
      <c r="O160" s="86">
        <v>40</v>
      </c>
      <c r="P160" s="105">
        <v>40</v>
      </c>
      <c r="Q160" s="86">
        <v>80</v>
      </c>
      <c r="R160" s="104">
        <f t="shared" si="79"/>
        <v>160</v>
      </c>
      <c r="S160" s="86">
        <f t="shared" si="81"/>
        <v>212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17441.72</v>
      </c>
      <c r="AF160" s="90">
        <v>6.5000000000000002E-2</v>
      </c>
      <c r="AG160" s="4">
        <f t="shared" si="78"/>
        <v>1133.7118</v>
      </c>
      <c r="AH160" s="49">
        <f t="shared" si="83"/>
        <v>71.471400000000017</v>
      </c>
      <c r="AI160" s="89">
        <f t="shared" si="84"/>
        <v>16308.0082</v>
      </c>
      <c r="AJ160" s="91">
        <v>0.18</v>
      </c>
      <c r="AK160" s="5">
        <f t="shared" si="85"/>
        <v>2935.441476</v>
      </c>
      <c r="AL160" s="89">
        <f t="shared" si="86"/>
        <v>19243.449676</v>
      </c>
      <c r="AP160" s="92"/>
    </row>
    <row r="161" spans="1:42" x14ac:dyDescent="0.35">
      <c r="A161" s="85">
        <v>46242</v>
      </c>
      <c r="B161" s="51" t="s">
        <v>86</v>
      </c>
      <c r="C161" s="97">
        <v>289924289707.78601</v>
      </c>
      <c r="D161" s="97">
        <v>2109207</v>
      </c>
      <c r="E161" s="48" t="s">
        <v>87</v>
      </c>
      <c r="F161" s="86" t="s">
        <v>108</v>
      </c>
      <c r="G161" s="86" t="s">
        <v>273</v>
      </c>
      <c r="H161" s="86" t="s">
        <v>198</v>
      </c>
      <c r="I161" s="48" t="s">
        <v>275</v>
      </c>
      <c r="J161" s="52"/>
      <c r="K161" s="86">
        <v>24</v>
      </c>
      <c r="L161" s="86">
        <v>4</v>
      </c>
      <c r="M161" s="86">
        <v>39</v>
      </c>
      <c r="N161" s="104">
        <f t="shared" si="80"/>
        <v>67</v>
      </c>
      <c r="O161" s="86">
        <v>38</v>
      </c>
      <c r="P161" s="86">
        <v>77</v>
      </c>
      <c r="Q161" s="86">
        <v>80</v>
      </c>
      <c r="R161" s="104">
        <f t="shared" si="79"/>
        <v>195</v>
      </c>
      <c r="S161" s="86">
        <f t="shared" si="81"/>
        <v>262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22546.6675</v>
      </c>
      <c r="AF161" s="90">
        <v>6.5000000000000002E-2</v>
      </c>
      <c r="AG161" s="4">
        <f t="shared" si="78"/>
        <v>1465.5333875000001</v>
      </c>
      <c r="AH161" s="49">
        <f t="shared" si="83"/>
        <v>0</v>
      </c>
      <c r="AI161" s="89">
        <f t="shared" si="84"/>
        <v>21081.1341125</v>
      </c>
      <c r="AJ161" s="91">
        <v>0.18</v>
      </c>
      <c r="AK161" s="5">
        <f t="shared" si="85"/>
        <v>3794.60414025</v>
      </c>
      <c r="AL161" s="89">
        <f t="shared" si="86"/>
        <v>24875.738252750001</v>
      </c>
      <c r="AP161" s="92"/>
    </row>
    <row r="162" spans="1:42" x14ac:dyDescent="0.35">
      <c r="A162" s="85">
        <v>46242</v>
      </c>
      <c r="B162" s="51" t="s">
        <v>86</v>
      </c>
      <c r="C162" s="97">
        <v>289924289707.78601</v>
      </c>
      <c r="D162" s="97">
        <v>2109207</v>
      </c>
      <c r="E162" s="48" t="s">
        <v>87</v>
      </c>
      <c r="F162" s="86" t="s">
        <v>108</v>
      </c>
      <c r="G162" s="86" t="s">
        <v>280</v>
      </c>
      <c r="H162" s="86" t="s">
        <v>198</v>
      </c>
      <c r="I162" s="48" t="s">
        <v>276</v>
      </c>
      <c r="J162" s="52"/>
      <c r="K162" s="86">
        <v>80</v>
      </c>
      <c r="L162" s="105">
        <v>120</v>
      </c>
      <c r="M162" s="105">
        <v>200</v>
      </c>
      <c r="N162" s="104">
        <f t="shared" si="80"/>
        <v>400</v>
      </c>
      <c r="O162" s="86">
        <v>160</v>
      </c>
      <c r="P162" s="105">
        <v>39</v>
      </c>
      <c r="Q162" s="105">
        <v>280</v>
      </c>
      <c r="R162" s="104">
        <f t="shared" si="79"/>
        <v>479</v>
      </c>
      <c r="S162" s="86">
        <f t="shared" si="81"/>
        <v>879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84835.56</v>
      </c>
      <c r="AF162" s="90">
        <v>6.5000000000000002E-2</v>
      </c>
      <c r="AG162" s="4">
        <f t="shared" si="78"/>
        <v>5514.3113999999996</v>
      </c>
      <c r="AH162" s="49">
        <f t="shared" si="83"/>
        <v>0</v>
      </c>
      <c r="AI162" s="89">
        <f t="shared" si="84"/>
        <v>79321.248599999992</v>
      </c>
      <c r="AJ162" s="91">
        <v>0.18</v>
      </c>
      <c r="AK162" s="5">
        <f t="shared" si="85"/>
        <v>14277.824747999997</v>
      </c>
      <c r="AL162" s="89">
        <f t="shared" si="86"/>
        <v>93599.073347999991</v>
      </c>
      <c r="AP162" s="92"/>
    </row>
    <row r="163" spans="1:42" x14ac:dyDescent="0.35">
      <c r="A163" s="85">
        <v>46242</v>
      </c>
      <c r="B163" s="51" t="s">
        <v>86</v>
      </c>
      <c r="C163" s="97">
        <v>289924289707.78601</v>
      </c>
      <c r="D163" s="97">
        <v>2109207</v>
      </c>
      <c r="E163" s="48" t="s">
        <v>87</v>
      </c>
      <c r="F163" s="86" t="s">
        <v>108</v>
      </c>
      <c r="G163" s="86" t="s">
        <v>281</v>
      </c>
      <c r="H163" s="86" t="s">
        <v>198</v>
      </c>
      <c r="I163" s="48" t="s">
        <v>277</v>
      </c>
      <c r="J163" s="52"/>
      <c r="K163" s="86">
        <v>40</v>
      </c>
      <c r="L163" s="86">
        <v>40</v>
      </c>
      <c r="M163" s="105">
        <v>120</v>
      </c>
      <c r="N163" s="104">
        <f t="shared" si="80"/>
        <v>200</v>
      </c>
      <c r="O163" s="86">
        <v>120</v>
      </c>
      <c r="P163" s="86">
        <v>80</v>
      </c>
      <c r="Q163" s="105">
        <v>120</v>
      </c>
      <c r="R163" s="104">
        <f t="shared" si="79"/>
        <v>320</v>
      </c>
      <c r="S163" s="86">
        <f t="shared" si="81"/>
        <v>520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48265.3</v>
      </c>
      <c r="AF163" s="90">
        <v>6.5000000000000002E-2</v>
      </c>
      <c r="AG163" s="4">
        <f t="shared" si="78"/>
        <v>3137.2445000000002</v>
      </c>
      <c r="AH163" s="49">
        <f t="shared" si="83"/>
        <v>0</v>
      </c>
      <c r="AI163" s="89">
        <f t="shared" si="84"/>
        <v>45128.055500000002</v>
      </c>
      <c r="AJ163" s="91">
        <v>0.18</v>
      </c>
      <c r="AK163" s="5">
        <f t="shared" si="85"/>
        <v>8123.0499900000004</v>
      </c>
      <c r="AL163" s="89">
        <f t="shared" si="86"/>
        <v>53251.105490000002</v>
      </c>
      <c r="AP163" s="92"/>
    </row>
    <row r="164" spans="1:42" x14ac:dyDescent="0.35">
      <c r="A164" s="85">
        <v>46242</v>
      </c>
      <c r="B164" s="51" t="s">
        <v>86</v>
      </c>
      <c r="C164" s="97">
        <v>289924289707.78601</v>
      </c>
      <c r="D164" s="97">
        <v>2109207</v>
      </c>
      <c r="E164" s="48" t="s">
        <v>87</v>
      </c>
      <c r="F164" s="86" t="s">
        <v>108</v>
      </c>
      <c r="G164" s="86" t="s">
        <v>281</v>
      </c>
      <c r="H164" s="86" t="s">
        <v>198</v>
      </c>
      <c r="I164" s="48" t="s">
        <v>278</v>
      </c>
      <c r="J164" s="52"/>
      <c r="K164" s="105"/>
      <c r="L164" s="86">
        <v>120</v>
      </c>
      <c r="M164" s="105">
        <v>120</v>
      </c>
      <c r="N164" s="104">
        <f t="shared" si="80"/>
        <v>240</v>
      </c>
      <c r="O164" s="86">
        <v>120</v>
      </c>
      <c r="P164" s="86">
        <v>120</v>
      </c>
      <c r="Q164" s="86">
        <v>120</v>
      </c>
      <c r="R164" s="104">
        <f t="shared" si="79"/>
        <v>360</v>
      </c>
      <c r="S164" s="86">
        <f t="shared" si="81"/>
        <v>600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56175</v>
      </c>
      <c r="AF164" s="90">
        <v>6.5000000000000002E-2</v>
      </c>
      <c r="AG164" s="4">
        <f t="shared" si="78"/>
        <v>3651.375</v>
      </c>
      <c r="AH164" s="49">
        <f t="shared" si="83"/>
        <v>0</v>
      </c>
      <c r="AI164" s="89">
        <f t="shared" si="84"/>
        <v>52523.625</v>
      </c>
      <c r="AJ164" s="91">
        <v>0.18</v>
      </c>
      <c r="AK164" s="5">
        <f t="shared" si="85"/>
        <v>9454.2525000000005</v>
      </c>
      <c r="AL164" s="89">
        <f t="shared" si="86"/>
        <v>61977.877500000002</v>
      </c>
      <c r="AP164" s="92"/>
    </row>
    <row r="165" spans="1:42" x14ac:dyDescent="0.35">
      <c r="A165" s="85">
        <v>46242</v>
      </c>
      <c r="B165" s="51" t="s">
        <v>86</v>
      </c>
      <c r="C165" s="97">
        <v>289924289707.78601</v>
      </c>
      <c r="D165" s="97">
        <v>2109207</v>
      </c>
      <c r="E165" s="48" t="s">
        <v>87</v>
      </c>
      <c r="F165" s="86" t="s">
        <v>108</v>
      </c>
      <c r="G165" s="86" t="s">
        <v>274</v>
      </c>
      <c r="H165" s="86" t="s">
        <v>198</v>
      </c>
      <c r="I165" s="48" t="s">
        <v>279</v>
      </c>
      <c r="J165" s="52"/>
      <c r="K165" s="86">
        <v>600</v>
      </c>
      <c r="L165" s="86">
        <v>600</v>
      </c>
      <c r="M165" s="86">
        <v>2800</v>
      </c>
      <c r="N165" s="104">
        <f t="shared" si="80"/>
        <v>4000</v>
      </c>
      <c r="O165" s="86">
        <v>600</v>
      </c>
      <c r="P165" s="86">
        <v>1000</v>
      </c>
      <c r="Q165" s="86">
        <v>2000</v>
      </c>
      <c r="R165" s="104">
        <f t="shared" si="79"/>
        <v>3600</v>
      </c>
      <c r="S165" s="86">
        <f t="shared" si="81"/>
        <v>7600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761914</v>
      </c>
      <c r="AF165" s="90">
        <v>6.5000000000000002E-2</v>
      </c>
      <c r="AG165" s="4">
        <f t="shared" si="78"/>
        <v>49524.41</v>
      </c>
      <c r="AH165" s="49">
        <f t="shared" si="83"/>
        <v>0</v>
      </c>
      <c r="AI165" s="89">
        <f t="shared" si="84"/>
        <v>712389.59</v>
      </c>
      <c r="AJ165" s="91">
        <v>0.18</v>
      </c>
      <c r="AK165" s="5">
        <f t="shared" si="85"/>
        <v>128230.12619999998</v>
      </c>
      <c r="AL165" s="89">
        <f t="shared" si="86"/>
        <v>840619.71619999991</v>
      </c>
      <c r="AP165" s="92"/>
    </row>
    <row r="166" spans="1:42" x14ac:dyDescent="0.35">
      <c r="A166" s="85">
        <v>46242</v>
      </c>
      <c r="B166" s="51" t="s">
        <v>86</v>
      </c>
      <c r="C166" s="97">
        <v>289924289707.78601</v>
      </c>
      <c r="D166" s="97">
        <v>2109207</v>
      </c>
      <c r="E166" s="48" t="s">
        <v>87</v>
      </c>
      <c r="F166" s="86" t="s">
        <v>88</v>
      </c>
      <c r="G166" s="86" t="s">
        <v>282</v>
      </c>
      <c r="H166" s="86" t="s">
        <v>213</v>
      </c>
      <c r="I166" s="48" t="s">
        <v>285</v>
      </c>
      <c r="J166" s="52">
        <v>16</v>
      </c>
      <c r="K166" s="86">
        <v>8</v>
      </c>
      <c r="L166" s="105">
        <v>8</v>
      </c>
      <c r="M166" s="86">
        <v>8</v>
      </c>
      <c r="N166" s="104">
        <f t="shared" si="80"/>
        <v>24</v>
      </c>
      <c r="O166" s="86"/>
      <c r="P166" s="86"/>
      <c r="Q166" s="86"/>
      <c r="R166" s="104">
        <f t="shared" si="79"/>
        <v>0</v>
      </c>
      <c r="S166" s="86">
        <f t="shared" si="81"/>
        <v>40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4793.0200000000004</v>
      </c>
      <c r="AF166" s="90">
        <v>0.14000000000000001</v>
      </c>
      <c r="AG166" s="4">
        <f t="shared" si="78"/>
        <v>671.02280000000007</v>
      </c>
      <c r="AH166" s="49">
        <f t="shared" si="83"/>
        <v>21.991200000000003</v>
      </c>
      <c r="AI166" s="89">
        <f t="shared" si="84"/>
        <v>4121.9972000000007</v>
      </c>
      <c r="AJ166" s="91">
        <v>0.18</v>
      </c>
      <c r="AK166" s="5">
        <f t="shared" si="85"/>
        <v>741.95949600000006</v>
      </c>
      <c r="AL166" s="89">
        <f t="shared" si="86"/>
        <v>4863.9566960000011</v>
      </c>
      <c r="AP166" s="92"/>
    </row>
    <row r="167" spans="1:42" x14ac:dyDescent="0.35">
      <c r="A167" s="85">
        <v>46242</v>
      </c>
      <c r="B167" s="51" t="s">
        <v>86</v>
      </c>
      <c r="C167" s="97">
        <v>289924289707.78601</v>
      </c>
      <c r="D167" s="97">
        <v>2109207</v>
      </c>
      <c r="E167" s="48" t="s">
        <v>87</v>
      </c>
      <c r="F167" s="86" t="s">
        <v>88</v>
      </c>
      <c r="G167" s="86" t="s">
        <v>283</v>
      </c>
      <c r="H167" s="86" t="s">
        <v>213</v>
      </c>
      <c r="I167" s="48" t="s">
        <v>285</v>
      </c>
      <c r="J167" s="52"/>
      <c r="K167" s="86">
        <v>13</v>
      </c>
      <c r="L167" s="105">
        <v>13</v>
      </c>
      <c r="M167" s="105">
        <v>14</v>
      </c>
      <c r="N167" s="104">
        <f t="shared" si="80"/>
        <v>40</v>
      </c>
      <c r="O167" s="86"/>
      <c r="P167" s="86"/>
      <c r="Q167" s="86"/>
      <c r="R167" s="104">
        <f t="shared" si="79"/>
        <v>0</v>
      </c>
      <c r="S167" s="86">
        <f t="shared" si="81"/>
        <v>40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5004.1000000000004</v>
      </c>
      <c r="AF167" s="90">
        <v>0.14000000000000001</v>
      </c>
      <c r="AG167" s="4">
        <f t="shared" si="78"/>
        <v>700.57400000000007</v>
      </c>
      <c r="AH167" s="49">
        <f t="shared" si="83"/>
        <v>0</v>
      </c>
      <c r="AI167" s="89">
        <f t="shared" si="84"/>
        <v>4303.5259999999998</v>
      </c>
      <c r="AJ167" s="91">
        <v>0.18</v>
      </c>
      <c r="AK167" s="5">
        <f t="shared" si="85"/>
        <v>774.63467999999989</v>
      </c>
      <c r="AL167" s="89">
        <f t="shared" si="86"/>
        <v>5078.16068</v>
      </c>
      <c r="AP167" s="92"/>
    </row>
    <row r="168" spans="1:42" x14ac:dyDescent="0.35">
      <c r="A168" s="85">
        <v>46242</v>
      </c>
      <c r="B168" s="51" t="s">
        <v>86</v>
      </c>
      <c r="C168" s="97">
        <v>289924289707.78601</v>
      </c>
      <c r="D168" s="97">
        <v>2109207</v>
      </c>
      <c r="E168" s="48" t="s">
        <v>87</v>
      </c>
      <c r="F168" s="86" t="s">
        <v>88</v>
      </c>
      <c r="G168" s="86" t="s">
        <v>284</v>
      </c>
      <c r="H168" s="86" t="s">
        <v>213</v>
      </c>
      <c r="I168" s="48" t="s">
        <v>285</v>
      </c>
      <c r="J168" s="52"/>
      <c r="K168" s="105"/>
      <c r="L168" s="105"/>
      <c r="M168" s="105"/>
      <c r="N168" s="104">
        <f t="shared" si="80"/>
        <v>0</v>
      </c>
      <c r="O168" s="86">
        <v>15</v>
      </c>
      <c r="P168" s="105">
        <v>10</v>
      </c>
      <c r="Q168" s="86">
        <v>15</v>
      </c>
      <c r="R168" s="104">
        <f t="shared" si="79"/>
        <v>40</v>
      </c>
      <c r="S168" s="86">
        <f t="shared" si="81"/>
        <v>40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2905.6</v>
      </c>
      <c r="AF168" s="90">
        <v>6.5000000000000002E-2</v>
      </c>
      <c r="AG168" s="4">
        <f t="shared" si="78"/>
        <v>188.864</v>
      </c>
      <c r="AH168" s="49">
        <f t="shared" si="83"/>
        <v>0</v>
      </c>
      <c r="AI168" s="89">
        <f t="shared" si="84"/>
        <v>2716.7359999999999</v>
      </c>
      <c r="AJ168" s="91">
        <v>0.18</v>
      </c>
      <c r="AK168" s="5">
        <f t="shared" si="85"/>
        <v>489.01247999999998</v>
      </c>
      <c r="AL168" s="89">
        <f t="shared" si="86"/>
        <v>3205.7484799999997</v>
      </c>
      <c r="AP168" s="92"/>
    </row>
    <row r="169" spans="1:42" x14ac:dyDescent="0.35">
      <c r="A169" s="85">
        <v>46242</v>
      </c>
      <c r="B169" s="51" t="s">
        <v>86</v>
      </c>
      <c r="C169" s="97">
        <v>289924289707.78601</v>
      </c>
      <c r="D169" s="97">
        <v>2109207</v>
      </c>
      <c r="E169" s="48" t="s">
        <v>87</v>
      </c>
      <c r="F169" s="86" t="s">
        <v>88</v>
      </c>
      <c r="G169" s="86" t="s">
        <v>286</v>
      </c>
      <c r="H169" s="86" t="s">
        <v>182</v>
      </c>
      <c r="I169" s="48" t="s">
        <v>288</v>
      </c>
      <c r="J169" s="52"/>
      <c r="K169" s="105"/>
      <c r="L169" s="105"/>
      <c r="M169" s="105"/>
      <c r="N169" s="104">
        <f t="shared" si="80"/>
        <v>0</v>
      </c>
      <c r="O169" s="86">
        <v>40</v>
      </c>
      <c r="P169" s="86">
        <v>40</v>
      </c>
      <c r="Q169" s="86">
        <v>40</v>
      </c>
      <c r="R169" s="104">
        <f t="shared" si="79"/>
        <v>120</v>
      </c>
      <c r="S169" s="86">
        <f t="shared" si="81"/>
        <v>120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8716.7999999999993</v>
      </c>
      <c r="AF169" s="90">
        <v>6.5000000000000002E-2</v>
      </c>
      <c r="AG169" s="4">
        <f t="shared" si="78"/>
        <v>566.59199999999998</v>
      </c>
      <c r="AH169" s="49">
        <f t="shared" si="83"/>
        <v>0</v>
      </c>
      <c r="AI169" s="89">
        <f t="shared" si="84"/>
        <v>8150.2079999999996</v>
      </c>
      <c r="AJ169" s="91">
        <v>0.18</v>
      </c>
      <c r="AK169" s="5">
        <f t="shared" si="85"/>
        <v>1467.0374399999998</v>
      </c>
      <c r="AL169" s="89">
        <f t="shared" si="86"/>
        <v>9617.2454399999988</v>
      </c>
      <c r="AP169" s="92"/>
    </row>
    <row r="170" spans="1:42" x14ac:dyDescent="0.35">
      <c r="A170" s="85">
        <v>46242</v>
      </c>
      <c r="B170" s="51" t="s">
        <v>86</v>
      </c>
      <c r="C170" s="97">
        <v>289924289707.78601</v>
      </c>
      <c r="D170" s="97">
        <v>2109207</v>
      </c>
      <c r="E170" s="48" t="s">
        <v>87</v>
      </c>
      <c r="F170" s="86" t="s">
        <v>88</v>
      </c>
      <c r="G170" s="86" t="s">
        <v>247</v>
      </c>
      <c r="H170" s="86" t="s">
        <v>182</v>
      </c>
      <c r="I170" s="48" t="s">
        <v>288</v>
      </c>
      <c r="J170" s="52"/>
      <c r="K170" s="105"/>
      <c r="L170" s="105">
        <v>12</v>
      </c>
      <c r="M170" s="105"/>
      <c r="N170" s="104">
        <f t="shared" si="80"/>
        <v>12</v>
      </c>
      <c r="O170" s="86"/>
      <c r="P170" s="86"/>
      <c r="Q170" s="105"/>
      <c r="R170" s="104">
        <f t="shared" si="79"/>
        <v>0</v>
      </c>
      <c r="S170" s="86">
        <f t="shared" si="81"/>
        <v>12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1501.23</v>
      </c>
      <c r="AF170" s="90">
        <v>6.5000000000000002E-2</v>
      </c>
      <c r="AG170" s="4">
        <f t="shared" si="78"/>
        <v>97.579950000000011</v>
      </c>
      <c r="AH170" s="49">
        <f t="shared" si="83"/>
        <v>0</v>
      </c>
      <c r="AI170" s="89">
        <f t="shared" si="84"/>
        <v>1403.65005</v>
      </c>
      <c r="AJ170" s="91">
        <v>0.18</v>
      </c>
      <c r="AK170" s="5">
        <f t="shared" si="85"/>
        <v>252.65700899999999</v>
      </c>
      <c r="AL170" s="89">
        <f t="shared" si="86"/>
        <v>1656.307059</v>
      </c>
      <c r="AP170" s="92"/>
    </row>
    <row r="171" spans="1:42" x14ac:dyDescent="0.35">
      <c r="A171" s="85">
        <v>46242</v>
      </c>
      <c r="B171" s="51" t="s">
        <v>86</v>
      </c>
      <c r="C171" s="97">
        <v>289924289707.78601</v>
      </c>
      <c r="D171" s="97">
        <v>2109207</v>
      </c>
      <c r="E171" s="48" t="s">
        <v>87</v>
      </c>
      <c r="F171" s="86" t="s">
        <v>88</v>
      </c>
      <c r="G171" s="86" t="s">
        <v>287</v>
      </c>
      <c r="H171" s="86" t="s">
        <v>182</v>
      </c>
      <c r="I171" s="48" t="s">
        <v>288</v>
      </c>
      <c r="J171" s="52">
        <v>10</v>
      </c>
      <c r="K171" s="105"/>
      <c r="L171" s="105"/>
      <c r="M171" s="105"/>
      <c r="N171" s="104">
        <f t="shared" si="80"/>
        <v>0</v>
      </c>
      <c r="O171" s="86">
        <v>10</v>
      </c>
      <c r="P171" s="86">
        <v>10</v>
      </c>
      <c r="Q171" s="86">
        <v>10</v>
      </c>
      <c r="R171" s="104">
        <f t="shared" si="79"/>
        <v>30</v>
      </c>
      <c r="S171" s="86">
        <f t="shared" si="81"/>
        <v>40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3298.3</v>
      </c>
      <c r="AF171" s="90">
        <v>6.5000000000000002E-2</v>
      </c>
      <c r="AG171" s="4">
        <f t="shared" si="78"/>
        <v>214.38950000000003</v>
      </c>
      <c r="AH171" s="49">
        <f t="shared" si="83"/>
        <v>13.744500000000002</v>
      </c>
      <c r="AI171" s="89">
        <f t="shared" si="84"/>
        <v>3083.9105</v>
      </c>
      <c r="AJ171" s="91">
        <v>0.18</v>
      </c>
      <c r="AK171" s="5">
        <f t="shared" si="85"/>
        <v>555.10388999999998</v>
      </c>
      <c r="AL171" s="89">
        <f t="shared" si="86"/>
        <v>3639.0143899999998</v>
      </c>
      <c r="AP171" s="92"/>
    </row>
    <row r="172" spans="1:42" x14ac:dyDescent="0.35">
      <c r="A172" s="85"/>
      <c r="B172" s="51"/>
      <c r="C172" s="97"/>
      <c r="D172" s="97"/>
      <c r="E172" s="48"/>
      <c r="F172" s="86"/>
      <c r="G172" s="86"/>
      <c r="H172" s="95"/>
      <c r="I172" s="48"/>
      <c r="J172" s="52"/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0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0</v>
      </c>
      <c r="AF172" s="90">
        <v>6.5000000000000002E-2</v>
      </c>
      <c r="AG172" s="4">
        <f t="shared" si="78"/>
        <v>0</v>
      </c>
      <c r="AH172" s="49">
        <f t="shared" si="83"/>
        <v>0</v>
      </c>
      <c r="AI172" s="89">
        <f t="shared" si="84"/>
        <v>0</v>
      </c>
      <c r="AJ172" s="91">
        <v>0.18</v>
      </c>
      <c r="AK172" s="5">
        <f t="shared" si="85"/>
        <v>0</v>
      </c>
      <c r="AL172" s="89">
        <f t="shared" si="86"/>
        <v>0</v>
      </c>
      <c r="AP172" s="92"/>
    </row>
    <row r="173" spans="1:42" x14ac:dyDescent="0.35">
      <c r="A173" s="85"/>
      <c r="B173" s="51"/>
      <c r="C173" s="97"/>
      <c r="D173" s="97"/>
      <c r="E173" s="48"/>
      <c r="F173" s="86"/>
      <c r="G173" s="86"/>
      <c r="H173" s="95"/>
      <c r="I173" s="48"/>
      <c r="J173" s="52"/>
      <c r="K173" s="86"/>
      <c r="L173" s="86"/>
      <c r="M173" s="86"/>
      <c r="N173" s="104">
        <f t="shared" si="80"/>
        <v>0</v>
      </c>
      <c r="O173" s="105"/>
      <c r="P173" s="105"/>
      <c r="Q173" s="105"/>
      <c r="R173" s="104">
        <f t="shared" si="79"/>
        <v>0</v>
      </c>
      <c r="S173" s="86">
        <f t="shared" si="81"/>
        <v>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0</v>
      </c>
      <c r="AF173" s="90">
        <v>6.5000000000000002E-2</v>
      </c>
      <c r="AG173" s="4">
        <f t="shared" si="78"/>
        <v>0</v>
      </c>
      <c r="AH173" s="49">
        <f t="shared" si="83"/>
        <v>0</v>
      </c>
      <c r="AI173" s="89">
        <f t="shared" si="84"/>
        <v>0</v>
      </c>
      <c r="AJ173" s="91">
        <v>0.18</v>
      </c>
      <c r="AK173" s="5">
        <f t="shared" si="85"/>
        <v>0</v>
      </c>
      <c r="AL173" s="89">
        <f t="shared" si="86"/>
        <v>0</v>
      </c>
      <c r="AP173" s="92"/>
    </row>
    <row r="174" spans="1:42" x14ac:dyDescent="0.35">
      <c r="A174" s="85"/>
      <c r="B174" s="51"/>
      <c r="C174" s="97"/>
      <c r="D174" s="97"/>
      <c r="E174" s="48"/>
      <c r="F174" s="86"/>
      <c r="G174" s="86"/>
      <c r="H174" s="95"/>
      <c r="I174" s="48"/>
      <c r="J174" s="52"/>
      <c r="K174" s="86"/>
      <c r="L174" s="86"/>
      <c r="M174" s="86"/>
      <c r="N174" s="104">
        <f t="shared" si="80"/>
        <v>0</v>
      </c>
      <c r="O174" s="105"/>
      <c r="P174" s="105"/>
      <c r="Q174" s="105"/>
      <c r="R174" s="104">
        <f t="shared" si="79"/>
        <v>0</v>
      </c>
      <c r="S174" s="86">
        <f t="shared" si="81"/>
        <v>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0</v>
      </c>
      <c r="AF174" s="90">
        <v>6.5000000000000002E-2</v>
      </c>
      <c r="AG174" s="4">
        <f t="shared" si="78"/>
        <v>0</v>
      </c>
      <c r="AH174" s="49">
        <f t="shared" si="83"/>
        <v>0</v>
      </c>
      <c r="AI174" s="89">
        <f t="shared" si="84"/>
        <v>0</v>
      </c>
      <c r="AJ174" s="91">
        <v>0.18</v>
      </c>
      <c r="AK174" s="5">
        <f t="shared" si="85"/>
        <v>0</v>
      </c>
      <c r="AL174" s="89">
        <f t="shared" si="86"/>
        <v>0</v>
      </c>
      <c r="AP174" s="92"/>
    </row>
    <row r="175" spans="1:42" x14ac:dyDescent="0.35">
      <c r="A175" s="85"/>
      <c r="B175" s="51"/>
      <c r="C175" s="97"/>
      <c r="D175" s="97"/>
      <c r="E175" s="48"/>
      <c r="F175" s="86"/>
      <c r="G175" s="86"/>
      <c r="H175" s="95"/>
      <c r="I175" s="48"/>
      <c r="J175" s="52"/>
      <c r="K175" s="105"/>
      <c r="L175" s="105"/>
      <c r="M175" s="105"/>
      <c r="N175" s="104">
        <f t="shared" si="80"/>
        <v>0</v>
      </c>
      <c r="O175" s="86"/>
      <c r="P175" s="86"/>
      <c r="Q175" s="86"/>
      <c r="R175" s="104">
        <f t="shared" si="79"/>
        <v>0</v>
      </c>
      <c r="S175" s="86">
        <f t="shared" si="81"/>
        <v>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0</v>
      </c>
      <c r="AF175" s="90">
        <v>6.5000000000000002E-2</v>
      </c>
      <c r="AG175" s="4">
        <f t="shared" si="78"/>
        <v>0</v>
      </c>
      <c r="AH175" s="49">
        <f t="shared" si="83"/>
        <v>0</v>
      </c>
      <c r="AI175" s="89">
        <f t="shared" si="84"/>
        <v>0</v>
      </c>
      <c r="AJ175" s="91">
        <v>0.18</v>
      </c>
      <c r="AK175" s="5">
        <f t="shared" si="85"/>
        <v>0</v>
      </c>
      <c r="AL175" s="89">
        <f t="shared" si="86"/>
        <v>0</v>
      </c>
      <c r="AP175" s="92"/>
    </row>
    <row r="176" spans="1:42" x14ac:dyDescent="0.35">
      <c r="A176" s="85"/>
      <c r="B176" s="51"/>
      <c r="C176" s="97"/>
      <c r="D176" s="97"/>
      <c r="E176" s="48"/>
      <c r="F176" s="86"/>
      <c r="G176" s="86"/>
      <c r="H176" s="95"/>
      <c r="I176" s="48"/>
      <c r="J176" s="52"/>
      <c r="K176" s="105"/>
      <c r="L176" s="105"/>
      <c r="M176" s="105"/>
      <c r="N176" s="104">
        <f t="shared" si="80"/>
        <v>0</v>
      </c>
      <c r="O176" s="86"/>
      <c r="P176" s="86"/>
      <c r="Q176" s="86"/>
      <c r="R176" s="104">
        <f t="shared" si="79"/>
        <v>0</v>
      </c>
      <c r="S176" s="86">
        <f t="shared" si="81"/>
        <v>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0</v>
      </c>
      <c r="AF176" s="90">
        <v>6.5000000000000002E-2</v>
      </c>
      <c r="AG176" s="4">
        <f t="shared" si="78"/>
        <v>0</v>
      </c>
      <c r="AH176" s="49">
        <f t="shared" si="83"/>
        <v>0</v>
      </c>
      <c r="AI176" s="89">
        <f t="shared" si="84"/>
        <v>0</v>
      </c>
      <c r="AJ176" s="91">
        <v>0.18</v>
      </c>
      <c r="AK176" s="5">
        <f t="shared" si="85"/>
        <v>0</v>
      </c>
      <c r="AL176" s="89">
        <f t="shared" si="86"/>
        <v>0</v>
      </c>
      <c r="AP176" s="92"/>
    </row>
    <row r="177" spans="1:42" x14ac:dyDescent="0.35">
      <c r="A177" s="85"/>
      <c r="B177" s="51"/>
      <c r="C177" s="97"/>
      <c r="D177" s="97"/>
      <c r="E177" s="48"/>
      <c r="F177" s="86"/>
      <c r="G177" s="86"/>
      <c r="H177" s="95"/>
      <c r="I177" s="48"/>
      <c r="J177" s="52"/>
      <c r="K177" s="105"/>
      <c r="L177" s="105"/>
      <c r="M177" s="105"/>
      <c r="N177" s="104">
        <f t="shared" si="80"/>
        <v>0</v>
      </c>
      <c r="O177" s="86"/>
      <c r="P177" s="86"/>
      <c r="Q177" s="86"/>
      <c r="R177" s="104">
        <f t="shared" si="79"/>
        <v>0</v>
      </c>
      <c r="S177" s="86">
        <f t="shared" si="81"/>
        <v>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0</v>
      </c>
      <c r="AF177" s="90">
        <v>6.5000000000000002E-2</v>
      </c>
      <c r="AG177" s="4">
        <f t="shared" si="78"/>
        <v>0</v>
      </c>
      <c r="AH177" s="49">
        <f t="shared" si="83"/>
        <v>0</v>
      </c>
      <c r="AI177" s="89">
        <f t="shared" si="84"/>
        <v>0</v>
      </c>
      <c r="AJ177" s="91">
        <v>0.18</v>
      </c>
      <c r="AK177" s="5">
        <f t="shared" si="85"/>
        <v>0</v>
      </c>
      <c r="AL177" s="89">
        <f t="shared" si="86"/>
        <v>0</v>
      </c>
      <c r="AP177" s="92"/>
    </row>
    <row r="178" spans="1:42" x14ac:dyDescent="0.35">
      <c r="A178" s="85"/>
      <c r="B178" s="51"/>
      <c r="C178" s="97"/>
      <c r="D178" s="97"/>
      <c r="E178" s="48"/>
      <c r="F178" s="86"/>
      <c r="G178" s="86"/>
      <c r="H178" s="95"/>
      <c r="I178" s="48"/>
      <c r="J178" s="52"/>
      <c r="K178" s="105"/>
      <c r="L178" s="105"/>
      <c r="M178" s="105"/>
      <c r="N178" s="104">
        <f t="shared" si="80"/>
        <v>0</v>
      </c>
      <c r="O178" s="86"/>
      <c r="P178" s="86"/>
      <c r="Q178" s="86"/>
      <c r="R178" s="104">
        <f t="shared" si="79"/>
        <v>0</v>
      </c>
      <c r="S178" s="86">
        <f t="shared" si="81"/>
        <v>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0</v>
      </c>
      <c r="AF178" s="90">
        <v>6.5000000000000002E-2</v>
      </c>
      <c r="AG178" s="4">
        <f t="shared" si="78"/>
        <v>0</v>
      </c>
      <c r="AH178" s="49">
        <f t="shared" si="83"/>
        <v>0</v>
      </c>
      <c r="AI178" s="89">
        <f t="shared" si="84"/>
        <v>0</v>
      </c>
      <c r="AJ178" s="91">
        <v>0.18</v>
      </c>
      <c r="AK178" s="5">
        <f t="shared" si="85"/>
        <v>0</v>
      </c>
      <c r="AL178" s="89">
        <f t="shared" si="86"/>
        <v>0</v>
      </c>
      <c r="AP178" s="92"/>
    </row>
    <row r="179" spans="1:42" x14ac:dyDescent="0.35">
      <c r="A179" s="85"/>
      <c r="B179" s="51"/>
      <c r="C179" s="97"/>
      <c r="D179" s="97"/>
      <c r="E179" s="48"/>
      <c r="F179" s="86"/>
      <c r="G179" s="86"/>
      <c r="H179" s="95"/>
      <c r="I179" s="48"/>
      <c r="J179" s="52"/>
      <c r="K179" s="86"/>
      <c r="L179" s="86"/>
      <c r="M179" s="86"/>
      <c r="N179" s="104">
        <f t="shared" si="80"/>
        <v>0</v>
      </c>
      <c r="O179" s="105"/>
      <c r="P179" s="105"/>
      <c r="Q179" s="105"/>
      <c r="R179" s="104">
        <f t="shared" si="79"/>
        <v>0</v>
      </c>
      <c r="S179" s="86">
        <f t="shared" si="81"/>
        <v>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0</v>
      </c>
      <c r="AF179" s="90">
        <v>6.5000000000000002E-2</v>
      </c>
      <c r="AG179" s="4">
        <f t="shared" si="78"/>
        <v>0</v>
      </c>
      <c r="AH179" s="49">
        <f t="shared" si="83"/>
        <v>0</v>
      </c>
      <c r="AI179" s="89">
        <f t="shared" si="84"/>
        <v>0</v>
      </c>
      <c r="AJ179" s="91">
        <v>0.18</v>
      </c>
      <c r="AK179" s="5">
        <f t="shared" si="85"/>
        <v>0</v>
      </c>
      <c r="AL179" s="89">
        <f t="shared" si="86"/>
        <v>0</v>
      </c>
      <c r="AP179" s="92"/>
    </row>
    <row r="180" spans="1:42" x14ac:dyDescent="0.35">
      <c r="A180" s="85"/>
      <c r="B180" s="51"/>
      <c r="C180" s="97"/>
      <c r="D180" s="97"/>
      <c r="E180" s="48"/>
      <c r="F180" s="86"/>
      <c r="G180" s="86"/>
      <c r="H180" s="86"/>
      <c r="I180" s="48"/>
      <c r="J180" s="52"/>
      <c r="K180" s="86"/>
      <c r="L180" s="86"/>
      <c r="M180" s="86"/>
      <c r="N180" s="104">
        <f t="shared" si="80"/>
        <v>0</v>
      </c>
      <c r="O180" s="86"/>
      <c r="P180" s="86"/>
      <c r="Q180" s="86"/>
      <c r="R180" s="104">
        <f t="shared" si="79"/>
        <v>0</v>
      </c>
      <c r="S180" s="86">
        <f t="shared" si="81"/>
        <v>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0</v>
      </c>
      <c r="AF180" s="90">
        <v>0.1</v>
      </c>
      <c r="AG180" s="4">
        <f t="shared" si="78"/>
        <v>0</v>
      </c>
      <c r="AH180" s="49">
        <f t="shared" si="83"/>
        <v>0</v>
      </c>
      <c r="AI180" s="89">
        <f t="shared" si="84"/>
        <v>0</v>
      </c>
      <c r="AJ180" s="91">
        <v>0.18</v>
      </c>
      <c r="AK180" s="5">
        <f t="shared" si="85"/>
        <v>0</v>
      </c>
      <c r="AL180" s="89">
        <f t="shared" si="86"/>
        <v>0</v>
      </c>
      <c r="AP180" s="92"/>
    </row>
    <row r="181" spans="1:42" x14ac:dyDescent="0.35">
      <c r="A181" s="85"/>
      <c r="B181" s="51"/>
      <c r="C181" s="97"/>
      <c r="D181" s="97"/>
      <c r="E181" s="48"/>
      <c r="F181" s="86"/>
      <c r="G181" s="86"/>
      <c r="H181" s="86"/>
      <c r="I181" s="48"/>
      <c r="J181" s="52"/>
      <c r="K181" s="105"/>
      <c r="L181" s="105"/>
      <c r="M181" s="105"/>
      <c r="N181" s="104">
        <f t="shared" si="80"/>
        <v>0</v>
      </c>
      <c r="O181" s="86"/>
      <c r="P181" s="86"/>
      <c r="Q181" s="86"/>
      <c r="R181" s="104">
        <f t="shared" si="79"/>
        <v>0</v>
      </c>
      <c r="S181" s="86">
        <f t="shared" si="81"/>
        <v>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0</v>
      </c>
      <c r="AF181" s="90">
        <v>6.5000000000000002E-2</v>
      </c>
      <c r="AG181" s="4">
        <f t="shared" ref="AG181:AG222" si="87">AE181*AF181</f>
        <v>0</v>
      </c>
      <c r="AH181" s="49">
        <f t="shared" si="83"/>
        <v>0</v>
      </c>
      <c r="AI181" s="89">
        <f t="shared" si="84"/>
        <v>0</v>
      </c>
      <c r="AJ181" s="91">
        <v>0.18</v>
      </c>
      <c r="AK181" s="5">
        <f t="shared" si="85"/>
        <v>0</v>
      </c>
      <c r="AL181" s="89">
        <f t="shared" si="86"/>
        <v>0</v>
      </c>
      <c r="AP181" s="92"/>
    </row>
    <row r="182" spans="1:42" x14ac:dyDescent="0.35">
      <c r="A182" s="85"/>
      <c r="B182" s="51"/>
      <c r="C182" s="97"/>
      <c r="D182" s="97"/>
      <c r="E182" s="48"/>
      <c r="F182" s="86"/>
      <c r="G182" s="86"/>
      <c r="H182" s="86"/>
      <c r="I182" s="48"/>
      <c r="J182" s="52"/>
      <c r="K182" s="105"/>
      <c r="L182" s="105"/>
      <c r="M182" s="105"/>
      <c r="N182" s="104">
        <f t="shared" si="80"/>
        <v>0</v>
      </c>
      <c r="O182" s="86"/>
      <c r="P182" s="105"/>
      <c r="Q182" s="86"/>
      <c r="R182" s="104">
        <f t="shared" si="79"/>
        <v>0</v>
      </c>
      <c r="S182" s="86">
        <f t="shared" si="81"/>
        <v>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0</v>
      </c>
      <c r="AF182" s="90">
        <v>6.5000000000000002E-2</v>
      </c>
      <c r="AG182" s="4">
        <f t="shared" si="87"/>
        <v>0</v>
      </c>
      <c r="AH182" s="49">
        <f t="shared" si="83"/>
        <v>0</v>
      </c>
      <c r="AI182" s="89">
        <f t="shared" si="84"/>
        <v>0</v>
      </c>
      <c r="AJ182" s="91">
        <v>0.18</v>
      </c>
      <c r="AK182" s="5">
        <f t="shared" si="85"/>
        <v>0</v>
      </c>
      <c r="AL182" s="89">
        <f t="shared" si="86"/>
        <v>0</v>
      </c>
      <c r="AP182" s="92"/>
    </row>
    <row r="183" spans="1:42" x14ac:dyDescent="0.35">
      <c r="A183" s="85"/>
      <c r="B183" s="51"/>
      <c r="C183" s="97"/>
      <c r="D183" s="97"/>
      <c r="E183" s="48"/>
      <c r="F183" s="86"/>
      <c r="G183" s="86"/>
      <c r="H183" s="86"/>
      <c r="I183" s="48"/>
      <c r="J183" s="52"/>
      <c r="K183" s="105"/>
      <c r="L183" s="105"/>
      <c r="M183" s="105"/>
      <c r="N183" s="104">
        <f t="shared" si="80"/>
        <v>0</v>
      </c>
      <c r="O183" s="86"/>
      <c r="P183" s="86"/>
      <c r="Q183" s="86"/>
      <c r="R183" s="104">
        <f t="shared" si="79"/>
        <v>0</v>
      </c>
      <c r="S183" s="86">
        <f t="shared" si="81"/>
        <v>0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0</v>
      </c>
      <c r="AF183" s="90">
        <v>6.5000000000000002E-2</v>
      </c>
      <c r="AG183" s="4">
        <f t="shared" si="87"/>
        <v>0</v>
      </c>
      <c r="AH183" s="49">
        <f t="shared" si="83"/>
        <v>0</v>
      </c>
      <c r="AI183" s="89">
        <f t="shared" si="84"/>
        <v>0</v>
      </c>
      <c r="AJ183" s="91">
        <v>0.18</v>
      </c>
      <c r="AK183" s="5">
        <f t="shared" si="85"/>
        <v>0</v>
      </c>
      <c r="AL183" s="89">
        <f t="shared" si="86"/>
        <v>0</v>
      </c>
      <c r="AP183" s="92"/>
    </row>
    <row r="184" spans="1:42" x14ac:dyDescent="0.35">
      <c r="A184" s="85"/>
      <c r="B184" s="51"/>
      <c r="C184" s="97"/>
      <c r="D184" s="97"/>
      <c r="E184" s="48"/>
      <c r="F184" s="86"/>
      <c r="G184" s="86"/>
      <c r="H184" s="86"/>
      <c r="I184" s="48"/>
      <c r="J184" s="52"/>
      <c r="K184" s="105"/>
      <c r="L184" s="105"/>
      <c r="M184" s="105"/>
      <c r="N184" s="104">
        <f t="shared" si="80"/>
        <v>0</v>
      </c>
      <c r="O184" s="86"/>
      <c r="P184" s="86"/>
      <c r="Q184" s="86"/>
      <c r="R184" s="104">
        <f t="shared" si="79"/>
        <v>0</v>
      </c>
      <c r="S184" s="86">
        <f t="shared" si="81"/>
        <v>0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0</v>
      </c>
      <c r="AF184" s="90">
        <v>6.5000000000000002E-2</v>
      </c>
      <c r="AG184" s="4">
        <f t="shared" si="87"/>
        <v>0</v>
      </c>
      <c r="AH184" s="49">
        <f t="shared" si="83"/>
        <v>0</v>
      </c>
      <c r="AI184" s="89">
        <f t="shared" si="84"/>
        <v>0</v>
      </c>
      <c r="AJ184" s="91">
        <v>0.18</v>
      </c>
      <c r="AK184" s="5">
        <f t="shared" si="85"/>
        <v>0</v>
      </c>
      <c r="AL184" s="89">
        <f t="shared" si="86"/>
        <v>0</v>
      </c>
      <c r="AP184" s="92"/>
    </row>
    <row r="185" spans="1:42" x14ac:dyDescent="0.35">
      <c r="A185" s="85"/>
      <c r="B185" s="51"/>
      <c r="C185" s="97"/>
      <c r="D185" s="97"/>
      <c r="E185" s="48"/>
      <c r="F185" s="86"/>
      <c r="G185" s="86"/>
      <c r="H185" s="86"/>
      <c r="I185" s="48"/>
      <c r="J185" s="52"/>
      <c r="K185" s="86"/>
      <c r="L185" s="105"/>
      <c r="M185" s="105"/>
      <c r="N185" s="104">
        <f t="shared" si="80"/>
        <v>0</v>
      </c>
      <c r="O185" s="86"/>
      <c r="P185" s="105"/>
      <c r="Q185" s="105"/>
      <c r="R185" s="104">
        <f t="shared" si="79"/>
        <v>0</v>
      </c>
      <c r="S185" s="86">
        <f t="shared" si="81"/>
        <v>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0</v>
      </c>
      <c r="AF185" s="90">
        <v>6.5000000000000002E-2</v>
      </c>
      <c r="AG185" s="4">
        <f t="shared" si="87"/>
        <v>0</v>
      </c>
      <c r="AH185" s="49">
        <f t="shared" si="83"/>
        <v>0</v>
      </c>
      <c r="AI185" s="89">
        <f t="shared" si="84"/>
        <v>0</v>
      </c>
      <c r="AJ185" s="91">
        <v>0.18</v>
      </c>
      <c r="AK185" s="5">
        <f t="shared" si="85"/>
        <v>0</v>
      </c>
      <c r="AL185" s="89">
        <f t="shared" si="86"/>
        <v>0</v>
      </c>
      <c r="AP185" s="92"/>
    </row>
    <row r="186" spans="1:42" x14ac:dyDescent="0.35">
      <c r="A186" s="85"/>
      <c r="B186" s="51"/>
      <c r="C186" s="97"/>
      <c r="D186" s="97"/>
      <c r="E186" s="48"/>
      <c r="F186" s="86"/>
      <c r="G186" s="86"/>
      <c r="H186" s="86"/>
      <c r="I186" s="48"/>
      <c r="J186" s="52"/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0</v>
      </c>
      <c r="AF186" s="90">
        <v>6.5000000000000002E-2</v>
      </c>
      <c r="AG186" s="4">
        <f t="shared" si="87"/>
        <v>0</v>
      </c>
      <c r="AH186" s="49">
        <f t="shared" si="83"/>
        <v>0</v>
      </c>
      <c r="AI186" s="89">
        <f t="shared" si="84"/>
        <v>0</v>
      </c>
      <c r="AJ186" s="91">
        <v>0.18</v>
      </c>
      <c r="AK186" s="5">
        <f t="shared" si="85"/>
        <v>0</v>
      </c>
      <c r="AL186" s="89">
        <f t="shared" si="86"/>
        <v>0</v>
      </c>
      <c r="AP186" s="92"/>
    </row>
    <row r="187" spans="1:42" x14ac:dyDescent="0.35">
      <c r="A187" s="85"/>
      <c r="B187" s="51"/>
      <c r="C187" s="97"/>
      <c r="D187" s="97"/>
      <c r="E187" s="48"/>
      <c r="F187" s="86"/>
      <c r="G187" s="86"/>
      <c r="H187" s="86"/>
      <c r="I187" s="48"/>
      <c r="J187" s="52"/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0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0</v>
      </c>
      <c r="AF187" s="90">
        <v>6.5000000000000002E-2</v>
      </c>
      <c r="AG187" s="4">
        <f t="shared" si="87"/>
        <v>0</v>
      </c>
      <c r="AH187" s="49">
        <f t="shared" si="83"/>
        <v>0</v>
      </c>
      <c r="AI187" s="89">
        <f t="shared" si="84"/>
        <v>0</v>
      </c>
      <c r="AJ187" s="91">
        <v>0.18</v>
      </c>
      <c r="AK187" s="5">
        <f t="shared" si="85"/>
        <v>0</v>
      </c>
      <c r="AL187" s="89">
        <f t="shared" si="86"/>
        <v>0</v>
      </c>
      <c r="AP187" s="92"/>
    </row>
    <row r="188" spans="1:42" x14ac:dyDescent="0.35">
      <c r="A188" s="85"/>
      <c r="B188" s="51"/>
      <c r="C188" s="97"/>
      <c r="D188" s="97"/>
      <c r="E188" s="48"/>
      <c r="F188" s="86"/>
      <c r="G188" s="86"/>
      <c r="H188" s="86"/>
      <c r="I188" s="48"/>
      <c r="J188" s="52"/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0</v>
      </c>
      <c r="AF188" s="90">
        <v>6.5000000000000002E-2</v>
      </c>
      <c r="AG188" s="4">
        <f t="shared" si="87"/>
        <v>0</v>
      </c>
      <c r="AH188" s="49">
        <f t="shared" si="83"/>
        <v>0</v>
      </c>
      <c r="AI188" s="89">
        <f t="shared" si="84"/>
        <v>0</v>
      </c>
      <c r="AJ188" s="91">
        <v>0.18</v>
      </c>
      <c r="AK188" s="5">
        <f t="shared" si="85"/>
        <v>0</v>
      </c>
      <c r="AL188" s="89">
        <f t="shared" si="86"/>
        <v>0</v>
      </c>
      <c r="AP188" s="92"/>
    </row>
    <row r="189" spans="1:42" x14ac:dyDescent="0.35">
      <c r="A189" s="85"/>
      <c r="B189" s="51"/>
      <c r="C189" s="97"/>
      <c r="D189" s="97"/>
      <c r="E189" s="48"/>
      <c r="F189" s="86"/>
      <c r="G189" s="86"/>
      <c r="H189" s="86"/>
      <c r="I189" s="48"/>
      <c r="J189" s="52"/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0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0</v>
      </c>
      <c r="AF189" s="90">
        <v>6.5000000000000002E-2</v>
      </c>
      <c r="AG189" s="4">
        <f t="shared" si="87"/>
        <v>0</v>
      </c>
      <c r="AH189" s="49">
        <f t="shared" si="83"/>
        <v>0</v>
      </c>
      <c r="AI189" s="89">
        <f t="shared" si="84"/>
        <v>0</v>
      </c>
      <c r="AJ189" s="91">
        <v>0.18</v>
      </c>
      <c r="AK189" s="5">
        <f t="shared" si="85"/>
        <v>0</v>
      </c>
      <c r="AL189" s="89">
        <f t="shared" si="86"/>
        <v>0</v>
      </c>
      <c r="AP189" s="92"/>
    </row>
    <row r="190" spans="1:42" x14ac:dyDescent="0.35">
      <c r="A190" s="85"/>
      <c r="B190" s="51"/>
      <c r="C190" s="97"/>
      <c r="D190" s="97"/>
      <c r="E190" s="48"/>
      <c r="F190" s="86"/>
      <c r="G190" s="86"/>
      <c r="H190" s="86"/>
      <c r="I190" s="48"/>
      <c r="J190" s="52"/>
      <c r="K190" s="86"/>
      <c r="L190" s="86"/>
      <c r="M190" s="86"/>
      <c r="N190" s="104">
        <f t="shared" si="80"/>
        <v>0</v>
      </c>
      <c r="O190" s="86"/>
      <c r="P190" s="86"/>
      <c r="Q190" s="86"/>
      <c r="R190" s="104">
        <f t="shared" si="79"/>
        <v>0</v>
      </c>
      <c r="S190" s="86">
        <f t="shared" si="81"/>
        <v>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0</v>
      </c>
      <c r="AF190" s="90">
        <v>6.5000000000000002E-2</v>
      </c>
      <c r="AG190" s="4">
        <f t="shared" si="87"/>
        <v>0</v>
      </c>
      <c r="AH190" s="49">
        <f t="shared" si="83"/>
        <v>0</v>
      </c>
      <c r="AI190" s="89">
        <f t="shared" si="84"/>
        <v>0</v>
      </c>
      <c r="AJ190" s="91">
        <v>0.18</v>
      </c>
      <c r="AK190" s="5">
        <f t="shared" si="85"/>
        <v>0</v>
      </c>
      <c r="AL190" s="89">
        <f t="shared" si="86"/>
        <v>0</v>
      </c>
      <c r="AP190" s="92"/>
    </row>
    <row r="191" spans="1:42" x14ac:dyDescent="0.35">
      <c r="A191" s="85"/>
      <c r="B191" s="51"/>
      <c r="C191" s="97"/>
      <c r="D191" s="97"/>
      <c r="E191" s="48"/>
      <c r="F191" s="86"/>
      <c r="G191" s="86"/>
      <c r="H191" s="86"/>
      <c r="I191" s="48"/>
      <c r="J191" s="52"/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0</v>
      </c>
      <c r="AF191" s="90">
        <v>6.5000000000000002E-2</v>
      </c>
      <c r="AG191" s="4">
        <f t="shared" si="87"/>
        <v>0</v>
      </c>
      <c r="AH191" s="49">
        <f t="shared" si="83"/>
        <v>0</v>
      </c>
      <c r="AI191" s="89">
        <f t="shared" si="84"/>
        <v>0</v>
      </c>
      <c r="AJ191" s="91">
        <v>0.18</v>
      </c>
      <c r="AK191" s="5">
        <f t="shared" si="85"/>
        <v>0</v>
      </c>
      <c r="AL191" s="89">
        <f t="shared" si="86"/>
        <v>0</v>
      </c>
      <c r="AP191" s="92"/>
    </row>
    <row r="192" spans="1:42" x14ac:dyDescent="0.35">
      <c r="A192" s="85"/>
      <c r="B192" s="51"/>
      <c r="C192" s="97"/>
      <c r="D192" s="97"/>
      <c r="E192" s="48"/>
      <c r="F192" s="86"/>
      <c r="G192" s="86"/>
      <c r="H192" s="86"/>
      <c r="I192" s="48"/>
      <c r="J192" s="52"/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0</v>
      </c>
      <c r="AF192" s="90">
        <v>6.5000000000000002E-2</v>
      </c>
      <c r="AG192" s="4">
        <f t="shared" si="87"/>
        <v>0</v>
      </c>
      <c r="AH192" s="49">
        <f t="shared" si="83"/>
        <v>0</v>
      </c>
      <c r="AI192" s="89">
        <f t="shared" si="84"/>
        <v>0</v>
      </c>
      <c r="AJ192" s="91">
        <v>0.18</v>
      </c>
      <c r="AK192" s="5">
        <f t="shared" si="85"/>
        <v>0</v>
      </c>
      <c r="AL192" s="89">
        <f t="shared" si="86"/>
        <v>0</v>
      </c>
      <c r="AP192" s="92"/>
    </row>
    <row r="193" spans="1:42" x14ac:dyDescent="0.35">
      <c r="A193" s="85"/>
      <c r="B193" s="51"/>
      <c r="C193" s="97"/>
      <c r="D193" s="97"/>
      <c r="E193" s="48"/>
      <c r="F193" s="86"/>
      <c r="G193" s="86"/>
      <c r="H193" s="86"/>
      <c r="I193" s="48"/>
      <c r="J193" s="52"/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0</v>
      </c>
      <c r="AF193" s="90">
        <v>6.5000000000000002E-2</v>
      </c>
      <c r="AG193" s="4">
        <f t="shared" si="87"/>
        <v>0</v>
      </c>
      <c r="AH193" s="49">
        <f t="shared" si="83"/>
        <v>0</v>
      </c>
      <c r="AI193" s="89">
        <f t="shared" si="84"/>
        <v>0</v>
      </c>
      <c r="AJ193" s="91">
        <v>0.18</v>
      </c>
      <c r="AK193" s="5">
        <f t="shared" si="85"/>
        <v>0</v>
      </c>
      <c r="AL193" s="89">
        <f t="shared" si="86"/>
        <v>0</v>
      </c>
      <c r="AP193" s="92"/>
    </row>
    <row r="194" spans="1:42" x14ac:dyDescent="0.35">
      <c r="A194" s="85"/>
      <c r="B194" s="51"/>
      <c r="C194" s="97"/>
      <c r="D194" s="97"/>
      <c r="E194" s="48"/>
      <c r="F194" s="86"/>
      <c r="G194" s="86"/>
      <c r="H194" s="86"/>
      <c r="I194" s="48"/>
      <c r="J194" s="52"/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0</v>
      </c>
      <c r="AF194" s="90">
        <v>6.5000000000000002E-2</v>
      </c>
      <c r="AG194" s="4">
        <f t="shared" si="87"/>
        <v>0</v>
      </c>
      <c r="AH194" s="49">
        <f t="shared" si="83"/>
        <v>0</v>
      </c>
      <c r="AI194" s="89">
        <f t="shared" si="84"/>
        <v>0</v>
      </c>
      <c r="AJ194" s="91">
        <v>0.18</v>
      </c>
      <c r="AK194" s="5">
        <f t="shared" si="85"/>
        <v>0</v>
      </c>
      <c r="AL194" s="89">
        <f t="shared" si="86"/>
        <v>0</v>
      </c>
      <c r="AP194" s="92"/>
    </row>
    <row r="195" spans="1:42" x14ac:dyDescent="0.35">
      <c r="A195" s="85"/>
      <c r="B195" s="51"/>
      <c r="C195" s="97"/>
      <c r="D195" s="97"/>
      <c r="E195" s="48"/>
      <c r="F195" s="86"/>
      <c r="G195" s="86"/>
      <c r="H195" s="86"/>
      <c r="I195" s="48"/>
      <c r="J195" s="52"/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0</v>
      </c>
      <c r="AF195" s="90">
        <v>6.5000000000000002E-2</v>
      </c>
      <c r="AG195" s="4">
        <f t="shared" si="87"/>
        <v>0</v>
      </c>
      <c r="AH195" s="49">
        <f t="shared" si="83"/>
        <v>0</v>
      </c>
      <c r="AI195" s="89">
        <f t="shared" si="84"/>
        <v>0</v>
      </c>
      <c r="AJ195" s="91">
        <v>0.18</v>
      </c>
      <c r="AK195" s="5">
        <f t="shared" si="85"/>
        <v>0</v>
      </c>
      <c r="AL195" s="89">
        <f t="shared" si="86"/>
        <v>0</v>
      </c>
      <c r="AP195" s="92"/>
    </row>
    <row r="196" spans="1:42" x14ac:dyDescent="0.35">
      <c r="A196" s="85"/>
      <c r="B196" s="51"/>
      <c r="C196" s="97"/>
      <c r="D196" s="97"/>
      <c r="E196" s="48"/>
      <c r="F196" s="86"/>
      <c r="G196" s="86"/>
      <c r="H196" s="86"/>
      <c r="I196" s="48"/>
      <c r="J196" s="52"/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0</v>
      </c>
      <c r="AF196" s="90">
        <v>6.5000000000000002E-2</v>
      </c>
      <c r="AG196" s="4">
        <f t="shared" si="87"/>
        <v>0</v>
      </c>
      <c r="AH196" s="49">
        <f t="shared" si="83"/>
        <v>0</v>
      </c>
      <c r="AI196" s="89">
        <f t="shared" si="84"/>
        <v>0</v>
      </c>
      <c r="AJ196" s="91">
        <v>0.18</v>
      </c>
      <c r="AK196" s="5">
        <f t="shared" si="85"/>
        <v>0</v>
      </c>
      <c r="AL196" s="89">
        <f t="shared" si="86"/>
        <v>0</v>
      </c>
      <c r="AP196" s="92"/>
    </row>
    <row r="197" spans="1:42" x14ac:dyDescent="0.35">
      <c r="A197" s="85"/>
      <c r="B197" s="51"/>
      <c r="C197" s="97"/>
      <c r="D197" s="97"/>
      <c r="E197" s="48"/>
      <c r="F197" s="86"/>
      <c r="G197" s="86"/>
      <c r="H197" s="86"/>
      <c r="I197" s="48"/>
      <c r="J197" s="52"/>
      <c r="K197" s="86"/>
      <c r="L197" s="86"/>
      <c r="M197" s="86"/>
      <c r="N197" s="104">
        <f t="shared" ref="N197:N260" si="89">K197+L197+M197</f>
        <v>0</v>
      </c>
      <c r="O197" s="86"/>
      <c r="P197" s="86"/>
      <c r="Q197" s="86"/>
      <c r="R197" s="104">
        <f t="shared" si="88"/>
        <v>0</v>
      </c>
      <c r="S197" s="86">
        <f t="shared" ref="S197:S260" si="90">R197+N197+J197</f>
        <v>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0</v>
      </c>
      <c r="AF197" s="90">
        <v>6.5000000000000002E-2</v>
      </c>
      <c r="AG197" s="4">
        <f t="shared" si="87"/>
        <v>0</v>
      </c>
      <c r="AH197" s="49">
        <f t="shared" si="83"/>
        <v>0</v>
      </c>
      <c r="AI197" s="89">
        <f t="shared" si="84"/>
        <v>0</v>
      </c>
      <c r="AJ197" s="91">
        <v>0.18</v>
      </c>
      <c r="AK197" s="5">
        <f t="shared" si="85"/>
        <v>0</v>
      </c>
      <c r="AL197" s="89">
        <f t="shared" si="86"/>
        <v>0</v>
      </c>
      <c r="AP197" s="92"/>
    </row>
    <row r="198" spans="1:42" x14ac:dyDescent="0.35">
      <c r="A198" s="85"/>
      <c r="B198" s="51"/>
      <c r="C198" s="97"/>
      <c r="D198" s="97"/>
      <c r="E198" s="48"/>
      <c r="F198" s="86"/>
      <c r="G198" s="86"/>
      <c r="H198" s="86"/>
      <c r="I198" s="48"/>
      <c r="J198" s="52"/>
      <c r="K198" s="86"/>
      <c r="L198" s="86"/>
      <c r="M198" s="105"/>
      <c r="N198" s="104">
        <f t="shared" si="89"/>
        <v>0</v>
      </c>
      <c r="O198" s="86"/>
      <c r="P198" s="86"/>
      <c r="Q198" s="86"/>
      <c r="R198" s="104">
        <f t="shared" si="88"/>
        <v>0</v>
      </c>
      <c r="S198" s="86">
        <f t="shared" si="90"/>
        <v>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0</v>
      </c>
      <c r="AF198" s="90">
        <v>6.5000000000000002E-2</v>
      </c>
      <c r="AG198" s="4">
        <f t="shared" si="87"/>
        <v>0</v>
      </c>
      <c r="AH198" s="49">
        <f t="shared" si="83"/>
        <v>0</v>
      </c>
      <c r="AI198" s="89">
        <f t="shared" si="84"/>
        <v>0</v>
      </c>
      <c r="AJ198" s="91">
        <v>0.18</v>
      </c>
      <c r="AK198" s="5">
        <f t="shared" si="85"/>
        <v>0</v>
      </c>
      <c r="AL198" s="89">
        <f t="shared" si="86"/>
        <v>0</v>
      </c>
      <c r="AP198" s="92"/>
    </row>
    <row r="199" spans="1:42" x14ac:dyDescent="0.35">
      <c r="A199" s="85"/>
      <c r="B199" s="51"/>
      <c r="C199" s="97"/>
      <c r="D199" s="97"/>
      <c r="E199" s="48"/>
      <c r="F199" s="86"/>
      <c r="G199" s="86"/>
      <c r="H199" s="86"/>
      <c r="I199" s="48"/>
      <c r="J199" s="52"/>
      <c r="K199" s="105"/>
      <c r="L199" s="105"/>
      <c r="M199" s="105"/>
      <c r="N199" s="104">
        <f t="shared" si="89"/>
        <v>0</v>
      </c>
      <c r="O199" s="86"/>
      <c r="P199" s="86"/>
      <c r="Q199" s="86"/>
      <c r="R199" s="104">
        <f t="shared" si="88"/>
        <v>0</v>
      </c>
      <c r="S199" s="86">
        <f t="shared" si="90"/>
        <v>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0</v>
      </c>
      <c r="AF199" s="90">
        <v>6.5000000000000002E-2</v>
      </c>
      <c r="AG199" s="4">
        <f t="shared" si="87"/>
        <v>0</v>
      </c>
      <c r="AH199" s="49">
        <f t="shared" si="83"/>
        <v>0</v>
      </c>
      <c r="AI199" s="89">
        <f t="shared" si="84"/>
        <v>0</v>
      </c>
      <c r="AJ199" s="91">
        <v>0.18</v>
      </c>
      <c r="AK199" s="5">
        <f t="shared" si="85"/>
        <v>0</v>
      </c>
      <c r="AL199" s="89">
        <f t="shared" si="86"/>
        <v>0</v>
      </c>
      <c r="AP199" s="92"/>
    </row>
    <row r="200" spans="1:42" x14ac:dyDescent="0.35">
      <c r="A200" s="85"/>
      <c r="B200" s="51"/>
      <c r="C200" s="97"/>
      <c r="D200" s="97"/>
      <c r="E200" s="48"/>
      <c r="F200" s="86"/>
      <c r="G200" s="86"/>
      <c r="H200" s="86"/>
      <c r="I200" s="48"/>
      <c r="J200" s="52"/>
      <c r="K200" s="86"/>
      <c r="L200" s="86"/>
      <c r="M200" s="86"/>
      <c r="N200" s="104">
        <f t="shared" si="89"/>
        <v>0</v>
      </c>
      <c r="O200" s="105"/>
      <c r="P200" s="105"/>
      <c r="Q200" s="105"/>
      <c r="R200" s="104">
        <f t="shared" si="88"/>
        <v>0</v>
      </c>
      <c r="S200" s="86">
        <f t="shared" si="90"/>
        <v>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0</v>
      </c>
      <c r="AF200" s="90">
        <v>6.5000000000000002E-2</v>
      </c>
      <c r="AG200" s="4">
        <f t="shared" si="87"/>
        <v>0</v>
      </c>
      <c r="AH200" s="49">
        <f t="shared" si="83"/>
        <v>0</v>
      </c>
      <c r="AI200" s="89">
        <f t="shared" si="84"/>
        <v>0</v>
      </c>
      <c r="AJ200" s="91">
        <v>0.18</v>
      </c>
      <c r="AK200" s="5">
        <f t="shared" si="85"/>
        <v>0</v>
      </c>
      <c r="AL200" s="89">
        <f t="shared" si="86"/>
        <v>0</v>
      </c>
      <c r="AP200" s="92"/>
    </row>
    <row r="201" spans="1:42" x14ac:dyDescent="0.35">
      <c r="A201" s="85"/>
      <c r="B201" s="51"/>
      <c r="C201" s="97"/>
      <c r="D201" s="97"/>
      <c r="E201" s="48"/>
      <c r="F201" s="86"/>
      <c r="G201" s="86"/>
      <c r="H201" s="86"/>
      <c r="I201" s="48"/>
      <c r="J201" s="52"/>
      <c r="K201" s="86"/>
      <c r="L201" s="86"/>
      <c r="M201" s="86"/>
      <c r="N201" s="104">
        <f t="shared" si="89"/>
        <v>0</v>
      </c>
      <c r="O201" s="105"/>
      <c r="P201" s="105"/>
      <c r="Q201" s="105"/>
      <c r="R201" s="104">
        <f t="shared" si="88"/>
        <v>0</v>
      </c>
      <c r="S201" s="86">
        <f t="shared" si="90"/>
        <v>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0</v>
      </c>
      <c r="AF201" s="90">
        <v>6.5000000000000002E-2</v>
      </c>
      <c r="AG201" s="4">
        <f t="shared" si="87"/>
        <v>0</v>
      </c>
      <c r="AH201" s="49">
        <f t="shared" si="83"/>
        <v>0</v>
      </c>
      <c r="AI201" s="89">
        <f t="shared" si="84"/>
        <v>0</v>
      </c>
      <c r="AJ201" s="91">
        <v>0.18</v>
      </c>
      <c r="AK201" s="5">
        <f t="shared" si="85"/>
        <v>0</v>
      </c>
      <c r="AL201" s="89">
        <f t="shared" si="86"/>
        <v>0</v>
      </c>
      <c r="AP201" s="92"/>
    </row>
    <row r="202" spans="1:42" x14ac:dyDescent="0.35">
      <c r="A202" s="85"/>
      <c r="B202" s="51"/>
      <c r="C202" s="97"/>
      <c r="D202" s="97"/>
      <c r="E202" s="48"/>
      <c r="F202" s="86"/>
      <c r="G202" s="86"/>
      <c r="H202" s="86"/>
      <c r="I202" s="48"/>
      <c r="J202" s="52"/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0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0</v>
      </c>
      <c r="AF202" s="90">
        <v>6.5000000000000002E-2</v>
      </c>
      <c r="AG202" s="4">
        <f t="shared" si="87"/>
        <v>0</v>
      </c>
      <c r="AH202" s="49">
        <f t="shared" si="83"/>
        <v>0</v>
      </c>
      <c r="AI202" s="89">
        <f t="shared" si="84"/>
        <v>0</v>
      </c>
      <c r="AJ202" s="91">
        <v>0.18</v>
      </c>
      <c r="AK202" s="5">
        <f t="shared" si="85"/>
        <v>0</v>
      </c>
      <c r="AL202" s="89">
        <f t="shared" si="86"/>
        <v>0</v>
      </c>
      <c r="AP202" s="92"/>
    </row>
    <row r="203" spans="1:42" x14ac:dyDescent="0.35">
      <c r="A203" s="85"/>
      <c r="B203" s="51"/>
      <c r="C203" s="97"/>
      <c r="D203" s="97"/>
      <c r="E203" s="48"/>
      <c r="F203" s="86"/>
      <c r="G203" s="86"/>
      <c r="H203" s="86"/>
      <c r="I203" s="48"/>
      <c r="J203" s="52"/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0</v>
      </c>
      <c r="AF203" s="90">
        <v>6.5000000000000002E-2</v>
      </c>
      <c r="AG203" s="4">
        <f t="shared" si="87"/>
        <v>0</v>
      </c>
      <c r="AH203" s="49">
        <f t="shared" si="83"/>
        <v>0</v>
      </c>
      <c r="AI203" s="89">
        <f t="shared" si="84"/>
        <v>0</v>
      </c>
      <c r="AJ203" s="91">
        <v>0.18</v>
      </c>
      <c r="AK203" s="5">
        <f t="shared" si="85"/>
        <v>0</v>
      </c>
      <c r="AL203" s="89">
        <f t="shared" si="86"/>
        <v>0</v>
      </c>
      <c r="AP203" s="92"/>
    </row>
    <row r="204" spans="1:42" x14ac:dyDescent="0.35">
      <c r="A204" s="85"/>
      <c r="B204" s="51"/>
      <c r="C204" s="97"/>
      <c r="D204" s="97"/>
      <c r="E204" s="48"/>
      <c r="F204" s="86"/>
      <c r="G204" s="86"/>
      <c r="H204" s="86"/>
      <c r="I204" s="48"/>
      <c r="J204" s="52"/>
      <c r="K204" s="86"/>
      <c r="L204" s="86"/>
      <c r="M204" s="86"/>
      <c r="N204" s="104">
        <f t="shared" si="89"/>
        <v>0</v>
      </c>
      <c r="O204" s="105"/>
      <c r="P204" s="105"/>
      <c r="Q204" s="105"/>
      <c r="R204" s="104">
        <f t="shared" si="88"/>
        <v>0</v>
      </c>
      <c r="S204" s="86">
        <f t="shared" si="90"/>
        <v>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0</v>
      </c>
      <c r="AF204" s="90">
        <v>6.5000000000000002E-2</v>
      </c>
      <c r="AG204" s="4">
        <f t="shared" si="87"/>
        <v>0</v>
      </c>
      <c r="AH204" s="49">
        <f t="shared" si="83"/>
        <v>0</v>
      </c>
      <c r="AI204" s="89">
        <f t="shared" si="84"/>
        <v>0</v>
      </c>
      <c r="AJ204" s="91">
        <v>0.18</v>
      </c>
      <c r="AK204" s="5">
        <f t="shared" si="85"/>
        <v>0</v>
      </c>
      <c r="AL204" s="89">
        <f t="shared" si="86"/>
        <v>0</v>
      </c>
      <c r="AP204" s="92"/>
    </row>
    <row r="205" spans="1:42" x14ac:dyDescent="0.35">
      <c r="A205" s="85"/>
      <c r="B205" s="51"/>
      <c r="C205" s="97"/>
      <c r="D205" s="97"/>
      <c r="E205" s="48"/>
      <c r="F205" s="86"/>
      <c r="G205" s="86"/>
      <c r="H205" s="86"/>
      <c r="I205" s="48"/>
      <c r="J205" s="52"/>
      <c r="K205" s="86"/>
      <c r="L205" s="86"/>
      <c r="M205" s="86"/>
      <c r="N205" s="104">
        <f t="shared" si="89"/>
        <v>0</v>
      </c>
      <c r="O205" s="105"/>
      <c r="P205" s="105"/>
      <c r="Q205" s="105"/>
      <c r="R205" s="104">
        <f t="shared" si="88"/>
        <v>0</v>
      </c>
      <c r="S205" s="86">
        <f t="shared" si="90"/>
        <v>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0</v>
      </c>
      <c r="AF205" s="90">
        <v>6.5000000000000002E-2</v>
      </c>
      <c r="AG205" s="4">
        <f t="shared" si="87"/>
        <v>0</v>
      </c>
      <c r="AH205" s="49">
        <f t="shared" si="83"/>
        <v>0</v>
      </c>
      <c r="AI205" s="89">
        <f t="shared" si="84"/>
        <v>0</v>
      </c>
      <c r="AJ205" s="91">
        <v>0.18</v>
      </c>
      <c r="AK205" s="5">
        <f t="shared" si="85"/>
        <v>0</v>
      </c>
      <c r="AL205" s="89">
        <f t="shared" si="86"/>
        <v>0</v>
      </c>
      <c r="AP205" s="92"/>
    </row>
    <row r="206" spans="1:42" x14ac:dyDescent="0.35">
      <c r="A206" s="85"/>
      <c r="B206" s="51"/>
      <c r="C206" s="97"/>
      <c r="D206" s="97"/>
      <c r="E206" s="48"/>
      <c r="F206" s="86"/>
      <c r="G206" s="86"/>
      <c r="H206" s="86"/>
      <c r="I206" s="48"/>
      <c r="J206" s="52"/>
      <c r="K206" s="86"/>
      <c r="L206" s="86"/>
      <c r="M206" s="86"/>
      <c r="N206" s="104">
        <f t="shared" si="89"/>
        <v>0</v>
      </c>
      <c r="O206" s="105"/>
      <c r="P206" s="105"/>
      <c r="Q206" s="105"/>
      <c r="R206" s="104">
        <f t="shared" si="88"/>
        <v>0</v>
      </c>
      <c r="S206" s="86">
        <f t="shared" si="90"/>
        <v>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0</v>
      </c>
      <c r="AF206" s="90">
        <v>6.5000000000000002E-2</v>
      </c>
      <c r="AG206" s="4">
        <f t="shared" si="87"/>
        <v>0</v>
      </c>
      <c r="AH206" s="49">
        <f t="shared" si="83"/>
        <v>0</v>
      </c>
      <c r="AI206" s="89">
        <f t="shared" si="84"/>
        <v>0</v>
      </c>
      <c r="AJ206" s="91">
        <v>0.18</v>
      </c>
      <c r="AK206" s="5">
        <f t="shared" si="85"/>
        <v>0</v>
      </c>
      <c r="AL206" s="89">
        <f t="shared" si="86"/>
        <v>0</v>
      </c>
      <c r="AP206" s="92"/>
    </row>
    <row r="207" spans="1:42" x14ac:dyDescent="0.35">
      <c r="A207" s="85"/>
      <c r="B207" s="51"/>
      <c r="C207" s="97"/>
      <c r="D207" s="97"/>
      <c r="E207" s="48"/>
      <c r="F207" s="86"/>
      <c r="G207" s="86"/>
      <c r="H207" s="86"/>
      <c r="I207" s="48"/>
      <c r="J207" s="52"/>
      <c r="K207" s="86"/>
      <c r="L207" s="86"/>
      <c r="M207" s="86"/>
      <c r="N207" s="104">
        <f t="shared" si="89"/>
        <v>0</v>
      </c>
      <c r="O207" s="105"/>
      <c r="P207" s="105"/>
      <c r="Q207" s="105"/>
      <c r="R207" s="104">
        <f t="shared" si="88"/>
        <v>0</v>
      </c>
      <c r="S207" s="86">
        <f t="shared" si="90"/>
        <v>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0</v>
      </c>
      <c r="AF207" s="90">
        <v>6.5000000000000002E-2</v>
      </c>
      <c r="AG207" s="4">
        <f t="shared" si="87"/>
        <v>0</v>
      </c>
      <c r="AH207" s="49">
        <f t="shared" si="83"/>
        <v>0</v>
      </c>
      <c r="AI207" s="89">
        <f t="shared" si="84"/>
        <v>0</v>
      </c>
      <c r="AJ207" s="91">
        <v>0.18</v>
      </c>
      <c r="AK207" s="5">
        <f t="shared" si="85"/>
        <v>0</v>
      </c>
      <c r="AL207" s="89">
        <f t="shared" si="86"/>
        <v>0</v>
      </c>
      <c r="AP207" s="92"/>
    </row>
    <row r="208" spans="1:42" x14ac:dyDescent="0.35">
      <c r="A208" s="85"/>
      <c r="B208" s="51"/>
      <c r="C208" s="97"/>
      <c r="D208" s="97"/>
      <c r="E208" s="48"/>
      <c r="F208" s="86"/>
      <c r="G208" s="86"/>
      <c r="H208" s="86"/>
      <c r="I208" s="48"/>
      <c r="J208" s="52"/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0</v>
      </c>
      <c r="AF208" s="90">
        <v>6.5000000000000002E-2</v>
      </c>
      <c r="AG208" s="4">
        <f t="shared" si="87"/>
        <v>0</v>
      </c>
      <c r="AH208" s="49">
        <f t="shared" si="83"/>
        <v>0</v>
      </c>
      <c r="AI208" s="89">
        <f t="shared" si="84"/>
        <v>0</v>
      </c>
      <c r="AJ208" s="91">
        <v>0.18</v>
      </c>
      <c r="AK208" s="5">
        <f t="shared" si="85"/>
        <v>0</v>
      </c>
      <c r="AL208" s="89">
        <f t="shared" si="86"/>
        <v>0</v>
      </c>
      <c r="AP208" s="92"/>
    </row>
    <row r="209" spans="1:42" x14ac:dyDescent="0.35">
      <c r="A209" s="85"/>
      <c r="B209" s="51"/>
      <c r="C209" s="97"/>
      <c r="D209" s="97"/>
      <c r="E209" s="48"/>
      <c r="F209" s="86"/>
      <c r="G209" s="86"/>
      <c r="H209" s="86"/>
      <c r="I209" s="48"/>
      <c r="J209" s="52"/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0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0</v>
      </c>
      <c r="AF209" s="90">
        <v>6.5000000000000002E-2</v>
      </c>
      <c r="AG209" s="4">
        <f t="shared" si="87"/>
        <v>0</v>
      </c>
      <c r="AH209" s="49">
        <f t="shared" si="83"/>
        <v>0</v>
      </c>
      <c r="AI209" s="89">
        <f t="shared" si="84"/>
        <v>0</v>
      </c>
      <c r="AJ209" s="91">
        <v>0.18</v>
      </c>
      <c r="AK209" s="5">
        <f t="shared" si="85"/>
        <v>0</v>
      </c>
      <c r="AL209" s="89">
        <f t="shared" si="86"/>
        <v>0</v>
      </c>
      <c r="AP209" s="92"/>
    </row>
    <row r="210" spans="1:42" x14ac:dyDescent="0.35">
      <c r="A210" s="85"/>
      <c r="B210" s="51"/>
      <c r="C210" s="97"/>
      <c r="D210" s="97"/>
      <c r="E210" s="48"/>
      <c r="F210" s="86"/>
      <c r="G210" s="86"/>
      <c r="H210" s="86"/>
      <c r="I210" s="48"/>
      <c r="J210" s="52"/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0</v>
      </c>
      <c r="AF210" s="90">
        <v>6.5000000000000002E-2</v>
      </c>
      <c r="AG210" s="4">
        <f t="shared" si="87"/>
        <v>0</v>
      </c>
      <c r="AH210" s="49">
        <f t="shared" si="83"/>
        <v>0</v>
      </c>
      <c r="AI210" s="89">
        <f t="shared" si="84"/>
        <v>0</v>
      </c>
      <c r="AJ210" s="91">
        <v>0.18</v>
      </c>
      <c r="AK210" s="5">
        <f t="shared" si="85"/>
        <v>0</v>
      </c>
      <c r="AL210" s="89">
        <f t="shared" si="86"/>
        <v>0</v>
      </c>
      <c r="AP210" s="92"/>
    </row>
    <row r="211" spans="1:42" x14ac:dyDescent="0.35">
      <c r="A211" s="85"/>
      <c r="B211" s="51"/>
      <c r="C211" s="97"/>
      <c r="D211" s="97"/>
      <c r="E211" s="48"/>
      <c r="F211" s="86"/>
      <c r="G211" s="86"/>
      <c r="H211" s="86"/>
      <c r="I211" s="48"/>
      <c r="J211" s="52"/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0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0</v>
      </c>
      <c r="AF211" s="90">
        <v>6.5000000000000002E-2</v>
      </c>
      <c r="AG211" s="4">
        <f t="shared" si="87"/>
        <v>0</v>
      </c>
      <c r="AH211" s="49">
        <f t="shared" si="83"/>
        <v>0</v>
      </c>
      <c r="AI211" s="89">
        <f t="shared" si="84"/>
        <v>0</v>
      </c>
      <c r="AJ211" s="91">
        <v>0.18</v>
      </c>
      <c r="AK211" s="5">
        <f t="shared" si="85"/>
        <v>0</v>
      </c>
      <c r="AL211" s="89">
        <f t="shared" si="86"/>
        <v>0</v>
      </c>
      <c r="AP211" s="92"/>
    </row>
    <row r="212" spans="1:42" x14ac:dyDescent="0.35">
      <c r="A212" s="85"/>
      <c r="B212" s="51"/>
      <c r="C212" s="97"/>
      <c r="D212" s="97"/>
      <c r="E212" s="48"/>
      <c r="F212" s="86"/>
      <c r="G212" s="86"/>
      <c r="H212" s="86"/>
      <c r="I212" s="48"/>
      <c r="J212" s="52"/>
      <c r="K212" s="86"/>
      <c r="L212" s="86"/>
      <c r="M212" s="86"/>
      <c r="N212" s="104">
        <f t="shared" si="89"/>
        <v>0</v>
      </c>
      <c r="O212" s="105"/>
      <c r="P212" s="105"/>
      <c r="Q212" s="105"/>
      <c r="R212" s="104">
        <f t="shared" si="88"/>
        <v>0</v>
      </c>
      <c r="S212" s="86">
        <f t="shared" si="90"/>
        <v>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0</v>
      </c>
      <c r="AF212" s="90">
        <v>6.5000000000000002E-2</v>
      </c>
      <c r="AG212" s="4">
        <f t="shared" si="87"/>
        <v>0</v>
      </c>
      <c r="AH212" s="49">
        <f t="shared" si="83"/>
        <v>0</v>
      </c>
      <c r="AI212" s="89">
        <f t="shared" si="84"/>
        <v>0</v>
      </c>
      <c r="AJ212" s="91">
        <v>0.18</v>
      </c>
      <c r="AK212" s="5">
        <f t="shared" si="85"/>
        <v>0</v>
      </c>
      <c r="AL212" s="89">
        <f t="shared" si="86"/>
        <v>0</v>
      </c>
      <c r="AP212" s="92"/>
    </row>
    <row r="213" spans="1:42" x14ac:dyDescent="0.35">
      <c r="A213" s="85"/>
      <c r="B213" s="51"/>
      <c r="C213" s="97"/>
      <c r="D213" s="97"/>
      <c r="E213" s="48"/>
      <c r="F213" s="86"/>
      <c r="G213" s="86"/>
      <c r="H213" s="86"/>
      <c r="I213" s="48"/>
      <c r="J213" s="52"/>
      <c r="K213" s="86"/>
      <c r="L213" s="86"/>
      <c r="M213" s="86"/>
      <c r="N213" s="104">
        <f t="shared" si="89"/>
        <v>0</v>
      </c>
      <c r="O213" s="105"/>
      <c r="P213" s="105"/>
      <c r="Q213" s="105"/>
      <c r="R213" s="104">
        <f t="shared" si="88"/>
        <v>0</v>
      </c>
      <c r="S213" s="86">
        <f t="shared" si="90"/>
        <v>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0</v>
      </c>
      <c r="AF213" s="90">
        <v>6.5000000000000002E-2</v>
      </c>
      <c r="AG213" s="4">
        <f t="shared" si="87"/>
        <v>0</v>
      </c>
      <c r="AH213" s="49">
        <f t="shared" si="83"/>
        <v>0</v>
      </c>
      <c r="AI213" s="89">
        <f t="shared" si="84"/>
        <v>0</v>
      </c>
      <c r="AJ213" s="91">
        <v>0.18</v>
      </c>
      <c r="AK213" s="5">
        <f t="shared" si="85"/>
        <v>0</v>
      </c>
      <c r="AL213" s="89">
        <f t="shared" si="86"/>
        <v>0</v>
      </c>
      <c r="AP213" s="92"/>
    </row>
    <row r="214" spans="1:42" x14ac:dyDescent="0.35">
      <c r="A214" s="85"/>
      <c r="B214" s="51"/>
      <c r="C214" s="97"/>
      <c r="D214" s="97"/>
      <c r="E214" s="48"/>
      <c r="F214" s="86"/>
      <c r="G214" s="86"/>
      <c r="H214" s="86"/>
      <c r="I214" s="48"/>
      <c r="J214" s="52"/>
      <c r="K214" s="86"/>
      <c r="L214" s="86"/>
      <c r="M214" s="86"/>
      <c r="N214" s="104">
        <f t="shared" si="89"/>
        <v>0</v>
      </c>
      <c r="O214" s="105"/>
      <c r="P214" s="105"/>
      <c r="Q214" s="105"/>
      <c r="R214" s="104">
        <f t="shared" si="88"/>
        <v>0</v>
      </c>
      <c r="S214" s="86">
        <f t="shared" si="90"/>
        <v>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0</v>
      </c>
      <c r="AF214" s="90">
        <v>0.1</v>
      </c>
      <c r="AG214" s="4">
        <f t="shared" si="87"/>
        <v>0</v>
      </c>
      <c r="AH214" s="49">
        <f t="shared" ref="AH214:AH274" si="92">(AB214*J214)*$AH$1</f>
        <v>0</v>
      </c>
      <c r="AI214" s="89">
        <f t="shared" ref="AI214:AI274" si="93">AE214-AG214</f>
        <v>0</v>
      </c>
      <c r="AJ214" s="91">
        <v>0.18</v>
      </c>
      <c r="AK214" s="5">
        <f t="shared" ref="AK214:AK274" si="94">AI214*AJ214</f>
        <v>0</v>
      </c>
      <c r="AL214" s="89">
        <f t="shared" ref="AL214:AL274" si="95">AI214+AK214</f>
        <v>0</v>
      </c>
      <c r="AP214" s="92"/>
    </row>
    <row r="215" spans="1:42" x14ac:dyDescent="0.35">
      <c r="A215" s="85"/>
      <c r="B215" s="51"/>
      <c r="C215" s="97"/>
      <c r="D215" s="97"/>
      <c r="E215" s="48"/>
      <c r="F215" s="86"/>
      <c r="G215" s="86"/>
      <c r="H215" s="86"/>
      <c r="I215" s="48"/>
      <c r="J215" s="52"/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0</v>
      </c>
      <c r="AF215" s="90">
        <v>0.1</v>
      </c>
      <c r="AG215" s="4">
        <f t="shared" si="87"/>
        <v>0</v>
      </c>
      <c r="AH215" s="49">
        <f t="shared" si="92"/>
        <v>0</v>
      </c>
      <c r="AI215" s="89">
        <f t="shared" si="93"/>
        <v>0</v>
      </c>
      <c r="AJ215" s="91">
        <v>0.18</v>
      </c>
      <c r="AK215" s="5">
        <f t="shared" si="94"/>
        <v>0</v>
      </c>
      <c r="AL215" s="89">
        <f t="shared" si="95"/>
        <v>0</v>
      </c>
      <c r="AP215" s="92"/>
    </row>
    <row r="216" spans="1:42" x14ac:dyDescent="0.35">
      <c r="A216" s="85"/>
      <c r="B216" s="51"/>
      <c r="C216" s="97"/>
      <c r="D216" s="97"/>
      <c r="E216" s="48"/>
      <c r="F216" s="86"/>
      <c r="G216" s="86"/>
      <c r="H216" s="86"/>
      <c r="I216" s="48"/>
      <c r="J216" s="52"/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0</v>
      </c>
      <c r="AF216" s="90">
        <v>6.5000000000000002E-2</v>
      </c>
      <c r="AG216" s="4">
        <f t="shared" si="87"/>
        <v>0</v>
      </c>
      <c r="AH216" s="49">
        <f t="shared" si="92"/>
        <v>0</v>
      </c>
      <c r="AI216" s="89">
        <f t="shared" si="93"/>
        <v>0</v>
      </c>
      <c r="AJ216" s="91">
        <v>0.18</v>
      </c>
      <c r="AK216" s="5">
        <f t="shared" si="94"/>
        <v>0</v>
      </c>
      <c r="AL216" s="89">
        <f t="shared" si="95"/>
        <v>0</v>
      </c>
      <c r="AP216" s="92"/>
    </row>
    <row r="217" spans="1:42" x14ac:dyDescent="0.35">
      <c r="A217" s="85"/>
      <c r="B217" s="51"/>
      <c r="C217" s="97"/>
      <c r="D217" s="97"/>
      <c r="E217" s="48"/>
      <c r="F217" s="86"/>
      <c r="G217" s="86"/>
      <c r="H217" s="86"/>
      <c r="I217" s="48"/>
      <c r="J217" s="52"/>
      <c r="K217" s="105"/>
      <c r="L217" s="105"/>
      <c r="M217" s="105"/>
      <c r="N217" s="104">
        <f t="shared" si="89"/>
        <v>0</v>
      </c>
      <c r="O217" s="86"/>
      <c r="P217" s="86"/>
      <c r="Q217" s="86"/>
      <c r="R217" s="104">
        <f t="shared" si="88"/>
        <v>0</v>
      </c>
      <c r="S217" s="86">
        <f t="shared" si="90"/>
        <v>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0</v>
      </c>
      <c r="AF217" s="90">
        <v>6.5000000000000002E-2</v>
      </c>
      <c r="AG217" s="4">
        <f t="shared" si="87"/>
        <v>0</v>
      </c>
      <c r="AH217" s="49">
        <f t="shared" si="92"/>
        <v>0</v>
      </c>
      <c r="AI217" s="89">
        <f t="shared" si="93"/>
        <v>0</v>
      </c>
      <c r="AJ217" s="91">
        <v>0.18</v>
      </c>
      <c r="AK217" s="5">
        <f t="shared" si="94"/>
        <v>0</v>
      </c>
      <c r="AL217" s="89">
        <f t="shared" si="95"/>
        <v>0</v>
      </c>
      <c r="AP217" s="92"/>
    </row>
    <row r="218" spans="1:42" x14ac:dyDescent="0.35">
      <c r="A218" s="85"/>
      <c r="B218" s="51"/>
      <c r="C218" s="97"/>
      <c r="D218" s="97"/>
      <c r="E218" s="48"/>
      <c r="F218" s="86"/>
      <c r="G218" s="86"/>
      <c r="H218" s="86"/>
      <c r="I218" s="48"/>
      <c r="J218" s="52"/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0</v>
      </c>
      <c r="AF218" s="90">
        <v>6.5000000000000002E-2</v>
      </c>
      <c r="AG218" s="4">
        <f t="shared" si="87"/>
        <v>0</v>
      </c>
      <c r="AH218" s="49">
        <f t="shared" si="92"/>
        <v>0</v>
      </c>
      <c r="AI218" s="89">
        <f t="shared" si="93"/>
        <v>0</v>
      </c>
      <c r="AJ218" s="91">
        <v>0.18</v>
      </c>
      <c r="AK218" s="5">
        <f t="shared" si="94"/>
        <v>0</v>
      </c>
      <c r="AL218" s="89">
        <f t="shared" si="95"/>
        <v>0</v>
      </c>
      <c r="AP218" s="92"/>
    </row>
    <row r="219" spans="1:42" x14ac:dyDescent="0.35">
      <c r="A219" s="85"/>
      <c r="B219" s="51"/>
      <c r="C219" s="97"/>
      <c r="D219" s="97"/>
      <c r="E219" s="48"/>
      <c r="F219" s="86"/>
      <c r="G219" s="86"/>
      <c r="H219" s="86"/>
      <c r="I219" s="48"/>
      <c r="J219" s="52"/>
      <c r="K219" s="105"/>
      <c r="L219" s="105"/>
      <c r="M219" s="105"/>
      <c r="N219" s="104">
        <f t="shared" si="89"/>
        <v>0</v>
      </c>
      <c r="O219" s="86"/>
      <c r="P219" s="86"/>
      <c r="Q219" s="86"/>
      <c r="R219" s="104">
        <f t="shared" si="88"/>
        <v>0</v>
      </c>
      <c r="S219" s="86">
        <f t="shared" si="90"/>
        <v>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0</v>
      </c>
      <c r="AF219" s="90">
        <v>6.5000000000000002E-2</v>
      </c>
      <c r="AG219" s="4">
        <f t="shared" si="87"/>
        <v>0</v>
      </c>
      <c r="AH219" s="49">
        <f t="shared" si="92"/>
        <v>0</v>
      </c>
      <c r="AI219" s="89">
        <f t="shared" si="93"/>
        <v>0</v>
      </c>
      <c r="AJ219" s="91">
        <v>0.18</v>
      </c>
      <c r="AK219" s="5">
        <f t="shared" si="94"/>
        <v>0</v>
      </c>
      <c r="AL219" s="89">
        <f t="shared" si="95"/>
        <v>0</v>
      </c>
      <c r="AP219" s="92"/>
    </row>
    <row r="220" spans="1:42" x14ac:dyDescent="0.35">
      <c r="A220" s="85"/>
      <c r="B220" s="51"/>
      <c r="C220" s="97"/>
      <c r="D220" s="97"/>
      <c r="E220" s="48"/>
      <c r="F220" s="86"/>
      <c r="G220" s="86"/>
      <c r="H220" s="86"/>
      <c r="I220" s="48"/>
      <c r="J220" s="52"/>
      <c r="K220" s="86"/>
      <c r="L220" s="86"/>
      <c r="M220" s="105"/>
      <c r="N220" s="104">
        <f t="shared" si="89"/>
        <v>0</v>
      </c>
      <c r="O220" s="105"/>
      <c r="P220" s="105"/>
      <c r="Q220" s="105"/>
      <c r="R220" s="104">
        <f t="shared" si="88"/>
        <v>0</v>
      </c>
      <c r="S220" s="86">
        <f t="shared" si="90"/>
        <v>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0</v>
      </c>
      <c r="AF220" s="90">
        <v>6.5000000000000002E-2</v>
      </c>
      <c r="AG220" s="4">
        <f t="shared" si="87"/>
        <v>0</v>
      </c>
      <c r="AH220" s="49">
        <f t="shared" si="92"/>
        <v>0</v>
      </c>
      <c r="AI220" s="89">
        <f t="shared" si="93"/>
        <v>0</v>
      </c>
      <c r="AJ220" s="91">
        <v>0.18</v>
      </c>
      <c r="AK220" s="5">
        <f t="shared" si="94"/>
        <v>0</v>
      </c>
      <c r="AL220" s="89">
        <f t="shared" si="95"/>
        <v>0</v>
      </c>
      <c r="AP220" s="92"/>
    </row>
    <row r="221" spans="1:42" x14ac:dyDescent="0.35">
      <c r="A221" s="85"/>
      <c r="B221" s="51"/>
      <c r="C221" s="97"/>
      <c r="D221" s="97"/>
      <c r="E221" s="48"/>
      <c r="F221" s="86"/>
      <c r="G221" s="86"/>
      <c r="H221" s="86"/>
      <c r="I221" s="48"/>
      <c r="J221" s="52"/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0</v>
      </c>
      <c r="AF221" s="90">
        <v>6.5000000000000002E-2</v>
      </c>
      <c r="AG221" s="4">
        <f t="shared" si="87"/>
        <v>0</v>
      </c>
      <c r="AH221" s="49">
        <f t="shared" si="92"/>
        <v>0</v>
      </c>
      <c r="AI221" s="89">
        <f t="shared" si="93"/>
        <v>0</v>
      </c>
      <c r="AJ221" s="91">
        <v>0.18</v>
      </c>
      <c r="AK221" s="5">
        <f t="shared" si="94"/>
        <v>0</v>
      </c>
      <c r="AL221" s="89">
        <f t="shared" si="95"/>
        <v>0</v>
      </c>
      <c r="AP221" s="92"/>
    </row>
    <row r="222" spans="1:42" x14ac:dyDescent="0.35">
      <c r="A222" s="85"/>
      <c r="B222" s="51"/>
      <c r="C222" s="97"/>
      <c r="D222" s="97"/>
      <c r="E222" s="48"/>
      <c r="F222" s="86"/>
      <c r="G222" s="86"/>
      <c r="H222" s="86"/>
      <c r="I222" s="48"/>
      <c r="J222" s="52"/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0</v>
      </c>
      <c r="AF222" s="90">
        <v>6.5000000000000002E-2</v>
      </c>
      <c r="AG222" s="4">
        <f t="shared" si="87"/>
        <v>0</v>
      </c>
      <c r="AH222" s="49">
        <f t="shared" si="92"/>
        <v>0</v>
      </c>
      <c r="AI222" s="89">
        <f t="shared" si="93"/>
        <v>0</v>
      </c>
      <c r="AJ222" s="91">
        <v>0.18</v>
      </c>
      <c r="AK222" s="5">
        <f t="shared" si="94"/>
        <v>0</v>
      </c>
      <c r="AL222" s="89">
        <f t="shared" si="95"/>
        <v>0</v>
      </c>
      <c r="AP222" s="92"/>
    </row>
    <row r="223" spans="1:42" x14ac:dyDescent="0.35">
      <c r="A223" s="85"/>
      <c r="B223" s="51"/>
      <c r="C223" s="97"/>
      <c r="D223" s="97"/>
      <c r="E223" s="48"/>
      <c r="F223" s="86"/>
      <c r="G223" s="86"/>
      <c r="H223" s="86"/>
      <c r="I223" s="48"/>
      <c r="J223" s="52"/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0</v>
      </c>
      <c r="AF223" s="90">
        <v>0.1</v>
      </c>
      <c r="AG223" s="4">
        <f t="shared" ref="AG223:AG269" si="96">AE223*AF223</f>
        <v>0</v>
      </c>
      <c r="AH223" s="49">
        <f t="shared" si="92"/>
        <v>0</v>
      </c>
      <c r="AI223" s="89">
        <f t="shared" si="93"/>
        <v>0</v>
      </c>
      <c r="AJ223" s="91">
        <v>0.18</v>
      </c>
      <c r="AK223" s="5">
        <f t="shared" si="94"/>
        <v>0</v>
      </c>
      <c r="AL223" s="89">
        <f t="shared" si="95"/>
        <v>0</v>
      </c>
      <c r="AP223" s="92"/>
    </row>
    <row r="224" spans="1:42" x14ac:dyDescent="0.35">
      <c r="A224" s="85"/>
      <c r="B224" s="51"/>
      <c r="C224" s="97"/>
      <c r="D224" s="97"/>
      <c r="E224" s="48"/>
      <c r="F224" s="86"/>
      <c r="G224" s="86"/>
      <c r="H224" s="86"/>
      <c r="I224" s="48"/>
      <c r="J224" s="52"/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0</v>
      </c>
      <c r="AF224" s="90">
        <v>6.5000000000000002E-2</v>
      </c>
      <c r="AG224" s="4">
        <f t="shared" si="96"/>
        <v>0</v>
      </c>
      <c r="AH224" s="49">
        <f t="shared" si="92"/>
        <v>0</v>
      </c>
      <c r="AI224" s="89">
        <f t="shared" si="93"/>
        <v>0</v>
      </c>
      <c r="AJ224" s="91">
        <v>0.18</v>
      </c>
      <c r="AK224" s="5">
        <f t="shared" si="94"/>
        <v>0</v>
      </c>
      <c r="AL224" s="89">
        <f t="shared" si="95"/>
        <v>0</v>
      </c>
      <c r="AP224" s="92"/>
    </row>
    <row r="225" spans="1:42" x14ac:dyDescent="0.35">
      <c r="A225" s="85"/>
      <c r="B225" s="51"/>
      <c r="C225" s="97"/>
      <c r="D225" s="97"/>
      <c r="E225" s="48"/>
      <c r="F225" s="86"/>
      <c r="G225" s="86"/>
      <c r="H225" s="86"/>
      <c r="I225" s="48"/>
      <c r="J225" s="52"/>
      <c r="K225" s="105"/>
      <c r="L225" s="105"/>
      <c r="M225" s="105"/>
      <c r="N225" s="104">
        <f t="shared" si="89"/>
        <v>0</v>
      </c>
      <c r="O225" s="86"/>
      <c r="P225" s="86"/>
      <c r="Q225" s="105"/>
      <c r="R225" s="104">
        <f t="shared" si="88"/>
        <v>0</v>
      </c>
      <c r="S225" s="86">
        <f t="shared" si="90"/>
        <v>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0</v>
      </c>
      <c r="AF225" s="90">
        <v>6.5000000000000002E-2</v>
      </c>
      <c r="AG225" s="4">
        <f t="shared" si="96"/>
        <v>0</v>
      </c>
      <c r="AH225" s="49">
        <f t="shared" si="92"/>
        <v>0</v>
      </c>
      <c r="AI225" s="89">
        <f t="shared" si="93"/>
        <v>0</v>
      </c>
      <c r="AJ225" s="91">
        <v>0.18</v>
      </c>
      <c r="AK225" s="5">
        <f t="shared" si="94"/>
        <v>0</v>
      </c>
      <c r="AL225" s="89">
        <f t="shared" si="95"/>
        <v>0</v>
      </c>
      <c r="AP225" s="92"/>
    </row>
    <row r="226" spans="1:42" x14ac:dyDescent="0.35">
      <c r="A226" s="85"/>
      <c r="B226" s="51"/>
      <c r="C226" s="97"/>
      <c r="D226" s="97"/>
      <c r="E226" s="48"/>
      <c r="F226" s="86"/>
      <c r="G226" s="86"/>
      <c r="H226" s="86"/>
      <c r="I226" s="48"/>
      <c r="J226" s="52"/>
      <c r="K226" s="86"/>
      <c r="L226" s="86"/>
      <c r="M226" s="86"/>
      <c r="N226" s="104">
        <f t="shared" si="89"/>
        <v>0</v>
      </c>
      <c r="O226" s="86"/>
      <c r="P226" s="86"/>
      <c r="Q226" s="86"/>
      <c r="R226" s="104">
        <f t="shared" si="88"/>
        <v>0</v>
      </c>
      <c r="S226" s="86">
        <f t="shared" si="90"/>
        <v>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0</v>
      </c>
      <c r="AF226" s="90">
        <v>6.5000000000000002E-2</v>
      </c>
      <c r="AG226" s="4">
        <f t="shared" si="96"/>
        <v>0</v>
      </c>
      <c r="AH226" s="49">
        <f t="shared" si="92"/>
        <v>0</v>
      </c>
      <c r="AI226" s="89">
        <f t="shared" si="93"/>
        <v>0</v>
      </c>
      <c r="AJ226" s="91">
        <v>0.18</v>
      </c>
      <c r="AK226" s="5">
        <f t="shared" si="94"/>
        <v>0</v>
      </c>
      <c r="AL226" s="89">
        <f t="shared" si="95"/>
        <v>0</v>
      </c>
      <c r="AP226" s="92"/>
    </row>
    <row r="227" spans="1:42" x14ac:dyDescent="0.35">
      <c r="A227" s="85"/>
      <c r="B227" s="51"/>
      <c r="C227" s="97"/>
      <c r="D227" s="97"/>
      <c r="E227" s="48"/>
      <c r="F227" s="86"/>
      <c r="G227" s="86"/>
      <c r="H227" s="86"/>
      <c r="I227" s="48"/>
      <c r="J227" s="52"/>
      <c r="K227" s="105"/>
      <c r="L227" s="105"/>
      <c r="M227" s="105"/>
      <c r="N227" s="104">
        <f t="shared" si="89"/>
        <v>0</v>
      </c>
      <c r="O227" s="86"/>
      <c r="P227" s="86"/>
      <c r="Q227" s="86"/>
      <c r="R227" s="104">
        <f t="shared" si="88"/>
        <v>0</v>
      </c>
      <c r="S227" s="86">
        <f t="shared" si="90"/>
        <v>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0</v>
      </c>
      <c r="AF227" s="90">
        <v>6.5000000000000002E-2</v>
      </c>
      <c r="AG227" s="4">
        <f t="shared" si="96"/>
        <v>0</v>
      </c>
      <c r="AH227" s="49">
        <f t="shared" si="92"/>
        <v>0</v>
      </c>
      <c r="AI227" s="89">
        <f t="shared" si="93"/>
        <v>0</v>
      </c>
      <c r="AJ227" s="91">
        <v>0.18</v>
      </c>
      <c r="AK227" s="5">
        <f t="shared" si="94"/>
        <v>0</v>
      </c>
      <c r="AL227" s="89">
        <f t="shared" si="95"/>
        <v>0</v>
      </c>
      <c r="AP227" s="92"/>
    </row>
    <row r="228" spans="1:42" x14ac:dyDescent="0.35">
      <c r="A228" s="85"/>
      <c r="B228" s="51"/>
      <c r="C228" s="97"/>
      <c r="D228" s="97"/>
      <c r="E228" s="48"/>
      <c r="F228" s="86"/>
      <c r="G228" s="86"/>
      <c r="H228" s="86"/>
      <c r="I228" s="48"/>
      <c r="J228" s="52"/>
      <c r="K228" s="105"/>
      <c r="L228" s="105"/>
      <c r="M228" s="105"/>
      <c r="N228" s="104">
        <f t="shared" si="89"/>
        <v>0</v>
      </c>
      <c r="O228" s="86"/>
      <c r="P228" s="86"/>
      <c r="Q228" s="105"/>
      <c r="R228" s="104">
        <f t="shared" si="88"/>
        <v>0</v>
      </c>
      <c r="S228" s="86">
        <f t="shared" si="90"/>
        <v>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0</v>
      </c>
      <c r="AF228" s="90">
        <v>6.5000000000000002E-2</v>
      </c>
      <c r="AG228" s="4">
        <f t="shared" si="96"/>
        <v>0</v>
      </c>
      <c r="AH228" s="49">
        <f t="shared" si="92"/>
        <v>0</v>
      </c>
      <c r="AI228" s="89">
        <f t="shared" si="93"/>
        <v>0</v>
      </c>
      <c r="AJ228" s="91">
        <v>0.18</v>
      </c>
      <c r="AK228" s="5">
        <f t="shared" si="94"/>
        <v>0</v>
      </c>
      <c r="AL228" s="89">
        <f t="shared" si="95"/>
        <v>0</v>
      </c>
      <c r="AP228" s="92"/>
    </row>
    <row r="229" spans="1:42" x14ac:dyDescent="0.35">
      <c r="A229" s="85"/>
      <c r="B229" s="51"/>
      <c r="C229" s="97"/>
      <c r="D229" s="97"/>
      <c r="E229" s="48"/>
      <c r="F229" s="86"/>
      <c r="G229" s="86"/>
      <c r="H229" s="86"/>
      <c r="I229" s="48"/>
      <c r="J229" s="52"/>
      <c r="K229" s="105"/>
      <c r="L229" s="105"/>
      <c r="M229" s="105"/>
      <c r="N229" s="104">
        <f t="shared" si="89"/>
        <v>0</v>
      </c>
      <c r="O229" s="86"/>
      <c r="P229" s="86"/>
      <c r="Q229" s="86"/>
      <c r="R229" s="104">
        <f t="shared" si="88"/>
        <v>0</v>
      </c>
      <c r="S229" s="86">
        <f t="shared" si="90"/>
        <v>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0</v>
      </c>
      <c r="AF229" s="90">
        <v>6.5000000000000002E-2</v>
      </c>
      <c r="AG229" s="4">
        <f t="shared" si="96"/>
        <v>0</v>
      </c>
      <c r="AH229" s="49">
        <f t="shared" si="92"/>
        <v>0</v>
      </c>
      <c r="AI229" s="89">
        <f t="shared" si="93"/>
        <v>0</v>
      </c>
      <c r="AJ229" s="91">
        <v>0.18</v>
      </c>
      <c r="AK229" s="5">
        <f t="shared" si="94"/>
        <v>0</v>
      </c>
      <c r="AL229" s="89">
        <f t="shared" si="95"/>
        <v>0</v>
      </c>
      <c r="AP229" s="92"/>
    </row>
    <row r="230" spans="1:42" x14ac:dyDescent="0.35">
      <c r="A230" s="85"/>
      <c r="B230" s="51"/>
      <c r="C230" s="97"/>
      <c r="D230" s="97"/>
      <c r="E230" s="48"/>
      <c r="F230" s="86"/>
      <c r="G230" s="86"/>
      <c r="H230" s="86"/>
      <c r="I230" s="48"/>
      <c r="J230" s="52"/>
      <c r="K230" s="105"/>
      <c r="L230" s="105"/>
      <c r="M230" s="105"/>
      <c r="N230" s="104">
        <f t="shared" si="89"/>
        <v>0</v>
      </c>
      <c r="O230" s="86"/>
      <c r="P230" s="86"/>
      <c r="Q230" s="105"/>
      <c r="R230" s="104">
        <f t="shared" si="88"/>
        <v>0</v>
      </c>
      <c r="S230" s="86">
        <f t="shared" si="90"/>
        <v>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0</v>
      </c>
      <c r="AF230" s="90">
        <v>6.5000000000000002E-2</v>
      </c>
      <c r="AG230" s="4">
        <f t="shared" si="96"/>
        <v>0</v>
      </c>
      <c r="AH230" s="49">
        <f t="shared" si="92"/>
        <v>0</v>
      </c>
      <c r="AI230" s="89">
        <f t="shared" si="93"/>
        <v>0</v>
      </c>
      <c r="AJ230" s="91">
        <v>0.18</v>
      </c>
      <c r="AK230" s="5">
        <f t="shared" si="94"/>
        <v>0</v>
      </c>
      <c r="AL230" s="89">
        <f t="shared" si="95"/>
        <v>0</v>
      </c>
      <c r="AP230" s="92"/>
    </row>
    <row r="231" spans="1:42" x14ac:dyDescent="0.35">
      <c r="A231" s="85"/>
      <c r="B231" s="51"/>
      <c r="C231" s="97"/>
      <c r="D231" s="97"/>
      <c r="E231" s="48"/>
      <c r="F231" s="86"/>
      <c r="G231" s="86"/>
      <c r="H231" s="86"/>
      <c r="I231" s="48"/>
      <c r="J231" s="52"/>
      <c r="K231" s="86"/>
      <c r="L231" s="86"/>
      <c r="M231" s="86"/>
      <c r="N231" s="104">
        <f t="shared" si="89"/>
        <v>0</v>
      </c>
      <c r="O231" s="86"/>
      <c r="P231" s="86"/>
      <c r="Q231" s="86"/>
      <c r="R231" s="104">
        <f t="shared" si="88"/>
        <v>0</v>
      </c>
      <c r="S231" s="86">
        <f t="shared" si="90"/>
        <v>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0</v>
      </c>
      <c r="AF231" s="90">
        <v>6.5000000000000002E-2</v>
      </c>
      <c r="AG231" s="4">
        <f t="shared" si="96"/>
        <v>0</v>
      </c>
      <c r="AH231" s="49">
        <f t="shared" si="92"/>
        <v>0</v>
      </c>
      <c r="AI231" s="89">
        <f t="shared" si="93"/>
        <v>0</v>
      </c>
      <c r="AJ231" s="91">
        <v>0.18</v>
      </c>
      <c r="AK231" s="5">
        <f t="shared" si="94"/>
        <v>0</v>
      </c>
      <c r="AL231" s="89">
        <f t="shared" si="95"/>
        <v>0</v>
      </c>
      <c r="AP231" s="92"/>
    </row>
    <row r="232" spans="1:42" x14ac:dyDescent="0.35">
      <c r="A232" s="85"/>
      <c r="B232" s="51"/>
      <c r="C232" s="97"/>
      <c r="D232" s="97"/>
      <c r="E232" s="48"/>
      <c r="F232" s="86"/>
      <c r="G232" s="86"/>
      <c r="H232" s="86"/>
      <c r="I232" s="48"/>
      <c r="J232" s="52"/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0</v>
      </c>
      <c r="AF232" s="90">
        <v>6.5000000000000002E-2</v>
      </c>
      <c r="AG232" s="4">
        <f t="shared" si="96"/>
        <v>0</v>
      </c>
      <c r="AH232" s="49">
        <f t="shared" si="92"/>
        <v>0</v>
      </c>
      <c r="AI232" s="89">
        <f t="shared" si="93"/>
        <v>0</v>
      </c>
      <c r="AJ232" s="91">
        <v>0.18</v>
      </c>
      <c r="AK232" s="5">
        <f t="shared" si="94"/>
        <v>0</v>
      </c>
      <c r="AL232" s="89">
        <f t="shared" si="95"/>
        <v>0</v>
      </c>
      <c r="AP232" s="92"/>
    </row>
    <row r="233" spans="1:42" x14ac:dyDescent="0.35">
      <c r="A233" s="85"/>
      <c r="B233" s="51"/>
      <c r="C233" s="97"/>
      <c r="D233" s="97"/>
      <c r="E233" s="48"/>
      <c r="F233" s="86"/>
      <c r="G233" s="86"/>
      <c r="H233" s="86"/>
      <c r="I233" s="48"/>
      <c r="J233" s="52"/>
      <c r="K233" s="86"/>
      <c r="L233" s="105"/>
      <c r="M233" s="86"/>
      <c r="N233" s="104">
        <f t="shared" si="89"/>
        <v>0</v>
      </c>
      <c r="O233" s="86"/>
      <c r="P233" s="86"/>
      <c r="Q233" s="86"/>
      <c r="R233" s="104">
        <f t="shared" si="88"/>
        <v>0</v>
      </c>
      <c r="S233" s="86">
        <f t="shared" si="90"/>
        <v>0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0</v>
      </c>
      <c r="AF233" s="90">
        <v>0.14000000000000001</v>
      </c>
      <c r="AG233" s="4">
        <f t="shared" si="96"/>
        <v>0</v>
      </c>
      <c r="AH233" s="49">
        <f t="shared" si="92"/>
        <v>0</v>
      </c>
      <c r="AI233" s="89">
        <f t="shared" si="93"/>
        <v>0</v>
      </c>
      <c r="AJ233" s="91">
        <v>0.18</v>
      </c>
      <c r="AK233" s="5">
        <f t="shared" si="94"/>
        <v>0</v>
      </c>
      <c r="AL233" s="89">
        <f t="shared" si="95"/>
        <v>0</v>
      </c>
      <c r="AP233" s="92"/>
    </row>
    <row r="234" spans="1:42" x14ac:dyDescent="0.35">
      <c r="A234" s="85"/>
      <c r="B234" s="51"/>
      <c r="C234" s="97"/>
      <c r="D234" s="97"/>
      <c r="E234" s="48"/>
      <c r="F234" s="86"/>
      <c r="G234" s="86"/>
      <c r="H234" s="86"/>
      <c r="I234" s="48"/>
      <c r="J234" s="52"/>
      <c r="K234" s="105"/>
      <c r="L234" s="105"/>
      <c r="M234" s="105"/>
      <c r="N234" s="104">
        <f t="shared" si="89"/>
        <v>0</v>
      </c>
      <c r="O234" s="105"/>
      <c r="P234" s="105"/>
      <c r="Q234" s="86"/>
      <c r="R234" s="104">
        <f t="shared" si="88"/>
        <v>0</v>
      </c>
      <c r="S234" s="86">
        <f t="shared" si="90"/>
        <v>0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0</v>
      </c>
      <c r="AF234" s="90">
        <v>0.14000000000000001</v>
      </c>
      <c r="AG234" s="4">
        <f t="shared" si="96"/>
        <v>0</v>
      </c>
      <c r="AH234" s="49">
        <f t="shared" si="92"/>
        <v>0</v>
      </c>
      <c r="AI234" s="89">
        <f t="shared" si="93"/>
        <v>0</v>
      </c>
      <c r="AJ234" s="91">
        <v>0.18</v>
      </c>
      <c r="AK234" s="5">
        <f t="shared" si="94"/>
        <v>0</v>
      </c>
      <c r="AL234" s="89">
        <f t="shared" si="95"/>
        <v>0</v>
      </c>
      <c r="AP234" s="92"/>
    </row>
    <row r="235" spans="1:42" x14ac:dyDescent="0.35">
      <c r="A235" s="85"/>
      <c r="B235" s="51"/>
      <c r="C235" s="97"/>
      <c r="D235" s="97"/>
      <c r="E235" s="48"/>
      <c r="F235" s="86"/>
      <c r="G235" s="86"/>
      <c r="H235" s="86"/>
      <c r="I235" s="48"/>
      <c r="J235" s="52"/>
      <c r="K235" s="105"/>
      <c r="L235" s="105"/>
      <c r="M235" s="105"/>
      <c r="N235" s="104">
        <f t="shared" si="89"/>
        <v>0</v>
      </c>
      <c r="O235" s="86"/>
      <c r="P235" s="86"/>
      <c r="Q235" s="86"/>
      <c r="R235" s="104">
        <f t="shared" si="88"/>
        <v>0</v>
      </c>
      <c r="S235" s="86">
        <f t="shared" si="90"/>
        <v>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0</v>
      </c>
      <c r="AF235" s="90">
        <v>6.5000000000000002E-2</v>
      </c>
      <c r="AG235" s="4">
        <f t="shared" si="96"/>
        <v>0</v>
      </c>
      <c r="AH235" s="49">
        <f t="shared" si="92"/>
        <v>0</v>
      </c>
      <c r="AI235" s="89">
        <f t="shared" si="93"/>
        <v>0</v>
      </c>
      <c r="AJ235" s="91">
        <v>0.18</v>
      </c>
      <c r="AK235" s="5">
        <f t="shared" si="94"/>
        <v>0</v>
      </c>
      <c r="AL235" s="89">
        <f t="shared" si="95"/>
        <v>0</v>
      </c>
      <c r="AP235" s="92"/>
    </row>
    <row r="236" spans="1:42" x14ac:dyDescent="0.35">
      <c r="A236" s="85"/>
      <c r="B236" s="51"/>
      <c r="C236" s="97"/>
      <c r="D236" s="97"/>
      <c r="E236" s="48"/>
      <c r="F236" s="86"/>
      <c r="G236" s="86"/>
      <c r="H236" s="86"/>
      <c r="I236" s="48"/>
      <c r="J236" s="52"/>
      <c r="K236" s="105"/>
      <c r="L236" s="105"/>
      <c r="M236" s="105"/>
      <c r="N236" s="104">
        <f t="shared" si="89"/>
        <v>0</v>
      </c>
      <c r="O236" s="105"/>
      <c r="P236" s="86"/>
      <c r="Q236" s="105"/>
      <c r="R236" s="104">
        <f t="shared" si="88"/>
        <v>0</v>
      </c>
      <c r="S236" s="86">
        <f t="shared" si="90"/>
        <v>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0</v>
      </c>
      <c r="AF236" s="90">
        <v>6.5000000000000002E-2</v>
      </c>
      <c r="AG236" s="4">
        <f t="shared" si="96"/>
        <v>0</v>
      </c>
      <c r="AH236" s="49">
        <f t="shared" si="92"/>
        <v>0</v>
      </c>
      <c r="AI236" s="89">
        <f t="shared" si="93"/>
        <v>0</v>
      </c>
      <c r="AJ236" s="91">
        <v>0.18</v>
      </c>
      <c r="AK236" s="5">
        <f t="shared" si="94"/>
        <v>0</v>
      </c>
      <c r="AL236" s="89">
        <f t="shared" si="95"/>
        <v>0</v>
      </c>
      <c r="AP236" s="92"/>
    </row>
    <row r="237" spans="1:42" x14ac:dyDescent="0.35">
      <c r="A237" s="85"/>
      <c r="B237" s="51"/>
      <c r="C237" s="97"/>
      <c r="D237" s="97"/>
      <c r="E237" s="48"/>
      <c r="F237" s="86"/>
      <c r="G237" s="86"/>
      <c r="H237" s="86"/>
      <c r="I237" s="48"/>
      <c r="J237" s="52"/>
      <c r="K237" s="105"/>
      <c r="L237" s="105"/>
      <c r="M237" s="105"/>
      <c r="N237" s="104">
        <f t="shared" si="89"/>
        <v>0</v>
      </c>
      <c r="O237" s="86"/>
      <c r="P237" s="86"/>
      <c r="Q237" s="86"/>
      <c r="R237" s="104">
        <f t="shared" si="88"/>
        <v>0</v>
      </c>
      <c r="S237" s="86">
        <f t="shared" si="90"/>
        <v>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0</v>
      </c>
      <c r="AF237" s="90">
        <v>6.5000000000000002E-2</v>
      </c>
      <c r="AG237" s="4">
        <f t="shared" si="96"/>
        <v>0</v>
      </c>
      <c r="AH237" s="49">
        <f t="shared" si="92"/>
        <v>0</v>
      </c>
      <c r="AI237" s="89">
        <f t="shared" si="93"/>
        <v>0</v>
      </c>
      <c r="AJ237" s="91">
        <v>0.18</v>
      </c>
      <c r="AK237" s="5">
        <f t="shared" si="94"/>
        <v>0</v>
      </c>
      <c r="AL237" s="89">
        <f t="shared" si="95"/>
        <v>0</v>
      </c>
      <c r="AP237" s="92"/>
    </row>
    <row r="238" spans="1:42" x14ac:dyDescent="0.35">
      <c r="A238" s="85"/>
      <c r="B238" s="51"/>
      <c r="C238" s="97"/>
      <c r="D238" s="97"/>
      <c r="E238" s="48"/>
      <c r="F238" s="86"/>
      <c r="G238" s="86"/>
      <c r="H238" s="86"/>
      <c r="I238" s="48"/>
      <c r="J238" s="52"/>
      <c r="K238" s="105"/>
      <c r="L238" s="105"/>
      <c r="M238" s="105"/>
      <c r="N238" s="104">
        <f t="shared" si="89"/>
        <v>0</v>
      </c>
      <c r="O238" s="86"/>
      <c r="P238" s="86"/>
      <c r="Q238" s="86"/>
      <c r="R238" s="104">
        <f t="shared" si="88"/>
        <v>0</v>
      </c>
      <c r="S238" s="86">
        <f t="shared" si="90"/>
        <v>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0</v>
      </c>
      <c r="AF238" s="90">
        <v>0.1</v>
      </c>
      <c r="AG238" s="4">
        <f t="shared" si="96"/>
        <v>0</v>
      </c>
      <c r="AH238" s="49">
        <f t="shared" si="92"/>
        <v>0</v>
      </c>
      <c r="AI238" s="89">
        <f t="shared" si="93"/>
        <v>0</v>
      </c>
      <c r="AJ238" s="91">
        <v>0.18</v>
      </c>
      <c r="AK238" s="5">
        <f t="shared" si="94"/>
        <v>0</v>
      </c>
      <c r="AL238" s="89">
        <f t="shared" si="95"/>
        <v>0</v>
      </c>
      <c r="AP238" s="92"/>
    </row>
    <row r="239" spans="1:42" x14ac:dyDescent="0.35">
      <c r="A239" s="85"/>
      <c r="B239" s="51"/>
      <c r="C239" s="97"/>
      <c r="D239" s="97"/>
      <c r="E239" s="48"/>
      <c r="F239" s="86"/>
      <c r="G239" s="86"/>
      <c r="H239" s="86"/>
      <c r="I239" s="48"/>
      <c r="J239" s="52"/>
      <c r="K239" s="105"/>
      <c r="L239" s="105"/>
      <c r="M239" s="105"/>
      <c r="N239" s="104">
        <f t="shared" si="89"/>
        <v>0</v>
      </c>
      <c r="O239" s="86"/>
      <c r="P239" s="86"/>
      <c r="Q239" s="86"/>
      <c r="R239" s="104">
        <f t="shared" si="88"/>
        <v>0</v>
      </c>
      <c r="S239" s="86">
        <f t="shared" si="90"/>
        <v>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0</v>
      </c>
      <c r="AF239" s="90">
        <v>6.5000000000000002E-2</v>
      </c>
      <c r="AG239" s="4">
        <f t="shared" si="96"/>
        <v>0</v>
      </c>
      <c r="AH239" s="49">
        <f t="shared" si="92"/>
        <v>0</v>
      </c>
      <c r="AI239" s="89">
        <f t="shared" si="93"/>
        <v>0</v>
      </c>
      <c r="AJ239" s="91">
        <v>0.18</v>
      </c>
      <c r="AK239" s="5">
        <f t="shared" si="94"/>
        <v>0</v>
      </c>
      <c r="AL239" s="89">
        <f t="shared" si="95"/>
        <v>0</v>
      </c>
      <c r="AP239" s="92"/>
    </row>
    <row r="240" spans="1:42" x14ac:dyDescent="0.35">
      <c r="A240" s="85"/>
      <c r="B240" s="51"/>
      <c r="C240" s="97"/>
      <c r="D240" s="97"/>
      <c r="E240" s="48"/>
      <c r="F240" s="86"/>
      <c r="G240" s="86"/>
      <c r="H240" s="86"/>
      <c r="I240" s="48"/>
      <c r="J240" s="52"/>
      <c r="K240" s="86"/>
      <c r="L240" s="105"/>
      <c r="M240" s="105"/>
      <c r="N240" s="104">
        <f t="shared" si="89"/>
        <v>0</v>
      </c>
      <c r="O240" s="105"/>
      <c r="P240" s="105"/>
      <c r="Q240" s="86"/>
      <c r="R240" s="104">
        <f t="shared" si="88"/>
        <v>0</v>
      </c>
      <c r="S240" s="86">
        <f t="shared" si="90"/>
        <v>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0</v>
      </c>
      <c r="AF240" s="90">
        <v>0.1</v>
      </c>
      <c r="AG240" s="4">
        <f t="shared" si="96"/>
        <v>0</v>
      </c>
      <c r="AH240" s="49">
        <f t="shared" si="92"/>
        <v>0</v>
      </c>
      <c r="AI240" s="89">
        <f t="shared" si="93"/>
        <v>0</v>
      </c>
      <c r="AJ240" s="91">
        <v>0.18</v>
      </c>
      <c r="AK240" s="5">
        <f t="shared" si="94"/>
        <v>0</v>
      </c>
      <c r="AL240" s="89">
        <f t="shared" si="95"/>
        <v>0</v>
      </c>
      <c r="AP240" s="92"/>
    </row>
    <row r="241" spans="1:42" x14ac:dyDescent="0.35">
      <c r="A241" s="85"/>
      <c r="B241" s="51"/>
      <c r="C241" s="97"/>
      <c r="D241" s="97"/>
      <c r="E241" s="48"/>
      <c r="F241" s="86"/>
      <c r="G241" s="86"/>
      <c r="H241" s="86"/>
      <c r="I241" s="48"/>
      <c r="J241" s="52"/>
      <c r="K241" s="86"/>
      <c r="L241" s="86"/>
      <c r="M241" s="105"/>
      <c r="N241" s="104">
        <f t="shared" si="89"/>
        <v>0</v>
      </c>
      <c r="O241" s="86"/>
      <c r="P241" s="86"/>
      <c r="Q241" s="86"/>
      <c r="R241" s="104">
        <f t="shared" si="88"/>
        <v>0</v>
      </c>
      <c r="S241" s="86">
        <f t="shared" si="90"/>
        <v>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0</v>
      </c>
      <c r="AF241" s="90">
        <v>6.5000000000000002E-2</v>
      </c>
      <c r="AG241" s="4">
        <f t="shared" si="96"/>
        <v>0</v>
      </c>
      <c r="AH241" s="49">
        <f t="shared" si="92"/>
        <v>0</v>
      </c>
      <c r="AI241" s="89">
        <f t="shared" si="93"/>
        <v>0</v>
      </c>
      <c r="AJ241" s="91">
        <v>0.18</v>
      </c>
      <c r="AK241" s="5">
        <f t="shared" si="94"/>
        <v>0</v>
      </c>
      <c r="AL241" s="89">
        <f t="shared" si="95"/>
        <v>0</v>
      </c>
      <c r="AP241" s="92"/>
    </row>
    <row r="242" spans="1:42" x14ac:dyDescent="0.35">
      <c r="A242" s="85"/>
      <c r="B242" s="51"/>
      <c r="C242" s="97"/>
      <c r="D242" s="97"/>
      <c r="E242" s="48"/>
      <c r="F242" s="86"/>
      <c r="G242" s="86"/>
      <c r="H242" s="86"/>
      <c r="I242" s="48"/>
      <c r="J242" s="52"/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0</v>
      </c>
      <c r="AF242" s="90">
        <v>6.5000000000000002E-2</v>
      </c>
      <c r="AG242" s="4">
        <f t="shared" si="96"/>
        <v>0</v>
      </c>
      <c r="AH242" s="49">
        <f t="shared" si="92"/>
        <v>0</v>
      </c>
      <c r="AI242" s="89">
        <f t="shared" si="93"/>
        <v>0</v>
      </c>
      <c r="AJ242" s="91">
        <v>0.18</v>
      </c>
      <c r="AK242" s="5">
        <f t="shared" si="94"/>
        <v>0</v>
      </c>
      <c r="AL242" s="89">
        <f t="shared" si="95"/>
        <v>0</v>
      </c>
      <c r="AP242" s="92"/>
    </row>
    <row r="243" spans="1:42" x14ac:dyDescent="0.35">
      <c r="A243" s="85"/>
      <c r="B243" s="51"/>
      <c r="C243" s="97"/>
      <c r="D243" s="97"/>
      <c r="E243" s="48"/>
      <c r="F243" s="86"/>
      <c r="G243" s="86"/>
      <c r="H243" s="86"/>
      <c r="I243" s="48"/>
      <c r="J243" s="52"/>
      <c r="K243" s="105"/>
      <c r="L243" s="105"/>
      <c r="M243" s="105"/>
      <c r="N243" s="104">
        <f t="shared" si="89"/>
        <v>0</v>
      </c>
      <c r="O243" s="86"/>
      <c r="P243" s="86"/>
      <c r="Q243" s="105"/>
      <c r="R243" s="104">
        <f t="shared" si="88"/>
        <v>0</v>
      </c>
      <c r="S243" s="86">
        <f t="shared" si="90"/>
        <v>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0</v>
      </c>
      <c r="AF243" s="90">
        <v>0.1</v>
      </c>
      <c r="AG243" s="4">
        <f t="shared" si="96"/>
        <v>0</v>
      </c>
      <c r="AH243" s="49">
        <f t="shared" si="92"/>
        <v>0</v>
      </c>
      <c r="AI243" s="89">
        <f t="shared" si="93"/>
        <v>0</v>
      </c>
      <c r="AJ243" s="91">
        <v>0.18</v>
      </c>
      <c r="AK243" s="5">
        <f t="shared" si="94"/>
        <v>0</v>
      </c>
      <c r="AL243" s="89">
        <f t="shared" si="95"/>
        <v>0</v>
      </c>
      <c r="AP243" s="92"/>
    </row>
    <row r="244" spans="1:42" x14ac:dyDescent="0.35">
      <c r="A244" s="85"/>
      <c r="B244" s="51"/>
      <c r="C244" s="97"/>
      <c r="D244" s="97"/>
      <c r="E244" s="48"/>
      <c r="F244" s="86"/>
      <c r="G244" s="86"/>
      <c r="H244" s="86"/>
      <c r="I244" s="48"/>
      <c r="J244" s="52"/>
      <c r="K244" s="105"/>
      <c r="L244" s="105"/>
      <c r="M244" s="105"/>
      <c r="N244" s="104">
        <f t="shared" si="89"/>
        <v>0</v>
      </c>
      <c r="O244" s="86"/>
      <c r="P244" s="86"/>
      <c r="Q244" s="105"/>
      <c r="R244" s="104">
        <f t="shared" si="88"/>
        <v>0</v>
      </c>
      <c r="S244" s="86">
        <f t="shared" si="90"/>
        <v>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0</v>
      </c>
      <c r="AF244" s="90">
        <v>6.5000000000000002E-2</v>
      </c>
      <c r="AG244" s="4">
        <f t="shared" si="96"/>
        <v>0</v>
      </c>
      <c r="AH244" s="49">
        <f t="shared" si="92"/>
        <v>0</v>
      </c>
      <c r="AI244" s="89">
        <f t="shared" si="93"/>
        <v>0</v>
      </c>
      <c r="AJ244" s="91">
        <v>0.18</v>
      </c>
      <c r="AK244" s="5">
        <f t="shared" si="94"/>
        <v>0</v>
      </c>
      <c r="AL244" s="89">
        <f t="shared" si="95"/>
        <v>0</v>
      </c>
      <c r="AP244" s="92"/>
    </row>
    <row r="245" spans="1:42" x14ac:dyDescent="0.35">
      <c r="A245" s="85"/>
      <c r="B245" s="51"/>
      <c r="C245" s="97"/>
      <c r="D245" s="97"/>
      <c r="E245" s="48"/>
      <c r="F245" s="86"/>
      <c r="G245" s="86"/>
      <c r="H245" s="86"/>
      <c r="I245" s="48"/>
      <c r="J245" s="52"/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0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0</v>
      </c>
      <c r="AF245" s="90">
        <v>6.5000000000000002E-2</v>
      </c>
      <c r="AG245" s="4">
        <f t="shared" si="96"/>
        <v>0</v>
      </c>
      <c r="AH245" s="49">
        <f t="shared" si="92"/>
        <v>0</v>
      </c>
      <c r="AI245" s="89">
        <f t="shared" si="93"/>
        <v>0</v>
      </c>
      <c r="AJ245" s="91">
        <v>0.18</v>
      </c>
      <c r="AK245" s="5">
        <f t="shared" si="94"/>
        <v>0</v>
      </c>
      <c r="AL245" s="89">
        <f t="shared" si="95"/>
        <v>0</v>
      </c>
      <c r="AP245" s="92"/>
    </row>
    <row r="246" spans="1:42" x14ac:dyDescent="0.35">
      <c r="A246" s="85"/>
      <c r="B246" s="51"/>
      <c r="C246" s="97"/>
      <c r="D246" s="97"/>
      <c r="E246" s="48"/>
      <c r="F246" s="86"/>
      <c r="G246" s="86"/>
      <c r="H246" s="86"/>
      <c r="I246" s="48"/>
      <c r="J246" s="52"/>
      <c r="K246" s="86"/>
      <c r="L246" s="86"/>
      <c r="M246" s="86"/>
      <c r="N246" s="104">
        <f t="shared" si="89"/>
        <v>0</v>
      </c>
      <c r="O246" s="86"/>
      <c r="P246" s="86"/>
      <c r="Q246" s="86"/>
      <c r="R246" s="104">
        <f t="shared" si="88"/>
        <v>0</v>
      </c>
      <c r="S246" s="86">
        <f t="shared" si="90"/>
        <v>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0</v>
      </c>
      <c r="AF246" s="90">
        <v>6.5000000000000002E-2</v>
      </c>
      <c r="AG246" s="4">
        <f t="shared" si="96"/>
        <v>0</v>
      </c>
      <c r="AH246" s="49">
        <f t="shared" si="92"/>
        <v>0</v>
      </c>
      <c r="AI246" s="89">
        <f t="shared" si="93"/>
        <v>0</v>
      </c>
      <c r="AJ246" s="91">
        <v>0.18</v>
      </c>
      <c r="AK246" s="5">
        <f t="shared" si="94"/>
        <v>0</v>
      </c>
      <c r="AL246" s="89">
        <f t="shared" si="95"/>
        <v>0</v>
      </c>
      <c r="AP246" s="92"/>
    </row>
    <row r="247" spans="1:42" x14ac:dyDescent="0.35">
      <c r="A247" s="85"/>
      <c r="B247" s="51"/>
      <c r="C247" s="97"/>
      <c r="D247" s="97"/>
      <c r="E247" s="48"/>
      <c r="F247" s="86"/>
      <c r="G247" s="86"/>
      <c r="H247" s="86"/>
      <c r="I247" s="48"/>
      <c r="J247" s="52"/>
      <c r="K247" s="86"/>
      <c r="L247" s="86"/>
      <c r="M247" s="86"/>
      <c r="N247" s="104">
        <f t="shared" si="89"/>
        <v>0</v>
      </c>
      <c r="O247" s="86"/>
      <c r="P247" s="86"/>
      <c r="Q247" s="105"/>
      <c r="R247" s="104">
        <f t="shared" si="88"/>
        <v>0</v>
      </c>
      <c r="S247" s="86">
        <f t="shared" si="90"/>
        <v>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0</v>
      </c>
      <c r="AF247" s="90">
        <v>6.5000000000000002E-2</v>
      </c>
      <c r="AG247" s="4">
        <f t="shared" si="96"/>
        <v>0</v>
      </c>
      <c r="AH247" s="49">
        <f t="shared" si="92"/>
        <v>0</v>
      </c>
      <c r="AI247" s="89">
        <f t="shared" si="93"/>
        <v>0</v>
      </c>
      <c r="AJ247" s="91">
        <v>0.18</v>
      </c>
      <c r="AK247" s="5">
        <f t="shared" si="94"/>
        <v>0</v>
      </c>
      <c r="AL247" s="89">
        <f t="shared" si="95"/>
        <v>0</v>
      </c>
      <c r="AP247" s="92"/>
    </row>
    <row r="248" spans="1:42" x14ac:dyDescent="0.35">
      <c r="A248" s="85"/>
      <c r="B248" s="51"/>
      <c r="C248" s="97"/>
      <c r="D248" s="97"/>
      <c r="E248" s="48"/>
      <c r="F248" s="86"/>
      <c r="G248" s="86"/>
      <c r="H248" s="86"/>
      <c r="I248" s="48"/>
      <c r="J248" s="52"/>
      <c r="K248" s="105"/>
      <c r="L248" s="105"/>
      <c r="M248" s="105"/>
      <c r="N248" s="104">
        <f t="shared" si="89"/>
        <v>0</v>
      </c>
      <c r="O248" s="86"/>
      <c r="P248" s="86"/>
      <c r="Q248" s="86"/>
      <c r="R248" s="104">
        <f t="shared" si="88"/>
        <v>0</v>
      </c>
      <c r="S248" s="86">
        <f t="shared" si="90"/>
        <v>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0</v>
      </c>
      <c r="AF248" s="90">
        <v>6.5000000000000002E-2</v>
      </c>
      <c r="AG248" s="4">
        <f t="shared" si="96"/>
        <v>0</v>
      </c>
      <c r="AH248" s="49">
        <f t="shared" si="92"/>
        <v>0</v>
      </c>
      <c r="AI248" s="89">
        <f t="shared" si="93"/>
        <v>0</v>
      </c>
      <c r="AJ248" s="91">
        <v>0.18</v>
      </c>
      <c r="AK248" s="5">
        <f t="shared" si="94"/>
        <v>0</v>
      </c>
      <c r="AL248" s="89">
        <f t="shared" si="95"/>
        <v>0</v>
      </c>
      <c r="AP248" s="92"/>
    </row>
    <row r="249" spans="1:42" x14ac:dyDescent="0.35">
      <c r="A249" s="85"/>
      <c r="B249" s="51"/>
      <c r="C249" s="97"/>
      <c r="D249" s="97"/>
      <c r="E249" s="48"/>
      <c r="F249" s="86"/>
      <c r="G249" s="86"/>
      <c r="H249" s="86"/>
      <c r="I249" s="48"/>
      <c r="J249" s="52"/>
      <c r="K249" s="86"/>
      <c r="L249" s="105"/>
      <c r="M249" s="86"/>
      <c r="N249" s="104">
        <f t="shared" si="89"/>
        <v>0</v>
      </c>
      <c r="O249" s="86"/>
      <c r="P249" s="86"/>
      <c r="Q249" s="86"/>
      <c r="R249" s="104">
        <f t="shared" si="88"/>
        <v>0</v>
      </c>
      <c r="S249" s="86">
        <f t="shared" si="90"/>
        <v>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0</v>
      </c>
      <c r="AF249" s="90">
        <v>6.5000000000000002E-2</v>
      </c>
      <c r="AG249" s="4">
        <f t="shared" si="96"/>
        <v>0</v>
      </c>
      <c r="AH249" s="49">
        <f t="shared" si="92"/>
        <v>0</v>
      </c>
      <c r="AI249" s="89">
        <f t="shared" si="93"/>
        <v>0</v>
      </c>
      <c r="AJ249" s="91">
        <v>0.18</v>
      </c>
      <c r="AK249" s="5">
        <f t="shared" si="94"/>
        <v>0</v>
      </c>
      <c r="AL249" s="89">
        <f t="shared" si="95"/>
        <v>0</v>
      </c>
      <c r="AP249" s="92"/>
    </row>
    <row r="250" spans="1:42" x14ac:dyDescent="0.35">
      <c r="A250" s="85"/>
      <c r="B250" s="51"/>
      <c r="C250" s="97"/>
      <c r="D250" s="97"/>
      <c r="E250" s="48"/>
      <c r="F250" s="86"/>
      <c r="G250" s="86"/>
      <c r="H250" s="86"/>
      <c r="I250" s="48"/>
      <c r="J250" s="52"/>
      <c r="K250" s="86"/>
      <c r="L250" s="86"/>
      <c r="M250" s="86"/>
      <c r="N250" s="104">
        <f t="shared" si="89"/>
        <v>0</v>
      </c>
      <c r="O250" s="86"/>
      <c r="P250" s="86"/>
      <c r="Q250" s="86"/>
      <c r="R250" s="104">
        <f t="shared" si="88"/>
        <v>0</v>
      </c>
      <c r="S250" s="86">
        <f t="shared" si="90"/>
        <v>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0</v>
      </c>
      <c r="AF250" s="90">
        <v>0.14000000000000001</v>
      </c>
      <c r="AG250" s="4">
        <f t="shared" si="96"/>
        <v>0</v>
      </c>
      <c r="AH250" s="49">
        <f t="shared" si="92"/>
        <v>0</v>
      </c>
      <c r="AI250" s="89">
        <f t="shared" si="93"/>
        <v>0</v>
      </c>
      <c r="AJ250" s="91">
        <v>0.18</v>
      </c>
      <c r="AK250" s="5">
        <f t="shared" si="94"/>
        <v>0</v>
      </c>
      <c r="AL250" s="89">
        <f t="shared" si="95"/>
        <v>0</v>
      </c>
      <c r="AP250" s="92"/>
    </row>
    <row r="251" spans="1:42" x14ac:dyDescent="0.35">
      <c r="A251" s="85"/>
      <c r="B251" s="51"/>
      <c r="C251" s="97"/>
      <c r="D251" s="97"/>
      <c r="E251" s="48"/>
      <c r="F251" s="86"/>
      <c r="G251" s="86"/>
      <c r="H251" s="86"/>
      <c r="I251" s="48"/>
      <c r="J251" s="52"/>
      <c r="K251" s="86"/>
      <c r="L251" s="86"/>
      <c r="M251" s="86"/>
      <c r="N251" s="104">
        <f t="shared" si="89"/>
        <v>0</v>
      </c>
      <c r="O251" s="105"/>
      <c r="P251" s="105"/>
      <c r="Q251" s="105"/>
      <c r="R251" s="104">
        <f t="shared" si="88"/>
        <v>0</v>
      </c>
      <c r="S251" s="86">
        <f t="shared" si="90"/>
        <v>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0</v>
      </c>
      <c r="AF251" s="90">
        <v>6.5000000000000002E-2</v>
      </c>
      <c r="AG251" s="4">
        <f t="shared" si="96"/>
        <v>0</v>
      </c>
      <c r="AH251" s="49">
        <f t="shared" si="92"/>
        <v>0</v>
      </c>
      <c r="AI251" s="89">
        <f t="shared" si="93"/>
        <v>0</v>
      </c>
      <c r="AJ251" s="91">
        <v>0.18</v>
      </c>
      <c r="AK251" s="5">
        <f t="shared" si="94"/>
        <v>0</v>
      </c>
      <c r="AL251" s="89">
        <f t="shared" si="95"/>
        <v>0</v>
      </c>
      <c r="AP251" s="92"/>
    </row>
    <row r="252" spans="1:42" x14ac:dyDescent="0.35">
      <c r="A252" s="85"/>
      <c r="B252" s="51"/>
      <c r="C252" s="97"/>
      <c r="D252" s="97"/>
      <c r="E252" s="48"/>
      <c r="F252" s="86"/>
      <c r="G252" s="86"/>
      <c r="H252" s="86"/>
      <c r="I252" s="48"/>
      <c r="J252" s="52"/>
      <c r="K252" s="86"/>
      <c r="L252" s="105"/>
      <c r="M252" s="105"/>
      <c r="N252" s="104">
        <f t="shared" si="89"/>
        <v>0</v>
      </c>
      <c r="O252" s="86"/>
      <c r="P252" s="86"/>
      <c r="Q252" s="105"/>
      <c r="R252" s="104">
        <f t="shared" si="88"/>
        <v>0</v>
      </c>
      <c r="S252" s="86">
        <f t="shared" si="90"/>
        <v>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0</v>
      </c>
      <c r="AF252" s="90">
        <v>6.5000000000000002E-2</v>
      </c>
      <c r="AG252" s="4">
        <f t="shared" si="96"/>
        <v>0</v>
      </c>
      <c r="AH252" s="49">
        <f t="shared" si="92"/>
        <v>0</v>
      </c>
      <c r="AI252" s="89">
        <f t="shared" si="93"/>
        <v>0</v>
      </c>
      <c r="AJ252" s="91">
        <v>0.18</v>
      </c>
      <c r="AK252" s="5">
        <f t="shared" si="94"/>
        <v>0</v>
      </c>
      <c r="AL252" s="89">
        <f t="shared" si="95"/>
        <v>0</v>
      </c>
      <c r="AP252" s="92"/>
    </row>
    <row r="253" spans="1:42" x14ac:dyDescent="0.35">
      <c r="A253" s="85"/>
      <c r="B253" s="51"/>
      <c r="C253" s="97"/>
      <c r="D253" s="97"/>
      <c r="E253" s="48"/>
      <c r="F253" s="86"/>
      <c r="G253" s="86"/>
      <c r="H253" s="86"/>
      <c r="I253" s="48"/>
      <c r="J253" s="52"/>
      <c r="K253" s="86"/>
      <c r="L253" s="86"/>
      <c r="M253" s="86"/>
      <c r="N253" s="104">
        <f t="shared" si="89"/>
        <v>0</v>
      </c>
      <c r="O253" s="86"/>
      <c r="P253" s="86"/>
      <c r="Q253" s="86"/>
      <c r="R253" s="104">
        <f t="shared" si="88"/>
        <v>0</v>
      </c>
      <c r="S253" s="86">
        <f t="shared" si="90"/>
        <v>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0</v>
      </c>
      <c r="AF253" s="90">
        <v>6.5000000000000002E-2</v>
      </c>
      <c r="AG253" s="4">
        <f t="shared" si="96"/>
        <v>0</v>
      </c>
      <c r="AH253" s="49">
        <f t="shared" si="92"/>
        <v>0</v>
      </c>
      <c r="AI253" s="89">
        <f t="shared" si="93"/>
        <v>0</v>
      </c>
      <c r="AJ253" s="91">
        <v>0.18</v>
      </c>
      <c r="AK253" s="5">
        <f t="shared" si="94"/>
        <v>0</v>
      </c>
      <c r="AL253" s="89">
        <f t="shared" si="95"/>
        <v>0</v>
      </c>
      <c r="AP253" s="92"/>
    </row>
    <row r="254" spans="1:42" x14ac:dyDescent="0.35">
      <c r="A254" s="85"/>
      <c r="B254" s="51"/>
      <c r="C254" s="97"/>
      <c r="D254" s="97"/>
      <c r="E254" s="48"/>
      <c r="F254" s="86"/>
      <c r="G254" s="86"/>
      <c r="H254" s="86"/>
      <c r="I254" s="48"/>
      <c r="J254" s="52"/>
      <c r="K254" s="105"/>
      <c r="L254" s="86"/>
      <c r="M254" s="86"/>
      <c r="N254" s="104">
        <f t="shared" si="89"/>
        <v>0</v>
      </c>
      <c r="O254" s="105"/>
      <c r="P254" s="105"/>
      <c r="Q254" s="105"/>
      <c r="R254" s="104">
        <f t="shared" si="88"/>
        <v>0</v>
      </c>
      <c r="S254" s="86">
        <f t="shared" si="90"/>
        <v>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0</v>
      </c>
      <c r="AF254" s="90">
        <v>6.5000000000000002E-2</v>
      </c>
      <c r="AG254" s="4">
        <f t="shared" si="96"/>
        <v>0</v>
      </c>
      <c r="AH254" s="49">
        <f t="shared" si="92"/>
        <v>0</v>
      </c>
      <c r="AI254" s="89">
        <f t="shared" si="93"/>
        <v>0</v>
      </c>
      <c r="AJ254" s="91">
        <v>0.18</v>
      </c>
      <c r="AK254" s="5">
        <f t="shared" si="94"/>
        <v>0</v>
      </c>
      <c r="AL254" s="89">
        <f t="shared" si="95"/>
        <v>0</v>
      </c>
      <c r="AP254" s="92"/>
    </row>
    <row r="255" spans="1:42" x14ac:dyDescent="0.35">
      <c r="A255" s="85"/>
      <c r="B255" s="51"/>
      <c r="C255" s="97"/>
      <c r="D255" s="97"/>
      <c r="E255" s="48"/>
      <c r="F255" s="86"/>
      <c r="G255" s="86"/>
      <c r="H255" s="86"/>
      <c r="I255" s="48"/>
      <c r="J255" s="52"/>
      <c r="K255" s="105"/>
      <c r="L255" s="86"/>
      <c r="M255" s="86"/>
      <c r="N255" s="104">
        <f t="shared" si="89"/>
        <v>0</v>
      </c>
      <c r="O255" s="86"/>
      <c r="P255" s="86"/>
      <c r="Q255" s="86"/>
      <c r="R255" s="104">
        <f t="shared" si="88"/>
        <v>0</v>
      </c>
      <c r="S255" s="86">
        <f t="shared" si="90"/>
        <v>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0</v>
      </c>
      <c r="AF255" s="90">
        <v>6.5000000000000002E-2</v>
      </c>
      <c r="AG255" s="4">
        <f t="shared" si="96"/>
        <v>0</v>
      </c>
      <c r="AH255" s="49">
        <f t="shared" si="92"/>
        <v>0</v>
      </c>
      <c r="AI255" s="89">
        <f t="shared" si="93"/>
        <v>0</v>
      </c>
      <c r="AJ255" s="91">
        <v>0.18</v>
      </c>
      <c r="AK255" s="5">
        <f t="shared" si="94"/>
        <v>0</v>
      </c>
      <c r="AL255" s="89">
        <f t="shared" si="95"/>
        <v>0</v>
      </c>
      <c r="AP255" s="92"/>
    </row>
    <row r="256" spans="1:42" x14ac:dyDescent="0.35">
      <c r="A256" s="85"/>
      <c r="B256" s="51"/>
      <c r="C256" s="97"/>
      <c r="D256" s="97"/>
      <c r="E256" s="48"/>
      <c r="F256" s="86"/>
      <c r="G256" s="86"/>
      <c r="H256" s="86"/>
      <c r="I256" s="48"/>
      <c r="J256" s="52"/>
      <c r="K256" s="86"/>
      <c r="L256" s="86"/>
      <c r="M256" s="86"/>
      <c r="N256" s="104">
        <f t="shared" si="89"/>
        <v>0</v>
      </c>
      <c r="O256" s="105"/>
      <c r="P256" s="105"/>
      <c r="Q256" s="105"/>
      <c r="R256" s="104">
        <f t="shared" si="88"/>
        <v>0</v>
      </c>
      <c r="S256" s="86">
        <f t="shared" si="90"/>
        <v>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0</v>
      </c>
      <c r="AF256" s="90">
        <v>6.5000000000000002E-2</v>
      </c>
      <c r="AG256" s="4">
        <f t="shared" si="96"/>
        <v>0</v>
      </c>
      <c r="AH256" s="49">
        <f t="shared" si="92"/>
        <v>0</v>
      </c>
      <c r="AI256" s="89">
        <f t="shared" si="93"/>
        <v>0</v>
      </c>
      <c r="AJ256" s="91">
        <v>0.18</v>
      </c>
      <c r="AK256" s="5">
        <f t="shared" si="94"/>
        <v>0</v>
      </c>
      <c r="AL256" s="89">
        <f t="shared" si="95"/>
        <v>0</v>
      </c>
      <c r="AP256" s="92"/>
    </row>
    <row r="257" spans="1:42" x14ac:dyDescent="0.35">
      <c r="A257" s="85"/>
      <c r="B257" s="51"/>
      <c r="C257" s="97"/>
      <c r="D257" s="97"/>
      <c r="E257" s="48"/>
      <c r="F257" s="86"/>
      <c r="G257" s="86"/>
      <c r="H257" s="86"/>
      <c r="I257" s="48"/>
      <c r="J257" s="52"/>
      <c r="K257" s="86"/>
      <c r="L257" s="86"/>
      <c r="M257" s="86"/>
      <c r="N257" s="104">
        <f t="shared" si="89"/>
        <v>0</v>
      </c>
      <c r="O257" s="105"/>
      <c r="P257" s="105"/>
      <c r="Q257" s="105"/>
      <c r="R257" s="104">
        <f t="shared" si="88"/>
        <v>0</v>
      </c>
      <c r="S257" s="86">
        <f t="shared" si="90"/>
        <v>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0</v>
      </c>
      <c r="AF257" s="90">
        <v>6.5000000000000002E-2</v>
      </c>
      <c r="AG257" s="4">
        <f t="shared" si="96"/>
        <v>0</v>
      </c>
      <c r="AH257" s="49">
        <f t="shared" si="92"/>
        <v>0</v>
      </c>
      <c r="AI257" s="89">
        <f t="shared" si="93"/>
        <v>0</v>
      </c>
      <c r="AJ257" s="91">
        <v>0.18</v>
      </c>
      <c r="AK257" s="5">
        <f t="shared" si="94"/>
        <v>0</v>
      </c>
      <c r="AL257" s="89">
        <f t="shared" si="95"/>
        <v>0</v>
      </c>
      <c r="AP257" s="92"/>
    </row>
    <row r="258" spans="1:42" x14ac:dyDescent="0.35">
      <c r="A258" s="85"/>
      <c r="B258" s="51"/>
      <c r="C258" s="97"/>
      <c r="D258" s="97"/>
      <c r="E258" s="48"/>
      <c r="F258" s="86"/>
      <c r="G258" s="86"/>
      <c r="H258" s="86"/>
      <c r="I258" s="48"/>
      <c r="J258" s="52"/>
      <c r="K258" s="86"/>
      <c r="L258" s="86"/>
      <c r="M258" s="86"/>
      <c r="N258" s="104">
        <f t="shared" si="89"/>
        <v>0</v>
      </c>
      <c r="O258" s="86"/>
      <c r="P258" s="86"/>
      <c r="Q258" s="86"/>
      <c r="R258" s="104">
        <f t="shared" si="88"/>
        <v>0</v>
      </c>
      <c r="S258" s="86">
        <f t="shared" si="90"/>
        <v>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0</v>
      </c>
      <c r="AF258" s="90">
        <v>6.5000000000000002E-2</v>
      </c>
      <c r="AG258" s="4">
        <f t="shared" si="96"/>
        <v>0</v>
      </c>
      <c r="AH258" s="49">
        <f t="shared" si="92"/>
        <v>0</v>
      </c>
      <c r="AI258" s="89">
        <f t="shared" si="93"/>
        <v>0</v>
      </c>
      <c r="AJ258" s="91">
        <v>0.18</v>
      </c>
      <c r="AK258" s="5">
        <f t="shared" si="94"/>
        <v>0</v>
      </c>
      <c r="AL258" s="89">
        <f t="shared" si="95"/>
        <v>0</v>
      </c>
      <c r="AP258" s="92"/>
    </row>
    <row r="259" spans="1:42" x14ac:dyDescent="0.35">
      <c r="A259" s="85"/>
      <c r="B259" s="51"/>
      <c r="C259" s="97"/>
      <c r="D259" s="97"/>
      <c r="E259" s="48"/>
      <c r="F259" s="86"/>
      <c r="G259" s="86"/>
      <c r="H259" s="86"/>
      <c r="I259" s="48"/>
      <c r="J259" s="52"/>
      <c r="K259" s="86"/>
      <c r="L259" s="86"/>
      <c r="M259" s="86"/>
      <c r="N259" s="104">
        <f t="shared" si="89"/>
        <v>0</v>
      </c>
      <c r="O259" s="86"/>
      <c r="P259" s="86"/>
      <c r="Q259" s="86"/>
      <c r="R259" s="104">
        <f t="shared" si="88"/>
        <v>0</v>
      </c>
      <c r="S259" s="86">
        <f t="shared" si="90"/>
        <v>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0</v>
      </c>
      <c r="AF259" s="90">
        <v>6.5000000000000002E-2</v>
      </c>
      <c r="AG259" s="4">
        <f t="shared" si="96"/>
        <v>0</v>
      </c>
      <c r="AH259" s="49">
        <f t="shared" si="92"/>
        <v>0</v>
      </c>
      <c r="AI259" s="89">
        <f t="shared" si="93"/>
        <v>0</v>
      </c>
      <c r="AJ259" s="91">
        <v>0.18</v>
      </c>
      <c r="AK259" s="5">
        <f t="shared" si="94"/>
        <v>0</v>
      </c>
      <c r="AL259" s="89">
        <f t="shared" si="95"/>
        <v>0</v>
      </c>
      <c r="AP259" s="92"/>
    </row>
    <row r="260" spans="1:42" x14ac:dyDescent="0.35">
      <c r="A260" s="85"/>
      <c r="B260" s="51"/>
      <c r="C260" s="97"/>
      <c r="D260" s="97"/>
      <c r="E260" s="48"/>
      <c r="F260" s="86"/>
      <c r="G260" s="86"/>
      <c r="H260" s="86"/>
      <c r="I260" s="48"/>
      <c r="J260" s="52"/>
      <c r="K260" s="86"/>
      <c r="L260" s="86"/>
      <c r="M260" s="86"/>
      <c r="N260" s="104">
        <f t="shared" si="89"/>
        <v>0</v>
      </c>
      <c r="O260" s="105"/>
      <c r="P260" s="105"/>
      <c r="Q260" s="105"/>
      <c r="R260" s="104">
        <f t="shared" ref="R260:R323" si="97">SUM(O260:Q260)</f>
        <v>0</v>
      </c>
      <c r="S260" s="86">
        <f t="shared" si="90"/>
        <v>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0</v>
      </c>
      <c r="AF260" s="90">
        <v>6.5000000000000002E-2</v>
      </c>
      <c r="AG260" s="4">
        <f t="shared" si="96"/>
        <v>0</v>
      </c>
      <c r="AH260" s="49">
        <f t="shared" si="92"/>
        <v>0</v>
      </c>
      <c r="AI260" s="89">
        <f t="shared" si="93"/>
        <v>0</v>
      </c>
      <c r="AJ260" s="91">
        <v>0.18</v>
      </c>
      <c r="AK260" s="5">
        <f t="shared" si="94"/>
        <v>0</v>
      </c>
      <c r="AL260" s="89">
        <f t="shared" si="95"/>
        <v>0</v>
      </c>
      <c r="AP260" s="92"/>
    </row>
    <row r="261" spans="1:42" x14ac:dyDescent="0.35">
      <c r="A261" s="85"/>
      <c r="B261" s="51"/>
      <c r="C261" s="97"/>
      <c r="D261" s="97"/>
      <c r="E261" s="48"/>
      <c r="F261" s="86"/>
      <c r="G261" s="86"/>
      <c r="H261" s="86"/>
      <c r="I261" s="48"/>
      <c r="J261" s="52"/>
      <c r="K261" s="86"/>
      <c r="L261" s="86"/>
      <c r="M261" s="86"/>
      <c r="N261" s="104">
        <f t="shared" ref="N261:N324" si="98">K261+L261+M261</f>
        <v>0</v>
      </c>
      <c r="O261" s="86"/>
      <c r="P261" s="86"/>
      <c r="Q261" s="86"/>
      <c r="R261" s="104">
        <f t="shared" si="97"/>
        <v>0</v>
      </c>
      <c r="S261" s="86">
        <f t="shared" ref="S261:S324" si="99">R261+N261+J261</f>
        <v>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0</v>
      </c>
      <c r="AF261" s="90">
        <v>6.5000000000000002E-2</v>
      </c>
      <c r="AG261" s="4">
        <f t="shared" si="96"/>
        <v>0</v>
      </c>
      <c r="AH261" s="49">
        <f t="shared" si="92"/>
        <v>0</v>
      </c>
      <c r="AI261" s="89">
        <f t="shared" si="93"/>
        <v>0</v>
      </c>
      <c r="AJ261" s="91">
        <v>0.18</v>
      </c>
      <c r="AK261" s="5">
        <f t="shared" si="94"/>
        <v>0</v>
      </c>
      <c r="AL261" s="89">
        <f t="shared" si="95"/>
        <v>0</v>
      </c>
      <c r="AP261" s="92"/>
    </row>
    <row r="262" spans="1:42" x14ac:dyDescent="0.35">
      <c r="A262" s="85"/>
      <c r="B262" s="51"/>
      <c r="C262" s="97"/>
      <c r="D262" s="97"/>
      <c r="E262" s="48"/>
      <c r="F262" s="86"/>
      <c r="G262" s="86"/>
      <c r="H262" s="86"/>
      <c r="I262" s="48"/>
      <c r="J262" s="52"/>
      <c r="K262" s="86"/>
      <c r="L262" s="86"/>
      <c r="M262" s="86"/>
      <c r="N262" s="104">
        <f t="shared" si="98"/>
        <v>0</v>
      </c>
      <c r="O262" s="86"/>
      <c r="P262" s="86"/>
      <c r="Q262" s="86"/>
      <c r="R262" s="104">
        <f t="shared" si="97"/>
        <v>0</v>
      </c>
      <c r="S262" s="86">
        <f t="shared" si="99"/>
        <v>0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0</v>
      </c>
      <c r="AF262" s="90">
        <v>6.5000000000000002E-2</v>
      </c>
      <c r="AG262" s="4">
        <f t="shared" si="96"/>
        <v>0</v>
      </c>
      <c r="AH262" s="49">
        <f t="shared" si="92"/>
        <v>0</v>
      </c>
      <c r="AI262" s="89">
        <f t="shared" si="93"/>
        <v>0</v>
      </c>
      <c r="AJ262" s="91">
        <v>0.18</v>
      </c>
      <c r="AK262" s="5">
        <f t="shared" si="94"/>
        <v>0</v>
      </c>
      <c r="AL262" s="89">
        <f t="shared" si="95"/>
        <v>0</v>
      </c>
      <c r="AP262" s="92"/>
    </row>
    <row r="263" spans="1:42" x14ac:dyDescent="0.35">
      <c r="A263" s="85"/>
      <c r="B263" s="51"/>
      <c r="C263" s="97"/>
      <c r="D263" s="97"/>
      <c r="E263" s="48"/>
      <c r="F263" s="86"/>
      <c r="G263" s="86"/>
      <c r="H263" s="86"/>
      <c r="I263" s="48"/>
      <c r="J263" s="52"/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0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0</v>
      </c>
      <c r="AF263" s="90">
        <v>6.5000000000000002E-2</v>
      </c>
      <c r="AG263" s="4">
        <f t="shared" si="96"/>
        <v>0</v>
      </c>
      <c r="AH263" s="49">
        <f t="shared" si="92"/>
        <v>0</v>
      </c>
      <c r="AI263" s="89">
        <f t="shared" si="93"/>
        <v>0</v>
      </c>
      <c r="AJ263" s="91">
        <v>0.18</v>
      </c>
      <c r="AK263" s="5">
        <f t="shared" si="94"/>
        <v>0</v>
      </c>
      <c r="AL263" s="89">
        <f t="shared" si="95"/>
        <v>0</v>
      </c>
      <c r="AP263" s="92"/>
    </row>
    <row r="264" spans="1:42" x14ac:dyDescent="0.35">
      <c r="A264" s="85"/>
      <c r="B264" s="51"/>
      <c r="C264" s="97"/>
      <c r="D264" s="97"/>
      <c r="E264" s="48"/>
      <c r="F264" s="86"/>
      <c r="G264" s="86"/>
      <c r="H264" s="86"/>
      <c r="I264" s="48"/>
      <c r="J264" s="52"/>
      <c r="K264" s="86"/>
      <c r="L264" s="86"/>
      <c r="M264" s="86"/>
      <c r="N264" s="104">
        <f t="shared" si="98"/>
        <v>0</v>
      </c>
      <c r="O264" s="86"/>
      <c r="P264" s="86"/>
      <c r="Q264" s="86"/>
      <c r="R264" s="104">
        <f t="shared" si="97"/>
        <v>0</v>
      </c>
      <c r="S264" s="86">
        <f t="shared" si="99"/>
        <v>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0</v>
      </c>
      <c r="AF264" s="90">
        <v>6.5000000000000002E-2</v>
      </c>
      <c r="AG264" s="4">
        <f t="shared" si="96"/>
        <v>0</v>
      </c>
      <c r="AH264" s="49">
        <f t="shared" si="92"/>
        <v>0</v>
      </c>
      <c r="AI264" s="89">
        <f t="shared" si="93"/>
        <v>0</v>
      </c>
      <c r="AJ264" s="91">
        <v>0.18</v>
      </c>
      <c r="AK264" s="5">
        <f t="shared" si="94"/>
        <v>0</v>
      </c>
      <c r="AL264" s="89">
        <f t="shared" si="95"/>
        <v>0</v>
      </c>
      <c r="AP264" s="92"/>
    </row>
    <row r="265" spans="1:42" x14ac:dyDescent="0.35">
      <c r="A265" s="85"/>
      <c r="B265" s="51"/>
      <c r="C265" s="97"/>
      <c r="D265" s="97"/>
      <c r="E265" s="48"/>
      <c r="F265" s="86"/>
      <c r="G265" s="86"/>
      <c r="H265" s="86"/>
      <c r="I265" s="48"/>
      <c r="J265" s="52"/>
      <c r="K265" s="86"/>
      <c r="L265" s="86"/>
      <c r="M265" s="86"/>
      <c r="N265" s="104">
        <f t="shared" si="98"/>
        <v>0</v>
      </c>
      <c r="O265" s="86"/>
      <c r="P265" s="86"/>
      <c r="Q265" s="86"/>
      <c r="R265" s="104">
        <f t="shared" si="97"/>
        <v>0</v>
      </c>
      <c r="S265" s="86">
        <f t="shared" si="99"/>
        <v>0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0</v>
      </c>
      <c r="AF265" s="90">
        <v>6.5000000000000002E-2</v>
      </c>
      <c r="AG265" s="4">
        <f t="shared" si="96"/>
        <v>0</v>
      </c>
      <c r="AH265" s="49">
        <f t="shared" si="92"/>
        <v>0</v>
      </c>
      <c r="AI265" s="89">
        <f t="shared" si="93"/>
        <v>0</v>
      </c>
      <c r="AJ265" s="91">
        <v>0.18</v>
      </c>
      <c r="AK265" s="5">
        <f t="shared" si="94"/>
        <v>0</v>
      </c>
      <c r="AL265" s="89">
        <f t="shared" si="95"/>
        <v>0</v>
      </c>
      <c r="AP265" s="92"/>
    </row>
    <row r="266" spans="1:42" x14ac:dyDescent="0.35">
      <c r="A266" s="85"/>
      <c r="B266" s="51"/>
      <c r="C266" s="97"/>
      <c r="D266" s="97"/>
      <c r="E266" s="48"/>
      <c r="F266" s="86"/>
      <c r="G266" s="86"/>
      <c r="H266" s="86"/>
      <c r="I266" s="48"/>
      <c r="J266" s="52"/>
      <c r="K266" s="86"/>
      <c r="L266" s="105"/>
      <c r="M266" s="86"/>
      <c r="N266" s="104">
        <f t="shared" si="98"/>
        <v>0</v>
      </c>
      <c r="O266" s="86"/>
      <c r="P266" s="86"/>
      <c r="Q266" s="86"/>
      <c r="R266" s="104">
        <f t="shared" si="97"/>
        <v>0</v>
      </c>
      <c r="S266" s="86">
        <f t="shared" si="99"/>
        <v>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0</v>
      </c>
      <c r="AF266" s="90">
        <v>6.5000000000000002E-2</v>
      </c>
      <c r="AG266" s="4">
        <f t="shared" si="96"/>
        <v>0</v>
      </c>
      <c r="AH266" s="49">
        <f t="shared" si="92"/>
        <v>0</v>
      </c>
      <c r="AI266" s="89">
        <f t="shared" si="93"/>
        <v>0</v>
      </c>
      <c r="AJ266" s="91">
        <v>0.18</v>
      </c>
      <c r="AK266" s="5">
        <f t="shared" si="94"/>
        <v>0</v>
      </c>
      <c r="AL266" s="89">
        <f t="shared" si="95"/>
        <v>0</v>
      </c>
      <c r="AP266" s="92"/>
    </row>
    <row r="267" spans="1:42" x14ac:dyDescent="0.35">
      <c r="A267" s="85"/>
      <c r="B267" s="51"/>
      <c r="C267" s="97"/>
      <c r="D267" s="97"/>
      <c r="E267" s="48"/>
      <c r="F267" s="86"/>
      <c r="G267" s="86"/>
      <c r="H267" s="86"/>
      <c r="I267" s="48"/>
      <c r="J267" s="52"/>
      <c r="K267" s="105"/>
      <c r="L267" s="105"/>
      <c r="M267" s="105"/>
      <c r="N267" s="104">
        <f t="shared" si="98"/>
        <v>0</v>
      </c>
      <c r="O267" s="105"/>
      <c r="P267" s="105"/>
      <c r="Q267" s="86"/>
      <c r="R267" s="104">
        <f t="shared" si="97"/>
        <v>0</v>
      </c>
      <c r="S267" s="86">
        <f t="shared" si="99"/>
        <v>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0</v>
      </c>
      <c r="AF267" s="90">
        <v>6.5000000000000002E-2</v>
      </c>
      <c r="AG267" s="4">
        <f t="shared" si="96"/>
        <v>0</v>
      </c>
      <c r="AH267" s="49">
        <f t="shared" si="92"/>
        <v>0</v>
      </c>
      <c r="AI267" s="89">
        <f t="shared" si="93"/>
        <v>0</v>
      </c>
      <c r="AJ267" s="91">
        <v>0.18</v>
      </c>
      <c r="AK267" s="5">
        <f t="shared" si="94"/>
        <v>0</v>
      </c>
      <c r="AL267" s="89">
        <f t="shared" si="95"/>
        <v>0</v>
      </c>
      <c r="AP267" s="92"/>
    </row>
    <row r="268" spans="1:42" x14ac:dyDescent="0.35">
      <c r="A268" s="85"/>
      <c r="B268" s="51"/>
      <c r="C268" s="97"/>
      <c r="D268" s="97"/>
      <c r="E268" s="48"/>
      <c r="F268" s="86"/>
      <c r="G268" s="86"/>
      <c r="H268" s="86"/>
      <c r="I268" s="48"/>
      <c r="J268" s="52"/>
      <c r="K268" s="105"/>
      <c r="L268" s="105"/>
      <c r="M268" s="105"/>
      <c r="N268" s="104">
        <f t="shared" si="98"/>
        <v>0</v>
      </c>
      <c r="O268" s="86"/>
      <c r="P268" s="105"/>
      <c r="Q268" s="105"/>
      <c r="R268" s="104">
        <f t="shared" si="97"/>
        <v>0</v>
      </c>
      <c r="S268" s="86">
        <f t="shared" si="99"/>
        <v>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0</v>
      </c>
      <c r="AF268" s="90">
        <v>6.5000000000000002E-2</v>
      </c>
      <c r="AG268" s="4">
        <f t="shared" si="96"/>
        <v>0</v>
      </c>
      <c r="AH268" s="49">
        <f t="shared" si="92"/>
        <v>0</v>
      </c>
      <c r="AI268" s="89">
        <f t="shared" si="93"/>
        <v>0</v>
      </c>
      <c r="AJ268" s="91">
        <v>0.18</v>
      </c>
      <c r="AK268" s="5">
        <f t="shared" si="94"/>
        <v>0</v>
      </c>
      <c r="AL268" s="89">
        <f t="shared" si="95"/>
        <v>0</v>
      </c>
      <c r="AP268" s="92"/>
    </row>
    <row r="269" spans="1:42" x14ac:dyDescent="0.35">
      <c r="A269" s="85"/>
      <c r="B269" s="51"/>
      <c r="C269" s="97"/>
      <c r="D269" s="97"/>
      <c r="E269" s="48"/>
      <c r="F269" s="86"/>
      <c r="G269" s="86"/>
      <c r="H269" s="86"/>
      <c r="I269" s="48"/>
      <c r="J269" s="52"/>
      <c r="K269" s="86"/>
      <c r="L269" s="105"/>
      <c r="M269" s="105"/>
      <c r="N269" s="104">
        <f t="shared" si="98"/>
        <v>0</v>
      </c>
      <c r="O269" s="105"/>
      <c r="P269" s="105"/>
      <c r="Q269" s="105"/>
      <c r="R269" s="104">
        <f t="shared" si="97"/>
        <v>0</v>
      </c>
      <c r="S269" s="86">
        <f t="shared" si="99"/>
        <v>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0</v>
      </c>
      <c r="AF269" s="90">
        <v>6.5000000000000002E-2</v>
      </c>
      <c r="AG269" s="4">
        <f t="shared" si="96"/>
        <v>0</v>
      </c>
      <c r="AH269" s="49">
        <f t="shared" si="92"/>
        <v>0</v>
      </c>
      <c r="AI269" s="89">
        <f t="shared" si="93"/>
        <v>0</v>
      </c>
      <c r="AJ269" s="91">
        <v>0.18</v>
      </c>
      <c r="AK269" s="5">
        <f t="shared" si="94"/>
        <v>0</v>
      </c>
      <c r="AL269" s="89">
        <f t="shared" si="95"/>
        <v>0</v>
      </c>
      <c r="AP269" s="92"/>
    </row>
    <row r="270" spans="1:42" x14ac:dyDescent="0.35">
      <c r="A270" s="85"/>
      <c r="B270" s="51"/>
      <c r="C270" s="97"/>
      <c r="D270" s="97"/>
      <c r="E270" s="48"/>
      <c r="F270" s="86"/>
      <c r="G270" s="86"/>
      <c r="H270" s="86"/>
      <c r="I270" s="48"/>
      <c r="J270" s="52"/>
      <c r="K270" s="105"/>
      <c r="L270" s="105"/>
      <c r="M270" s="105"/>
      <c r="N270" s="104">
        <f t="shared" si="98"/>
        <v>0</v>
      </c>
      <c r="O270" s="86"/>
      <c r="P270" s="86"/>
      <c r="Q270" s="86"/>
      <c r="R270" s="104">
        <f t="shared" si="97"/>
        <v>0</v>
      </c>
      <c r="S270" s="86">
        <f t="shared" si="99"/>
        <v>0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0</v>
      </c>
      <c r="AF270" s="90">
        <v>6.5000000000000002E-2</v>
      </c>
      <c r="AG270" s="4">
        <f t="shared" ref="AG270:AG325" si="100">AE270*AF270</f>
        <v>0</v>
      </c>
      <c r="AH270" s="49">
        <f t="shared" si="92"/>
        <v>0</v>
      </c>
      <c r="AI270" s="89">
        <f t="shared" si="93"/>
        <v>0</v>
      </c>
      <c r="AJ270" s="91">
        <v>0.18</v>
      </c>
      <c r="AK270" s="5">
        <f t="shared" si="94"/>
        <v>0</v>
      </c>
      <c r="AL270" s="89">
        <f t="shared" si="95"/>
        <v>0</v>
      </c>
      <c r="AP270" s="92"/>
    </row>
    <row r="271" spans="1:42" x14ac:dyDescent="0.35">
      <c r="A271" s="85"/>
      <c r="B271" s="51"/>
      <c r="C271" s="97"/>
      <c r="D271" s="97"/>
      <c r="E271" s="48"/>
      <c r="F271" s="86"/>
      <c r="G271" s="86"/>
      <c r="H271" s="86"/>
      <c r="I271" s="48"/>
      <c r="J271" s="52"/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0</v>
      </c>
      <c r="AF271" s="90">
        <v>6.5000000000000002E-2</v>
      </c>
      <c r="AG271" s="4">
        <f t="shared" si="100"/>
        <v>0</v>
      </c>
      <c r="AH271" s="49">
        <f t="shared" si="92"/>
        <v>0</v>
      </c>
      <c r="AI271" s="89">
        <f t="shared" si="93"/>
        <v>0</v>
      </c>
      <c r="AJ271" s="91">
        <v>0.18</v>
      </c>
      <c r="AK271" s="5">
        <f t="shared" si="94"/>
        <v>0</v>
      </c>
      <c r="AL271" s="89">
        <f t="shared" si="95"/>
        <v>0</v>
      </c>
      <c r="AP271" s="92"/>
    </row>
    <row r="272" spans="1:42" x14ac:dyDescent="0.35">
      <c r="A272" s="85"/>
      <c r="B272" s="51"/>
      <c r="C272" s="97"/>
      <c r="D272" s="97"/>
      <c r="E272" s="48"/>
      <c r="F272" s="86"/>
      <c r="G272" s="86"/>
      <c r="H272" s="86"/>
      <c r="I272" s="48"/>
      <c r="J272" s="52"/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0</v>
      </c>
      <c r="AF272" s="90">
        <v>6.5000000000000002E-2</v>
      </c>
      <c r="AG272" s="4">
        <f t="shared" si="100"/>
        <v>0</v>
      </c>
      <c r="AH272" s="49">
        <f t="shared" si="92"/>
        <v>0</v>
      </c>
      <c r="AI272" s="89">
        <f t="shared" si="93"/>
        <v>0</v>
      </c>
      <c r="AJ272" s="91">
        <v>0.18</v>
      </c>
      <c r="AK272" s="5">
        <f t="shared" si="94"/>
        <v>0</v>
      </c>
      <c r="AL272" s="89">
        <f t="shared" si="95"/>
        <v>0</v>
      </c>
      <c r="AP272" s="92"/>
    </row>
    <row r="273" spans="1:42" x14ac:dyDescent="0.35">
      <c r="A273" s="85"/>
      <c r="B273" s="51"/>
      <c r="C273" s="97"/>
      <c r="D273" s="97"/>
      <c r="E273" s="48"/>
      <c r="F273" s="86"/>
      <c r="G273" s="86"/>
      <c r="H273" s="86"/>
      <c r="I273" s="48"/>
      <c r="J273" s="52"/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0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0</v>
      </c>
      <c r="AF273" s="90">
        <v>6.5000000000000002E-2</v>
      </c>
      <c r="AG273" s="4">
        <f t="shared" si="100"/>
        <v>0</v>
      </c>
      <c r="AH273" s="49">
        <f t="shared" si="92"/>
        <v>0</v>
      </c>
      <c r="AI273" s="89">
        <f t="shared" si="93"/>
        <v>0</v>
      </c>
      <c r="AJ273" s="91">
        <v>0.18</v>
      </c>
      <c r="AK273" s="5">
        <f t="shared" si="94"/>
        <v>0</v>
      </c>
      <c r="AL273" s="89">
        <f t="shared" si="95"/>
        <v>0</v>
      </c>
      <c r="AP273" s="92"/>
    </row>
    <row r="274" spans="1:42" x14ac:dyDescent="0.35">
      <c r="A274" s="85"/>
      <c r="B274" s="51"/>
      <c r="C274" s="97"/>
      <c r="D274" s="97"/>
      <c r="E274" s="48"/>
      <c r="F274" s="86"/>
      <c r="G274" s="86"/>
      <c r="H274" s="86"/>
      <c r="I274" s="48"/>
      <c r="J274" s="52"/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0</v>
      </c>
      <c r="AF274" s="90">
        <v>6.5000000000000002E-2</v>
      </c>
      <c r="AG274" s="4">
        <f t="shared" si="100"/>
        <v>0</v>
      </c>
      <c r="AH274" s="49">
        <f t="shared" si="92"/>
        <v>0</v>
      </c>
      <c r="AI274" s="89">
        <f t="shared" si="93"/>
        <v>0</v>
      </c>
      <c r="AJ274" s="91">
        <v>0.18</v>
      </c>
      <c r="AK274" s="5">
        <f t="shared" si="94"/>
        <v>0</v>
      </c>
      <c r="AL274" s="89">
        <f t="shared" si="95"/>
        <v>0</v>
      </c>
      <c r="AP274" s="92"/>
    </row>
    <row r="275" spans="1:42" x14ac:dyDescent="0.35">
      <c r="A275" s="85"/>
      <c r="B275" s="51"/>
      <c r="C275" s="97"/>
      <c r="D275" s="97"/>
      <c r="E275" s="48"/>
      <c r="F275" s="86"/>
      <c r="G275" s="86"/>
      <c r="H275" s="86"/>
      <c r="I275" s="48"/>
      <c r="J275" s="52"/>
      <c r="K275" s="105"/>
      <c r="L275" s="86"/>
      <c r="M275" s="86"/>
      <c r="N275" s="104">
        <f t="shared" si="98"/>
        <v>0</v>
      </c>
      <c r="O275" s="105"/>
      <c r="P275" s="105"/>
      <c r="Q275" s="105"/>
      <c r="R275" s="104">
        <f t="shared" si="97"/>
        <v>0</v>
      </c>
      <c r="S275" s="86">
        <f t="shared" si="99"/>
        <v>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0</v>
      </c>
      <c r="AF275" s="90">
        <v>6.5000000000000002E-2</v>
      </c>
      <c r="AG275" s="4">
        <f t="shared" si="100"/>
        <v>0</v>
      </c>
      <c r="AH275" s="49">
        <f t="shared" ref="AH275:AH338" si="102">(AB275*J275)*$AH$1</f>
        <v>0</v>
      </c>
      <c r="AI275" s="89">
        <f t="shared" ref="AI275:AI338" si="103">AE275-AG275</f>
        <v>0</v>
      </c>
      <c r="AJ275" s="91">
        <v>0.18</v>
      </c>
      <c r="AK275" s="5">
        <f t="shared" ref="AK275:AK338" si="104">AI275*AJ275</f>
        <v>0</v>
      </c>
      <c r="AL275" s="89">
        <f t="shared" ref="AL275:AL338" si="105">AI275+AK275</f>
        <v>0</v>
      </c>
      <c r="AP275" s="92"/>
    </row>
    <row r="276" spans="1:42" x14ac:dyDescent="0.35">
      <c r="A276" s="85"/>
      <c r="B276" s="51"/>
      <c r="C276" s="97"/>
      <c r="D276" s="97"/>
      <c r="E276" s="48"/>
      <c r="F276" s="86"/>
      <c r="G276" s="86"/>
      <c r="H276" s="86"/>
      <c r="I276" s="48"/>
      <c r="J276" s="52"/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0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0</v>
      </c>
      <c r="AF276" s="90">
        <v>6.5000000000000002E-2</v>
      </c>
      <c r="AG276" s="4">
        <f t="shared" si="100"/>
        <v>0</v>
      </c>
      <c r="AH276" s="49">
        <f t="shared" si="102"/>
        <v>0</v>
      </c>
      <c r="AI276" s="89">
        <f t="shared" si="103"/>
        <v>0</v>
      </c>
      <c r="AJ276" s="91">
        <v>0.18</v>
      </c>
      <c r="AK276" s="5">
        <f t="shared" si="104"/>
        <v>0</v>
      </c>
      <c r="AL276" s="89">
        <f t="shared" si="105"/>
        <v>0</v>
      </c>
      <c r="AP276" s="92"/>
    </row>
    <row r="277" spans="1:42" x14ac:dyDescent="0.35">
      <c r="A277" s="85"/>
      <c r="B277" s="51"/>
      <c r="C277" s="97"/>
      <c r="D277" s="97"/>
      <c r="E277" s="48"/>
      <c r="F277" s="86"/>
      <c r="G277" s="86"/>
      <c r="H277" s="86"/>
      <c r="I277" s="48"/>
      <c r="J277" s="52"/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0</v>
      </c>
      <c r="AF277" s="90">
        <v>6.5000000000000002E-2</v>
      </c>
      <c r="AG277" s="4">
        <f t="shared" si="100"/>
        <v>0</v>
      </c>
      <c r="AH277" s="49">
        <f t="shared" si="102"/>
        <v>0</v>
      </c>
      <c r="AI277" s="89">
        <f t="shared" si="103"/>
        <v>0</v>
      </c>
      <c r="AJ277" s="91">
        <v>0.18</v>
      </c>
      <c r="AK277" s="5">
        <f t="shared" si="104"/>
        <v>0</v>
      </c>
      <c r="AL277" s="89">
        <f t="shared" si="105"/>
        <v>0</v>
      </c>
      <c r="AP277" s="92"/>
    </row>
    <row r="278" spans="1:42" x14ac:dyDescent="0.35">
      <c r="A278" s="85"/>
      <c r="B278" s="51"/>
      <c r="C278" s="97"/>
      <c r="D278" s="97"/>
      <c r="E278" s="48"/>
      <c r="F278" s="86"/>
      <c r="G278" s="86"/>
      <c r="H278" s="86"/>
      <c r="I278" s="48"/>
      <c r="J278" s="52"/>
      <c r="K278" s="105"/>
      <c r="L278" s="105"/>
      <c r="M278" s="105"/>
      <c r="N278" s="104">
        <f t="shared" si="98"/>
        <v>0</v>
      </c>
      <c r="O278" s="86"/>
      <c r="P278" s="86"/>
      <c r="Q278" s="86"/>
      <c r="R278" s="104">
        <f t="shared" si="97"/>
        <v>0</v>
      </c>
      <c r="S278" s="86">
        <f t="shared" si="99"/>
        <v>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0</v>
      </c>
      <c r="AF278" s="90">
        <v>6.5000000000000002E-2</v>
      </c>
      <c r="AG278" s="4">
        <f t="shared" si="100"/>
        <v>0</v>
      </c>
      <c r="AH278" s="49">
        <f t="shared" si="102"/>
        <v>0</v>
      </c>
      <c r="AI278" s="89">
        <f t="shared" si="103"/>
        <v>0</v>
      </c>
      <c r="AJ278" s="91">
        <v>0.18</v>
      </c>
      <c r="AK278" s="5">
        <f t="shared" si="104"/>
        <v>0</v>
      </c>
      <c r="AL278" s="89">
        <f t="shared" si="105"/>
        <v>0</v>
      </c>
      <c r="AP278" s="92"/>
    </row>
    <row r="279" spans="1:42" x14ac:dyDescent="0.35">
      <c r="A279" s="85"/>
      <c r="B279" s="51"/>
      <c r="C279" s="97"/>
      <c r="D279" s="97"/>
      <c r="E279" s="48"/>
      <c r="F279" s="86"/>
      <c r="G279" s="86"/>
      <c r="H279" s="86"/>
      <c r="I279" s="48"/>
      <c r="J279" s="52"/>
      <c r="K279" s="105"/>
      <c r="L279" s="105"/>
      <c r="M279" s="86"/>
      <c r="N279" s="104">
        <f t="shared" si="98"/>
        <v>0</v>
      </c>
      <c r="O279" s="86"/>
      <c r="P279" s="86"/>
      <c r="Q279" s="105"/>
      <c r="R279" s="104">
        <f t="shared" si="97"/>
        <v>0</v>
      </c>
      <c r="S279" s="86">
        <f t="shared" si="99"/>
        <v>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0</v>
      </c>
      <c r="AF279" s="90">
        <v>6.5000000000000002E-2</v>
      </c>
      <c r="AG279" s="4">
        <f t="shared" si="100"/>
        <v>0</v>
      </c>
      <c r="AH279" s="49">
        <f t="shared" si="102"/>
        <v>0</v>
      </c>
      <c r="AI279" s="89">
        <f t="shared" si="103"/>
        <v>0</v>
      </c>
      <c r="AJ279" s="91">
        <v>0.18</v>
      </c>
      <c r="AK279" s="5">
        <f t="shared" si="104"/>
        <v>0</v>
      </c>
      <c r="AL279" s="89">
        <f t="shared" si="105"/>
        <v>0</v>
      </c>
      <c r="AP279" s="92"/>
    </row>
    <row r="280" spans="1:42" x14ac:dyDescent="0.35">
      <c r="A280" s="85"/>
      <c r="B280" s="51"/>
      <c r="C280" s="97"/>
      <c r="D280" s="97"/>
      <c r="E280" s="48"/>
      <c r="F280" s="86"/>
      <c r="G280" s="86"/>
      <c r="H280" s="86"/>
      <c r="I280" s="48"/>
      <c r="J280" s="52"/>
      <c r="K280" s="86"/>
      <c r="L280" s="86"/>
      <c r="M280" s="86"/>
      <c r="N280" s="104">
        <f t="shared" si="98"/>
        <v>0</v>
      </c>
      <c r="O280" s="86"/>
      <c r="P280" s="86"/>
      <c r="Q280" s="86"/>
      <c r="R280" s="104">
        <f t="shared" si="97"/>
        <v>0</v>
      </c>
      <c r="S280" s="86">
        <f t="shared" si="99"/>
        <v>0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0</v>
      </c>
      <c r="AF280" s="90">
        <v>6.5000000000000002E-2</v>
      </c>
      <c r="AG280" s="4">
        <f t="shared" si="100"/>
        <v>0</v>
      </c>
      <c r="AH280" s="49">
        <f t="shared" si="102"/>
        <v>0</v>
      </c>
      <c r="AI280" s="89">
        <f t="shared" si="103"/>
        <v>0</v>
      </c>
      <c r="AJ280" s="91">
        <v>0.18</v>
      </c>
      <c r="AK280" s="5">
        <f t="shared" si="104"/>
        <v>0</v>
      </c>
      <c r="AL280" s="89">
        <f t="shared" si="105"/>
        <v>0</v>
      </c>
      <c r="AP280" s="92"/>
    </row>
    <row r="281" spans="1:42" x14ac:dyDescent="0.35">
      <c r="A281" s="85"/>
      <c r="B281" s="51"/>
      <c r="C281" s="97"/>
      <c r="D281" s="97"/>
      <c r="E281" s="48"/>
      <c r="F281" s="86"/>
      <c r="G281" s="86"/>
      <c r="H281" s="86"/>
      <c r="I281" s="48"/>
      <c r="J281" s="52"/>
      <c r="K281" s="105"/>
      <c r="L281" s="105"/>
      <c r="M281" s="105"/>
      <c r="N281" s="104">
        <f t="shared" si="98"/>
        <v>0</v>
      </c>
      <c r="O281" s="86"/>
      <c r="P281" s="86"/>
      <c r="Q281" s="86"/>
      <c r="R281" s="104">
        <f t="shared" si="97"/>
        <v>0</v>
      </c>
      <c r="S281" s="86">
        <f t="shared" si="99"/>
        <v>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0</v>
      </c>
      <c r="AF281" s="90">
        <v>6.5000000000000002E-2</v>
      </c>
      <c r="AG281" s="4">
        <f t="shared" si="100"/>
        <v>0</v>
      </c>
      <c r="AH281" s="49">
        <f t="shared" si="102"/>
        <v>0</v>
      </c>
      <c r="AI281" s="89">
        <f t="shared" si="103"/>
        <v>0</v>
      </c>
      <c r="AJ281" s="91">
        <v>0.18</v>
      </c>
      <c r="AK281" s="5">
        <f t="shared" si="104"/>
        <v>0</v>
      </c>
      <c r="AL281" s="89">
        <f t="shared" si="105"/>
        <v>0</v>
      </c>
      <c r="AP281" s="92"/>
    </row>
    <row r="282" spans="1:42" x14ac:dyDescent="0.35">
      <c r="A282" s="85"/>
      <c r="B282" s="51"/>
      <c r="C282" s="97"/>
      <c r="D282" s="97"/>
      <c r="E282" s="48"/>
      <c r="F282" s="86"/>
      <c r="G282" s="86"/>
      <c r="H282" s="86"/>
      <c r="I282" s="48"/>
      <c r="J282" s="52"/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0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0</v>
      </c>
      <c r="AF282" s="90">
        <v>6.5000000000000002E-2</v>
      </c>
      <c r="AG282" s="4">
        <f t="shared" si="100"/>
        <v>0</v>
      </c>
      <c r="AH282" s="49">
        <f t="shared" si="102"/>
        <v>0</v>
      </c>
      <c r="AI282" s="89">
        <f t="shared" si="103"/>
        <v>0</v>
      </c>
      <c r="AJ282" s="91">
        <v>0.18</v>
      </c>
      <c r="AK282" s="5">
        <f t="shared" si="104"/>
        <v>0</v>
      </c>
      <c r="AL282" s="89">
        <f t="shared" si="105"/>
        <v>0</v>
      </c>
      <c r="AP282" s="92"/>
    </row>
    <row r="283" spans="1:42" x14ac:dyDescent="0.35">
      <c r="A283" s="85"/>
      <c r="B283" s="51"/>
      <c r="C283" s="97"/>
      <c r="D283" s="97"/>
      <c r="E283" s="48"/>
      <c r="F283" s="86"/>
      <c r="G283" s="86"/>
      <c r="H283" s="86"/>
      <c r="I283" s="48"/>
      <c r="J283" s="52"/>
      <c r="K283" s="86"/>
      <c r="L283" s="86"/>
      <c r="M283" s="86"/>
      <c r="N283" s="104">
        <f t="shared" si="98"/>
        <v>0</v>
      </c>
      <c r="O283" s="105"/>
      <c r="P283" s="105"/>
      <c r="Q283" s="105"/>
      <c r="R283" s="104">
        <f t="shared" si="97"/>
        <v>0</v>
      </c>
      <c r="S283" s="86">
        <f t="shared" si="99"/>
        <v>0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0</v>
      </c>
      <c r="AF283" s="90">
        <v>6.5000000000000002E-2</v>
      </c>
      <c r="AG283" s="4">
        <f t="shared" si="100"/>
        <v>0</v>
      </c>
      <c r="AH283" s="49">
        <f t="shared" si="102"/>
        <v>0</v>
      </c>
      <c r="AI283" s="89">
        <f t="shared" si="103"/>
        <v>0</v>
      </c>
      <c r="AJ283" s="91">
        <v>0.18</v>
      </c>
      <c r="AK283" s="5">
        <f t="shared" si="104"/>
        <v>0</v>
      </c>
      <c r="AL283" s="89">
        <f t="shared" si="105"/>
        <v>0</v>
      </c>
      <c r="AP283" s="92"/>
    </row>
    <row r="284" spans="1:42" x14ac:dyDescent="0.35">
      <c r="A284" s="85"/>
      <c r="B284" s="51"/>
      <c r="C284" s="97"/>
      <c r="D284" s="97"/>
      <c r="E284" s="48"/>
      <c r="F284" s="86"/>
      <c r="G284" s="86"/>
      <c r="H284" s="86"/>
      <c r="I284" s="48"/>
      <c r="J284" s="52"/>
      <c r="K284" s="86"/>
      <c r="L284" s="105"/>
      <c r="M284" s="86"/>
      <c r="N284" s="104">
        <f t="shared" si="98"/>
        <v>0</v>
      </c>
      <c r="O284" s="105"/>
      <c r="P284" s="105"/>
      <c r="Q284" s="105"/>
      <c r="R284" s="104">
        <f t="shared" si="97"/>
        <v>0</v>
      </c>
      <c r="S284" s="86">
        <f t="shared" si="99"/>
        <v>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0</v>
      </c>
      <c r="AF284" s="90">
        <v>6.5000000000000002E-2</v>
      </c>
      <c r="AG284" s="4">
        <f t="shared" si="100"/>
        <v>0</v>
      </c>
      <c r="AH284" s="49">
        <f t="shared" si="102"/>
        <v>0</v>
      </c>
      <c r="AI284" s="89">
        <f t="shared" si="103"/>
        <v>0</v>
      </c>
      <c r="AJ284" s="91">
        <v>0.18</v>
      </c>
      <c r="AK284" s="5">
        <f t="shared" si="104"/>
        <v>0</v>
      </c>
      <c r="AL284" s="89">
        <f t="shared" si="105"/>
        <v>0</v>
      </c>
      <c r="AP284" s="92"/>
    </row>
    <row r="285" spans="1:42" x14ac:dyDescent="0.35">
      <c r="A285" s="85"/>
      <c r="B285" s="51"/>
      <c r="C285" s="97"/>
      <c r="D285" s="97"/>
      <c r="E285" s="48"/>
      <c r="F285" s="86"/>
      <c r="G285" s="86"/>
      <c r="H285" s="86"/>
      <c r="I285" s="48"/>
      <c r="J285" s="52"/>
      <c r="K285" s="86"/>
      <c r="L285" s="86"/>
      <c r="M285" s="86"/>
      <c r="N285" s="104">
        <f t="shared" si="98"/>
        <v>0</v>
      </c>
      <c r="O285" s="105"/>
      <c r="P285" s="105"/>
      <c r="Q285" s="105"/>
      <c r="R285" s="104">
        <f t="shared" si="97"/>
        <v>0</v>
      </c>
      <c r="S285" s="86">
        <f t="shared" si="99"/>
        <v>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0</v>
      </c>
      <c r="AF285" s="90">
        <v>6.5000000000000002E-2</v>
      </c>
      <c r="AG285" s="4">
        <f t="shared" si="100"/>
        <v>0</v>
      </c>
      <c r="AH285" s="49">
        <f t="shared" si="102"/>
        <v>0</v>
      </c>
      <c r="AI285" s="89">
        <f t="shared" si="103"/>
        <v>0</v>
      </c>
      <c r="AJ285" s="91">
        <v>0.18</v>
      </c>
      <c r="AK285" s="5">
        <f t="shared" si="104"/>
        <v>0</v>
      </c>
      <c r="AL285" s="89">
        <f t="shared" si="105"/>
        <v>0</v>
      </c>
      <c r="AP285" s="92"/>
    </row>
    <row r="286" spans="1:42" x14ac:dyDescent="0.35">
      <c r="A286" s="85"/>
      <c r="B286" s="51"/>
      <c r="C286" s="97"/>
      <c r="D286" s="97"/>
      <c r="E286" s="48"/>
      <c r="F286" s="86"/>
      <c r="G286" s="86"/>
      <c r="H286" s="86"/>
      <c r="I286" s="48"/>
      <c r="J286" s="52"/>
      <c r="K286" s="86"/>
      <c r="L286" s="86"/>
      <c r="M286" s="86"/>
      <c r="N286" s="104">
        <f t="shared" si="98"/>
        <v>0</v>
      </c>
      <c r="O286" s="86"/>
      <c r="P286" s="86"/>
      <c r="Q286" s="86"/>
      <c r="R286" s="104">
        <f t="shared" si="97"/>
        <v>0</v>
      </c>
      <c r="S286" s="86">
        <f t="shared" si="99"/>
        <v>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0</v>
      </c>
      <c r="AF286" s="90">
        <v>6.5000000000000002E-2</v>
      </c>
      <c r="AG286" s="4">
        <f t="shared" si="100"/>
        <v>0</v>
      </c>
      <c r="AH286" s="49">
        <f t="shared" si="102"/>
        <v>0</v>
      </c>
      <c r="AI286" s="89">
        <f t="shared" si="103"/>
        <v>0</v>
      </c>
      <c r="AJ286" s="91">
        <v>0.18</v>
      </c>
      <c r="AK286" s="5">
        <f t="shared" si="104"/>
        <v>0</v>
      </c>
      <c r="AL286" s="89">
        <f t="shared" si="105"/>
        <v>0</v>
      </c>
      <c r="AP286" s="92"/>
    </row>
    <row r="287" spans="1:42" x14ac:dyDescent="0.35">
      <c r="A287" s="85"/>
      <c r="B287" s="51"/>
      <c r="C287" s="97"/>
      <c r="D287" s="97"/>
      <c r="E287" s="48"/>
      <c r="F287" s="86"/>
      <c r="G287" s="86"/>
      <c r="H287" s="86"/>
      <c r="I287" s="48"/>
      <c r="J287" s="52"/>
      <c r="K287" s="105"/>
      <c r="L287" s="105"/>
      <c r="M287" s="105"/>
      <c r="N287" s="104">
        <f t="shared" si="98"/>
        <v>0</v>
      </c>
      <c r="O287" s="86"/>
      <c r="P287" s="105"/>
      <c r="Q287" s="86"/>
      <c r="R287" s="104">
        <f t="shared" si="97"/>
        <v>0</v>
      </c>
      <c r="S287" s="86">
        <f t="shared" si="99"/>
        <v>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0</v>
      </c>
      <c r="AF287" s="90">
        <v>6.5000000000000002E-2</v>
      </c>
      <c r="AG287" s="4">
        <f t="shared" si="100"/>
        <v>0</v>
      </c>
      <c r="AH287" s="49">
        <f t="shared" si="102"/>
        <v>0</v>
      </c>
      <c r="AI287" s="89">
        <f t="shared" si="103"/>
        <v>0</v>
      </c>
      <c r="AJ287" s="91">
        <v>0.18</v>
      </c>
      <c r="AK287" s="5">
        <f t="shared" si="104"/>
        <v>0</v>
      </c>
      <c r="AL287" s="89">
        <f t="shared" si="105"/>
        <v>0</v>
      </c>
      <c r="AP287" s="92"/>
    </row>
    <row r="288" spans="1:42" x14ac:dyDescent="0.35">
      <c r="A288" s="85"/>
      <c r="B288" s="51"/>
      <c r="C288" s="97"/>
      <c r="D288" s="97"/>
      <c r="E288" s="48"/>
      <c r="F288" s="86"/>
      <c r="G288" s="86"/>
      <c r="H288" s="86"/>
      <c r="I288" s="48"/>
      <c r="J288" s="52"/>
      <c r="K288" s="86"/>
      <c r="L288" s="86"/>
      <c r="M288" s="86"/>
      <c r="N288" s="104">
        <f t="shared" si="98"/>
        <v>0</v>
      </c>
      <c r="O288" s="86"/>
      <c r="P288" s="86"/>
      <c r="Q288" s="86"/>
      <c r="R288" s="104">
        <f t="shared" si="97"/>
        <v>0</v>
      </c>
      <c r="S288" s="86">
        <f t="shared" si="99"/>
        <v>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0</v>
      </c>
      <c r="AF288" s="90">
        <v>6.5000000000000002E-2</v>
      </c>
      <c r="AG288" s="4">
        <f t="shared" si="100"/>
        <v>0</v>
      </c>
      <c r="AH288" s="49">
        <f t="shared" si="102"/>
        <v>0</v>
      </c>
      <c r="AI288" s="89">
        <f t="shared" si="103"/>
        <v>0</v>
      </c>
      <c r="AJ288" s="91">
        <v>0.18</v>
      </c>
      <c r="AK288" s="5">
        <f t="shared" si="104"/>
        <v>0</v>
      </c>
      <c r="AL288" s="89">
        <f t="shared" si="105"/>
        <v>0</v>
      </c>
      <c r="AP288" s="92"/>
    </row>
    <row r="289" spans="1:42" x14ac:dyDescent="0.35">
      <c r="A289" s="85"/>
      <c r="B289" s="51"/>
      <c r="C289" s="97"/>
      <c r="D289" s="97"/>
      <c r="E289" s="48"/>
      <c r="F289" s="86"/>
      <c r="G289" s="86"/>
      <c r="H289" s="86"/>
      <c r="I289" s="48"/>
      <c r="J289" s="52"/>
      <c r="K289" s="105"/>
      <c r="L289" s="105"/>
      <c r="M289" s="105"/>
      <c r="N289" s="104">
        <f t="shared" si="98"/>
        <v>0</v>
      </c>
      <c r="O289" s="86"/>
      <c r="P289" s="86"/>
      <c r="Q289" s="86"/>
      <c r="R289" s="104">
        <f t="shared" si="97"/>
        <v>0</v>
      </c>
      <c r="S289" s="86">
        <f t="shared" si="99"/>
        <v>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0</v>
      </c>
      <c r="AF289" s="90">
        <v>6.5000000000000002E-2</v>
      </c>
      <c r="AG289" s="4">
        <f t="shared" si="100"/>
        <v>0</v>
      </c>
      <c r="AH289" s="49">
        <f t="shared" si="102"/>
        <v>0</v>
      </c>
      <c r="AI289" s="89">
        <f t="shared" si="103"/>
        <v>0</v>
      </c>
      <c r="AJ289" s="91">
        <v>0.18</v>
      </c>
      <c r="AK289" s="5">
        <f t="shared" si="104"/>
        <v>0</v>
      </c>
      <c r="AL289" s="89">
        <f t="shared" si="105"/>
        <v>0</v>
      </c>
      <c r="AP289" s="92"/>
    </row>
    <row r="290" spans="1:42" x14ac:dyDescent="0.35">
      <c r="A290" s="85"/>
      <c r="B290" s="51"/>
      <c r="C290" s="97"/>
      <c r="D290" s="97"/>
      <c r="E290" s="48"/>
      <c r="F290" s="86"/>
      <c r="G290" s="86"/>
      <c r="H290" s="86"/>
      <c r="I290" s="48"/>
      <c r="J290" s="52"/>
      <c r="K290" s="86"/>
      <c r="L290" s="86"/>
      <c r="M290" s="86"/>
      <c r="N290" s="104">
        <f t="shared" si="98"/>
        <v>0</v>
      </c>
      <c r="O290" s="105"/>
      <c r="P290" s="105"/>
      <c r="Q290" s="105"/>
      <c r="R290" s="104">
        <f t="shared" si="97"/>
        <v>0</v>
      </c>
      <c r="S290" s="86">
        <f t="shared" si="99"/>
        <v>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0</v>
      </c>
      <c r="AF290" s="90">
        <v>6.5000000000000002E-2</v>
      </c>
      <c r="AG290" s="4">
        <f t="shared" si="100"/>
        <v>0</v>
      </c>
      <c r="AH290" s="49">
        <f t="shared" si="102"/>
        <v>0</v>
      </c>
      <c r="AI290" s="89">
        <f t="shared" si="103"/>
        <v>0</v>
      </c>
      <c r="AJ290" s="91">
        <v>0.18</v>
      </c>
      <c r="AK290" s="5">
        <f t="shared" si="104"/>
        <v>0</v>
      </c>
      <c r="AL290" s="89">
        <f t="shared" si="105"/>
        <v>0</v>
      </c>
      <c r="AP290" s="92"/>
    </row>
    <row r="291" spans="1:42" x14ac:dyDescent="0.35">
      <c r="A291" s="85"/>
      <c r="B291" s="51"/>
      <c r="C291" s="97"/>
      <c r="D291" s="97"/>
      <c r="E291" s="48"/>
      <c r="F291" s="86"/>
      <c r="G291" s="86"/>
      <c r="H291" s="86"/>
      <c r="I291" s="48"/>
      <c r="J291" s="52"/>
      <c r="K291" s="86"/>
      <c r="L291" s="105"/>
      <c r="M291" s="105"/>
      <c r="N291" s="104">
        <f t="shared" si="98"/>
        <v>0</v>
      </c>
      <c r="O291" s="86"/>
      <c r="P291" s="86"/>
      <c r="Q291" s="86"/>
      <c r="R291" s="104">
        <f t="shared" si="97"/>
        <v>0</v>
      </c>
      <c r="S291" s="86">
        <f t="shared" si="99"/>
        <v>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0</v>
      </c>
      <c r="AF291" s="90">
        <v>6.5000000000000002E-2</v>
      </c>
      <c r="AG291" s="4">
        <f t="shared" si="100"/>
        <v>0</v>
      </c>
      <c r="AH291" s="49">
        <f t="shared" si="102"/>
        <v>0</v>
      </c>
      <c r="AI291" s="89">
        <f t="shared" si="103"/>
        <v>0</v>
      </c>
      <c r="AJ291" s="91">
        <v>0.18</v>
      </c>
      <c r="AK291" s="5">
        <f t="shared" si="104"/>
        <v>0</v>
      </c>
      <c r="AL291" s="89">
        <f t="shared" si="105"/>
        <v>0</v>
      </c>
      <c r="AP291" s="92"/>
    </row>
    <row r="292" spans="1:42" x14ac:dyDescent="0.35">
      <c r="A292" s="85"/>
      <c r="B292" s="51"/>
      <c r="C292" s="97"/>
      <c r="D292" s="97"/>
      <c r="E292" s="48"/>
      <c r="F292" s="86"/>
      <c r="G292" s="86"/>
      <c r="H292" s="86"/>
      <c r="I292" s="48"/>
      <c r="J292" s="52"/>
      <c r="K292" s="86"/>
      <c r="L292" s="86"/>
      <c r="M292" s="86"/>
      <c r="N292" s="104">
        <f t="shared" si="98"/>
        <v>0</v>
      </c>
      <c r="O292" s="86"/>
      <c r="P292" s="86"/>
      <c r="Q292" s="86"/>
      <c r="R292" s="104">
        <f t="shared" si="97"/>
        <v>0</v>
      </c>
      <c r="S292" s="86">
        <f t="shared" si="99"/>
        <v>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0</v>
      </c>
      <c r="AF292" s="90">
        <v>6.5000000000000002E-2</v>
      </c>
      <c r="AG292" s="4">
        <f t="shared" si="100"/>
        <v>0</v>
      </c>
      <c r="AH292" s="49">
        <f t="shared" si="102"/>
        <v>0</v>
      </c>
      <c r="AI292" s="89">
        <f t="shared" si="103"/>
        <v>0</v>
      </c>
      <c r="AJ292" s="91">
        <v>0.18</v>
      </c>
      <c r="AK292" s="5">
        <f t="shared" si="104"/>
        <v>0</v>
      </c>
      <c r="AL292" s="89">
        <f t="shared" si="105"/>
        <v>0</v>
      </c>
      <c r="AP292" s="92"/>
    </row>
    <row r="293" spans="1:42" x14ac:dyDescent="0.35">
      <c r="A293" s="85"/>
      <c r="B293" s="51"/>
      <c r="C293" s="97"/>
      <c r="D293" s="97"/>
      <c r="E293" s="48"/>
      <c r="F293" s="86"/>
      <c r="G293" s="86"/>
      <c r="H293" s="86"/>
      <c r="I293" s="48"/>
      <c r="J293" s="52"/>
      <c r="K293" s="86"/>
      <c r="L293" s="105"/>
      <c r="M293" s="86"/>
      <c r="N293" s="104">
        <f t="shared" si="98"/>
        <v>0</v>
      </c>
      <c r="O293" s="86"/>
      <c r="P293" s="105"/>
      <c r="Q293" s="86"/>
      <c r="R293" s="104">
        <f t="shared" si="97"/>
        <v>0</v>
      </c>
      <c r="S293" s="86">
        <f t="shared" si="99"/>
        <v>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0</v>
      </c>
      <c r="AF293" s="90">
        <v>6.5000000000000002E-2</v>
      </c>
      <c r="AG293" s="4">
        <f t="shared" si="100"/>
        <v>0</v>
      </c>
      <c r="AH293" s="49">
        <f t="shared" si="102"/>
        <v>0</v>
      </c>
      <c r="AI293" s="89">
        <f t="shared" si="103"/>
        <v>0</v>
      </c>
      <c r="AJ293" s="91">
        <v>0.18</v>
      </c>
      <c r="AK293" s="5">
        <f t="shared" si="104"/>
        <v>0</v>
      </c>
      <c r="AL293" s="89">
        <f t="shared" si="105"/>
        <v>0</v>
      </c>
      <c r="AP293" s="92"/>
    </row>
    <row r="294" spans="1:42" x14ac:dyDescent="0.35">
      <c r="A294" s="85"/>
      <c r="B294" s="51"/>
      <c r="C294" s="97"/>
      <c r="D294" s="97"/>
      <c r="E294" s="48"/>
      <c r="F294" s="86"/>
      <c r="G294" s="86"/>
      <c r="H294" s="86"/>
      <c r="I294" s="48"/>
      <c r="J294" s="52"/>
      <c r="K294" s="86"/>
      <c r="L294" s="86"/>
      <c r="M294" s="86"/>
      <c r="N294" s="104">
        <f t="shared" si="98"/>
        <v>0</v>
      </c>
      <c r="O294" s="86"/>
      <c r="P294" s="86"/>
      <c r="Q294" s="86"/>
      <c r="R294" s="104">
        <f t="shared" si="97"/>
        <v>0</v>
      </c>
      <c r="S294" s="86">
        <f t="shared" si="99"/>
        <v>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0</v>
      </c>
      <c r="AF294" s="90">
        <v>6.5000000000000002E-2</v>
      </c>
      <c r="AG294" s="4">
        <f t="shared" si="100"/>
        <v>0</v>
      </c>
      <c r="AH294" s="49">
        <f t="shared" si="102"/>
        <v>0</v>
      </c>
      <c r="AI294" s="89">
        <f t="shared" si="103"/>
        <v>0</v>
      </c>
      <c r="AJ294" s="91">
        <v>0.18</v>
      </c>
      <c r="AK294" s="5">
        <f t="shared" si="104"/>
        <v>0</v>
      </c>
      <c r="AL294" s="89">
        <f t="shared" si="105"/>
        <v>0</v>
      </c>
      <c r="AP294" s="92"/>
    </row>
    <row r="295" spans="1:42" x14ac:dyDescent="0.35">
      <c r="A295" s="85"/>
      <c r="B295" s="51"/>
      <c r="C295" s="97"/>
      <c r="D295" s="97"/>
      <c r="E295" s="48"/>
      <c r="F295" s="86"/>
      <c r="G295" s="86"/>
      <c r="H295" s="86"/>
      <c r="I295" s="48"/>
      <c r="J295" s="52"/>
      <c r="K295" s="86"/>
      <c r="L295" s="105"/>
      <c r="M295" s="86"/>
      <c r="N295" s="104">
        <f t="shared" si="98"/>
        <v>0</v>
      </c>
      <c r="O295" s="86"/>
      <c r="P295" s="86"/>
      <c r="Q295" s="86"/>
      <c r="R295" s="104">
        <f t="shared" si="97"/>
        <v>0</v>
      </c>
      <c r="S295" s="86">
        <f t="shared" si="99"/>
        <v>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0</v>
      </c>
      <c r="AF295" s="90">
        <v>6.5000000000000002E-2</v>
      </c>
      <c r="AG295" s="4">
        <f t="shared" si="100"/>
        <v>0</v>
      </c>
      <c r="AH295" s="49">
        <f t="shared" si="102"/>
        <v>0</v>
      </c>
      <c r="AI295" s="89">
        <f t="shared" si="103"/>
        <v>0</v>
      </c>
      <c r="AJ295" s="91">
        <v>0.18</v>
      </c>
      <c r="AK295" s="5">
        <f t="shared" si="104"/>
        <v>0</v>
      </c>
      <c r="AL295" s="89">
        <f t="shared" si="105"/>
        <v>0</v>
      </c>
      <c r="AP295" s="92"/>
    </row>
    <row r="296" spans="1:42" x14ac:dyDescent="0.35">
      <c r="A296" s="85"/>
      <c r="B296" s="51"/>
      <c r="C296" s="97"/>
      <c r="D296" s="97"/>
      <c r="E296" s="48"/>
      <c r="F296" s="86"/>
      <c r="G296" s="86"/>
      <c r="H296" s="86"/>
      <c r="I296" s="48"/>
      <c r="J296" s="52"/>
      <c r="K296" s="86"/>
      <c r="L296" s="86"/>
      <c r="M296" s="86"/>
      <c r="N296" s="104">
        <f t="shared" si="98"/>
        <v>0</v>
      </c>
      <c r="O296" s="86"/>
      <c r="P296" s="105"/>
      <c r="Q296" s="86"/>
      <c r="R296" s="104">
        <f t="shared" si="97"/>
        <v>0</v>
      </c>
      <c r="S296" s="86">
        <f t="shared" si="99"/>
        <v>0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0</v>
      </c>
      <c r="AF296" s="90">
        <v>6.5000000000000002E-2</v>
      </c>
      <c r="AG296" s="4">
        <f t="shared" si="100"/>
        <v>0</v>
      </c>
      <c r="AH296" s="49">
        <f t="shared" si="102"/>
        <v>0</v>
      </c>
      <c r="AI296" s="89">
        <f t="shared" si="103"/>
        <v>0</v>
      </c>
      <c r="AJ296" s="91">
        <v>0.18</v>
      </c>
      <c r="AK296" s="5">
        <f t="shared" si="104"/>
        <v>0</v>
      </c>
      <c r="AL296" s="89">
        <f t="shared" si="105"/>
        <v>0</v>
      </c>
      <c r="AP296" s="92"/>
    </row>
    <row r="297" spans="1:42" x14ac:dyDescent="0.35">
      <c r="A297" s="85"/>
      <c r="B297" s="51"/>
      <c r="C297" s="97"/>
      <c r="D297" s="97"/>
      <c r="E297" s="48"/>
      <c r="F297" s="86"/>
      <c r="G297" s="86"/>
      <c r="H297" s="86"/>
      <c r="I297" s="48"/>
      <c r="J297" s="52"/>
      <c r="K297" s="86"/>
      <c r="L297" s="86"/>
      <c r="M297" s="86"/>
      <c r="N297" s="104">
        <f t="shared" si="98"/>
        <v>0</v>
      </c>
      <c r="O297" s="86"/>
      <c r="P297" s="86"/>
      <c r="Q297" s="86"/>
      <c r="R297" s="104">
        <f t="shared" si="97"/>
        <v>0</v>
      </c>
      <c r="S297" s="86">
        <f t="shared" si="99"/>
        <v>0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0</v>
      </c>
      <c r="AF297" s="90">
        <v>6.5000000000000002E-2</v>
      </c>
      <c r="AG297" s="4">
        <f t="shared" si="100"/>
        <v>0</v>
      </c>
      <c r="AH297" s="49">
        <f t="shared" si="102"/>
        <v>0</v>
      </c>
      <c r="AI297" s="89">
        <f t="shared" si="103"/>
        <v>0</v>
      </c>
      <c r="AJ297" s="91">
        <v>0.18</v>
      </c>
      <c r="AK297" s="5">
        <f t="shared" si="104"/>
        <v>0</v>
      </c>
      <c r="AL297" s="89">
        <f t="shared" si="105"/>
        <v>0</v>
      </c>
      <c r="AP297" s="92"/>
    </row>
    <row r="298" spans="1:42" x14ac:dyDescent="0.35">
      <c r="A298" s="85"/>
      <c r="B298" s="51"/>
      <c r="C298" s="97"/>
      <c r="D298" s="97"/>
      <c r="E298" s="48"/>
      <c r="F298" s="86"/>
      <c r="G298" s="86"/>
      <c r="H298" s="86"/>
      <c r="I298" s="48"/>
      <c r="J298" s="52"/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0</v>
      </c>
      <c r="AF298" s="90">
        <v>6.5000000000000002E-2</v>
      </c>
      <c r="AG298" s="4">
        <f t="shared" si="100"/>
        <v>0</v>
      </c>
      <c r="AH298" s="49">
        <f t="shared" si="102"/>
        <v>0</v>
      </c>
      <c r="AI298" s="89">
        <f t="shared" si="103"/>
        <v>0</v>
      </c>
      <c r="AJ298" s="91">
        <v>0.18</v>
      </c>
      <c r="AK298" s="5">
        <f t="shared" si="104"/>
        <v>0</v>
      </c>
      <c r="AL298" s="89">
        <f t="shared" si="105"/>
        <v>0</v>
      </c>
      <c r="AP298" s="92"/>
    </row>
    <row r="299" spans="1:42" x14ac:dyDescent="0.35">
      <c r="A299" s="85"/>
      <c r="B299" s="51"/>
      <c r="C299" s="97"/>
      <c r="D299" s="97"/>
      <c r="E299" s="48"/>
      <c r="F299" s="86"/>
      <c r="G299" s="86"/>
      <c r="H299" s="86"/>
      <c r="I299" s="48"/>
      <c r="J299" s="52"/>
      <c r="K299" s="86"/>
      <c r="L299" s="86"/>
      <c r="M299" s="86"/>
      <c r="N299" s="104">
        <f t="shared" si="98"/>
        <v>0</v>
      </c>
      <c r="O299" s="86"/>
      <c r="P299" s="86"/>
      <c r="Q299" s="86"/>
      <c r="R299" s="104">
        <f t="shared" si="97"/>
        <v>0</v>
      </c>
      <c r="S299" s="86">
        <f t="shared" si="99"/>
        <v>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0</v>
      </c>
      <c r="AF299" s="90">
        <v>6.5000000000000002E-2</v>
      </c>
      <c r="AG299" s="4">
        <f t="shared" si="100"/>
        <v>0</v>
      </c>
      <c r="AH299" s="49">
        <f t="shared" si="102"/>
        <v>0</v>
      </c>
      <c r="AI299" s="89">
        <f t="shared" si="103"/>
        <v>0</v>
      </c>
      <c r="AJ299" s="91">
        <v>0.18</v>
      </c>
      <c r="AK299" s="5">
        <f t="shared" si="104"/>
        <v>0</v>
      </c>
      <c r="AL299" s="89">
        <f t="shared" si="105"/>
        <v>0</v>
      </c>
      <c r="AP299" s="92"/>
    </row>
    <row r="300" spans="1:42" x14ac:dyDescent="0.35">
      <c r="A300" s="85"/>
      <c r="B300" s="51"/>
      <c r="C300" s="97"/>
      <c r="D300" s="97"/>
      <c r="E300" s="48"/>
      <c r="F300" s="86"/>
      <c r="G300" s="86"/>
      <c r="H300" s="86"/>
      <c r="I300" s="48"/>
      <c r="J300" s="52"/>
      <c r="K300" s="86"/>
      <c r="L300" s="86"/>
      <c r="M300" s="86"/>
      <c r="N300" s="104">
        <f t="shared" si="98"/>
        <v>0</v>
      </c>
      <c r="O300" s="86"/>
      <c r="P300" s="86"/>
      <c r="Q300" s="86"/>
      <c r="R300" s="104">
        <f t="shared" si="97"/>
        <v>0</v>
      </c>
      <c r="S300" s="86">
        <f t="shared" si="99"/>
        <v>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0</v>
      </c>
      <c r="AF300" s="90">
        <v>6.5000000000000002E-2</v>
      </c>
      <c r="AG300" s="4">
        <f t="shared" si="100"/>
        <v>0</v>
      </c>
      <c r="AH300" s="49">
        <f t="shared" si="102"/>
        <v>0</v>
      </c>
      <c r="AI300" s="89">
        <f t="shared" si="103"/>
        <v>0</v>
      </c>
      <c r="AJ300" s="91">
        <v>0.18</v>
      </c>
      <c r="AK300" s="5">
        <f t="shared" si="104"/>
        <v>0</v>
      </c>
      <c r="AL300" s="89">
        <f t="shared" si="105"/>
        <v>0</v>
      </c>
      <c r="AP300" s="92"/>
    </row>
    <row r="301" spans="1:42" x14ac:dyDescent="0.35">
      <c r="A301" s="85"/>
      <c r="B301" s="51"/>
      <c r="C301" s="97"/>
      <c r="D301" s="97"/>
      <c r="E301" s="48"/>
      <c r="F301" s="86"/>
      <c r="G301" s="86"/>
      <c r="H301" s="86"/>
      <c r="I301" s="48"/>
      <c r="J301" s="52"/>
      <c r="K301" s="105"/>
      <c r="L301" s="105"/>
      <c r="M301" s="105"/>
      <c r="N301" s="104">
        <f t="shared" si="98"/>
        <v>0</v>
      </c>
      <c r="O301" s="86"/>
      <c r="P301" s="86"/>
      <c r="Q301" s="86"/>
      <c r="R301" s="104">
        <f t="shared" si="97"/>
        <v>0</v>
      </c>
      <c r="S301" s="86">
        <f t="shared" si="99"/>
        <v>0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0</v>
      </c>
      <c r="AF301" s="90">
        <v>6.5000000000000002E-2</v>
      </c>
      <c r="AG301" s="4">
        <f t="shared" si="100"/>
        <v>0</v>
      </c>
      <c r="AH301" s="49">
        <f t="shared" si="102"/>
        <v>0</v>
      </c>
      <c r="AI301" s="89">
        <f t="shared" si="103"/>
        <v>0</v>
      </c>
      <c r="AJ301" s="91">
        <v>0.18</v>
      </c>
      <c r="AK301" s="5">
        <f t="shared" si="104"/>
        <v>0</v>
      </c>
      <c r="AL301" s="89">
        <f t="shared" si="105"/>
        <v>0</v>
      </c>
      <c r="AP301" s="92"/>
    </row>
    <row r="302" spans="1:42" x14ac:dyDescent="0.35">
      <c r="A302" s="85"/>
      <c r="B302" s="51"/>
      <c r="C302" s="97"/>
      <c r="D302" s="97"/>
      <c r="E302" s="48"/>
      <c r="F302" s="86"/>
      <c r="G302" s="86"/>
      <c r="H302" s="86"/>
      <c r="I302" s="48"/>
      <c r="J302" s="52"/>
      <c r="K302" s="105"/>
      <c r="L302" s="105"/>
      <c r="M302" s="105"/>
      <c r="N302" s="104">
        <f t="shared" si="98"/>
        <v>0</v>
      </c>
      <c r="O302" s="86"/>
      <c r="P302" s="86"/>
      <c r="Q302" s="86"/>
      <c r="R302" s="104">
        <f t="shared" si="97"/>
        <v>0</v>
      </c>
      <c r="S302" s="86">
        <f t="shared" si="99"/>
        <v>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0</v>
      </c>
      <c r="AF302" s="90">
        <v>6.5000000000000002E-2</v>
      </c>
      <c r="AG302" s="4">
        <f t="shared" si="100"/>
        <v>0</v>
      </c>
      <c r="AH302" s="49">
        <f t="shared" si="102"/>
        <v>0</v>
      </c>
      <c r="AI302" s="89">
        <f t="shared" si="103"/>
        <v>0</v>
      </c>
      <c r="AJ302" s="91">
        <v>0.18</v>
      </c>
      <c r="AK302" s="5">
        <f t="shared" si="104"/>
        <v>0</v>
      </c>
      <c r="AL302" s="89">
        <f t="shared" si="105"/>
        <v>0</v>
      </c>
      <c r="AP302" s="92"/>
    </row>
    <row r="303" spans="1:42" x14ac:dyDescent="0.35">
      <c r="A303" s="85"/>
      <c r="B303" s="51"/>
      <c r="C303" s="97"/>
      <c r="D303" s="97"/>
      <c r="E303" s="48"/>
      <c r="F303" s="86"/>
      <c r="G303" s="86"/>
      <c r="H303" s="86"/>
      <c r="I303" s="48"/>
      <c r="J303" s="52"/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0</v>
      </c>
      <c r="AF303" s="90">
        <v>6.5000000000000002E-2</v>
      </c>
      <c r="AG303" s="4">
        <f t="shared" si="100"/>
        <v>0</v>
      </c>
      <c r="AH303" s="49">
        <f t="shared" si="102"/>
        <v>0</v>
      </c>
      <c r="AI303" s="89">
        <f t="shared" si="103"/>
        <v>0</v>
      </c>
      <c r="AJ303" s="91">
        <v>0.18</v>
      </c>
      <c r="AK303" s="5">
        <f t="shared" si="104"/>
        <v>0</v>
      </c>
      <c r="AL303" s="89">
        <f t="shared" si="105"/>
        <v>0</v>
      </c>
      <c r="AP303" s="92"/>
    </row>
    <row r="304" spans="1:42" x14ac:dyDescent="0.35">
      <c r="A304" s="85"/>
      <c r="B304" s="51"/>
      <c r="C304" s="97"/>
      <c r="D304" s="97"/>
      <c r="E304" s="48"/>
      <c r="F304" s="86"/>
      <c r="G304" s="86"/>
      <c r="H304" s="86"/>
      <c r="I304" s="48"/>
      <c r="J304" s="52"/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0</v>
      </c>
      <c r="AF304" s="90">
        <v>6.5000000000000002E-2</v>
      </c>
      <c r="AG304" s="4">
        <f t="shared" si="100"/>
        <v>0</v>
      </c>
      <c r="AH304" s="49">
        <f t="shared" si="102"/>
        <v>0</v>
      </c>
      <c r="AI304" s="89">
        <f t="shared" si="103"/>
        <v>0</v>
      </c>
      <c r="AJ304" s="91">
        <v>0.18</v>
      </c>
      <c r="AK304" s="5">
        <f t="shared" si="104"/>
        <v>0</v>
      </c>
      <c r="AL304" s="89">
        <f t="shared" si="105"/>
        <v>0</v>
      </c>
      <c r="AP304" s="92"/>
    </row>
    <row r="305" spans="1:42" x14ac:dyDescent="0.35">
      <c r="A305" s="85"/>
      <c r="B305" s="51"/>
      <c r="C305" s="97"/>
      <c r="D305" s="97"/>
      <c r="E305" s="48"/>
      <c r="F305" s="86"/>
      <c r="G305" s="86"/>
      <c r="H305" s="86"/>
      <c r="I305" s="48"/>
      <c r="J305" s="52"/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0</v>
      </c>
      <c r="AF305" s="90">
        <v>6.5000000000000002E-2</v>
      </c>
      <c r="AG305" s="4">
        <f t="shared" si="100"/>
        <v>0</v>
      </c>
      <c r="AH305" s="49">
        <f t="shared" si="102"/>
        <v>0</v>
      </c>
      <c r="AI305" s="89">
        <f t="shared" si="103"/>
        <v>0</v>
      </c>
      <c r="AJ305" s="91">
        <v>0.18</v>
      </c>
      <c r="AK305" s="5">
        <f t="shared" si="104"/>
        <v>0</v>
      </c>
      <c r="AL305" s="89">
        <f t="shared" si="105"/>
        <v>0</v>
      </c>
      <c r="AP305" s="92"/>
    </row>
    <row r="306" spans="1:42" x14ac:dyDescent="0.35">
      <c r="A306" s="85"/>
      <c r="B306" s="51"/>
      <c r="C306" s="97"/>
      <c r="D306" s="97"/>
      <c r="E306" s="48"/>
      <c r="F306" s="86"/>
      <c r="G306" s="86"/>
      <c r="H306" s="86"/>
      <c r="I306" s="48"/>
      <c r="J306" s="52"/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0</v>
      </c>
      <c r="AF306" s="90">
        <v>6.5000000000000002E-2</v>
      </c>
      <c r="AG306" s="4">
        <f t="shared" si="100"/>
        <v>0</v>
      </c>
      <c r="AH306" s="49">
        <f t="shared" si="102"/>
        <v>0</v>
      </c>
      <c r="AI306" s="89">
        <f t="shared" si="103"/>
        <v>0</v>
      </c>
      <c r="AJ306" s="91">
        <v>0.18</v>
      </c>
      <c r="AK306" s="5">
        <f t="shared" si="104"/>
        <v>0</v>
      </c>
      <c r="AL306" s="89">
        <f t="shared" si="105"/>
        <v>0</v>
      </c>
      <c r="AP306" s="92"/>
    </row>
    <row r="307" spans="1:42" x14ac:dyDescent="0.35">
      <c r="A307" s="85"/>
      <c r="B307" s="51"/>
      <c r="C307" s="97"/>
      <c r="D307" s="97"/>
      <c r="E307" s="48"/>
      <c r="F307" s="86"/>
      <c r="G307" s="86"/>
      <c r="H307" s="86"/>
      <c r="I307" s="48"/>
      <c r="J307" s="52"/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0</v>
      </c>
      <c r="AF307" s="90">
        <v>6.5000000000000002E-2</v>
      </c>
      <c r="AG307" s="4">
        <f t="shared" si="100"/>
        <v>0</v>
      </c>
      <c r="AH307" s="49">
        <f t="shared" si="102"/>
        <v>0</v>
      </c>
      <c r="AI307" s="89">
        <f t="shared" si="103"/>
        <v>0</v>
      </c>
      <c r="AJ307" s="91">
        <v>0.18</v>
      </c>
      <c r="AK307" s="5">
        <f t="shared" si="104"/>
        <v>0</v>
      </c>
      <c r="AL307" s="89">
        <f t="shared" si="105"/>
        <v>0</v>
      </c>
      <c r="AP307" s="92"/>
    </row>
    <row r="308" spans="1:42" x14ac:dyDescent="0.35">
      <c r="A308" s="85"/>
      <c r="B308" s="51"/>
      <c r="C308" s="97"/>
      <c r="D308" s="97"/>
      <c r="E308" s="48"/>
      <c r="F308" s="86"/>
      <c r="G308" s="86"/>
      <c r="H308" s="86"/>
      <c r="I308" s="48"/>
      <c r="J308" s="52"/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0</v>
      </c>
      <c r="AF308" s="90">
        <v>6.5000000000000002E-2</v>
      </c>
      <c r="AG308" s="4">
        <f t="shared" si="100"/>
        <v>0</v>
      </c>
      <c r="AH308" s="49">
        <f t="shared" si="102"/>
        <v>0</v>
      </c>
      <c r="AI308" s="89">
        <f t="shared" si="103"/>
        <v>0</v>
      </c>
      <c r="AJ308" s="91">
        <v>0.18</v>
      </c>
      <c r="AK308" s="5">
        <f t="shared" si="104"/>
        <v>0</v>
      </c>
      <c r="AL308" s="89">
        <f t="shared" si="105"/>
        <v>0</v>
      </c>
      <c r="AP308" s="92"/>
    </row>
    <row r="309" spans="1:42" x14ac:dyDescent="0.35">
      <c r="A309" s="85"/>
      <c r="B309" s="51"/>
      <c r="C309" s="97"/>
      <c r="D309" s="97"/>
      <c r="E309" s="48"/>
      <c r="F309" s="86"/>
      <c r="G309" s="86"/>
      <c r="H309" s="86"/>
      <c r="I309" s="48"/>
      <c r="J309" s="52"/>
      <c r="K309" s="86"/>
      <c r="L309" s="86"/>
      <c r="M309" s="86"/>
      <c r="N309" s="104">
        <f t="shared" si="98"/>
        <v>0</v>
      </c>
      <c r="O309" s="105"/>
      <c r="P309" s="105"/>
      <c r="Q309" s="105"/>
      <c r="R309" s="104">
        <f t="shared" si="97"/>
        <v>0</v>
      </c>
      <c r="S309" s="86">
        <f t="shared" si="99"/>
        <v>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0</v>
      </c>
      <c r="AF309" s="90">
        <v>6.5000000000000002E-2</v>
      </c>
      <c r="AG309" s="4">
        <f t="shared" si="100"/>
        <v>0</v>
      </c>
      <c r="AH309" s="49">
        <f t="shared" si="102"/>
        <v>0</v>
      </c>
      <c r="AI309" s="89">
        <f t="shared" si="103"/>
        <v>0</v>
      </c>
      <c r="AJ309" s="91">
        <v>0.18</v>
      </c>
      <c r="AK309" s="5">
        <f t="shared" si="104"/>
        <v>0</v>
      </c>
      <c r="AL309" s="89">
        <f t="shared" si="105"/>
        <v>0</v>
      </c>
      <c r="AP309" s="92"/>
    </row>
    <row r="310" spans="1:42" x14ac:dyDescent="0.35">
      <c r="A310" s="85"/>
      <c r="B310" s="51"/>
      <c r="C310" s="97"/>
      <c r="D310" s="97"/>
      <c r="E310" s="48"/>
      <c r="F310" s="86"/>
      <c r="G310" s="86"/>
      <c r="H310" s="86"/>
      <c r="I310" s="48"/>
      <c r="J310" s="52"/>
      <c r="K310" s="86"/>
      <c r="L310" s="86"/>
      <c r="M310" s="86"/>
      <c r="N310" s="104">
        <f t="shared" si="98"/>
        <v>0</v>
      </c>
      <c r="O310" s="86"/>
      <c r="P310" s="86"/>
      <c r="Q310" s="86"/>
      <c r="R310" s="104">
        <f t="shared" si="97"/>
        <v>0</v>
      </c>
      <c r="S310" s="86">
        <f t="shared" si="99"/>
        <v>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0</v>
      </c>
      <c r="AF310" s="90">
        <v>6.5000000000000002E-2</v>
      </c>
      <c r="AG310" s="4">
        <f t="shared" si="100"/>
        <v>0</v>
      </c>
      <c r="AH310" s="49">
        <f t="shared" si="102"/>
        <v>0</v>
      </c>
      <c r="AI310" s="89">
        <f t="shared" si="103"/>
        <v>0</v>
      </c>
      <c r="AJ310" s="91">
        <v>0.18</v>
      </c>
      <c r="AK310" s="5">
        <f t="shared" si="104"/>
        <v>0</v>
      </c>
      <c r="AL310" s="89">
        <f t="shared" si="105"/>
        <v>0</v>
      </c>
      <c r="AP310" s="92"/>
    </row>
    <row r="311" spans="1:42" x14ac:dyDescent="0.35">
      <c r="A311" s="85"/>
      <c r="B311" s="51"/>
      <c r="C311" s="97"/>
      <c r="D311" s="97"/>
      <c r="E311" s="48"/>
      <c r="F311" s="86"/>
      <c r="G311" s="86"/>
      <c r="H311" s="86"/>
      <c r="I311" s="48"/>
      <c r="J311" s="52"/>
      <c r="K311" s="86"/>
      <c r="L311" s="86"/>
      <c r="M311" s="86"/>
      <c r="N311" s="104">
        <f t="shared" si="98"/>
        <v>0</v>
      </c>
      <c r="O311" s="86"/>
      <c r="P311" s="86"/>
      <c r="Q311" s="86"/>
      <c r="R311" s="104">
        <f t="shared" si="97"/>
        <v>0</v>
      </c>
      <c r="S311" s="86">
        <f t="shared" si="99"/>
        <v>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0</v>
      </c>
      <c r="AF311" s="90">
        <v>6.5000000000000002E-2</v>
      </c>
      <c r="AG311" s="4">
        <f t="shared" si="100"/>
        <v>0</v>
      </c>
      <c r="AH311" s="49">
        <f t="shared" si="102"/>
        <v>0</v>
      </c>
      <c r="AI311" s="89">
        <f t="shared" si="103"/>
        <v>0</v>
      </c>
      <c r="AJ311" s="91">
        <v>0.18</v>
      </c>
      <c r="AK311" s="5">
        <f t="shared" si="104"/>
        <v>0</v>
      </c>
      <c r="AL311" s="89">
        <f t="shared" si="105"/>
        <v>0</v>
      </c>
      <c r="AP311" s="92"/>
    </row>
    <row r="312" spans="1:42" x14ac:dyDescent="0.35">
      <c r="A312" s="85"/>
      <c r="B312" s="51"/>
      <c r="C312" s="97"/>
      <c r="D312" s="97"/>
      <c r="E312" s="48"/>
      <c r="F312" s="86"/>
      <c r="G312" s="86"/>
      <c r="H312" s="86"/>
      <c r="I312" s="48"/>
      <c r="J312" s="52"/>
      <c r="K312" s="105"/>
      <c r="L312" s="105"/>
      <c r="M312" s="105"/>
      <c r="N312" s="104">
        <f t="shared" si="98"/>
        <v>0</v>
      </c>
      <c r="O312" s="86"/>
      <c r="P312" s="86"/>
      <c r="Q312" s="86"/>
      <c r="R312" s="104">
        <f t="shared" si="97"/>
        <v>0</v>
      </c>
      <c r="S312" s="86">
        <f t="shared" si="99"/>
        <v>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0</v>
      </c>
      <c r="AF312" s="90">
        <v>6.5000000000000002E-2</v>
      </c>
      <c r="AG312" s="4">
        <f t="shared" si="100"/>
        <v>0</v>
      </c>
      <c r="AH312" s="49">
        <f t="shared" si="102"/>
        <v>0</v>
      </c>
      <c r="AI312" s="89">
        <f t="shared" si="103"/>
        <v>0</v>
      </c>
      <c r="AJ312" s="91">
        <v>0.18</v>
      </c>
      <c r="AK312" s="5">
        <f t="shared" si="104"/>
        <v>0</v>
      </c>
      <c r="AL312" s="89">
        <f t="shared" si="105"/>
        <v>0</v>
      </c>
      <c r="AP312" s="92"/>
    </row>
    <row r="313" spans="1:42" x14ac:dyDescent="0.35">
      <c r="A313" s="85"/>
      <c r="B313" s="51"/>
      <c r="C313" s="97"/>
      <c r="D313" s="97"/>
      <c r="E313" s="48"/>
      <c r="F313" s="86"/>
      <c r="G313" s="86"/>
      <c r="H313" s="86"/>
      <c r="I313" s="48"/>
      <c r="J313" s="52"/>
      <c r="K313" s="105"/>
      <c r="L313" s="105"/>
      <c r="M313" s="105"/>
      <c r="N313" s="104">
        <f t="shared" si="98"/>
        <v>0</v>
      </c>
      <c r="O313" s="86"/>
      <c r="P313" s="86"/>
      <c r="Q313" s="86"/>
      <c r="R313" s="104">
        <f t="shared" si="97"/>
        <v>0</v>
      </c>
      <c r="S313" s="86">
        <f t="shared" si="99"/>
        <v>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0</v>
      </c>
      <c r="AF313" s="90">
        <v>6.5000000000000002E-2</v>
      </c>
      <c r="AG313" s="4">
        <f t="shared" si="100"/>
        <v>0</v>
      </c>
      <c r="AH313" s="49">
        <f t="shared" si="102"/>
        <v>0</v>
      </c>
      <c r="AI313" s="89">
        <f t="shared" si="103"/>
        <v>0</v>
      </c>
      <c r="AJ313" s="91">
        <v>0.18</v>
      </c>
      <c r="AK313" s="5">
        <f t="shared" si="104"/>
        <v>0</v>
      </c>
      <c r="AL313" s="89">
        <f t="shared" si="105"/>
        <v>0</v>
      </c>
      <c r="AP313" s="92"/>
    </row>
    <row r="314" spans="1:42" x14ac:dyDescent="0.35">
      <c r="A314" s="85"/>
      <c r="B314" s="51"/>
      <c r="C314" s="97"/>
      <c r="D314" s="97"/>
      <c r="E314" s="48"/>
      <c r="F314" s="86"/>
      <c r="G314" s="116"/>
      <c r="H314" s="95"/>
      <c r="I314" s="117"/>
      <c r="J314" s="52"/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0</v>
      </c>
      <c r="AF314" s="90">
        <v>0.14000000000000001</v>
      </c>
      <c r="AG314" s="4">
        <f t="shared" si="100"/>
        <v>0</v>
      </c>
      <c r="AH314" s="49">
        <f t="shared" si="102"/>
        <v>0</v>
      </c>
      <c r="AI314" s="89">
        <f t="shared" si="103"/>
        <v>0</v>
      </c>
      <c r="AJ314" s="91">
        <v>0.18</v>
      </c>
      <c r="AK314" s="5">
        <f t="shared" si="104"/>
        <v>0</v>
      </c>
      <c r="AL314" s="89">
        <f t="shared" si="105"/>
        <v>0</v>
      </c>
      <c r="AP314" s="92"/>
    </row>
    <row r="315" spans="1:42" x14ac:dyDescent="0.35">
      <c r="A315" s="85"/>
      <c r="B315" s="51"/>
      <c r="C315" s="97"/>
      <c r="D315" s="97"/>
      <c r="E315" s="95"/>
      <c r="F315" s="95"/>
      <c r="G315" s="95"/>
      <c r="H315" s="95"/>
      <c r="I315" s="95"/>
      <c r="J315" s="52"/>
      <c r="K315" s="86"/>
      <c r="L315" s="86"/>
      <c r="M315" s="86"/>
      <c r="N315" s="104">
        <f t="shared" si="98"/>
        <v>0</v>
      </c>
      <c r="O315" s="86"/>
      <c r="P315" s="86"/>
      <c r="Q315" s="86"/>
      <c r="R315" s="104">
        <f t="shared" si="97"/>
        <v>0</v>
      </c>
      <c r="S315" s="86">
        <f t="shared" si="99"/>
        <v>0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0</v>
      </c>
      <c r="AF315" s="90">
        <v>6.5000000000000002E-2</v>
      </c>
      <c r="AG315" s="4">
        <f t="shared" si="100"/>
        <v>0</v>
      </c>
      <c r="AH315" s="49">
        <f t="shared" si="102"/>
        <v>0</v>
      </c>
      <c r="AI315" s="89">
        <f t="shared" si="103"/>
        <v>0</v>
      </c>
      <c r="AJ315" s="91">
        <v>0.18</v>
      </c>
      <c r="AK315" s="5">
        <f t="shared" si="104"/>
        <v>0</v>
      </c>
      <c r="AL315" s="89">
        <f t="shared" si="105"/>
        <v>0</v>
      </c>
      <c r="AP315" s="92"/>
    </row>
    <row r="316" spans="1:42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2928680.0425</v>
      </c>
      <c r="AF433" s="78"/>
      <c r="AG433" s="100">
        <f>SUM(AG3:AG432)</f>
        <v>195009.0486125001</v>
      </c>
      <c r="AH433" s="100">
        <f>SUM(AH3:AH432)</f>
        <v>5408.4607499999975</v>
      </c>
      <c r="AI433" s="100">
        <f>SUM(AI3:AI432)</f>
        <v>2733616.0158875003</v>
      </c>
      <c r="AK433" s="100">
        <f>SUM(AK3:AK432)</f>
        <v>492050.88285975013</v>
      </c>
      <c r="AL433" s="100">
        <f>SUM(AL3:AL432)</f>
        <v>3225666.8987472495</v>
      </c>
      <c r="AP433" s="92"/>
    </row>
    <row r="434" spans="1:42" x14ac:dyDescent="0.35">
      <c r="A434" s="85"/>
      <c r="B434" s="51"/>
      <c r="C434" s="97"/>
      <c r="D434" s="97"/>
      <c r="E434" s="48"/>
      <c r="F434" s="78"/>
      <c r="G434" s="118"/>
      <c r="H434" s="52"/>
      <c r="I434" s="118"/>
      <c r="J434" s="52"/>
      <c r="K434" s="52"/>
      <c r="L434" s="52"/>
      <c r="M434" s="52"/>
      <c r="N434" s="104">
        <f t="shared" si="117"/>
        <v>0</v>
      </c>
      <c r="O434" s="52"/>
      <c r="P434" s="52"/>
      <c r="Q434" s="52"/>
      <c r="R434" s="104">
        <f t="shared" si="116"/>
        <v>0</v>
      </c>
      <c r="S434" s="86">
        <f t="shared" si="118"/>
        <v>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0</v>
      </c>
      <c r="AF434" s="90">
        <v>6.5000000000000002E-2</v>
      </c>
      <c r="AG434" s="4">
        <f t="shared" ref="AG434:AG497" si="126">AE434*AF434</f>
        <v>0</v>
      </c>
      <c r="AH434" s="49">
        <f t="shared" ref="AH434:AH497" si="127">(AB434*J434)*$AH$1</f>
        <v>0</v>
      </c>
      <c r="AI434" s="89">
        <f t="shared" ref="AI434:AI497" si="128">AE434-AG434</f>
        <v>0</v>
      </c>
      <c r="AJ434" s="91">
        <v>0.18</v>
      </c>
      <c r="AK434" s="5">
        <f t="shared" ref="AK434:AK497" si="129">AI434*AJ434</f>
        <v>0</v>
      </c>
      <c r="AL434" s="89">
        <f t="shared" ref="AL434:AL497" si="130">AI434+AK434</f>
        <v>0</v>
      </c>
      <c r="AP434" s="7"/>
    </row>
    <row r="435" spans="1:42" x14ac:dyDescent="0.35">
      <c r="A435" s="85"/>
      <c r="B435" s="51"/>
      <c r="C435" s="97"/>
      <c r="D435" s="97"/>
      <c r="E435" s="48"/>
      <c r="F435" s="94"/>
      <c r="G435" s="94"/>
      <c r="H435" s="94"/>
      <c r="I435" s="94"/>
      <c r="J435" s="52"/>
      <c r="K435" s="52"/>
      <c r="L435" s="52"/>
      <c r="M435" s="52"/>
      <c r="N435" s="104">
        <f t="shared" si="117"/>
        <v>0</v>
      </c>
      <c r="O435" s="52"/>
      <c r="P435" s="52"/>
      <c r="Q435" s="52"/>
      <c r="R435" s="104">
        <f t="shared" si="116"/>
        <v>0</v>
      </c>
      <c r="S435" s="86">
        <f t="shared" si="118"/>
        <v>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0</v>
      </c>
      <c r="AF435" s="90">
        <v>6.5000000000000002E-2</v>
      </c>
      <c r="AG435" s="4">
        <f t="shared" si="126"/>
        <v>0</v>
      </c>
      <c r="AH435" s="49">
        <f t="shared" si="127"/>
        <v>0</v>
      </c>
      <c r="AI435" s="89">
        <f t="shared" si="128"/>
        <v>0</v>
      </c>
      <c r="AJ435" s="91">
        <v>0.18</v>
      </c>
      <c r="AK435" s="5">
        <f t="shared" si="129"/>
        <v>0</v>
      </c>
      <c r="AL435" s="89">
        <f t="shared" si="130"/>
        <v>0</v>
      </c>
      <c r="AP435" s="7"/>
    </row>
    <row r="436" spans="1:42" x14ac:dyDescent="0.35">
      <c r="A436" s="85"/>
      <c r="B436" s="51"/>
      <c r="C436" s="97"/>
      <c r="D436" s="97"/>
      <c r="E436" s="48"/>
      <c r="F436" s="94"/>
      <c r="G436" s="94"/>
      <c r="H436" s="94"/>
      <c r="I436" s="94"/>
      <c r="J436" s="52"/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0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0</v>
      </c>
      <c r="AF436" s="90">
        <v>6.5000000000000002E-2</v>
      </c>
      <c r="AG436" s="4">
        <f t="shared" si="126"/>
        <v>0</v>
      </c>
      <c r="AH436" s="49">
        <f t="shared" si="127"/>
        <v>0</v>
      </c>
      <c r="AI436" s="89">
        <f t="shared" si="128"/>
        <v>0</v>
      </c>
      <c r="AJ436" s="91">
        <v>0.18</v>
      </c>
      <c r="AK436" s="5">
        <f t="shared" si="129"/>
        <v>0</v>
      </c>
      <c r="AL436" s="89">
        <f t="shared" si="130"/>
        <v>0</v>
      </c>
      <c r="AP436" s="7"/>
    </row>
    <row r="437" spans="1:42" x14ac:dyDescent="0.35">
      <c r="A437" s="85"/>
      <c r="B437" s="51"/>
      <c r="C437" s="97"/>
      <c r="D437" s="97"/>
      <c r="E437" s="48"/>
      <c r="F437" s="94"/>
      <c r="G437" s="94"/>
      <c r="H437" s="94"/>
      <c r="I437" s="94"/>
      <c r="J437" s="52"/>
      <c r="K437" s="52"/>
      <c r="L437" s="52"/>
      <c r="M437" s="52"/>
      <c r="N437" s="104">
        <f t="shared" si="117"/>
        <v>0</v>
      </c>
      <c r="O437" s="52"/>
      <c r="P437" s="52"/>
      <c r="Q437" s="52"/>
      <c r="R437" s="104">
        <f t="shared" si="116"/>
        <v>0</v>
      </c>
      <c r="S437" s="86">
        <f t="shared" si="118"/>
        <v>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0</v>
      </c>
      <c r="AF437" s="90">
        <v>6.5000000000000002E-2</v>
      </c>
      <c r="AG437" s="4">
        <f t="shared" si="126"/>
        <v>0</v>
      </c>
      <c r="AH437" s="49">
        <f t="shared" si="127"/>
        <v>0</v>
      </c>
      <c r="AI437" s="89">
        <f t="shared" si="128"/>
        <v>0</v>
      </c>
      <c r="AJ437" s="91">
        <v>0.18</v>
      </c>
      <c r="AK437" s="5">
        <f t="shared" si="129"/>
        <v>0</v>
      </c>
      <c r="AL437" s="89">
        <f t="shared" si="130"/>
        <v>0</v>
      </c>
      <c r="AP437" s="7"/>
    </row>
    <row r="438" spans="1:42" x14ac:dyDescent="0.35">
      <c r="A438" s="85"/>
      <c r="B438" s="51"/>
      <c r="C438" s="97"/>
      <c r="D438" s="97"/>
      <c r="E438" s="48"/>
      <c r="F438" s="94"/>
      <c r="G438" s="94"/>
      <c r="H438" s="94"/>
      <c r="I438" s="94"/>
      <c r="J438" s="52"/>
      <c r="K438" s="52"/>
      <c r="L438" s="52"/>
      <c r="M438" s="52"/>
      <c r="N438" s="104">
        <f t="shared" si="117"/>
        <v>0</v>
      </c>
      <c r="O438" s="52"/>
      <c r="P438" s="52"/>
      <c r="Q438" s="52"/>
      <c r="R438" s="104">
        <f t="shared" si="116"/>
        <v>0</v>
      </c>
      <c r="S438" s="86">
        <f t="shared" si="118"/>
        <v>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0</v>
      </c>
      <c r="AF438" s="90">
        <v>6.5000000000000002E-2</v>
      </c>
      <c r="AG438" s="4">
        <f t="shared" si="126"/>
        <v>0</v>
      </c>
      <c r="AH438" s="49">
        <f t="shared" si="127"/>
        <v>0</v>
      </c>
      <c r="AI438" s="89">
        <f t="shared" si="128"/>
        <v>0</v>
      </c>
      <c r="AJ438" s="91">
        <v>0.18</v>
      </c>
      <c r="AK438" s="5">
        <f t="shared" si="129"/>
        <v>0</v>
      </c>
      <c r="AL438" s="89">
        <f t="shared" si="130"/>
        <v>0</v>
      </c>
      <c r="AP438" s="7"/>
    </row>
    <row r="439" spans="1:42" x14ac:dyDescent="0.35">
      <c r="A439" s="85"/>
      <c r="B439" s="51"/>
      <c r="C439" s="97"/>
      <c r="D439" s="97"/>
      <c r="E439" s="48"/>
      <c r="F439" s="94"/>
      <c r="G439" s="94"/>
      <c r="H439" s="94"/>
      <c r="I439" s="94"/>
      <c r="J439" s="52"/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0</v>
      </c>
      <c r="AF439" s="90">
        <v>6.5000000000000002E-2</v>
      </c>
      <c r="AG439" s="4">
        <f t="shared" si="126"/>
        <v>0</v>
      </c>
      <c r="AH439" s="49">
        <f t="shared" si="127"/>
        <v>0</v>
      </c>
      <c r="AI439" s="89">
        <f t="shared" si="128"/>
        <v>0</v>
      </c>
      <c r="AJ439" s="91">
        <v>0.18</v>
      </c>
      <c r="AK439" s="5">
        <f t="shared" si="129"/>
        <v>0</v>
      </c>
      <c r="AL439" s="89">
        <f t="shared" si="130"/>
        <v>0</v>
      </c>
      <c r="AP439" s="7"/>
    </row>
    <row r="440" spans="1:42" x14ac:dyDescent="0.35">
      <c r="A440" s="85"/>
      <c r="B440" s="51"/>
      <c r="C440" s="97"/>
      <c r="D440" s="97"/>
      <c r="E440" s="48"/>
      <c r="F440" s="94"/>
      <c r="G440" s="94"/>
      <c r="H440" s="94"/>
      <c r="I440" s="94"/>
      <c r="J440" s="52"/>
      <c r="K440" s="52"/>
      <c r="L440" s="52"/>
      <c r="M440" s="52"/>
      <c r="N440" s="104">
        <f t="shared" si="117"/>
        <v>0</v>
      </c>
      <c r="O440" s="52"/>
      <c r="P440" s="52"/>
      <c r="Q440" s="52"/>
      <c r="R440" s="104">
        <f t="shared" si="116"/>
        <v>0</v>
      </c>
      <c r="S440" s="86">
        <f t="shared" si="118"/>
        <v>0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0</v>
      </c>
      <c r="AF440" s="90">
        <v>6.5000000000000002E-2</v>
      </c>
      <c r="AG440" s="4">
        <f t="shared" si="126"/>
        <v>0</v>
      </c>
      <c r="AH440" s="49">
        <f t="shared" si="127"/>
        <v>0</v>
      </c>
      <c r="AI440" s="89">
        <f t="shared" si="128"/>
        <v>0</v>
      </c>
      <c r="AJ440" s="91">
        <v>0.18</v>
      </c>
      <c r="AK440" s="5">
        <f t="shared" si="129"/>
        <v>0</v>
      </c>
      <c r="AL440" s="89">
        <f t="shared" si="130"/>
        <v>0</v>
      </c>
      <c r="AP440" s="7"/>
    </row>
    <row r="441" spans="1:42" x14ac:dyDescent="0.35">
      <c r="A441" s="85"/>
      <c r="B441" s="51"/>
      <c r="C441" s="97"/>
      <c r="D441" s="97"/>
      <c r="E441" s="48"/>
      <c r="F441" s="94"/>
      <c r="G441" s="94"/>
      <c r="H441" s="94"/>
      <c r="I441" s="94"/>
      <c r="J441" s="52"/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0</v>
      </c>
      <c r="AF441" s="90">
        <v>6.5000000000000002E-2</v>
      </c>
      <c r="AG441" s="4">
        <f t="shared" si="126"/>
        <v>0</v>
      </c>
      <c r="AH441" s="49">
        <f t="shared" si="127"/>
        <v>0</v>
      </c>
      <c r="AI441" s="89">
        <f t="shared" si="128"/>
        <v>0</v>
      </c>
      <c r="AJ441" s="91">
        <v>0.18</v>
      </c>
      <c r="AK441" s="5">
        <f t="shared" si="129"/>
        <v>0</v>
      </c>
      <c r="AL441" s="89">
        <f t="shared" si="130"/>
        <v>0</v>
      </c>
      <c r="AP441" s="7"/>
    </row>
    <row r="442" spans="1:42" x14ac:dyDescent="0.35">
      <c r="A442" s="85"/>
      <c r="B442" s="51"/>
      <c r="C442" s="97"/>
      <c r="D442" s="97"/>
      <c r="E442" s="48"/>
      <c r="F442" s="94"/>
      <c r="G442" s="94"/>
      <c r="H442" s="94"/>
      <c r="I442" s="94"/>
      <c r="J442" s="52"/>
      <c r="K442" s="52"/>
      <c r="L442" s="52"/>
      <c r="M442" s="52"/>
      <c r="N442" s="104">
        <f t="shared" si="117"/>
        <v>0</v>
      </c>
      <c r="O442" s="52"/>
      <c r="P442" s="52"/>
      <c r="Q442" s="52"/>
      <c r="R442" s="104">
        <f t="shared" si="116"/>
        <v>0</v>
      </c>
      <c r="S442" s="86">
        <f t="shared" si="118"/>
        <v>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0</v>
      </c>
      <c r="AF442" s="90">
        <v>6.5000000000000002E-2</v>
      </c>
      <c r="AG442" s="4">
        <f t="shared" si="126"/>
        <v>0</v>
      </c>
      <c r="AH442" s="49">
        <f t="shared" si="127"/>
        <v>0</v>
      </c>
      <c r="AI442" s="89">
        <f t="shared" si="128"/>
        <v>0</v>
      </c>
      <c r="AJ442" s="91">
        <v>0.18</v>
      </c>
      <c r="AK442" s="5">
        <f t="shared" si="129"/>
        <v>0</v>
      </c>
      <c r="AL442" s="89">
        <f t="shared" si="130"/>
        <v>0</v>
      </c>
      <c r="AP442" s="7"/>
    </row>
    <row r="443" spans="1:42" x14ac:dyDescent="0.35">
      <c r="A443" s="85"/>
      <c r="B443" s="51"/>
      <c r="C443" s="97"/>
      <c r="D443" s="97"/>
      <c r="E443" s="48"/>
      <c r="F443" s="94"/>
      <c r="G443" s="94"/>
      <c r="H443" s="94"/>
      <c r="I443" s="94"/>
      <c r="J443" s="52"/>
      <c r="K443" s="52"/>
      <c r="L443" s="52"/>
      <c r="M443" s="52"/>
      <c r="N443" s="104">
        <f t="shared" si="117"/>
        <v>0</v>
      </c>
      <c r="O443" s="52"/>
      <c r="P443" s="52"/>
      <c r="Q443" s="52"/>
      <c r="R443" s="104">
        <f t="shared" si="116"/>
        <v>0</v>
      </c>
      <c r="S443" s="86">
        <f t="shared" si="118"/>
        <v>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0</v>
      </c>
      <c r="AF443" s="90">
        <v>6.5000000000000002E-2</v>
      </c>
      <c r="AG443" s="4">
        <f t="shared" si="126"/>
        <v>0</v>
      </c>
      <c r="AH443" s="49">
        <f t="shared" si="127"/>
        <v>0</v>
      </c>
      <c r="AI443" s="89">
        <f t="shared" si="128"/>
        <v>0</v>
      </c>
      <c r="AJ443" s="91">
        <v>0.18</v>
      </c>
      <c r="AK443" s="5">
        <f t="shared" si="129"/>
        <v>0</v>
      </c>
      <c r="AL443" s="89">
        <f t="shared" si="130"/>
        <v>0</v>
      </c>
      <c r="AP443" s="7"/>
    </row>
    <row r="444" spans="1:42" x14ac:dyDescent="0.35">
      <c r="A444" s="85"/>
      <c r="B444" s="51"/>
      <c r="C444" s="97"/>
      <c r="D444" s="97"/>
      <c r="E444" s="48"/>
      <c r="F444" s="94"/>
      <c r="G444" s="94"/>
      <c r="H444" s="94"/>
      <c r="I444" s="94"/>
      <c r="J444" s="52"/>
      <c r="K444" s="52"/>
      <c r="L444" s="52"/>
      <c r="M444" s="52"/>
      <c r="N444" s="104">
        <f t="shared" si="117"/>
        <v>0</v>
      </c>
      <c r="O444" s="52"/>
      <c r="P444" s="52"/>
      <c r="Q444" s="52"/>
      <c r="R444" s="104">
        <f t="shared" si="116"/>
        <v>0</v>
      </c>
      <c r="S444" s="86">
        <f t="shared" si="118"/>
        <v>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0</v>
      </c>
      <c r="AF444" s="90">
        <v>6.5000000000000002E-2</v>
      </c>
      <c r="AG444" s="4">
        <f t="shared" si="126"/>
        <v>0</v>
      </c>
      <c r="AH444" s="49">
        <f t="shared" si="127"/>
        <v>0</v>
      </c>
      <c r="AI444" s="89">
        <f t="shared" si="128"/>
        <v>0</v>
      </c>
      <c r="AJ444" s="91">
        <v>0.18</v>
      </c>
      <c r="AK444" s="5">
        <f t="shared" si="129"/>
        <v>0</v>
      </c>
      <c r="AL444" s="89">
        <f t="shared" si="130"/>
        <v>0</v>
      </c>
      <c r="AP444" s="7"/>
    </row>
    <row r="445" spans="1:42" x14ac:dyDescent="0.35">
      <c r="A445" s="85"/>
      <c r="B445" s="51"/>
      <c r="C445" s="97"/>
      <c r="D445" s="97"/>
      <c r="E445" s="48"/>
      <c r="F445" s="94"/>
      <c r="G445" s="94"/>
      <c r="H445" s="94"/>
      <c r="I445" s="94"/>
      <c r="J445" s="52"/>
      <c r="K445" s="52"/>
      <c r="L445" s="52"/>
      <c r="M445" s="52"/>
      <c r="N445" s="104">
        <f t="shared" si="117"/>
        <v>0</v>
      </c>
      <c r="O445" s="52"/>
      <c r="P445" s="52"/>
      <c r="Q445" s="52"/>
      <c r="R445" s="104">
        <f t="shared" si="116"/>
        <v>0</v>
      </c>
      <c r="S445" s="86">
        <f t="shared" si="118"/>
        <v>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0</v>
      </c>
      <c r="AF445" s="90">
        <v>6.5000000000000002E-2</v>
      </c>
      <c r="AG445" s="4">
        <f t="shared" si="126"/>
        <v>0</v>
      </c>
      <c r="AH445" s="49">
        <f t="shared" si="127"/>
        <v>0</v>
      </c>
      <c r="AI445" s="89">
        <f t="shared" si="128"/>
        <v>0</v>
      </c>
      <c r="AJ445" s="91">
        <v>0.18</v>
      </c>
      <c r="AK445" s="5">
        <f t="shared" si="129"/>
        <v>0</v>
      </c>
      <c r="AL445" s="89">
        <f t="shared" si="130"/>
        <v>0</v>
      </c>
      <c r="AP445" s="7"/>
    </row>
    <row r="446" spans="1:42" x14ac:dyDescent="0.35">
      <c r="A446" s="85"/>
      <c r="B446" s="51"/>
      <c r="C446" s="97"/>
      <c r="D446" s="97"/>
      <c r="E446" s="48"/>
      <c r="F446" s="94"/>
      <c r="G446" s="94"/>
      <c r="H446" s="94"/>
      <c r="I446" s="94"/>
      <c r="J446" s="52"/>
      <c r="K446" s="52"/>
      <c r="L446" s="52"/>
      <c r="M446" s="52"/>
      <c r="N446" s="104">
        <f t="shared" si="117"/>
        <v>0</v>
      </c>
      <c r="O446" s="52"/>
      <c r="P446" s="52"/>
      <c r="Q446" s="52"/>
      <c r="R446" s="104">
        <f t="shared" si="116"/>
        <v>0</v>
      </c>
      <c r="S446" s="86">
        <f t="shared" si="118"/>
        <v>0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0</v>
      </c>
      <c r="AF446" s="90">
        <v>6.5000000000000002E-2</v>
      </c>
      <c r="AG446" s="4">
        <f t="shared" si="126"/>
        <v>0</v>
      </c>
      <c r="AH446" s="49">
        <f t="shared" si="127"/>
        <v>0</v>
      </c>
      <c r="AI446" s="89">
        <f t="shared" si="128"/>
        <v>0</v>
      </c>
      <c r="AJ446" s="91">
        <v>0.18</v>
      </c>
      <c r="AK446" s="5">
        <f t="shared" si="129"/>
        <v>0</v>
      </c>
      <c r="AL446" s="89">
        <f t="shared" si="130"/>
        <v>0</v>
      </c>
      <c r="AP446" s="7"/>
    </row>
    <row r="447" spans="1:42" x14ac:dyDescent="0.35">
      <c r="A447" s="85"/>
      <c r="B447" s="51"/>
      <c r="C447" s="97"/>
      <c r="D447" s="97"/>
      <c r="E447" s="48"/>
      <c r="F447" s="94"/>
      <c r="G447" s="94"/>
      <c r="H447" s="94"/>
      <c r="I447" s="94"/>
      <c r="J447" s="52"/>
      <c r="K447" s="52"/>
      <c r="L447" s="52"/>
      <c r="M447" s="52"/>
      <c r="N447" s="104">
        <f t="shared" si="117"/>
        <v>0</v>
      </c>
      <c r="O447" s="52"/>
      <c r="P447" s="52"/>
      <c r="Q447" s="52"/>
      <c r="R447" s="104">
        <f t="shared" si="116"/>
        <v>0</v>
      </c>
      <c r="S447" s="86">
        <f t="shared" si="118"/>
        <v>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0</v>
      </c>
      <c r="AF447" s="90">
        <v>6.5000000000000002E-2</v>
      </c>
      <c r="AG447" s="4">
        <f t="shared" si="126"/>
        <v>0</v>
      </c>
      <c r="AH447" s="49">
        <f t="shared" si="127"/>
        <v>0</v>
      </c>
      <c r="AI447" s="89">
        <f t="shared" si="128"/>
        <v>0</v>
      </c>
      <c r="AJ447" s="91">
        <v>0.18</v>
      </c>
      <c r="AK447" s="5">
        <f t="shared" si="129"/>
        <v>0</v>
      </c>
      <c r="AL447" s="89">
        <f t="shared" si="130"/>
        <v>0</v>
      </c>
      <c r="AP447" s="7"/>
    </row>
    <row r="448" spans="1:42" x14ac:dyDescent="0.35">
      <c r="A448" s="85"/>
      <c r="B448" s="51"/>
      <c r="C448" s="97"/>
      <c r="D448" s="97"/>
      <c r="E448" s="48"/>
      <c r="F448" s="94"/>
      <c r="G448" s="94"/>
      <c r="H448" s="94"/>
      <c r="I448" s="94"/>
      <c r="J448" s="52"/>
      <c r="K448" s="52"/>
      <c r="L448" s="52"/>
      <c r="M448" s="52"/>
      <c r="N448" s="104">
        <f t="shared" si="117"/>
        <v>0</v>
      </c>
      <c r="O448" s="52"/>
      <c r="P448" s="52"/>
      <c r="Q448" s="52"/>
      <c r="R448" s="104">
        <f t="shared" si="116"/>
        <v>0</v>
      </c>
      <c r="S448" s="86">
        <f t="shared" si="118"/>
        <v>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0</v>
      </c>
      <c r="AF448" s="90">
        <v>6.5000000000000002E-2</v>
      </c>
      <c r="AG448" s="4">
        <f t="shared" si="126"/>
        <v>0</v>
      </c>
      <c r="AH448" s="49">
        <f t="shared" si="127"/>
        <v>0</v>
      </c>
      <c r="AI448" s="89">
        <f t="shared" si="128"/>
        <v>0</v>
      </c>
      <c r="AJ448" s="91">
        <v>0.18</v>
      </c>
      <c r="AK448" s="5">
        <f t="shared" si="129"/>
        <v>0</v>
      </c>
      <c r="AL448" s="89">
        <f t="shared" si="130"/>
        <v>0</v>
      </c>
      <c r="AP448" s="7"/>
    </row>
    <row r="449" spans="1:42" x14ac:dyDescent="0.35">
      <c r="A449" s="85"/>
      <c r="B449" s="51"/>
      <c r="C449" s="97"/>
      <c r="D449" s="97"/>
      <c r="E449" s="48"/>
      <c r="F449" s="94"/>
      <c r="G449" s="94"/>
      <c r="H449" s="94"/>
      <c r="I449" s="94"/>
      <c r="J449" s="52"/>
      <c r="K449" s="52"/>
      <c r="L449" s="52"/>
      <c r="M449" s="52"/>
      <c r="N449" s="104">
        <f t="shared" si="117"/>
        <v>0</v>
      </c>
      <c r="O449" s="52"/>
      <c r="P449" s="52"/>
      <c r="Q449" s="52"/>
      <c r="R449" s="104">
        <f t="shared" si="116"/>
        <v>0</v>
      </c>
      <c r="S449" s="86">
        <f t="shared" si="118"/>
        <v>0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0</v>
      </c>
      <c r="AF449" s="90">
        <v>6.5000000000000002E-2</v>
      </c>
      <c r="AG449" s="4">
        <f t="shared" si="126"/>
        <v>0</v>
      </c>
      <c r="AH449" s="49">
        <f t="shared" si="127"/>
        <v>0</v>
      </c>
      <c r="AI449" s="89">
        <f t="shared" si="128"/>
        <v>0</v>
      </c>
      <c r="AJ449" s="91">
        <v>0.18</v>
      </c>
      <c r="AK449" s="5">
        <f t="shared" si="129"/>
        <v>0</v>
      </c>
      <c r="AL449" s="89">
        <f t="shared" si="130"/>
        <v>0</v>
      </c>
      <c r="AP449" s="7"/>
    </row>
    <row r="450" spans="1:42" x14ac:dyDescent="0.35">
      <c r="A450" s="85"/>
      <c r="B450" s="51"/>
      <c r="C450" s="97"/>
      <c r="D450" s="97"/>
      <c r="E450" s="48"/>
      <c r="F450" s="94"/>
      <c r="G450" s="94"/>
      <c r="H450" s="94"/>
      <c r="I450" s="94"/>
      <c r="J450" s="52"/>
      <c r="K450" s="52"/>
      <c r="L450" s="52"/>
      <c r="M450" s="52"/>
      <c r="N450" s="104">
        <f t="shared" si="117"/>
        <v>0</v>
      </c>
      <c r="O450" s="52"/>
      <c r="P450" s="52"/>
      <c r="Q450" s="52"/>
      <c r="R450" s="104">
        <f t="shared" si="116"/>
        <v>0</v>
      </c>
      <c r="S450" s="86">
        <f t="shared" si="118"/>
        <v>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0</v>
      </c>
      <c r="AF450" s="90">
        <v>6.5000000000000002E-2</v>
      </c>
      <c r="AG450" s="4">
        <f t="shared" si="126"/>
        <v>0</v>
      </c>
      <c r="AH450" s="49">
        <f t="shared" si="127"/>
        <v>0</v>
      </c>
      <c r="AI450" s="89">
        <f t="shared" si="128"/>
        <v>0</v>
      </c>
      <c r="AJ450" s="91">
        <v>0.18</v>
      </c>
      <c r="AK450" s="5">
        <f t="shared" si="129"/>
        <v>0</v>
      </c>
      <c r="AL450" s="89">
        <f t="shared" si="130"/>
        <v>0</v>
      </c>
      <c r="AP450" s="7"/>
    </row>
    <row r="451" spans="1:42" x14ac:dyDescent="0.35">
      <c r="A451" s="85"/>
      <c r="B451" s="51"/>
      <c r="C451" s="97"/>
      <c r="D451" s="97"/>
      <c r="E451" s="48"/>
      <c r="F451" s="94"/>
      <c r="G451" s="94"/>
      <c r="H451" s="94"/>
      <c r="I451" s="94"/>
      <c r="J451" s="52"/>
      <c r="K451" s="52"/>
      <c r="L451" s="52"/>
      <c r="M451" s="52"/>
      <c r="N451" s="104">
        <f t="shared" si="117"/>
        <v>0</v>
      </c>
      <c r="O451" s="52"/>
      <c r="P451" s="52"/>
      <c r="Q451" s="52"/>
      <c r="R451" s="104">
        <f t="shared" si="116"/>
        <v>0</v>
      </c>
      <c r="S451" s="86">
        <f t="shared" si="118"/>
        <v>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0</v>
      </c>
      <c r="AF451" s="90">
        <v>6.5000000000000002E-2</v>
      </c>
      <c r="AG451" s="4">
        <f t="shared" si="126"/>
        <v>0</v>
      </c>
      <c r="AH451" s="49">
        <f t="shared" si="127"/>
        <v>0</v>
      </c>
      <c r="AI451" s="89">
        <f t="shared" si="128"/>
        <v>0</v>
      </c>
      <c r="AJ451" s="91">
        <v>0.18</v>
      </c>
      <c r="AK451" s="5">
        <f t="shared" si="129"/>
        <v>0</v>
      </c>
      <c r="AL451" s="89">
        <f t="shared" si="130"/>
        <v>0</v>
      </c>
      <c r="AP451" s="7"/>
    </row>
    <row r="452" spans="1:42" x14ac:dyDescent="0.35">
      <c r="A452" s="85"/>
      <c r="B452" s="51"/>
      <c r="C452" s="97"/>
      <c r="D452" s="97"/>
      <c r="E452" s="48"/>
      <c r="F452" s="94"/>
      <c r="G452" s="94"/>
      <c r="H452" s="94"/>
      <c r="I452" s="94"/>
      <c r="J452" s="52"/>
      <c r="K452" s="52"/>
      <c r="L452" s="52"/>
      <c r="M452" s="52"/>
      <c r="N452" s="104">
        <f t="shared" si="117"/>
        <v>0</v>
      </c>
      <c r="O452" s="52"/>
      <c r="P452" s="52"/>
      <c r="Q452" s="52"/>
      <c r="R452" s="104">
        <f t="shared" ref="R452:R515" si="131">SUM(O452:Q452)</f>
        <v>0</v>
      </c>
      <c r="S452" s="86">
        <f t="shared" si="118"/>
        <v>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0</v>
      </c>
      <c r="AF452" s="90">
        <v>6.5000000000000002E-2</v>
      </c>
      <c r="AG452" s="4">
        <f t="shared" si="126"/>
        <v>0</v>
      </c>
      <c r="AH452" s="49">
        <f t="shared" si="127"/>
        <v>0</v>
      </c>
      <c r="AI452" s="89">
        <f t="shared" si="128"/>
        <v>0</v>
      </c>
      <c r="AJ452" s="91">
        <v>0.18</v>
      </c>
      <c r="AK452" s="5">
        <f t="shared" si="129"/>
        <v>0</v>
      </c>
      <c r="AL452" s="89">
        <f t="shared" si="130"/>
        <v>0</v>
      </c>
      <c r="AP452" s="7"/>
    </row>
    <row r="453" spans="1:42" x14ac:dyDescent="0.35">
      <c r="A453" s="85"/>
      <c r="B453" s="51"/>
      <c r="C453" s="97"/>
      <c r="D453" s="97"/>
      <c r="E453" s="48"/>
      <c r="F453" s="94"/>
      <c r="G453" s="94"/>
      <c r="H453" s="94"/>
      <c r="I453" s="94"/>
      <c r="J453" s="52"/>
      <c r="K453" s="52"/>
      <c r="L453" s="52"/>
      <c r="M453" s="52"/>
      <c r="N453" s="104">
        <f t="shared" ref="N453:N516" si="132">K453+L453+M453</f>
        <v>0</v>
      </c>
      <c r="O453" s="52"/>
      <c r="P453" s="52"/>
      <c r="Q453" s="52"/>
      <c r="R453" s="104">
        <f t="shared" si="131"/>
        <v>0</v>
      </c>
      <c r="S453" s="86">
        <f t="shared" ref="S453:S516" si="133">R453+N453+J453</f>
        <v>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0</v>
      </c>
      <c r="AF453" s="90">
        <v>6.5000000000000002E-2</v>
      </c>
      <c r="AG453" s="4">
        <f t="shared" si="126"/>
        <v>0</v>
      </c>
      <c r="AH453" s="49">
        <f t="shared" si="127"/>
        <v>0</v>
      </c>
      <c r="AI453" s="89">
        <f t="shared" si="128"/>
        <v>0</v>
      </c>
      <c r="AJ453" s="91">
        <v>0.18</v>
      </c>
      <c r="AK453" s="5">
        <f t="shared" si="129"/>
        <v>0</v>
      </c>
      <c r="AL453" s="89">
        <f t="shared" si="130"/>
        <v>0</v>
      </c>
      <c r="AP453" s="7"/>
    </row>
    <row r="454" spans="1:42" x14ac:dyDescent="0.35">
      <c r="A454" s="85"/>
      <c r="B454" s="51"/>
      <c r="C454" s="97"/>
      <c r="D454" s="97"/>
      <c r="E454" s="48"/>
      <c r="F454" s="94"/>
      <c r="G454" s="94"/>
      <c r="H454" s="94"/>
      <c r="I454" s="94"/>
      <c r="J454" s="52"/>
      <c r="K454" s="52"/>
      <c r="L454" s="52"/>
      <c r="M454" s="52"/>
      <c r="N454" s="104">
        <f t="shared" si="132"/>
        <v>0</v>
      </c>
      <c r="O454" s="52"/>
      <c r="P454" s="52"/>
      <c r="Q454" s="52"/>
      <c r="R454" s="104">
        <f t="shared" si="131"/>
        <v>0</v>
      </c>
      <c r="S454" s="86">
        <f t="shared" si="133"/>
        <v>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0</v>
      </c>
      <c r="AF454" s="90">
        <v>6.5000000000000002E-2</v>
      </c>
      <c r="AG454" s="4">
        <f t="shared" si="126"/>
        <v>0</v>
      </c>
      <c r="AH454" s="49">
        <f t="shared" si="127"/>
        <v>0</v>
      </c>
      <c r="AI454" s="89">
        <f t="shared" si="128"/>
        <v>0</v>
      </c>
      <c r="AJ454" s="91">
        <v>0.18</v>
      </c>
      <c r="AK454" s="5">
        <f t="shared" si="129"/>
        <v>0</v>
      </c>
      <c r="AL454" s="89">
        <f t="shared" si="130"/>
        <v>0</v>
      </c>
      <c r="AP454" s="7"/>
    </row>
    <row r="455" spans="1:42" x14ac:dyDescent="0.35">
      <c r="A455" s="85"/>
      <c r="B455" s="51"/>
      <c r="C455" s="97"/>
      <c r="D455" s="97"/>
      <c r="E455" s="48"/>
      <c r="F455" s="94"/>
      <c r="G455" s="94"/>
      <c r="H455" s="94"/>
      <c r="I455" s="94"/>
      <c r="J455" s="52"/>
      <c r="K455" s="52"/>
      <c r="L455" s="52"/>
      <c r="M455" s="52"/>
      <c r="N455" s="104">
        <f t="shared" si="132"/>
        <v>0</v>
      </c>
      <c r="O455" s="52"/>
      <c r="P455" s="52"/>
      <c r="Q455" s="52"/>
      <c r="R455" s="104">
        <f t="shared" si="131"/>
        <v>0</v>
      </c>
      <c r="S455" s="86">
        <f t="shared" si="133"/>
        <v>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0</v>
      </c>
      <c r="AF455" s="90">
        <v>6.5000000000000002E-2</v>
      </c>
      <c r="AG455" s="4">
        <f t="shared" si="126"/>
        <v>0</v>
      </c>
      <c r="AH455" s="49">
        <f t="shared" si="127"/>
        <v>0</v>
      </c>
      <c r="AI455" s="89">
        <f t="shared" si="128"/>
        <v>0</v>
      </c>
      <c r="AJ455" s="91">
        <v>0.18</v>
      </c>
      <c r="AK455" s="5">
        <f t="shared" si="129"/>
        <v>0</v>
      </c>
      <c r="AL455" s="89">
        <f t="shared" si="130"/>
        <v>0</v>
      </c>
      <c r="AP455" s="7"/>
    </row>
    <row r="456" spans="1:42" x14ac:dyDescent="0.35">
      <c r="A456" s="85"/>
      <c r="B456" s="51"/>
      <c r="C456" s="97"/>
      <c r="D456" s="97"/>
      <c r="E456" s="48"/>
      <c r="F456" s="94"/>
      <c r="G456" s="94"/>
      <c r="H456" s="94"/>
      <c r="I456" s="94"/>
      <c r="J456" s="52"/>
      <c r="K456" s="52"/>
      <c r="L456" s="52"/>
      <c r="M456" s="52"/>
      <c r="N456" s="104">
        <f t="shared" si="132"/>
        <v>0</v>
      </c>
      <c r="O456" s="52"/>
      <c r="P456" s="52"/>
      <c r="Q456" s="52"/>
      <c r="R456" s="104">
        <f t="shared" si="131"/>
        <v>0</v>
      </c>
      <c r="S456" s="86">
        <f t="shared" si="133"/>
        <v>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0</v>
      </c>
      <c r="AF456" s="90">
        <v>6.5000000000000002E-2</v>
      </c>
      <c r="AG456" s="4">
        <f t="shared" si="126"/>
        <v>0</v>
      </c>
      <c r="AH456" s="49">
        <f t="shared" si="127"/>
        <v>0</v>
      </c>
      <c r="AI456" s="89">
        <f t="shared" si="128"/>
        <v>0</v>
      </c>
      <c r="AJ456" s="91">
        <v>0.18</v>
      </c>
      <c r="AK456" s="5">
        <f t="shared" si="129"/>
        <v>0</v>
      </c>
      <c r="AL456" s="89">
        <f t="shared" si="130"/>
        <v>0</v>
      </c>
      <c r="AP456" s="7"/>
    </row>
    <row r="457" spans="1:42" x14ac:dyDescent="0.35">
      <c r="A457" s="85"/>
      <c r="B457" s="51"/>
      <c r="C457" s="97"/>
      <c r="D457" s="97"/>
      <c r="E457" s="48"/>
      <c r="F457" s="94"/>
      <c r="G457" s="94"/>
      <c r="H457" s="94"/>
      <c r="I457" s="94"/>
      <c r="J457" s="52"/>
      <c r="K457" s="52"/>
      <c r="L457" s="52"/>
      <c r="M457" s="52"/>
      <c r="N457" s="104">
        <f t="shared" si="132"/>
        <v>0</v>
      </c>
      <c r="O457" s="52"/>
      <c r="P457" s="52"/>
      <c r="Q457" s="52"/>
      <c r="R457" s="104">
        <f t="shared" si="131"/>
        <v>0</v>
      </c>
      <c r="S457" s="86">
        <f t="shared" si="133"/>
        <v>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0</v>
      </c>
      <c r="AF457" s="90">
        <v>6.5000000000000002E-2</v>
      </c>
      <c r="AG457" s="4">
        <f t="shared" si="126"/>
        <v>0</v>
      </c>
      <c r="AH457" s="49">
        <f t="shared" si="127"/>
        <v>0</v>
      </c>
      <c r="AI457" s="89">
        <f t="shared" si="128"/>
        <v>0</v>
      </c>
      <c r="AJ457" s="91">
        <v>0.18</v>
      </c>
      <c r="AK457" s="5">
        <f t="shared" si="129"/>
        <v>0</v>
      </c>
      <c r="AL457" s="89">
        <f t="shared" si="130"/>
        <v>0</v>
      </c>
      <c r="AP457" s="7"/>
    </row>
    <row r="458" spans="1:42" x14ac:dyDescent="0.35">
      <c r="A458" s="85"/>
      <c r="B458" s="51"/>
      <c r="C458" s="97"/>
      <c r="D458" s="97"/>
      <c r="E458" s="48"/>
      <c r="F458" s="94"/>
      <c r="G458" s="94"/>
      <c r="H458" s="94"/>
      <c r="I458" s="94"/>
      <c r="J458" s="52"/>
      <c r="K458" s="52"/>
      <c r="L458" s="52"/>
      <c r="M458" s="52"/>
      <c r="N458" s="104">
        <f t="shared" si="132"/>
        <v>0</v>
      </c>
      <c r="O458" s="52"/>
      <c r="P458" s="52"/>
      <c r="Q458" s="52"/>
      <c r="R458" s="104">
        <f t="shared" si="131"/>
        <v>0</v>
      </c>
      <c r="S458" s="86">
        <f t="shared" si="133"/>
        <v>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0</v>
      </c>
      <c r="AF458" s="90">
        <v>6.5000000000000002E-2</v>
      </c>
      <c r="AG458" s="4">
        <f t="shared" si="126"/>
        <v>0</v>
      </c>
      <c r="AH458" s="49">
        <f t="shared" si="127"/>
        <v>0</v>
      </c>
      <c r="AI458" s="89">
        <f t="shared" si="128"/>
        <v>0</v>
      </c>
      <c r="AJ458" s="91">
        <v>0.18</v>
      </c>
      <c r="AK458" s="5">
        <f t="shared" si="129"/>
        <v>0</v>
      </c>
      <c r="AL458" s="89">
        <f t="shared" si="130"/>
        <v>0</v>
      </c>
      <c r="AP458" s="7"/>
    </row>
    <row r="459" spans="1:42" x14ac:dyDescent="0.35">
      <c r="A459" s="85"/>
      <c r="B459" s="51"/>
      <c r="C459" s="97"/>
      <c r="D459" s="97"/>
      <c r="E459" s="48"/>
      <c r="F459" s="94"/>
      <c r="G459" s="94"/>
      <c r="H459" s="94"/>
      <c r="I459" s="94"/>
      <c r="J459" s="52"/>
      <c r="K459" s="52"/>
      <c r="L459" s="52"/>
      <c r="M459" s="52"/>
      <c r="N459" s="104">
        <f t="shared" si="132"/>
        <v>0</v>
      </c>
      <c r="O459" s="52"/>
      <c r="P459" s="52"/>
      <c r="Q459" s="52"/>
      <c r="R459" s="104">
        <f t="shared" si="131"/>
        <v>0</v>
      </c>
      <c r="S459" s="86">
        <f t="shared" si="133"/>
        <v>0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0</v>
      </c>
      <c r="AF459" s="90">
        <v>6.5000000000000002E-2</v>
      </c>
      <c r="AG459" s="4">
        <f t="shared" si="126"/>
        <v>0</v>
      </c>
      <c r="AH459" s="49">
        <f t="shared" si="127"/>
        <v>0</v>
      </c>
      <c r="AI459" s="89">
        <f t="shared" si="128"/>
        <v>0</v>
      </c>
      <c r="AJ459" s="91">
        <v>0.18</v>
      </c>
      <c r="AK459" s="5">
        <f t="shared" si="129"/>
        <v>0</v>
      </c>
      <c r="AL459" s="89">
        <f t="shared" si="130"/>
        <v>0</v>
      </c>
      <c r="AP459" s="7"/>
    </row>
    <row r="460" spans="1:42" x14ac:dyDescent="0.35">
      <c r="A460" s="85"/>
      <c r="B460" s="51"/>
      <c r="C460" s="97"/>
      <c r="D460" s="97"/>
      <c r="E460" s="48"/>
      <c r="F460" s="94"/>
      <c r="G460" s="94"/>
      <c r="H460" s="94"/>
      <c r="I460" s="94"/>
      <c r="J460" s="52"/>
      <c r="K460" s="52"/>
      <c r="L460" s="52"/>
      <c r="M460" s="52"/>
      <c r="N460" s="104">
        <f t="shared" si="132"/>
        <v>0</v>
      </c>
      <c r="O460" s="52"/>
      <c r="P460" s="52"/>
      <c r="Q460" s="52"/>
      <c r="R460" s="104">
        <f t="shared" si="131"/>
        <v>0</v>
      </c>
      <c r="S460" s="86">
        <f t="shared" si="133"/>
        <v>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0</v>
      </c>
      <c r="AF460" s="90">
        <v>6.5000000000000002E-2</v>
      </c>
      <c r="AG460" s="4">
        <f t="shared" si="126"/>
        <v>0</v>
      </c>
      <c r="AH460" s="49">
        <f t="shared" si="127"/>
        <v>0</v>
      </c>
      <c r="AI460" s="89">
        <f t="shared" si="128"/>
        <v>0</v>
      </c>
      <c r="AJ460" s="91">
        <v>0.18</v>
      </c>
      <c r="AK460" s="5">
        <f t="shared" si="129"/>
        <v>0</v>
      </c>
      <c r="AL460" s="89">
        <f t="shared" si="130"/>
        <v>0</v>
      </c>
      <c r="AP460" s="7"/>
    </row>
    <row r="461" spans="1:42" x14ac:dyDescent="0.35">
      <c r="A461" s="85"/>
      <c r="B461" s="51"/>
      <c r="C461" s="97"/>
      <c r="D461" s="97"/>
      <c r="E461" s="48"/>
      <c r="F461" s="94"/>
      <c r="G461" s="94"/>
      <c r="H461" s="94"/>
      <c r="I461" s="94"/>
      <c r="J461" s="52"/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0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0</v>
      </c>
      <c r="AF461" s="90">
        <v>6.5000000000000002E-2</v>
      </c>
      <c r="AG461" s="4">
        <f t="shared" si="126"/>
        <v>0</v>
      </c>
      <c r="AH461" s="49">
        <f t="shared" si="127"/>
        <v>0</v>
      </c>
      <c r="AI461" s="89">
        <f t="shared" si="128"/>
        <v>0</v>
      </c>
      <c r="AJ461" s="91">
        <v>0.18</v>
      </c>
      <c r="AK461" s="5">
        <f t="shared" si="129"/>
        <v>0</v>
      </c>
      <c r="AL461" s="89">
        <f t="shared" si="130"/>
        <v>0</v>
      </c>
      <c r="AP461" s="7"/>
    </row>
    <row r="462" spans="1:42" x14ac:dyDescent="0.35">
      <c r="A462" s="85"/>
      <c r="B462" s="51"/>
      <c r="C462" s="97"/>
      <c r="D462" s="97"/>
      <c r="E462" s="48"/>
      <c r="F462" s="94"/>
      <c r="G462" s="94"/>
      <c r="H462" s="94"/>
      <c r="I462" s="94"/>
      <c r="J462" s="52"/>
      <c r="K462" s="52"/>
      <c r="L462" s="52"/>
      <c r="M462" s="52"/>
      <c r="N462" s="104">
        <f t="shared" si="132"/>
        <v>0</v>
      </c>
      <c r="O462" s="52"/>
      <c r="P462" s="52"/>
      <c r="Q462" s="52"/>
      <c r="R462" s="104">
        <f t="shared" si="131"/>
        <v>0</v>
      </c>
      <c r="S462" s="86">
        <f t="shared" si="133"/>
        <v>0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0</v>
      </c>
      <c r="AF462" s="90">
        <v>6.5000000000000002E-2</v>
      </c>
      <c r="AG462" s="4">
        <f t="shared" si="126"/>
        <v>0</v>
      </c>
      <c r="AH462" s="49">
        <f t="shared" si="127"/>
        <v>0</v>
      </c>
      <c r="AI462" s="89">
        <f t="shared" si="128"/>
        <v>0</v>
      </c>
      <c r="AJ462" s="91">
        <v>0.18</v>
      </c>
      <c r="AK462" s="5">
        <f t="shared" si="129"/>
        <v>0</v>
      </c>
      <c r="AL462" s="89">
        <f t="shared" si="130"/>
        <v>0</v>
      </c>
      <c r="AP462" s="7"/>
    </row>
    <row r="463" spans="1:42" x14ac:dyDescent="0.35">
      <c r="A463" s="85"/>
      <c r="B463" s="51"/>
      <c r="C463" s="97"/>
      <c r="D463" s="97"/>
      <c r="E463" s="48"/>
      <c r="F463" s="94"/>
      <c r="G463" s="94"/>
      <c r="H463" s="94"/>
      <c r="I463" s="94"/>
      <c r="J463" s="52"/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0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0</v>
      </c>
      <c r="AF463" s="90">
        <v>6.5000000000000002E-2</v>
      </c>
      <c r="AG463" s="4">
        <f t="shared" si="126"/>
        <v>0</v>
      </c>
      <c r="AH463" s="49">
        <f t="shared" si="127"/>
        <v>0</v>
      </c>
      <c r="AI463" s="89">
        <f t="shared" si="128"/>
        <v>0</v>
      </c>
      <c r="AJ463" s="91">
        <v>0.18</v>
      </c>
      <c r="AK463" s="5">
        <f t="shared" si="129"/>
        <v>0</v>
      </c>
      <c r="AL463" s="89">
        <f t="shared" si="130"/>
        <v>0</v>
      </c>
      <c r="AP463" s="7"/>
    </row>
    <row r="464" spans="1:42" x14ac:dyDescent="0.35">
      <c r="A464" s="85"/>
      <c r="B464" s="51"/>
      <c r="C464" s="97"/>
      <c r="D464" s="97"/>
      <c r="E464" s="48"/>
      <c r="F464" s="94"/>
      <c r="G464" s="94"/>
      <c r="H464" s="94"/>
      <c r="I464" s="94"/>
      <c r="J464" s="52"/>
      <c r="K464" s="52"/>
      <c r="L464" s="52"/>
      <c r="M464" s="52"/>
      <c r="N464" s="104">
        <f t="shared" si="132"/>
        <v>0</v>
      </c>
      <c r="O464" s="52"/>
      <c r="P464" s="52"/>
      <c r="Q464" s="52"/>
      <c r="R464" s="104">
        <f t="shared" si="131"/>
        <v>0</v>
      </c>
      <c r="S464" s="86">
        <f t="shared" si="133"/>
        <v>0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0</v>
      </c>
      <c r="AF464" s="90">
        <v>6.5000000000000002E-2</v>
      </c>
      <c r="AG464" s="4">
        <f t="shared" si="126"/>
        <v>0</v>
      </c>
      <c r="AH464" s="49">
        <f t="shared" si="127"/>
        <v>0</v>
      </c>
      <c r="AI464" s="89">
        <f t="shared" si="128"/>
        <v>0</v>
      </c>
      <c r="AJ464" s="91">
        <v>0.18</v>
      </c>
      <c r="AK464" s="5">
        <f t="shared" si="129"/>
        <v>0</v>
      </c>
      <c r="AL464" s="89">
        <f t="shared" si="130"/>
        <v>0</v>
      </c>
      <c r="AP464" s="7"/>
    </row>
    <row r="465" spans="1:42" x14ac:dyDescent="0.35">
      <c r="A465" s="85"/>
      <c r="B465" s="51"/>
      <c r="C465" s="97"/>
      <c r="D465" s="97"/>
      <c r="E465" s="48"/>
      <c r="F465" s="94"/>
      <c r="G465" s="94"/>
      <c r="H465" s="94"/>
      <c r="I465" s="94"/>
      <c r="J465" s="52"/>
      <c r="K465" s="52"/>
      <c r="L465" s="52"/>
      <c r="M465" s="52"/>
      <c r="N465" s="104">
        <f t="shared" si="132"/>
        <v>0</v>
      </c>
      <c r="O465" s="52"/>
      <c r="P465" s="52"/>
      <c r="Q465" s="52"/>
      <c r="R465" s="104">
        <f t="shared" si="131"/>
        <v>0</v>
      </c>
      <c r="S465" s="86">
        <f t="shared" si="133"/>
        <v>0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0</v>
      </c>
      <c r="AF465" s="90">
        <v>6.5000000000000002E-2</v>
      </c>
      <c r="AG465" s="4">
        <f t="shared" si="126"/>
        <v>0</v>
      </c>
      <c r="AH465" s="49">
        <f t="shared" si="127"/>
        <v>0</v>
      </c>
      <c r="AI465" s="89">
        <f t="shared" si="128"/>
        <v>0</v>
      </c>
      <c r="AJ465" s="91">
        <v>0.18</v>
      </c>
      <c r="AK465" s="5">
        <f t="shared" si="129"/>
        <v>0</v>
      </c>
      <c r="AL465" s="89">
        <f t="shared" si="130"/>
        <v>0</v>
      </c>
      <c r="AP465" s="7"/>
    </row>
    <row r="466" spans="1:42" x14ac:dyDescent="0.35">
      <c r="A466" s="85"/>
      <c r="B466" s="51"/>
      <c r="C466" s="97"/>
      <c r="D466" s="97"/>
      <c r="E466" s="48"/>
      <c r="F466" s="94"/>
      <c r="G466" s="94"/>
      <c r="H466" s="94"/>
      <c r="I466" s="94"/>
      <c r="J466" s="52"/>
      <c r="K466" s="52"/>
      <c r="L466" s="52"/>
      <c r="M466" s="52"/>
      <c r="N466" s="104">
        <f t="shared" si="132"/>
        <v>0</v>
      </c>
      <c r="O466" s="52"/>
      <c r="P466" s="52"/>
      <c r="Q466" s="52"/>
      <c r="R466" s="104">
        <f t="shared" si="131"/>
        <v>0</v>
      </c>
      <c r="S466" s="86">
        <f t="shared" si="133"/>
        <v>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0</v>
      </c>
      <c r="AF466" s="90">
        <v>6.5000000000000002E-2</v>
      </c>
      <c r="AG466" s="4">
        <f t="shared" si="126"/>
        <v>0</v>
      </c>
      <c r="AH466" s="49">
        <f t="shared" si="127"/>
        <v>0</v>
      </c>
      <c r="AI466" s="89">
        <f t="shared" si="128"/>
        <v>0</v>
      </c>
      <c r="AJ466" s="91">
        <v>0.18</v>
      </c>
      <c r="AK466" s="5">
        <f t="shared" si="129"/>
        <v>0</v>
      </c>
      <c r="AL466" s="89">
        <f t="shared" si="130"/>
        <v>0</v>
      </c>
      <c r="AP466" s="7"/>
    </row>
    <row r="467" spans="1:42" x14ac:dyDescent="0.35">
      <c r="A467" s="85"/>
      <c r="B467" s="51"/>
      <c r="C467" s="97"/>
      <c r="D467" s="97"/>
      <c r="E467" s="48"/>
      <c r="F467" s="94"/>
      <c r="G467" s="94"/>
      <c r="H467" s="94"/>
      <c r="I467" s="94"/>
      <c r="J467" s="52"/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0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0</v>
      </c>
      <c r="AF467" s="90">
        <v>6.5000000000000002E-2</v>
      </c>
      <c r="AG467" s="4">
        <f t="shared" si="126"/>
        <v>0</v>
      </c>
      <c r="AH467" s="49">
        <f t="shared" si="127"/>
        <v>0</v>
      </c>
      <c r="AI467" s="89">
        <f t="shared" si="128"/>
        <v>0</v>
      </c>
      <c r="AJ467" s="91">
        <v>0.18</v>
      </c>
      <c r="AK467" s="5">
        <f t="shared" si="129"/>
        <v>0</v>
      </c>
      <c r="AL467" s="89">
        <f t="shared" si="130"/>
        <v>0</v>
      </c>
      <c r="AP467" s="7"/>
    </row>
    <row r="468" spans="1:42" x14ac:dyDescent="0.35">
      <c r="A468" s="85"/>
      <c r="B468" s="51"/>
      <c r="C468" s="97"/>
      <c r="D468" s="97"/>
      <c r="E468" s="48"/>
      <c r="F468" s="94"/>
      <c r="G468" s="94"/>
      <c r="H468" s="94"/>
      <c r="I468" s="94"/>
      <c r="J468" s="52"/>
      <c r="K468" s="52"/>
      <c r="L468" s="52"/>
      <c r="M468" s="52"/>
      <c r="N468" s="104">
        <f t="shared" si="132"/>
        <v>0</v>
      </c>
      <c r="O468" s="52"/>
      <c r="P468" s="52"/>
      <c r="Q468" s="52"/>
      <c r="R468" s="104">
        <f t="shared" si="131"/>
        <v>0</v>
      </c>
      <c r="S468" s="86">
        <f t="shared" si="133"/>
        <v>0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0</v>
      </c>
      <c r="AF468" s="90">
        <v>6.5000000000000002E-2</v>
      </c>
      <c r="AG468" s="4">
        <f t="shared" si="126"/>
        <v>0</v>
      </c>
      <c r="AH468" s="49">
        <f t="shared" si="127"/>
        <v>0</v>
      </c>
      <c r="AI468" s="89">
        <f t="shared" si="128"/>
        <v>0</v>
      </c>
      <c r="AJ468" s="91">
        <v>0.18</v>
      </c>
      <c r="AK468" s="5">
        <f t="shared" si="129"/>
        <v>0</v>
      </c>
      <c r="AL468" s="89">
        <f t="shared" si="130"/>
        <v>0</v>
      </c>
      <c r="AP468" s="7"/>
    </row>
    <row r="469" spans="1:42" x14ac:dyDescent="0.35">
      <c r="A469" s="85"/>
      <c r="B469" s="51"/>
      <c r="C469" s="97"/>
      <c r="D469" s="97"/>
      <c r="E469" s="48"/>
      <c r="F469" s="94"/>
      <c r="G469" s="94"/>
      <c r="H469" s="94"/>
      <c r="I469" s="94"/>
      <c r="J469" s="52"/>
      <c r="K469" s="52"/>
      <c r="L469" s="52"/>
      <c r="M469" s="52"/>
      <c r="N469" s="104">
        <f t="shared" si="132"/>
        <v>0</v>
      </c>
      <c r="O469" s="52"/>
      <c r="P469" s="52"/>
      <c r="Q469" s="52"/>
      <c r="R469" s="104">
        <f t="shared" si="131"/>
        <v>0</v>
      </c>
      <c r="S469" s="86">
        <f t="shared" si="133"/>
        <v>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0</v>
      </c>
      <c r="AF469" s="90">
        <v>6.5000000000000002E-2</v>
      </c>
      <c r="AG469" s="4">
        <f t="shared" si="126"/>
        <v>0</v>
      </c>
      <c r="AH469" s="49">
        <f t="shared" si="127"/>
        <v>0</v>
      </c>
      <c r="AI469" s="89">
        <f t="shared" si="128"/>
        <v>0</v>
      </c>
      <c r="AJ469" s="91">
        <v>0.18</v>
      </c>
      <c r="AK469" s="5">
        <f t="shared" si="129"/>
        <v>0</v>
      </c>
      <c r="AL469" s="89">
        <f t="shared" si="130"/>
        <v>0</v>
      </c>
      <c r="AP469" s="7"/>
    </row>
    <row r="470" spans="1:42" x14ac:dyDescent="0.35">
      <c r="A470" s="85"/>
      <c r="B470" s="51"/>
      <c r="C470" s="97"/>
      <c r="D470" s="97"/>
      <c r="E470" s="48"/>
      <c r="F470" s="94"/>
      <c r="G470" s="94"/>
      <c r="H470" s="94"/>
      <c r="I470" s="94"/>
      <c r="J470" s="52"/>
      <c r="K470" s="52"/>
      <c r="L470" s="52"/>
      <c r="M470" s="52"/>
      <c r="N470" s="104">
        <f t="shared" si="132"/>
        <v>0</v>
      </c>
      <c r="O470" s="52"/>
      <c r="P470" s="52"/>
      <c r="Q470" s="52"/>
      <c r="R470" s="104">
        <f t="shared" si="131"/>
        <v>0</v>
      </c>
      <c r="S470" s="86">
        <f t="shared" si="133"/>
        <v>0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0</v>
      </c>
      <c r="AF470" s="90">
        <v>6.5000000000000002E-2</v>
      </c>
      <c r="AG470" s="4">
        <f t="shared" si="126"/>
        <v>0</v>
      </c>
      <c r="AH470" s="49">
        <f t="shared" si="127"/>
        <v>0</v>
      </c>
      <c r="AI470" s="89">
        <f t="shared" si="128"/>
        <v>0</v>
      </c>
      <c r="AJ470" s="91">
        <v>0.18</v>
      </c>
      <c r="AK470" s="5">
        <f t="shared" si="129"/>
        <v>0</v>
      </c>
      <c r="AL470" s="89">
        <f t="shared" si="130"/>
        <v>0</v>
      </c>
      <c r="AP470" s="7"/>
    </row>
    <row r="471" spans="1:42" x14ac:dyDescent="0.35">
      <c r="A471" s="85"/>
      <c r="B471" s="51"/>
      <c r="C471" s="97"/>
      <c r="D471" s="97"/>
      <c r="E471" s="48"/>
      <c r="F471" s="94"/>
      <c r="G471" s="94"/>
      <c r="H471" s="94"/>
      <c r="I471" s="94"/>
      <c r="J471" s="52"/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0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0</v>
      </c>
      <c r="AF471" s="90">
        <v>6.5000000000000002E-2</v>
      </c>
      <c r="AG471" s="4">
        <f t="shared" si="126"/>
        <v>0</v>
      </c>
      <c r="AH471" s="49">
        <f t="shared" si="127"/>
        <v>0</v>
      </c>
      <c r="AI471" s="89">
        <f t="shared" si="128"/>
        <v>0</v>
      </c>
      <c r="AJ471" s="91">
        <v>0.18</v>
      </c>
      <c r="AK471" s="5">
        <f t="shared" si="129"/>
        <v>0</v>
      </c>
      <c r="AL471" s="89">
        <f t="shared" si="130"/>
        <v>0</v>
      </c>
      <c r="AP471" s="7"/>
    </row>
    <row r="472" spans="1:42" x14ac:dyDescent="0.35">
      <c r="A472" s="85"/>
      <c r="B472" s="51"/>
      <c r="C472" s="97"/>
      <c r="D472" s="97"/>
      <c r="E472" s="48"/>
      <c r="F472" s="94"/>
      <c r="G472" s="94"/>
      <c r="H472" s="94"/>
      <c r="I472" s="94"/>
      <c r="J472" s="52"/>
      <c r="K472" s="52"/>
      <c r="L472" s="52"/>
      <c r="M472" s="52"/>
      <c r="N472" s="104">
        <f t="shared" si="132"/>
        <v>0</v>
      </c>
      <c r="O472" s="52"/>
      <c r="P472" s="52"/>
      <c r="Q472" s="52"/>
      <c r="R472" s="104">
        <f t="shared" si="131"/>
        <v>0</v>
      </c>
      <c r="S472" s="86">
        <f t="shared" si="133"/>
        <v>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0</v>
      </c>
      <c r="AF472" s="90">
        <v>6.5000000000000002E-2</v>
      </c>
      <c r="AG472" s="4">
        <f t="shared" si="126"/>
        <v>0</v>
      </c>
      <c r="AH472" s="49">
        <f t="shared" si="127"/>
        <v>0</v>
      </c>
      <c r="AI472" s="89">
        <f t="shared" si="128"/>
        <v>0</v>
      </c>
      <c r="AJ472" s="91">
        <v>0.18</v>
      </c>
      <c r="AK472" s="5">
        <f t="shared" si="129"/>
        <v>0</v>
      </c>
      <c r="AL472" s="89">
        <f t="shared" si="130"/>
        <v>0</v>
      </c>
      <c r="AP472" s="7"/>
    </row>
    <row r="473" spans="1:42" x14ac:dyDescent="0.35">
      <c r="A473" s="85"/>
      <c r="B473" s="51"/>
      <c r="C473" s="97"/>
      <c r="D473" s="97"/>
      <c r="E473" s="48"/>
      <c r="F473" s="94"/>
      <c r="G473" s="94"/>
      <c r="H473" s="94"/>
      <c r="I473" s="94"/>
      <c r="J473" s="52"/>
      <c r="K473" s="52"/>
      <c r="L473" s="52"/>
      <c r="M473" s="52"/>
      <c r="N473" s="104">
        <f t="shared" si="132"/>
        <v>0</v>
      </c>
      <c r="O473" s="52"/>
      <c r="P473" s="52"/>
      <c r="Q473" s="52"/>
      <c r="R473" s="104">
        <f t="shared" si="131"/>
        <v>0</v>
      </c>
      <c r="S473" s="86">
        <f t="shared" si="133"/>
        <v>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0</v>
      </c>
      <c r="AF473" s="90">
        <v>6.5000000000000002E-2</v>
      </c>
      <c r="AG473" s="4">
        <f t="shared" si="126"/>
        <v>0</v>
      </c>
      <c r="AH473" s="49">
        <f t="shared" si="127"/>
        <v>0</v>
      </c>
      <c r="AI473" s="89">
        <f t="shared" si="128"/>
        <v>0</v>
      </c>
      <c r="AJ473" s="91">
        <v>0.18</v>
      </c>
      <c r="AK473" s="5">
        <f t="shared" si="129"/>
        <v>0</v>
      </c>
      <c r="AL473" s="89">
        <f t="shared" si="130"/>
        <v>0</v>
      </c>
      <c r="AP473" s="7"/>
    </row>
    <row r="474" spans="1:42" x14ac:dyDescent="0.35">
      <c r="A474" s="85"/>
      <c r="B474" s="51"/>
      <c r="C474" s="97"/>
      <c r="D474" s="97"/>
      <c r="E474" s="48"/>
      <c r="F474" s="94"/>
      <c r="G474" s="94"/>
      <c r="H474" s="94"/>
      <c r="I474" s="94"/>
      <c r="J474" s="52"/>
      <c r="K474" s="52"/>
      <c r="L474" s="52"/>
      <c r="M474" s="52"/>
      <c r="N474" s="104">
        <f t="shared" si="132"/>
        <v>0</v>
      </c>
      <c r="O474" s="52"/>
      <c r="P474" s="52"/>
      <c r="Q474" s="52"/>
      <c r="R474" s="104">
        <f t="shared" si="131"/>
        <v>0</v>
      </c>
      <c r="S474" s="86">
        <f t="shared" si="133"/>
        <v>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0</v>
      </c>
      <c r="AF474" s="90">
        <v>6.5000000000000002E-2</v>
      </c>
      <c r="AG474" s="4">
        <f t="shared" si="126"/>
        <v>0</v>
      </c>
      <c r="AH474" s="49">
        <f t="shared" si="127"/>
        <v>0</v>
      </c>
      <c r="AI474" s="89">
        <f t="shared" si="128"/>
        <v>0</v>
      </c>
      <c r="AJ474" s="91">
        <v>0.18</v>
      </c>
      <c r="AK474" s="5">
        <f t="shared" si="129"/>
        <v>0</v>
      </c>
      <c r="AL474" s="89">
        <f t="shared" si="130"/>
        <v>0</v>
      </c>
      <c r="AP474" s="7"/>
    </row>
    <row r="475" spans="1:42" x14ac:dyDescent="0.35">
      <c r="A475" s="85"/>
      <c r="B475" s="51"/>
      <c r="C475" s="97"/>
      <c r="D475" s="97"/>
      <c r="E475" s="48"/>
      <c r="F475" s="94"/>
      <c r="G475" s="94"/>
      <c r="H475" s="94"/>
      <c r="I475" s="94"/>
      <c r="J475" s="52"/>
      <c r="K475" s="52"/>
      <c r="L475" s="52"/>
      <c r="M475" s="52"/>
      <c r="N475" s="104">
        <f t="shared" si="132"/>
        <v>0</v>
      </c>
      <c r="O475" s="52"/>
      <c r="P475" s="52"/>
      <c r="Q475" s="52"/>
      <c r="R475" s="104">
        <f t="shared" si="131"/>
        <v>0</v>
      </c>
      <c r="S475" s="86">
        <f t="shared" si="133"/>
        <v>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0</v>
      </c>
      <c r="AF475" s="90">
        <v>6.5000000000000002E-2</v>
      </c>
      <c r="AG475" s="4">
        <f t="shared" si="126"/>
        <v>0</v>
      </c>
      <c r="AH475" s="49">
        <f t="shared" si="127"/>
        <v>0</v>
      </c>
      <c r="AI475" s="89">
        <f t="shared" si="128"/>
        <v>0</v>
      </c>
      <c r="AJ475" s="91">
        <v>0.18</v>
      </c>
      <c r="AK475" s="5">
        <f t="shared" si="129"/>
        <v>0</v>
      </c>
      <c r="AL475" s="89">
        <f t="shared" si="130"/>
        <v>0</v>
      </c>
      <c r="AP475" s="7"/>
    </row>
    <row r="476" spans="1:42" x14ac:dyDescent="0.35">
      <c r="A476" s="85"/>
      <c r="B476" s="51"/>
      <c r="C476" s="97"/>
      <c r="D476" s="97"/>
      <c r="E476" s="48"/>
      <c r="F476" s="94"/>
      <c r="G476" s="94"/>
      <c r="H476" s="94"/>
      <c r="I476" s="94"/>
      <c r="J476" s="52"/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0</v>
      </c>
      <c r="AF476" s="90">
        <v>6.5000000000000002E-2</v>
      </c>
      <c r="AG476" s="4">
        <f t="shared" si="126"/>
        <v>0</v>
      </c>
      <c r="AH476" s="49">
        <f t="shared" si="127"/>
        <v>0</v>
      </c>
      <c r="AI476" s="89">
        <f t="shared" si="128"/>
        <v>0</v>
      </c>
      <c r="AJ476" s="91">
        <v>0.18</v>
      </c>
      <c r="AK476" s="5">
        <f t="shared" si="129"/>
        <v>0</v>
      </c>
      <c r="AL476" s="89">
        <f t="shared" si="130"/>
        <v>0</v>
      </c>
      <c r="AP476" s="7"/>
    </row>
    <row r="477" spans="1:42" x14ac:dyDescent="0.35">
      <c r="A477" s="85"/>
      <c r="B477" s="51"/>
      <c r="C477" s="97"/>
      <c r="D477" s="97"/>
      <c r="E477" s="48"/>
      <c r="F477" s="94"/>
      <c r="G477" s="94"/>
      <c r="H477" s="94"/>
      <c r="I477" s="94"/>
      <c r="J477" s="52"/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0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0</v>
      </c>
      <c r="AF477" s="90">
        <v>6.5000000000000002E-2</v>
      </c>
      <c r="AG477" s="4">
        <f t="shared" si="126"/>
        <v>0</v>
      </c>
      <c r="AH477" s="49">
        <f t="shared" si="127"/>
        <v>0</v>
      </c>
      <c r="AI477" s="89">
        <f t="shared" si="128"/>
        <v>0</v>
      </c>
      <c r="AJ477" s="91">
        <v>0.18</v>
      </c>
      <c r="AK477" s="5">
        <f t="shared" si="129"/>
        <v>0</v>
      </c>
      <c r="AL477" s="89">
        <f t="shared" si="130"/>
        <v>0</v>
      </c>
      <c r="AP477" s="7"/>
    </row>
    <row r="478" spans="1:42" x14ac:dyDescent="0.35">
      <c r="A478" s="85"/>
      <c r="B478" s="51"/>
      <c r="C478" s="97"/>
      <c r="D478" s="97"/>
      <c r="E478" s="48"/>
      <c r="F478" s="94"/>
      <c r="G478" s="94"/>
      <c r="H478" s="94"/>
      <c r="I478" s="94"/>
      <c r="J478" s="52"/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0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0</v>
      </c>
      <c r="AF478" s="90">
        <v>6.5000000000000002E-2</v>
      </c>
      <c r="AG478" s="4">
        <f t="shared" si="126"/>
        <v>0</v>
      </c>
      <c r="AH478" s="49">
        <f t="shared" si="127"/>
        <v>0</v>
      </c>
      <c r="AI478" s="89">
        <f t="shared" si="128"/>
        <v>0</v>
      </c>
      <c r="AJ478" s="91">
        <v>0.18</v>
      </c>
      <c r="AK478" s="5">
        <f t="shared" si="129"/>
        <v>0</v>
      </c>
      <c r="AL478" s="89">
        <f t="shared" si="130"/>
        <v>0</v>
      </c>
      <c r="AP478" s="7"/>
    </row>
    <row r="479" spans="1:42" x14ac:dyDescent="0.35">
      <c r="A479" s="85"/>
      <c r="B479" s="51"/>
      <c r="C479" s="97"/>
      <c r="D479" s="97"/>
      <c r="E479" s="48"/>
      <c r="F479" s="94"/>
      <c r="G479" s="94"/>
      <c r="H479" s="94"/>
      <c r="I479" s="94"/>
      <c r="J479" s="52"/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0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0</v>
      </c>
      <c r="AF479" s="90">
        <v>6.5000000000000002E-2</v>
      </c>
      <c r="AG479" s="4">
        <f t="shared" si="126"/>
        <v>0</v>
      </c>
      <c r="AH479" s="49">
        <f t="shared" si="127"/>
        <v>0</v>
      </c>
      <c r="AI479" s="89">
        <f t="shared" si="128"/>
        <v>0</v>
      </c>
      <c r="AJ479" s="91">
        <v>0.18</v>
      </c>
      <c r="AK479" s="5">
        <f t="shared" si="129"/>
        <v>0</v>
      </c>
      <c r="AL479" s="89">
        <f t="shared" si="130"/>
        <v>0</v>
      </c>
      <c r="AP479" s="7"/>
    </row>
    <row r="480" spans="1:42" x14ac:dyDescent="0.35">
      <c r="A480" s="85"/>
      <c r="B480" s="51"/>
      <c r="C480" s="97"/>
      <c r="D480" s="97"/>
      <c r="E480" s="48"/>
      <c r="F480" s="94"/>
      <c r="G480" s="94"/>
      <c r="H480" s="94"/>
      <c r="I480" s="94"/>
      <c r="J480" s="52"/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0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0</v>
      </c>
      <c r="AF480" s="90">
        <v>6.5000000000000002E-2</v>
      </c>
      <c r="AG480" s="4">
        <f t="shared" si="126"/>
        <v>0</v>
      </c>
      <c r="AH480" s="49">
        <f t="shared" si="127"/>
        <v>0</v>
      </c>
      <c r="AI480" s="89">
        <f t="shared" si="128"/>
        <v>0</v>
      </c>
      <c r="AJ480" s="91">
        <v>0.18</v>
      </c>
      <c r="AK480" s="5">
        <f t="shared" si="129"/>
        <v>0</v>
      </c>
      <c r="AL480" s="89">
        <f t="shared" si="130"/>
        <v>0</v>
      </c>
      <c r="AP480" s="7"/>
    </row>
    <row r="481" spans="1:42" x14ac:dyDescent="0.35">
      <c r="A481" s="85"/>
      <c r="B481" s="51"/>
      <c r="C481" s="97"/>
      <c r="D481" s="97"/>
      <c r="E481" s="48"/>
      <c r="F481" s="94"/>
      <c r="G481" s="94"/>
      <c r="H481" s="94"/>
      <c r="I481" s="94"/>
      <c r="J481" s="52"/>
      <c r="K481" s="52"/>
      <c r="L481" s="52"/>
      <c r="M481" s="52"/>
      <c r="N481" s="104">
        <f t="shared" si="132"/>
        <v>0</v>
      </c>
      <c r="O481" s="52"/>
      <c r="P481" s="52"/>
      <c r="Q481" s="52"/>
      <c r="R481" s="104">
        <f t="shared" si="131"/>
        <v>0</v>
      </c>
      <c r="S481" s="86">
        <f t="shared" si="133"/>
        <v>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0</v>
      </c>
      <c r="AF481" s="90">
        <v>6.5000000000000002E-2</v>
      </c>
      <c r="AG481" s="4">
        <f t="shared" si="126"/>
        <v>0</v>
      </c>
      <c r="AH481" s="49">
        <f t="shared" si="127"/>
        <v>0</v>
      </c>
      <c r="AI481" s="89">
        <f t="shared" si="128"/>
        <v>0</v>
      </c>
      <c r="AJ481" s="91">
        <v>0.18</v>
      </c>
      <c r="AK481" s="5">
        <f t="shared" si="129"/>
        <v>0</v>
      </c>
      <c r="AL481" s="89">
        <f t="shared" si="130"/>
        <v>0</v>
      </c>
      <c r="AP481" s="7"/>
    </row>
    <row r="482" spans="1:42" x14ac:dyDescent="0.35">
      <c r="A482" s="85"/>
      <c r="B482" s="51"/>
      <c r="C482" s="97"/>
      <c r="D482" s="97"/>
      <c r="E482" s="48"/>
      <c r="F482" s="94"/>
      <c r="G482" s="94"/>
      <c r="H482" s="94"/>
      <c r="I482" s="94"/>
      <c r="J482" s="52"/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0</v>
      </c>
      <c r="AF482" s="90">
        <v>6.5000000000000002E-2</v>
      </c>
      <c r="AG482" s="4">
        <f t="shared" si="126"/>
        <v>0</v>
      </c>
      <c r="AH482" s="49">
        <f t="shared" si="127"/>
        <v>0</v>
      </c>
      <c r="AI482" s="89">
        <f t="shared" si="128"/>
        <v>0</v>
      </c>
      <c r="AJ482" s="91">
        <v>0.18</v>
      </c>
      <c r="AK482" s="5">
        <f t="shared" si="129"/>
        <v>0</v>
      </c>
      <c r="AL482" s="89">
        <f t="shared" si="130"/>
        <v>0</v>
      </c>
      <c r="AP482" s="7"/>
    </row>
    <row r="483" spans="1:42" x14ac:dyDescent="0.35">
      <c r="A483" s="85"/>
      <c r="B483" s="51"/>
      <c r="C483" s="97"/>
      <c r="D483" s="97"/>
      <c r="E483" s="48"/>
      <c r="F483" s="94"/>
      <c r="G483" s="94"/>
      <c r="H483" s="94"/>
      <c r="I483" s="94"/>
      <c r="J483" s="52"/>
      <c r="K483" s="52"/>
      <c r="L483" s="52"/>
      <c r="M483" s="52"/>
      <c r="N483" s="104">
        <f t="shared" si="132"/>
        <v>0</v>
      </c>
      <c r="O483" s="52"/>
      <c r="P483" s="52"/>
      <c r="Q483" s="52"/>
      <c r="R483" s="104">
        <f t="shared" si="131"/>
        <v>0</v>
      </c>
      <c r="S483" s="86">
        <f t="shared" si="133"/>
        <v>0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0</v>
      </c>
      <c r="AF483" s="90">
        <v>6.5000000000000002E-2</v>
      </c>
      <c r="AG483" s="4">
        <f t="shared" si="126"/>
        <v>0</v>
      </c>
      <c r="AH483" s="49">
        <f t="shared" si="127"/>
        <v>0</v>
      </c>
      <c r="AI483" s="89">
        <f t="shared" si="128"/>
        <v>0</v>
      </c>
      <c r="AJ483" s="91">
        <v>0.18</v>
      </c>
      <c r="AK483" s="5">
        <f t="shared" si="129"/>
        <v>0</v>
      </c>
      <c r="AL483" s="89">
        <f t="shared" si="130"/>
        <v>0</v>
      </c>
      <c r="AP483" s="7"/>
    </row>
    <row r="484" spans="1:42" x14ac:dyDescent="0.35">
      <c r="A484" s="85"/>
      <c r="B484" s="51"/>
      <c r="C484" s="97"/>
      <c r="D484" s="97"/>
      <c r="E484" s="48"/>
      <c r="F484" s="94"/>
      <c r="G484" s="94"/>
      <c r="H484" s="94"/>
      <c r="I484" s="94"/>
      <c r="J484" s="52"/>
      <c r="K484" s="52"/>
      <c r="L484" s="52"/>
      <c r="M484" s="52"/>
      <c r="N484" s="104">
        <f t="shared" si="132"/>
        <v>0</v>
      </c>
      <c r="O484" s="52"/>
      <c r="P484" s="52"/>
      <c r="Q484" s="52"/>
      <c r="R484" s="104">
        <f t="shared" si="131"/>
        <v>0</v>
      </c>
      <c r="S484" s="86">
        <f t="shared" si="133"/>
        <v>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0</v>
      </c>
      <c r="AF484" s="90">
        <v>6.5000000000000002E-2</v>
      </c>
      <c r="AG484" s="4">
        <f t="shared" si="126"/>
        <v>0</v>
      </c>
      <c r="AH484" s="49">
        <f t="shared" si="127"/>
        <v>0</v>
      </c>
      <c r="AI484" s="89">
        <f t="shared" si="128"/>
        <v>0</v>
      </c>
      <c r="AJ484" s="91">
        <v>0.18</v>
      </c>
      <c r="AK484" s="5">
        <f t="shared" si="129"/>
        <v>0</v>
      </c>
      <c r="AL484" s="89">
        <f t="shared" si="130"/>
        <v>0</v>
      </c>
      <c r="AP484" s="7"/>
    </row>
    <row r="485" spans="1:42" x14ac:dyDescent="0.35">
      <c r="A485" s="85"/>
      <c r="B485" s="51"/>
      <c r="C485" s="97"/>
      <c r="D485" s="97"/>
      <c r="E485" s="48"/>
      <c r="F485" s="94"/>
      <c r="G485" s="94"/>
      <c r="H485" s="94"/>
      <c r="I485" s="94"/>
      <c r="J485" s="52"/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0</v>
      </c>
      <c r="AF485" s="90">
        <v>6.5000000000000002E-2</v>
      </c>
      <c r="AG485" s="4">
        <f t="shared" si="126"/>
        <v>0</v>
      </c>
      <c r="AH485" s="49">
        <f t="shared" si="127"/>
        <v>0</v>
      </c>
      <c r="AI485" s="89">
        <f t="shared" si="128"/>
        <v>0</v>
      </c>
      <c r="AJ485" s="91">
        <v>0.18</v>
      </c>
      <c r="AK485" s="5">
        <f t="shared" si="129"/>
        <v>0</v>
      </c>
      <c r="AL485" s="89">
        <f t="shared" si="130"/>
        <v>0</v>
      </c>
      <c r="AP485" s="7"/>
    </row>
    <row r="486" spans="1:42" x14ac:dyDescent="0.35">
      <c r="A486" s="85"/>
      <c r="B486" s="51"/>
      <c r="C486" s="97"/>
      <c r="D486" s="97"/>
      <c r="E486" s="48"/>
      <c r="F486" s="94"/>
      <c r="G486" s="94"/>
      <c r="H486" s="94"/>
      <c r="I486" s="94"/>
      <c r="J486" s="52"/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0</v>
      </c>
      <c r="AF486" s="90">
        <v>6.5000000000000002E-2</v>
      </c>
      <c r="AG486" s="4">
        <f t="shared" si="126"/>
        <v>0</v>
      </c>
      <c r="AH486" s="49">
        <f t="shared" si="127"/>
        <v>0</v>
      </c>
      <c r="AI486" s="89">
        <f t="shared" si="128"/>
        <v>0</v>
      </c>
      <c r="AJ486" s="91">
        <v>0.18</v>
      </c>
      <c r="AK486" s="5">
        <f t="shared" si="129"/>
        <v>0</v>
      </c>
      <c r="AL486" s="89">
        <f t="shared" si="130"/>
        <v>0</v>
      </c>
      <c r="AP486" s="7"/>
    </row>
    <row r="487" spans="1:42" x14ac:dyDescent="0.35">
      <c r="A487" s="85"/>
      <c r="B487" s="51"/>
      <c r="C487" s="97"/>
      <c r="D487" s="97"/>
      <c r="E487" s="48"/>
      <c r="F487" s="94"/>
      <c r="G487" s="94"/>
      <c r="H487" s="94"/>
      <c r="I487" s="94"/>
      <c r="J487" s="52"/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0</v>
      </c>
      <c r="AF487" s="90">
        <v>6.5000000000000002E-2</v>
      </c>
      <c r="AG487" s="4">
        <f t="shared" si="126"/>
        <v>0</v>
      </c>
      <c r="AH487" s="49">
        <f t="shared" si="127"/>
        <v>0</v>
      </c>
      <c r="AI487" s="89">
        <f t="shared" si="128"/>
        <v>0</v>
      </c>
      <c r="AJ487" s="91">
        <v>0.18</v>
      </c>
      <c r="AK487" s="5">
        <f t="shared" si="129"/>
        <v>0</v>
      </c>
      <c r="AL487" s="89">
        <f t="shared" si="130"/>
        <v>0</v>
      </c>
      <c r="AP487" s="7"/>
    </row>
    <row r="488" spans="1:42" x14ac:dyDescent="0.35">
      <c r="A488" s="85"/>
      <c r="B488" s="51"/>
      <c r="C488" s="97"/>
      <c r="D488" s="97"/>
      <c r="E488" s="48"/>
      <c r="F488" s="94"/>
      <c r="G488" s="94"/>
      <c r="H488" s="94"/>
      <c r="I488" s="94"/>
      <c r="J488" s="52"/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0</v>
      </c>
      <c r="AF488" s="90">
        <v>6.5000000000000002E-2</v>
      </c>
      <c r="AG488" s="4">
        <f t="shared" si="126"/>
        <v>0</v>
      </c>
      <c r="AH488" s="49">
        <f t="shared" si="127"/>
        <v>0</v>
      </c>
      <c r="AI488" s="89">
        <f t="shared" si="128"/>
        <v>0</v>
      </c>
      <c r="AJ488" s="91">
        <v>0.18</v>
      </c>
      <c r="AK488" s="5">
        <f t="shared" si="129"/>
        <v>0</v>
      </c>
      <c r="AL488" s="89">
        <f t="shared" si="130"/>
        <v>0</v>
      </c>
      <c r="AP488" s="7"/>
    </row>
    <row r="489" spans="1:42" x14ac:dyDescent="0.35">
      <c r="A489" s="85"/>
      <c r="B489" s="51"/>
      <c r="C489" s="97"/>
      <c r="D489" s="97"/>
      <c r="E489" s="48"/>
      <c r="F489" s="94"/>
      <c r="G489" s="94"/>
      <c r="H489" s="94"/>
      <c r="I489" s="94"/>
      <c r="J489" s="52"/>
      <c r="K489" s="52"/>
      <c r="L489" s="52"/>
      <c r="M489" s="52"/>
      <c r="N489" s="104">
        <f t="shared" si="132"/>
        <v>0</v>
      </c>
      <c r="O489" s="52"/>
      <c r="P489" s="52"/>
      <c r="Q489" s="52"/>
      <c r="R489" s="104">
        <f t="shared" si="131"/>
        <v>0</v>
      </c>
      <c r="S489" s="86">
        <f t="shared" si="133"/>
        <v>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0</v>
      </c>
      <c r="AF489" s="90">
        <v>6.5000000000000002E-2</v>
      </c>
      <c r="AG489" s="4">
        <f t="shared" si="126"/>
        <v>0</v>
      </c>
      <c r="AH489" s="49">
        <f t="shared" si="127"/>
        <v>0</v>
      </c>
      <c r="AI489" s="89">
        <f t="shared" si="128"/>
        <v>0</v>
      </c>
      <c r="AJ489" s="91">
        <v>0.18</v>
      </c>
      <c r="AK489" s="5">
        <f t="shared" si="129"/>
        <v>0</v>
      </c>
      <c r="AL489" s="89">
        <f t="shared" si="130"/>
        <v>0</v>
      </c>
      <c r="AP489" s="7"/>
    </row>
    <row r="490" spans="1:42" x14ac:dyDescent="0.35">
      <c r="A490" s="85"/>
      <c r="B490" s="51"/>
      <c r="C490" s="97"/>
      <c r="D490" s="97"/>
      <c r="E490" s="48"/>
      <c r="F490" s="94"/>
      <c r="G490" s="94"/>
      <c r="H490" s="94"/>
      <c r="I490" s="94"/>
      <c r="J490" s="52"/>
      <c r="K490" s="52"/>
      <c r="L490" s="52"/>
      <c r="M490" s="52"/>
      <c r="N490" s="104">
        <f t="shared" si="132"/>
        <v>0</v>
      </c>
      <c r="O490" s="52"/>
      <c r="P490" s="52"/>
      <c r="Q490" s="52"/>
      <c r="R490" s="104">
        <f t="shared" si="131"/>
        <v>0</v>
      </c>
      <c r="S490" s="86">
        <f t="shared" si="133"/>
        <v>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0</v>
      </c>
      <c r="AF490" s="90">
        <v>6.5000000000000002E-2</v>
      </c>
      <c r="AG490" s="4">
        <f t="shared" si="126"/>
        <v>0</v>
      </c>
      <c r="AH490" s="49">
        <f t="shared" si="127"/>
        <v>0</v>
      </c>
      <c r="AI490" s="89">
        <f t="shared" si="128"/>
        <v>0</v>
      </c>
      <c r="AJ490" s="91">
        <v>0.18</v>
      </c>
      <c r="AK490" s="5">
        <f t="shared" si="129"/>
        <v>0</v>
      </c>
      <c r="AL490" s="89">
        <f t="shared" si="130"/>
        <v>0</v>
      </c>
      <c r="AP490" s="7"/>
    </row>
    <row r="491" spans="1:42" x14ac:dyDescent="0.35">
      <c r="A491" s="85"/>
      <c r="B491" s="51"/>
      <c r="C491" s="97"/>
      <c r="D491" s="97"/>
      <c r="E491" s="48"/>
      <c r="F491" s="94"/>
      <c r="G491" s="94"/>
      <c r="H491" s="94"/>
      <c r="I491" s="94"/>
      <c r="J491" s="52"/>
      <c r="K491" s="52"/>
      <c r="L491" s="52"/>
      <c r="M491" s="52"/>
      <c r="N491" s="104">
        <f t="shared" si="132"/>
        <v>0</v>
      </c>
      <c r="O491" s="52"/>
      <c r="P491" s="52"/>
      <c r="Q491" s="52"/>
      <c r="R491" s="104">
        <f t="shared" si="131"/>
        <v>0</v>
      </c>
      <c r="S491" s="86">
        <f t="shared" si="133"/>
        <v>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0</v>
      </c>
      <c r="AF491" s="90">
        <v>6.5000000000000002E-2</v>
      </c>
      <c r="AG491" s="4">
        <f t="shared" si="126"/>
        <v>0</v>
      </c>
      <c r="AH491" s="49">
        <f t="shared" si="127"/>
        <v>0</v>
      </c>
      <c r="AI491" s="89">
        <f t="shared" si="128"/>
        <v>0</v>
      </c>
      <c r="AJ491" s="91">
        <v>0.18</v>
      </c>
      <c r="AK491" s="5">
        <f t="shared" si="129"/>
        <v>0</v>
      </c>
      <c r="AL491" s="89">
        <f t="shared" si="130"/>
        <v>0</v>
      </c>
      <c r="AP491" s="7"/>
    </row>
    <row r="492" spans="1:42" x14ac:dyDescent="0.35">
      <c r="A492" s="85"/>
      <c r="B492" s="51"/>
      <c r="C492" s="97"/>
      <c r="D492" s="97"/>
      <c r="E492" s="48"/>
      <c r="F492" s="94"/>
      <c r="G492" s="94"/>
      <c r="H492" s="94"/>
      <c r="I492" s="94"/>
      <c r="J492" s="52"/>
      <c r="K492" s="52"/>
      <c r="L492" s="52"/>
      <c r="M492" s="52"/>
      <c r="N492" s="104">
        <f t="shared" si="132"/>
        <v>0</v>
      </c>
      <c r="O492" s="52"/>
      <c r="P492" s="52"/>
      <c r="Q492" s="52"/>
      <c r="R492" s="104">
        <f t="shared" si="131"/>
        <v>0</v>
      </c>
      <c r="S492" s="86">
        <f t="shared" si="133"/>
        <v>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0</v>
      </c>
      <c r="AF492" s="90">
        <v>6.5000000000000002E-2</v>
      </c>
      <c r="AG492" s="4">
        <f t="shared" si="126"/>
        <v>0</v>
      </c>
      <c r="AH492" s="49">
        <f t="shared" si="127"/>
        <v>0</v>
      </c>
      <c r="AI492" s="89">
        <f t="shared" si="128"/>
        <v>0</v>
      </c>
      <c r="AJ492" s="91">
        <v>0.18</v>
      </c>
      <c r="AK492" s="5">
        <f t="shared" si="129"/>
        <v>0</v>
      </c>
      <c r="AL492" s="89">
        <f t="shared" si="130"/>
        <v>0</v>
      </c>
      <c r="AP492" s="7"/>
    </row>
    <row r="493" spans="1:42" x14ac:dyDescent="0.35">
      <c r="A493" s="85"/>
      <c r="B493" s="51"/>
      <c r="C493" s="97"/>
      <c r="D493" s="97"/>
      <c r="E493" s="48"/>
      <c r="F493" s="94"/>
      <c r="G493" s="94"/>
      <c r="H493" s="94"/>
      <c r="I493" s="94"/>
      <c r="J493" s="52"/>
      <c r="K493" s="52"/>
      <c r="L493" s="52"/>
      <c r="M493" s="52"/>
      <c r="N493" s="104">
        <f t="shared" si="132"/>
        <v>0</v>
      </c>
      <c r="O493" s="52"/>
      <c r="P493" s="52"/>
      <c r="Q493" s="52"/>
      <c r="R493" s="104">
        <f t="shared" si="131"/>
        <v>0</v>
      </c>
      <c r="S493" s="86">
        <f t="shared" si="133"/>
        <v>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0</v>
      </c>
      <c r="AF493" s="90">
        <v>6.5000000000000002E-2</v>
      </c>
      <c r="AG493" s="4">
        <f t="shared" si="126"/>
        <v>0</v>
      </c>
      <c r="AH493" s="49">
        <f t="shared" si="127"/>
        <v>0</v>
      </c>
      <c r="AI493" s="89">
        <f t="shared" si="128"/>
        <v>0</v>
      </c>
      <c r="AJ493" s="91">
        <v>0.18</v>
      </c>
      <c r="AK493" s="5">
        <f t="shared" si="129"/>
        <v>0</v>
      </c>
      <c r="AL493" s="89">
        <f t="shared" si="130"/>
        <v>0</v>
      </c>
      <c r="AP493" s="7"/>
    </row>
    <row r="494" spans="1:42" x14ac:dyDescent="0.35">
      <c r="A494" s="85"/>
      <c r="B494" s="51"/>
      <c r="C494" s="97"/>
      <c r="D494" s="97"/>
      <c r="E494" s="48"/>
      <c r="F494" s="94"/>
      <c r="G494" s="94"/>
      <c r="H494" s="94"/>
      <c r="I494" s="94"/>
      <c r="J494" s="52"/>
      <c r="K494" s="52"/>
      <c r="L494" s="52"/>
      <c r="M494" s="52"/>
      <c r="N494" s="104">
        <f t="shared" si="132"/>
        <v>0</v>
      </c>
      <c r="O494" s="52"/>
      <c r="P494" s="52"/>
      <c r="Q494" s="52"/>
      <c r="R494" s="104">
        <f t="shared" si="131"/>
        <v>0</v>
      </c>
      <c r="S494" s="86">
        <f t="shared" si="133"/>
        <v>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0</v>
      </c>
      <c r="AF494" s="90">
        <v>6.5000000000000002E-2</v>
      </c>
      <c r="AG494" s="4">
        <f t="shared" si="126"/>
        <v>0</v>
      </c>
      <c r="AH494" s="49">
        <f t="shared" si="127"/>
        <v>0</v>
      </c>
      <c r="AI494" s="89">
        <f t="shared" si="128"/>
        <v>0</v>
      </c>
      <c r="AJ494" s="91">
        <v>0.18</v>
      </c>
      <c r="AK494" s="5">
        <f t="shared" si="129"/>
        <v>0</v>
      </c>
      <c r="AL494" s="89">
        <f t="shared" si="130"/>
        <v>0</v>
      </c>
      <c r="AP494" s="7"/>
    </row>
    <row r="495" spans="1:42" x14ac:dyDescent="0.35">
      <c r="A495" s="85"/>
      <c r="B495" s="51"/>
      <c r="C495" s="97"/>
      <c r="D495" s="97"/>
      <c r="E495" s="48"/>
      <c r="F495" s="94"/>
      <c r="G495" s="94"/>
      <c r="H495" s="94"/>
      <c r="I495" s="94"/>
      <c r="J495" s="52"/>
      <c r="K495" s="52"/>
      <c r="L495" s="52"/>
      <c r="M495" s="52"/>
      <c r="N495" s="104">
        <f t="shared" si="132"/>
        <v>0</v>
      </c>
      <c r="O495" s="52"/>
      <c r="P495" s="52"/>
      <c r="Q495" s="52"/>
      <c r="R495" s="104">
        <f t="shared" si="131"/>
        <v>0</v>
      </c>
      <c r="S495" s="86">
        <f t="shared" si="133"/>
        <v>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0</v>
      </c>
      <c r="AF495" s="90">
        <v>6.5000000000000002E-2</v>
      </c>
      <c r="AG495" s="4">
        <f t="shared" si="126"/>
        <v>0</v>
      </c>
      <c r="AH495" s="49">
        <f t="shared" si="127"/>
        <v>0</v>
      </c>
      <c r="AI495" s="89">
        <f t="shared" si="128"/>
        <v>0</v>
      </c>
      <c r="AJ495" s="91">
        <v>0.18</v>
      </c>
      <c r="AK495" s="5">
        <f t="shared" si="129"/>
        <v>0</v>
      </c>
      <c r="AL495" s="89">
        <f t="shared" si="130"/>
        <v>0</v>
      </c>
      <c r="AP495" s="7"/>
    </row>
    <row r="496" spans="1:42" x14ac:dyDescent="0.35">
      <c r="A496" s="85"/>
      <c r="B496" s="51"/>
      <c r="C496" s="97"/>
      <c r="D496" s="97"/>
      <c r="E496" s="48"/>
      <c r="F496" s="94"/>
      <c r="G496" s="94"/>
      <c r="H496" s="94"/>
      <c r="I496" s="94"/>
      <c r="J496" s="52"/>
      <c r="K496" s="52"/>
      <c r="L496" s="52"/>
      <c r="M496" s="52"/>
      <c r="N496" s="104">
        <f t="shared" si="132"/>
        <v>0</v>
      </c>
      <c r="O496" s="52"/>
      <c r="P496" s="52"/>
      <c r="Q496" s="52"/>
      <c r="R496" s="104">
        <f t="shared" si="131"/>
        <v>0</v>
      </c>
      <c r="S496" s="86">
        <f t="shared" si="133"/>
        <v>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0</v>
      </c>
      <c r="AF496" s="90">
        <v>6.5000000000000002E-2</v>
      </c>
      <c r="AG496" s="4">
        <f t="shared" si="126"/>
        <v>0</v>
      </c>
      <c r="AH496" s="49">
        <f t="shared" si="127"/>
        <v>0</v>
      </c>
      <c r="AI496" s="89">
        <f t="shared" si="128"/>
        <v>0</v>
      </c>
      <c r="AJ496" s="91">
        <v>0.18</v>
      </c>
      <c r="AK496" s="5">
        <f t="shared" si="129"/>
        <v>0</v>
      </c>
      <c r="AL496" s="89">
        <f t="shared" si="130"/>
        <v>0</v>
      </c>
      <c r="AP496" s="7"/>
    </row>
    <row r="497" spans="1:42" x14ac:dyDescent="0.35">
      <c r="A497" s="85"/>
      <c r="B497" s="51"/>
      <c r="C497" s="97"/>
      <c r="D497" s="97"/>
      <c r="E497" s="48"/>
      <c r="F497" s="94"/>
      <c r="G497" s="94"/>
      <c r="H497" s="94"/>
      <c r="I497" s="94"/>
      <c r="J497" s="52"/>
      <c r="K497" s="52"/>
      <c r="L497" s="52"/>
      <c r="M497" s="52"/>
      <c r="N497" s="104">
        <f t="shared" si="132"/>
        <v>0</v>
      </c>
      <c r="O497" s="52"/>
      <c r="P497" s="52"/>
      <c r="Q497" s="52"/>
      <c r="R497" s="104">
        <f t="shared" si="131"/>
        <v>0</v>
      </c>
      <c r="S497" s="86">
        <f t="shared" si="133"/>
        <v>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0</v>
      </c>
      <c r="AF497" s="90">
        <v>6.5000000000000002E-2</v>
      </c>
      <c r="AG497" s="4">
        <f t="shared" si="126"/>
        <v>0</v>
      </c>
      <c r="AH497" s="49">
        <f t="shared" si="127"/>
        <v>0</v>
      </c>
      <c r="AI497" s="89">
        <f t="shared" si="128"/>
        <v>0</v>
      </c>
      <c r="AJ497" s="91">
        <v>0.18</v>
      </c>
      <c r="AK497" s="5">
        <f t="shared" si="129"/>
        <v>0</v>
      </c>
      <c r="AL497" s="89">
        <f t="shared" si="130"/>
        <v>0</v>
      </c>
      <c r="AP497" s="7"/>
    </row>
    <row r="498" spans="1:42" x14ac:dyDescent="0.35">
      <c r="A498" s="85"/>
      <c r="B498" s="51"/>
      <c r="C498" s="97"/>
      <c r="D498" s="97"/>
      <c r="E498" s="48"/>
      <c r="F498" s="94"/>
      <c r="G498" s="94"/>
      <c r="H498" s="94"/>
      <c r="I498" s="94"/>
      <c r="J498" s="52"/>
      <c r="K498" s="52"/>
      <c r="L498" s="52"/>
      <c r="M498" s="52"/>
      <c r="N498" s="104">
        <f t="shared" si="132"/>
        <v>0</v>
      </c>
      <c r="O498" s="52"/>
      <c r="P498" s="52"/>
      <c r="Q498" s="52"/>
      <c r="R498" s="104">
        <f t="shared" si="131"/>
        <v>0</v>
      </c>
      <c r="S498" s="86">
        <f t="shared" si="133"/>
        <v>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0</v>
      </c>
      <c r="AF498" s="90">
        <v>6.5000000000000002E-2</v>
      </c>
      <c r="AG498" s="4">
        <f t="shared" ref="AG498:AG561" si="135">AE498*AF498</f>
        <v>0</v>
      </c>
      <c r="AH498" s="49">
        <f t="shared" ref="AH498:AH561" si="136">(AB498*J498)*$AH$1</f>
        <v>0</v>
      </c>
      <c r="AI498" s="89">
        <f t="shared" ref="AI498:AI561" si="137">AE498-AG498</f>
        <v>0</v>
      </c>
      <c r="AJ498" s="91">
        <v>0.18</v>
      </c>
      <c r="AK498" s="5">
        <f t="shared" ref="AK498:AK561" si="138">AI498*AJ498</f>
        <v>0</v>
      </c>
      <c r="AL498" s="89">
        <f t="shared" ref="AL498:AL561" si="139">AI498+AK498</f>
        <v>0</v>
      </c>
      <c r="AP498" s="7"/>
    </row>
    <row r="499" spans="1:42" x14ac:dyDescent="0.35">
      <c r="A499" s="85"/>
      <c r="B499" s="51"/>
      <c r="C499" s="97"/>
      <c r="D499" s="97"/>
      <c r="E499" s="48"/>
      <c r="F499" s="94"/>
      <c r="G499" s="94"/>
      <c r="H499" s="94"/>
      <c r="I499" s="94"/>
      <c r="J499" s="52"/>
      <c r="K499" s="52"/>
      <c r="L499" s="52"/>
      <c r="M499" s="52"/>
      <c r="N499" s="104">
        <f t="shared" si="132"/>
        <v>0</v>
      </c>
      <c r="O499" s="52"/>
      <c r="P499" s="52"/>
      <c r="Q499" s="52"/>
      <c r="R499" s="104">
        <f t="shared" si="131"/>
        <v>0</v>
      </c>
      <c r="S499" s="86">
        <f t="shared" si="133"/>
        <v>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0</v>
      </c>
      <c r="AF499" s="90">
        <v>6.5000000000000002E-2</v>
      </c>
      <c r="AG499" s="4">
        <f t="shared" si="135"/>
        <v>0</v>
      </c>
      <c r="AH499" s="49">
        <f t="shared" si="136"/>
        <v>0</v>
      </c>
      <c r="AI499" s="89">
        <f t="shared" si="137"/>
        <v>0</v>
      </c>
      <c r="AJ499" s="91">
        <v>0.18</v>
      </c>
      <c r="AK499" s="5">
        <f t="shared" si="138"/>
        <v>0</v>
      </c>
      <c r="AL499" s="89">
        <f t="shared" si="139"/>
        <v>0</v>
      </c>
      <c r="AP499" s="7"/>
    </row>
    <row r="500" spans="1:42" x14ac:dyDescent="0.35">
      <c r="A500" s="85"/>
      <c r="B500" s="51"/>
      <c r="C500" s="97"/>
      <c r="D500" s="97"/>
      <c r="E500" s="48"/>
      <c r="F500" s="94"/>
      <c r="G500" s="94"/>
      <c r="H500" s="94"/>
      <c r="I500" s="94"/>
      <c r="J500" s="52"/>
      <c r="K500" s="52"/>
      <c r="L500" s="52"/>
      <c r="M500" s="52"/>
      <c r="N500" s="104">
        <f t="shared" si="132"/>
        <v>0</v>
      </c>
      <c r="O500" s="52"/>
      <c r="P500" s="52"/>
      <c r="Q500" s="52"/>
      <c r="R500" s="104">
        <f t="shared" si="131"/>
        <v>0</v>
      </c>
      <c r="S500" s="86">
        <f t="shared" si="133"/>
        <v>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0</v>
      </c>
      <c r="AF500" s="90">
        <v>6.5000000000000002E-2</v>
      </c>
      <c r="AG500" s="4">
        <f t="shared" si="135"/>
        <v>0</v>
      </c>
      <c r="AH500" s="49">
        <f t="shared" si="136"/>
        <v>0</v>
      </c>
      <c r="AI500" s="89">
        <f t="shared" si="137"/>
        <v>0</v>
      </c>
      <c r="AJ500" s="91">
        <v>0.18</v>
      </c>
      <c r="AK500" s="5">
        <f t="shared" si="138"/>
        <v>0</v>
      </c>
      <c r="AL500" s="89">
        <f t="shared" si="139"/>
        <v>0</v>
      </c>
      <c r="AP500" s="7"/>
    </row>
    <row r="501" spans="1:42" x14ac:dyDescent="0.35">
      <c r="A501" s="85"/>
      <c r="B501" s="51"/>
      <c r="C501" s="97"/>
      <c r="D501" s="97"/>
      <c r="E501" s="48"/>
      <c r="F501" s="94"/>
      <c r="G501" s="94"/>
      <c r="H501" s="94"/>
      <c r="I501" s="94"/>
      <c r="J501" s="52"/>
      <c r="K501" s="52"/>
      <c r="L501" s="52"/>
      <c r="M501" s="52"/>
      <c r="N501" s="104">
        <f t="shared" si="132"/>
        <v>0</v>
      </c>
      <c r="O501" s="52"/>
      <c r="P501" s="52"/>
      <c r="Q501" s="52"/>
      <c r="R501" s="104">
        <f t="shared" si="131"/>
        <v>0</v>
      </c>
      <c r="S501" s="86">
        <f t="shared" si="133"/>
        <v>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0</v>
      </c>
      <c r="AF501" s="90">
        <v>6.5000000000000002E-2</v>
      </c>
      <c r="AG501" s="4">
        <f t="shared" si="135"/>
        <v>0</v>
      </c>
      <c r="AH501" s="49">
        <f t="shared" si="136"/>
        <v>0</v>
      </c>
      <c r="AI501" s="89">
        <f t="shared" si="137"/>
        <v>0</v>
      </c>
      <c r="AJ501" s="91">
        <v>0.18</v>
      </c>
      <c r="AK501" s="5">
        <f t="shared" si="138"/>
        <v>0</v>
      </c>
      <c r="AL501" s="89">
        <f t="shared" si="139"/>
        <v>0</v>
      </c>
      <c r="AP501" s="7"/>
    </row>
    <row r="502" spans="1:42" x14ac:dyDescent="0.35">
      <c r="A502" s="85"/>
      <c r="B502" s="51"/>
      <c r="C502" s="97"/>
      <c r="D502" s="97"/>
      <c r="E502" s="48"/>
      <c r="F502" s="94"/>
      <c r="G502" s="94"/>
      <c r="H502" s="94"/>
      <c r="I502" s="94"/>
      <c r="J502" s="52"/>
      <c r="K502" s="52"/>
      <c r="L502" s="52"/>
      <c r="M502" s="52"/>
      <c r="N502" s="104">
        <f t="shared" si="132"/>
        <v>0</v>
      </c>
      <c r="O502" s="52"/>
      <c r="P502" s="52"/>
      <c r="Q502" s="52"/>
      <c r="R502" s="104">
        <f t="shared" si="131"/>
        <v>0</v>
      </c>
      <c r="S502" s="86">
        <f t="shared" si="133"/>
        <v>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0</v>
      </c>
      <c r="AF502" s="90">
        <v>6.5000000000000002E-2</v>
      </c>
      <c r="AG502" s="4">
        <f t="shared" si="135"/>
        <v>0</v>
      </c>
      <c r="AH502" s="49">
        <f t="shared" si="136"/>
        <v>0</v>
      </c>
      <c r="AI502" s="89">
        <f t="shared" si="137"/>
        <v>0</v>
      </c>
      <c r="AJ502" s="91">
        <v>0.18</v>
      </c>
      <c r="AK502" s="5">
        <f t="shared" si="138"/>
        <v>0</v>
      </c>
      <c r="AL502" s="89">
        <f t="shared" si="139"/>
        <v>0</v>
      </c>
      <c r="AP502" s="7"/>
    </row>
    <row r="503" spans="1:42" x14ac:dyDescent="0.35">
      <c r="A503" s="85"/>
      <c r="B503" s="51"/>
      <c r="C503" s="97"/>
      <c r="D503" s="97"/>
      <c r="E503" s="48"/>
      <c r="F503" s="94"/>
      <c r="G503" s="94"/>
      <c r="H503" s="94"/>
      <c r="I503" s="94"/>
      <c r="J503" s="52"/>
      <c r="K503" s="52"/>
      <c r="L503" s="52"/>
      <c r="M503" s="52"/>
      <c r="N503" s="104">
        <f t="shared" si="132"/>
        <v>0</v>
      </c>
      <c r="O503" s="52"/>
      <c r="P503" s="52"/>
      <c r="Q503" s="52"/>
      <c r="R503" s="104">
        <f t="shared" si="131"/>
        <v>0</v>
      </c>
      <c r="S503" s="86">
        <f t="shared" si="133"/>
        <v>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0</v>
      </c>
      <c r="AF503" s="90">
        <v>6.5000000000000002E-2</v>
      </c>
      <c r="AG503" s="4">
        <f t="shared" si="135"/>
        <v>0</v>
      </c>
      <c r="AH503" s="49">
        <f t="shared" si="136"/>
        <v>0</v>
      </c>
      <c r="AI503" s="89">
        <f t="shared" si="137"/>
        <v>0</v>
      </c>
      <c r="AJ503" s="91">
        <v>0.18</v>
      </c>
      <c r="AK503" s="5">
        <f t="shared" si="138"/>
        <v>0</v>
      </c>
      <c r="AL503" s="89">
        <f t="shared" si="139"/>
        <v>0</v>
      </c>
      <c r="AP503" s="7"/>
    </row>
    <row r="504" spans="1:42" x14ac:dyDescent="0.35">
      <c r="A504" s="85"/>
      <c r="B504" s="51"/>
      <c r="C504" s="97"/>
      <c r="D504" s="97"/>
      <c r="E504" s="48"/>
      <c r="F504" s="94"/>
      <c r="G504" s="94"/>
      <c r="H504" s="94"/>
      <c r="I504" s="94"/>
      <c r="J504" s="52"/>
      <c r="K504" s="52"/>
      <c r="L504" s="52"/>
      <c r="M504" s="52"/>
      <c r="N504" s="104">
        <f t="shared" si="132"/>
        <v>0</v>
      </c>
      <c r="O504" s="52"/>
      <c r="P504" s="52"/>
      <c r="Q504" s="52"/>
      <c r="R504" s="104">
        <f t="shared" si="131"/>
        <v>0</v>
      </c>
      <c r="S504" s="86">
        <f t="shared" si="133"/>
        <v>0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0</v>
      </c>
      <c r="AF504" s="90">
        <v>6.5000000000000002E-2</v>
      </c>
      <c r="AG504" s="4">
        <f t="shared" si="135"/>
        <v>0</v>
      </c>
      <c r="AH504" s="49">
        <f t="shared" si="136"/>
        <v>0</v>
      </c>
      <c r="AI504" s="89">
        <f t="shared" si="137"/>
        <v>0</v>
      </c>
      <c r="AJ504" s="91">
        <v>0.18</v>
      </c>
      <c r="AK504" s="5">
        <f t="shared" si="138"/>
        <v>0</v>
      </c>
      <c r="AL504" s="89">
        <f t="shared" si="139"/>
        <v>0</v>
      </c>
      <c r="AP504" s="7"/>
    </row>
    <row r="505" spans="1:42" x14ac:dyDescent="0.35">
      <c r="A505" s="85"/>
      <c r="B505" s="51"/>
      <c r="C505" s="97"/>
      <c r="D505" s="97"/>
      <c r="E505" s="48"/>
      <c r="F505" s="94"/>
      <c r="G505" s="94"/>
      <c r="H505" s="94"/>
      <c r="I505" s="94"/>
      <c r="J505" s="52"/>
      <c r="K505" s="52"/>
      <c r="L505" s="52"/>
      <c r="M505" s="52"/>
      <c r="N505" s="104">
        <f t="shared" si="132"/>
        <v>0</v>
      </c>
      <c r="O505" s="52"/>
      <c r="P505" s="52"/>
      <c r="Q505" s="52"/>
      <c r="R505" s="104">
        <f t="shared" si="131"/>
        <v>0</v>
      </c>
      <c r="S505" s="86">
        <f t="shared" si="133"/>
        <v>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0</v>
      </c>
      <c r="AF505" s="90">
        <v>6.5000000000000002E-2</v>
      </c>
      <c r="AG505" s="4">
        <f t="shared" si="135"/>
        <v>0</v>
      </c>
      <c r="AH505" s="49">
        <f t="shared" si="136"/>
        <v>0</v>
      </c>
      <c r="AI505" s="89">
        <f t="shared" si="137"/>
        <v>0</v>
      </c>
      <c r="AJ505" s="91">
        <v>0.18</v>
      </c>
      <c r="AK505" s="5">
        <f t="shared" si="138"/>
        <v>0</v>
      </c>
      <c r="AL505" s="89">
        <f t="shared" si="139"/>
        <v>0</v>
      </c>
      <c r="AP505" s="7"/>
    </row>
    <row r="506" spans="1:42" x14ac:dyDescent="0.35">
      <c r="A506" s="85"/>
      <c r="B506" s="51"/>
      <c r="C506" s="97"/>
      <c r="D506" s="97"/>
      <c r="E506" s="48"/>
      <c r="F506" s="94"/>
      <c r="G506" s="94"/>
      <c r="H506" s="94"/>
      <c r="I506" s="94"/>
      <c r="J506" s="52"/>
      <c r="K506" s="52"/>
      <c r="L506" s="52"/>
      <c r="M506" s="52"/>
      <c r="N506" s="104">
        <f t="shared" si="132"/>
        <v>0</v>
      </c>
      <c r="O506" s="52"/>
      <c r="P506" s="52"/>
      <c r="Q506" s="52"/>
      <c r="R506" s="104">
        <f t="shared" si="131"/>
        <v>0</v>
      </c>
      <c r="S506" s="86">
        <f t="shared" si="133"/>
        <v>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0</v>
      </c>
      <c r="AF506" s="90">
        <v>6.5000000000000002E-2</v>
      </c>
      <c r="AG506" s="4">
        <f t="shared" si="135"/>
        <v>0</v>
      </c>
      <c r="AH506" s="49">
        <f t="shared" si="136"/>
        <v>0</v>
      </c>
      <c r="AI506" s="89">
        <f t="shared" si="137"/>
        <v>0</v>
      </c>
      <c r="AJ506" s="91">
        <v>0.18</v>
      </c>
      <c r="AK506" s="5">
        <f t="shared" si="138"/>
        <v>0</v>
      </c>
      <c r="AL506" s="89">
        <f t="shared" si="139"/>
        <v>0</v>
      </c>
      <c r="AP506" s="7"/>
    </row>
    <row r="507" spans="1:42" x14ac:dyDescent="0.35">
      <c r="A507" s="85"/>
      <c r="B507" s="51"/>
      <c r="C507" s="97"/>
      <c r="D507" s="97"/>
      <c r="E507" s="48"/>
      <c r="F507" s="94"/>
      <c r="G507" s="94"/>
      <c r="H507" s="94"/>
      <c r="I507" s="94"/>
      <c r="J507" s="52"/>
      <c r="K507" s="52"/>
      <c r="L507" s="52"/>
      <c r="M507" s="52"/>
      <c r="N507" s="104">
        <f t="shared" si="132"/>
        <v>0</v>
      </c>
      <c r="O507" s="52"/>
      <c r="P507" s="52"/>
      <c r="Q507" s="52"/>
      <c r="R507" s="104">
        <f t="shared" si="131"/>
        <v>0</v>
      </c>
      <c r="S507" s="86">
        <f t="shared" si="133"/>
        <v>0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0</v>
      </c>
      <c r="AF507" s="90">
        <v>6.5000000000000002E-2</v>
      </c>
      <c r="AG507" s="4">
        <f t="shared" si="135"/>
        <v>0</v>
      </c>
      <c r="AH507" s="49">
        <f t="shared" si="136"/>
        <v>0</v>
      </c>
      <c r="AI507" s="89">
        <f t="shared" si="137"/>
        <v>0</v>
      </c>
      <c r="AJ507" s="91">
        <v>0.18</v>
      </c>
      <c r="AK507" s="5">
        <f t="shared" si="138"/>
        <v>0</v>
      </c>
      <c r="AL507" s="89">
        <f t="shared" si="139"/>
        <v>0</v>
      </c>
      <c r="AP507" s="7"/>
    </row>
    <row r="508" spans="1:42" x14ac:dyDescent="0.35">
      <c r="A508" s="85"/>
      <c r="B508" s="51"/>
      <c r="C508" s="97"/>
      <c r="D508" s="97"/>
      <c r="E508" s="48"/>
      <c r="F508" s="94"/>
      <c r="G508" s="94"/>
      <c r="H508" s="94"/>
      <c r="I508" s="94"/>
      <c r="J508" s="52"/>
      <c r="K508" s="52"/>
      <c r="L508" s="52"/>
      <c r="M508" s="52"/>
      <c r="N508" s="104">
        <f t="shared" si="132"/>
        <v>0</v>
      </c>
      <c r="O508" s="52"/>
      <c r="P508" s="52"/>
      <c r="Q508" s="52"/>
      <c r="R508" s="104">
        <f t="shared" si="131"/>
        <v>0</v>
      </c>
      <c r="S508" s="86">
        <f t="shared" si="133"/>
        <v>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0</v>
      </c>
      <c r="AF508" s="90">
        <v>6.5000000000000002E-2</v>
      </c>
      <c r="AG508" s="4">
        <f t="shared" si="135"/>
        <v>0</v>
      </c>
      <c r="AH508" s="49">
        <f t="shared" si="136"/>
        <v>0</v>
      </c>
      <c r="AI508" s="89">
        <f t="shared" si="137"/>
        <v>0</v>
      </c>
      <c r="AJ508" s="91">
        <v>0.18</v>
      </c>
      <c r="AK508" s="5">
        <f t="shared" si="138"/>
        <v>0</v>
      </c>
      <c r="AL508" s="89">
        <f t="shared" si="139"/>
        <v>0</v>
      </c>
      <c r="AP508" s="7"/>
    </row>
    <row r="509" spans="1:42" x14ac:dyDescent="0.35">
      <c r="A509" s="85"/>
      <c r="B509" s="51"/>
      <c r="C509" s="97"/>
      <c r="D509" s="97"/>
      <c r="E509" s="48"/>
      <c r="F509" s="94"/>
      <c r="G509" s="94"/>
      <c r="H509" s="94"/>
      <c r="I509" s="94"/>
      <c r="J509" s="52"/>
      <c r="K509" s="52"/>
      <c r="L509" s="52"/>
      <c r="M509" s="52"/>
      <c r="N509" s="104">
        <f t="shared" si="132"/>
        <v>0</v>
      </c>
      <c r="O509" s="52"/>
      <c r="P509" s="52"/>
      <c r="Q509" s="52"/>
      <c r="R509" s="104">
        <f t="shared" si="131"/>
        <v>0</v>
      </c>
      <c r="S509" s="86">
        <f t="shared" si="133"/>
        <v>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0</v>
      </c>
      <c r="AF509" s="90">
        <v>6.5000000000000002E-2</v>
      </c>
      <c r="AG509" s="4">
        <f t="shared" si="135"/>
        <v>0</v>
      </c>
      <c r="AH509" s="49">
        <f t="shared" si="136"/>
        <v>0</v>
      </c>
      <c r="AI509" s="89">
        <f t="shared" si="137"/>
        <v>0</v>
      </c>
      <c r="AJ509" s="91">
        <v>0.18</v>
      </c>
      <c r="AK509" s="5">
        <f t="shared" si="138"/>
        <v>0</v>
      </c>
      <c r="AL509" s="89">
        <f t="shared" si="139"/>
        <v>0</v>
      </c>
      <c r="AP509" s="7"/>
    </row>
    <row r="510" spans="1:42" x14ac:dyDescent="0.35">
      <c r="A510" s="85"/>
      <c r="B510" s="51"/>
      <c r="C510" s="97"/>
      <c r="D510" s="97"/>
      <c r="E510" s="48"/>
      <c r="F510" s="94"/>
      <c r="G510" s="94"/>
      <c r="H510" s="94"/>
      <c r="I510" s="94"/>
      <c r="J510" s="52"/>
      <c r="K510" s="52"/>
      <c r="L510" s="52"/>
      <c r="M510" s="52"/>
      <c r="N510" s="104">
        <f t="shared" si="132"/>
        <v>0</v>
      </c>
      <c r="O510" s="52"/>
      <c r="P510" s="52"/>
      <c r="Q510" s="52"/>
      <c r="R510" s="104">
        <f t="shared" si="131"/>
        <v>0</v>
      </c>
      <c r="S510" s="86">
        <f t="shared" si="133"/>
        <v>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0</v>
      </c>
      <c r="AF510" s="90">
        <v>6.5000000000000002E-2</v>
      </c>
      <c r="AG510" s="4">
        <f t="shared" si="135"/>
        <v>0</v>
      </c>
      <c r="AH510" s="49">
        <f t="shared" si="136"/>
        <v>0</v>
      </c>
      <c r="AI510" s="89">
        <f t="shared" si="137"/>
        <v>0</v>
      </c>
      <c r="AJ510" s="91">
        <v>0.18</v>
      </c>
      <c r="AK510" s="5">
        <f t="shared" si="138"/>
        <v>0</v>
      </c>
      <c r="AL510" s="89">
        <f t="shared" si="139"/>
        <v>0</v>
      </c>
      <c r="AP510" s="7"/>
    </row>
    <row r="511" spans="1:42" x14ac:dyDescent="0.35">
      <c r="A511" s="85"/>
      <c r="B511" s="51"/>
      <c r="C511" s="97"/>
      <c r="D511" s="97"/>
      <c r="E511" s="48"/>
      <c r="F511" s="94"/>
      <c r="G511" s="94"/>
      <c r="H511" s="94"/>
      <c r="I511" s="94"/>
      <c r="J511" s="52"/>
      <c r="K511" s="52"/>
      <c r="L511" s="52"/>
      <c r="M511" s="52"/>
      <c r="N511" s="104">
        <f t="shared" si="132"/>
        <v>0</v>
      </c>
      <c r="O511" s="52"/>
      <c r="P511" s="52"/>
      <c r="Q511" s="52"/>
      <c r="R511" s="104">
        <f t="shared" si="131"/>
        <v>0</v>
      </c>
      <c r="S511" s="86">
        <f t="shared" si="133"/>
        <v>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0</v>
      </c>
      <c r="AF511" s="90">
        <v>6.5000000000000002E-2</v>
      </c>
      <c r="AG511" s="4">
        <f t="shared" si="135"/>
        <v>0</v>
      </c>
      <c r="AH511" s="49">
        <f t="shared" si="136"/>
        <v>0</v>
      </c>
      <c r="AI511" s="89">
        <f t="shared" si="137"/>
        <v>0</v>
      </c>
      <c r="AJ511" s="91">
        <v>0.18</v>
      </c>
      <c r="AK511" s="5">
        <f t="shared" si="138"/>
        <v>0</v>
      </c>
      <c r="AL511" s="89">
        <f t="shared" si="139"/>
        <v>0</v>
      </c>
      <c r="AP511" s="7"/>
    </row>
    <row r="512" spans="1:42" x14ac:dyDescent="0.35">
      <c r="A512" s="85"/>
      <c r="B512" s="51"/>
      <c r="C512" s="97"/>
      <c r="D512" s="97"/>
      <c r="E512" s="48"/>
      <c r="F512" s="94"/>
      <c r="G512" s="94"/>
      <c r="H512" s="94"/>
      <c r="I512" s="94"/>
      <c r="J512" s="52"/>
      <c r="K512" s="52"/>
      <c r="L512" s="52"/>
      <c r="M512" s="52"/>
      <c r="N512" s="104">
        <f t="shared" si="132"/>
        <v>0</v>
      </c>
      <c r="O512" s="52"/>
      <c r="P512" s="52"/>
      <c r="Q512" s="52"/>
      <c r="R512" s="104">
        <f t="shared" si="131"/>
        <v>0</v>
      </c>
      <c r="S512" s="86">
        <f t="shared" si="133"/>
        <v>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0</v>
      </c>
      <c r="AF512" s="90">
        <v>6.5000000000000002E-2</v>
      </c>
      <c r="AG512" s="4">
        <f t="shared" si="135"/>
        <v>0</v>
      </c>
      <c r="AH512" s="49">
        <f t="shared" si="136"/>
        <v>0</v>
      </c>
      <c r="AI512" s="89">
        <f t="shared" si="137"/>
        <v>0</v>
      </c>
      <c r="AJ512" s="91">
        <v>0.18</v>
      </c>
      <c r="AK512" s="5">
        <f t="shared" si="138"/>
        <v>0</v>
      </c>
      <c r="AL512" s="89">
        <f t="shared" si="139"/>
        <v>0</v>
      </c>
      <c r="AP512" s="7"/>
    </row>
    <row r="513" spans="1:42" x14ac:dyDescent="0.35">
      <c r="A513" s="85"/>
      <c r="B513" s="51"/>
      <c r="C513" s="97"/>
      <c r="D513" s="97"/>
      <c r="E513" s="48"/>
      <c r="F513" s="94"/>
      <c r="G513" s="94"/>
      <c r="H513" s="94"/>
      <c r="I513" s="94"/>
      <c r="J513" s="52"/>
      <c r="K513" s="52"/>
      <c r="L513" s="52"/>
      <c r="M513" s="52"/>
      <c r="N513" s="104">
        <f t="shared" si="132"/>
        <v>0</v>
      </c>
      <c r="O513" s="52"/>
      <c r="P513" s="52"/>
      <c r="Q513" s="52"/>
      <c r="R513" s="104">
        <f t="shared" si="131"/>
        <v>0</v>
      </c>
      <c r="S513" s="86">
        <f t="shared" si="133"/>
        <v>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0</v>
      </c>
      <c r="AF513" s="90">
        <v>6.5000000000000002E-2</v>
      </c>
      <c r="AG513" s="4">
        <f t="shared" si="135"/>
        <v>0</v>
      </c>
      <c r="AH513" s="49">
        <f t="shared" si="136"/>
        <v>0</v>
      </c>
      <c r="AI513" s="89">
        <f t="shared" si="137"/>
        <v>0</v>
      </c>
      <c r="AJ513" s="91">
        <v>0.18</v>
      </c>
      <c r="AK513" s="5">
        <f t="shared" si="138"/>
        <v>0</v>
      </c>
      <c r="AL513" s="89">
        <f t="shared" si="139"/>
        <v>0</v>
      </c>
      <c r="AP513" s="7"/>
    </row>
    <row r="514" spans="1:42" x14ac:dyDescent="0.35">
      <c r="A514" s="85"/>
      <c r="B514" s="51"/>
      <c r="C514" s="97"/>
      <c r="D514" s="97"/>
      <c r="E514" s="48"/>
      <c r="F514" s="94"/>
      <c r="G514" s="94"/>
      <c r="H514" s="94"/>
      <c r="I514" s="94"/>
      <c r="J514" s="52"/>
      <c r="K514" s="52"/>
      <c r="L514" s="52"/>
      <c r="M514" s="52"/>
      <c r="N514" s="104">
        <f t="shared" si="132"/>
        <v>0</v>
      </c>
      <c r="O514" s="52"/>
      <c r="P514" s="52"/>
      <c r="Q514" s="52"/>
      <c r="R514" s="104">
        <f t="shared" si="131"/>
        <v>0</v>
      </c>
      <c r="S514" s="86">
        <f t="shared" si="133"/>
        <v>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0</v>
      </c>
      <c r="AF514" s="90">
        <v>6.5000000000000002E-2</v>
      </c>
      <c r="AG514" s="4">
        <f t="shared" si="135"/>
        <v>0</v>
      </c>
      <c r="AH514" s="49">
        <f t="shared" si="136"/>
        <v>0</v>
      </c>
      <c r="AI514" s="89">
        <f t="shared" si="137"/>
        <v>0</v>
      </c>
      <c r="AJ514" s="91">
        <v>0.18</v>
      </c>
      <c r="AK514" s="5">
        <f t="shared" si="138"/>
        <v>0</v>
      </c>
      <c r="AL514" s="89">
        <f t="shared" si="139"/>
        <v>0</v>
      </c>
      <c r="AP514" s="7"/>
    </row>
    <row r="515" spans="1:42" x14ac:dyDescent="0.35">
      <c r="A515" s="85"/>
      <c r="B515" s="51"/>
      <c r="C515" s="97"/>
      <c r="D515" s="97"/>
      <c r="E515" s="48"/>
      <c r="F515" s="94"/>
      <c r="G515" s="94"/>
      <c r="H515" s="94"/>
      <c r="I515" s="94"/>
      <c r="J515" s="52"/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0</v>
      </c>
      <c r="AF515" s="90">
        <v>6.5000000000000002E-2</v>
      </c>
      <c r="AG515" s="4">
        <f t="shared" si="135"/>
        <v>0</v>
      </c>
      <c r="AH515" s="49">
        <f t="shared" si="136"/>
        <v>0</v>
      </c>
      <c r="AI515" s="89">
        <f t="shared" si="137"/>
        <v>0</v>
      </c>
      <c r="AJ515" s="91">
        <v>0.18</v>
      </c>
      <c r="AK515" s="5">
        <f t="shared" si="138"/>
        <v>0</v>
      </c>
      <c r="AL515" s="89">
        <f t="shared" si="139"/>
        <v>0</v>
      </c>
      <c r="AP515" s="7"/>
    </row>
    <row r="516" spans="1:42" x14ac:dyDescent="0.35">
      <c r="A516" s="85"/>
      <c r="B516" s="51"/>
      <c r="C516" s="97"/>
      <c r="D516" s="97"/>
      <c r="E516" s="48"/>
      <c r="F516" s="94"/>
      <c r="G516" s="94"/>
      <c r="H516" s="94"/>
      <c r="I516" s="94"/>
      <c r="J516" s="52"/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0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0</v>
      </c>
      <c r="AF516" s="90">
        <v>6.5000000000000002E-2</v>
      </c>
      <c r="AG516" s="4">
        <f t="shared" si="135"/>
        <v>0</v>
      </c>
      <c r="AH516" s="49">
        <f t="shared" si="136"/>
        <v>0</v>
      </c>
      <c r="AI516" s="89">
        <f t="shared" si="137"/>
        <v>0</v>
      </c>
      <c r="AJ516" s="91">
        <v>0.18</v>
      </c>
      <c r="AK516" s="5">
        <f t="shared" si="138"/>
        <v>0</v>
      </c>
      <c r="AL516" s="89">
        <f t="shared" si="139"/>
        <v>0</v>
      </c>
      <c r="AP516" s="7"/>
    </row>
    <row r="517" spans="1:42" x14ac:dyDescent="0.35">
      <c r="A517" s="85"/>
      <c r="B517" s="51"/>
      <c r="C517" s="97"/>
      <c r="D517" s="97"/>
      <c r="E517" s="48"/>
      <c r="F517" s="94"/>
      <c r="G517" s="94"/>
      <c r="H517" s="94"/>
      <c r="I517" s="94"/>
      <c r="J517" s="52"/>
      <c r="K517" s="52"/>
      <c r="L517" s="52"/>
      <c r="M517" s="52"/>
      <c r="N517" s="104">
        <f t="shared" ref="N517:N580" si="141">K517+L517+M517</f>
        <v>0</v>
      </c>
      <c r="O517" s="52"/>
      <c r="P517" s="52"/>
      <c r="Q517" s="52"/>
      <c r="R517" s="104">
        <f t="shared" si="140"/>
        <v>0</v>
      </c>
      <c r="S517" s="86">
        <f t="shared" ref="S517:S580" si="142">R517+N517+J517</f>
        <v>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0</v>
      </c>
      <c r="AF517" s="90">
        <v>6.5000000000000002E-2</v>
      </c>
      <c r="AG517" s="4">
        <f t="shared" si="135"/>
        <v>0</v>
      </c>
      <c r="AH517" s="49">
        <f t="shared" si="136"/>
        <v>0</v>
      </c>
      <c r="AI517" s="89">
        <f t="shared" si="137"/>
        <v>0</v>
      </c>
      <c r="AJ517" s="91">
        <v>0.18</v>
      </c>
      <c r="AK517" s="5">
        <f t="shared" si="138"/>
        <v>0</v>
      </c>
      <c r="AL517" s="89">
        <f t="shared" si="139"/>
        <v>0</v>
      </c>
      <c r="AP517" s="7"/>
    </row>
    <row r="518" spans="1:42" x14ac:dyDescent="0.35">
      <c r="A518" s="85"/>
      <c r="B518" s="51"/>
      <c r="C518" s="97"/>
      <c r="D518" s="97"/>
      <c r="E518" s="48"/>
      <c r="F518" s="94"/>
      <c r="G518" s="94"/>
      <c r="H518" s="94"/>
      <c r="I518" s="94"/>
      <c r="J518" s="52"/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0</v>
      </c>
      <c r="AF518" s="90">
        <v>6.5000000000000002E-2</v>
      </c>
      <c r="AG518" s="4">
        <f t="shared" si="135"/>
        <v>0</v>
      </c>
      <c r="AH518" s="49">
        <f t="shared" si="136"/>
        <v>0</v>
      </c>
      <c r="AI518" s="89">
        <f t="shared" si="137"/>
        <v>0</v>
      </c>
      <c r="AJ518" s="91">
        <v>0.18</v>
      </c>
      <c r="AK518" s="5">
        <f t="shared" si="138"/>
        <v>0</v>
      </c>
      <c r="AL518" s="89">
        <f t="shared" si="139"/>
        <v>0</v>
      </c>
      <c r="AP518" s="7"/>
    </row>
    <row r="519" spans="1:42" x14ac:dyDescent="0.35">
      <c r="A519" s="85"/>
      <c r="B519" s="51"/>
      <c r="C519" s="97"/>
      <c r="D519" s="97"/>
      <c r="E519" s="48"/>
      <c r="F519" s="94"/>
      <c r="G519" s="94"/>
      <c r="H519" s="94"/>
      <c r="I519" s="94"/>
      <c r="J519" s="52"/>
      <c r="K519" s="52"/>
      <c r="L519" s="52"/>
      <c r="M519" s="52"/>
      <c r="N519" s="104">
        <f t="shared" si="141"/>
        <v>0</v>
      </c>
      <c r="O519" s="52"/>
      <c r="P519" s="52"/>
      <c r="Q519" s="52"/>
      <c r="R519" s="104">
        <f t="shared" si="140"/>
        <v>0</v>
      </c>
      <c r="S519" s="86">
        <f t="shared" si="142"/>
        <v>0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0</v>
      </c>
      <c r="AF519" s="90">
        <v>6.5000000000000002E-2</v>
      </c>
      <c r="AG519" s="4">
        <f t="shared" si="135"/>
        <v>0</v>
      </c>
      <c r="AH519" s="49">
        <f t="shared" si="136"/>
        <v>0</v>
      </c>
      <c r="AI519" s="89">
        <f t="shared" si="137"/>
        <v>0</v>
      </c>
      <c r="AJ519" s="91">
        <v>0.18</v>
      </c>
      <c r="AK519" s="5">
        <f t="shared" si="138"/>
        <v>0</v>
      </c>
      <c r="AL519" s="89">
        <f t="shared" si="139"/>
        <v>0</v>
      </c>
      <c r="AP519" s="7"/>
    </row>
    <row r="520" spans="1:42" x14ac:dyDescent="0.35">
      <c r="A520" s="85"/>
      <c r="B520" s="51"/>
      <c r="C520" s="97"/>
      <c r="D520" s="97"/>
      <c r="E520" s="48"/>
      <c r="F520" s="94"/>
      <c r="G520" s="94"/>
      <c r="H520" s="94"/>
      <c r="I520" s="94"/>
      <c r="J520" s="52"/>
      <c r="K520" s="52"/>
      <c r="L520" s="52"/>
      <c r="M520" s="52"/>
      <c r="N520" s="104">
        <f t="shared" si="141"/>
        <v>0</v>
      </c>
      <c r="O520" s="52"/>
      <c r="P520" s="52"/>
      <c r="Q520" s="52"/>
      <c r="R520" s="104">
        <f t="shared" si="140"/>
        <v>0</v>
      </c>
      <c r="S520" s="86">
        <f t="shared" si="142"/>
        <v>0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0</v>
      </c>
      <c r="AF520" s="90">
        <v>6.5000000000000002E-2</v>
      </c>
      <c r="AG520" s="4">
        <f t="shared" si="135"/>
        <v>0</v>
      </c>
      <c r="AH520" s="49">
        <f t="shared" si="136"/>
        <v>0</v>
      </c>
      <c r="AI520" s="89">
        <f t="shared" si="137"/>
        <v>0</v>
      </c>
      <c r="AJ520" s="91">
        <v>0.18</v>
      </c>
      <c r="AK520" s="5">
        <f t="shared" si="138"/>
        <v>0</v>
      </c>
      <c r="AL520" s="89">
        <f t="shared" si="139"/>
        <v>0</v>
      </c>
      <c r="AP520" s="7"/>
    </row>
    <row r="521" spans="1:42" x14ac:dyDescent="0.35">
      <c r="A521" s="85"/>
      <c r="B521" s="51"/>
      <c r="C521" s="97"/>
      <c r="D521" s="97"/>
      <c r="E521" s="48"/>
      <c r="F521" s="94"/>
      <c r="G521" s="94"/>
      <c r="H521" s="94"/>
      <c r="I521" s="94"/>
      <c r="J521" s="52"/>
      <c r="K521" s="52"/>
      <c r="L521" s="52"/>
      <c r="M521" s="52"/>
      <c r="N521" s="104">
        <f t="shared" si="141"/>
        <v>0</v>
      </c>
      <c r="O521" s="52"/>
      <c r="P521" s="52"/>
      <c r="Q521" s="52"/>
      <c r="R521" s="104">
        <f t="shared" si="140"/>
        <v>0</v>
      </c>
      <c r="S521" s="86">
        <f t="shared" si="142"/>
        <v>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0</v>
      </c>
      <c r="AF521" s="90">
        <v>6.5000000000000002E-2</v>
      </c>
      <c r="AG521" s="4">
        <f t="shared" si="135"/>
        <v>0</v>
      </c>
      <c r="AH521" s="49">
        <f t="shared" si="136"/>
        <v>0</v>
      </c>
      <c r="AI521" s="89">
        <f t="shared" si="137"/>
        <v>0</v>
      </c>
      <c r="AJ521" s="91">
        <v>0.18</v>
      </c>
      <c r="AK521" s="5">
        <f t="shared" si="138"/>
        <v>0</v>
      </c>
      <c r="AL521" s="89">
        <f t="shared" si="139"/>
        <v>0</v>
      </c>
      <c r="AP521" s="7"/>
    </row>
    <row r="522" spans="1:42" x14ac:dyDescent="0.35">
      <c r="A522" s="85"/>
      <c r="B522" s="51"/>
      <c r="C522" s="97"/>
      <c r="D522" s="97"/>
      <c r="E522" s="48"/>
      <c r="F522" s="94"/>
      <c r="G522" s="94"/>
      <c r="H522" s="94"/>
      <c r="I522" s="94"/>
      <c r="J522" s="52"/>
      <c r="K522" s="52"/>
      <c r="L522" s="52"/>
      <c r="M522" s="52"/>
      <c r="N522" s="104">
        <f t="shared" si="141"/>
        <v>0</v>
      </c>
      <c r="O522" s="52"/>
      <c r="P522" s="52"/>
      <c r="Q522" s="52"/>
      <c r="R522" s="104">
        <f t="shared" si="140"/>
        <v>0</v>
      </c>
      <c r="S522" s="86">
        <f t="shared" si="142"/>
        <v>0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0</v>
      </c>
      <c r="AF522" s="90">
        <v>6.5000000000000002E-2</v>
      </c>
      <c r="AG522" s="4">
        <f t="shared" si="135"/>
        <v>0</v>
      </c>
      <c r="AH522" s="49">
        <f t="shared" si="136"/>
        <v>0</v>
      </c>
      <c r="AI522" s="89">
        <f t="shared" si="137"/>
        <v>0</v>
      </c>
      <c r="AJ522" s="91">
        <v>0.18</v>
      </c>
      <c r="AK522" s="5">
        <f t="shared" si="138"/>
        <v>0</v>
      </c>
      <c r="AL522" s="89">
        <f t="shared" si="139"/>
        <v>0</v>
      </c>
      <c r="AP522" s="7"/>
    </row>
    <row r="523" spans="1:42" x14ac:dyDescent="0.35">
      <c r="A523" s="85"/>
      <c r="B523" s="51"/>
      <c r="C523" s="97"/>
      <c r="D523" s="97"/>
      <c r="E523" s="48"/>
      <c r="F523" s="94"/>
      <c r="G523" s="94"/>
      <c r="H523" s="94"/>
      <c r="I523" s="94"/>
      <c r="J523" s="52"/>
      <c r="K523" s="52"/>
      <c r="L523" s="52"/>
      <c r="M523" s="52"/>
      <c r="N523" s="104">
        <f t="shared" si="141"/>
        <v>0</v>
      </c>
      <c r="O523" s="52"/>
      <c r="P523" s="52"/>
      <c r="Q523" s="52"/>
      <c r="R523" s="104">
        <f t="shared" si="140"/>
        <v>0</v>
      </c>
      <c r="S523" s="86">
        <f t="shared" si="142"/>
        <v>0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0</v>
      </c>
      <c r="AF523" s="90">
        <v>6.5000000000000002E-2</v>
      </c>
      <c r="AG523" s="4">
        <f t="shared" si="135"/>
        <v>0</v>
      </c>
      <c r="AH523" s="49">
        <f t="shared" si="136"/>
        <v>0</v>
      </c>
      <c r="AI523" s="89">
        <f t="shared" si="137"/>
        <v>0</v>
      </c>
      <c r="AJ523" s="91">
        <v>0.18</v>
      </c>
      <c r="AK523" s="5">
        <f t="shared" si="138"/>
        <v>0</v>
      </c>
      <c r="AL523" s="89">
        <f t="shared" si="139"/>
        <v>0</v>
      </c>
      <c r="AP523" s="7"/>
    </row>
    <row r="524" spans="1:42" x14ac:dyDescent="0.35">
      <c r="A524" s="85"/>
      <c r="B524" s="51"/>
      <c r="C524" s="97"/>
      <c r="D524" s="97"/>
      <c r="E524" s="48"/>
      <c r="F524" s="94"/>
      <c r="G524" s="94"/>
      <c r="H524" s="94"/>
      <c r="I524" s="94"/>
      <c r="J524" s="52"/>
      <c r="K524" s="52"/>
      <c r="L524" s="52"/>
      <c r="M524" s="52"/>
      <c r="N524" s="104">
        <f t="shared" si="141"/>
        <v>0</v>
      </c>
      <c r="O524" s="52"/>
      <c r="P524" s="52"/>
      <c r="Q524" s="52"/>
      <c r="R524" s="104">
        <f t="shared" si="140"/>
        <v>0</v>
      </c>
      <c r="S524" s="86">
        <f t="shared" si="142"/>
        <v>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0</v>
      </c>
      <c r="AF524" s="90">
        <v>6.5000000000000002E-2</v>
      </c>
      <c r="AG524" s="4">
        <f t="shared" si="135"/>
        <v>0</v>
      </c>
      <c r="AH524" s="49">
        <f t="shared" si="136"/>
        <v>0</v>
      </c>
      <c r="AI524" s="89">
        <f t="shared" si="137"/>
        <v>0</v>
      </c>
      <c r="AJ524" s="91">
        <v>0.18</v>
      </c>
      <c r="AK524" s="5">
        <f t="shared" si="138"/>
        <v>0</v>
      </c>
      <c r="AL524" s="89">
        <f t="shared" si="139"/>
        <v>0</v>
      </c>
      <c r="AP524" s="7"/>
    </row>
    <row r="525" spans="1:42" x14ac:dyDescent="0.35">
      <c r="A525" s="85"/>
      <c r="B525" s="51"/>
      <c r="C525" s="97"/>
      <c r="D525" s="97"/>
      <c r="E525" s="48"/>
      <c r="F525" s="94"/>
      <c r="G525" s="94"/>
      <c r="H525" s="94"/>
      <c r="I525" s="94"/>
      <c r="J525" s="52"/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0</v>
      </c>
      <c r="AF525" s="90">
        <v>6.5000000000000002E-2</v>
      </c>
      <c r="AG525" s="4">
        <f t="shared" si="135"/>
        <v>0</v>
      </c>
      <c r="AH525" s="49">
        <f t="shared" si="136"/>
        <v>0</v>
      </c>
      <c r="AI525" s="89">
        <f t="shared" si="137"/>
        <v>0</v>
      </c>
      <c r="AJ525" s="91">
        <v>0.18</v>
      </c>
      <c r="AK525" s="5">
        <f t="shared" si="138"/>
        <v>0</v>
      </c>
      <c r="AL525" s="89">
        <f t="shared" si="139"/>
        <v>0</v>
      </c>
      <c r="AP525" s="7"/>
    </row>
    <row r="526" spans="1:42" x14ac:dyDescent="0.35">
      <c r="A526" s="85"/>
      <c r="B526" s="51"/>
      <c r="C526" s="97"/>
      <c r="D526" s="97"/>
      <c r="E526" s="48"/>
      <c r="F526" s="94"/>
      <c r="G526" s="94"/>
      <c r="H526" s="94"/>
      <c r="I526" s="94"/>
      <c r="J526" s="52"/>
      <c r="K526" s="52"/>
      <c r="L526" s="52"/>
      <c r="M526" s="52"/>
      <c r="N526" s="104">
        <f t="shared" si="141"/>
        <v>0</v>
      </c>
      <c r="O526" s="52"/>
      <c r="P526" s="52"/>
      <c r="Q526" s="52"/>
      <c r="R526" s="104">
        <f t="shared" si="140"/>
        <v>0</v>
      </c>
      <c r="S526" s="86">
        <f t="shared" si="142"/>
        <v>0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0</v>
      </c>
      <c r="AF526" s="90">
        <v>6.5000000000000002E-2</v>
      </c>
      <c r="AG526" s="4">
        <f t="shared" si="135"/>
        <v>0</v>
      </c>
      <c r="AH526" s="49">
        <f t="shared" si="136"/>
        <v>0</v>
      </c>
      <c r="AI526" s="89">
        <f t="shared" si="137"/>
        <v>0</v>
      </c>
      <c r="AJ526" s="91">
        <v>0.18</v>
      </c>
      <c r="AK526" s="5">
        <f t="shared" si="138"/>
        <v>0</v>
      </c>
      <c r="AL526" s="89">
        <f t="shared" si="139"/>
        <v>0</v>
      </c>
      <c r="AP526" s="7"/>
    </row>
    <row r="527" spans="1:42" x14ac:dyDescent="0.35">
      <c r="A527" s="85"/>
      <c r="B527" s="51"/>
      <c r="C527" s="97"/>
      <c r="D527" s="97"/>
      <c r="E527" s="48"/>
      <c r="F527" s="94"/>
      <c r="G527" s="94"/>
      <c r="H527" s="94"/>
      <c r="I527" s="94"/>
      <c r="J527" s="52"/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0</v>
      </c>
      <c r="AF527" s="90">
        <v>6.5000000000000002E-2</v>
      </c>
      <c r="AG527" s="4">
        <f t="shared" si="135"/>
        <v>0</v>
      </c>
      <c r="AH527" s="49">
        <f t="shared" si="136"/>
        <v>0</v>
      </c>
      <c r="AI527" s="89">
        <f t="shared" si="137"/>
        <v>0</v>
      </c>
      <c r="AJ527" s="91">
        <v>0.18</v>
      </c>
      <c r="AK527" s="5">
        <f t="shared" si="138"/>
        <v>0</v>
      </c>
      <c r="AL527" s="89">
        <f t="shared" si="139"/>
        <v>0</v>
      </c>
      <c r="AP527" s="7"/>
    </row>
    <row r="528" spans="1:42" x14ac:dyDescent="0.35">
      <c r="A528" s="85"/>
      <c r="B528" s="51"/>
      <c r="C528" s="97"/>
      <c r="D528" s="97"/>
      <c r="E528" s="48"/>
      <c r="F528" s="94"/>
      <c r="G528" s="94"/>
      <c r="H528" s="94"/>
      <c r="I528" s="94"/>
      <c r="J528" s="52"/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0</v>
      </c>
      <c r="AF528" s="90">
        <v>6.5000000000000002E-2</v>
      </c>
      <c r="AG528" s="4">
        <f t="shared" si="135"/>
        <v>0</v>
      </c>
      <c r="AH528" s="49">
        <f t="shared" si="136"/>
        <v>0</v>
      </c>
      <c r="AI528" s="89">
        <f t="shared" si="137"/>
        <v>0</v>
      </c>
      <c r="AJ528" s="91">
        <v>0.18</v>
      </c>
      <c r="AK528" s="5">
        <f t="shared" si="138"/>
        <v>0</v>
      </c>
      <c r="AL528" s="89">
        <f t="shared" si="139"/>
        <v>0</v>
      </c>
      <c r="AP528" s="7"/>
    </row>
    <row r="529" spans="1:42" x14ac:dyDescent="0.35">
      <c r="A529" s="85"/>
      <c r="B529" s="51"/>
      <c r="C529" s="97"/>
      <c r="D529" s="97"/>
      <c r="E529" s="48"/>
      <c r="F529" s="94"/>
      <c r="G529" s="94"/>
      <c r="H529" s="94"/>
      <c r="I529" s="94"/>
      <c r="J529" s="52"/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0</v>
      </c>
      <c r="AF529" s="90">
        <v>6.5000000000000002E-2</v>
      </c>
      <c r="AG529" s="4">
        <f t="shared" si="135"/>
        <v>0</v>
      </c>
      <c r="AH529" s="49">
        <f t="shared" si="136"/>
        <v>0</v>
      </c>
      <c r="AI529" s="89">
        <f t="shared" si="137"/>
        <v>0</v>
      </c>
      <c r="AJ529" s="91">
        <v>0.18</v>
      </c>
      <c r="AK529" s="5">
        <f t="shared" si="138"/>
        <v>0</v>
      </c>
      <c r="AL529" s="89">
        <f t="shared" si="139"/>
        <v>0</v>
      </c>
      <c r="AP529" s="7"/>
    </row>
    <row r="530" spans="1:42" x14ac:dyDescent="0.35">
      <c r="A530" s="85"/>
      <c r="B530" s="51"/>
      <c r="C530" s="97"/>
      <c r="D530" s="97"/>
      <c r="E530" s="48"/>
      <c r="F530" s="94"/>
      <c r="G530" s="94"/>
      <c r="H530" s="94"/>
      <c r="I530" s="94"/>
      <c r="J530" s="52"/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0</v>
      </c>
      <c r="AF530" s="90">
        <v>6.5000000000000002E-2</v>
      </c>
      <c r="AG530" s="4">
        <f t="shared" si="135"/>
        <v>0</v>
      </c>
      <c r="AH530" s="49">
        <f t="shared" si="136"/>
        <v>0</v>
      </c>
      <c r="AI530" s="89">
        <f t="shared" si="137"/>
        <v>0</v>
      </c>
      <c r="AJ530" s="91">
        <v>0.18</v>
      </c>
      <c r="AK530" s="5">
        <f t="shared" si="138"/>
        <v>0</v>
      </c>
      <c r="AL530" s="89">
        <f t="shared" si="139"/>
        <v>0</v>
      </c>
      <c r="AP530" s="7"/>
    </row>
    <row r="531" spans="1:42" x14ac:dyDescent="0.35">
      <c r="A531" s="85"/>
      <c r="B531" s="51"/>
      <c r="C531" s="97"/>
      <c r="D531" s="97"/>
      <c r="E531" s="48"/>
      <c r="F531" s="94"/>
      <c r="G531" s="94"/>
      <c r="H531" s="94"/>
      <c r="I531" s="94"/>
      <c r="J531" s="52"/>
      <c r="K531" s="52"/>
      <c r="L531" s="52"/>
      <c r="M531" s="52"/>
      <c r="N531" s="104">
        <f t="shared" si="141"/>
        <v>0</v>
      </c>
      <c r="O531" s="52"/>
      <c r="P531" s="52"/>
      <c r="Q531" s="52"/>
      <c r="R531" s="104">
        <f t="shared" si="140"/>
        <v>0</v>
      </c>
      <c r="S531" s="86">
        <f t="shared" si="142"/>
        <v>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0</v>
      </c>
      <c r="AF531" s="90">
        <v>6.5000000000000002E-2</v>
      </c>
      <c r="AG531" s="4">
        <f t="shared" si="135"/>
        <v>0</v>
      </c>
      <c r="AH531" s="49">
        <f t="shared" si="136"/>
        <v>0</v>
      </c>
      <c r="AI531" s="89">
        <f t="shared" si="137"/>
        <v>0</v>
      </c>
      <c r="AJ531" s="91">
        <v>0.18</v>
      </c>
      <c r="AK531" s="5">
        <f t="shared" si="138"/>
        <v>0</v>
      </c>
      <c r="AL531" s="89">
        <f t="shared" si="139"/>
        <v>0</v>
      </c>
      <c r="AP531" s="7"/>
    </row>
    <row r="532" spans="1:42" x14ac:dyDescent="0.35">
      <c r="A532" s="85"/>
      <c r="B532" s="51"/>
      <c r="C532" s="97"/>
      <c r="D532" s="97"/>
      <c r="E532" s="48"/>
      <c r="F532" s="94"/>
      <c r="G532" s="94"/>
      <c r="H532" s="94"/>
      <c r="I532" s="94"/>
      <c r="J532" s="52"/>
      <c r="K532" s="52"/>
      <c r="L532" s="52"/>
      <c r="M532" s="52"/>
      <c r="N532" s="104">
        <f t="shared" si="141"/>
        <v>0</v>
      </c>
      <c r="O532" s="52"/>
      <c r="P532" s="52"/>
      <c r="Q532" s="52"/>
      <c r="R532" s="104">
        <f t="shared" si="140"/>
        <v>0</v>
      </c>
      <c r="S532" s="86">
        <f t="shared" si="142"/>
        <v>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0</v>
      </c>
      <c r="AF532" s="90">
        <v>6.5000000000000002E-2</v>
      </c>
      <c r="AG532" s="4">
        <f t="shared" si="135"/>
        <v>0</v>
      </c>
      <c r="AH532" s="49">
        <f t="shared" si="136"/>
        <v>0</v>
      </c>
      <c r="AI532" s="89">
        <f t="shared" si="137"/>
        <v>0</v>
      </c>
      <c r="AJ532" s="91">
        <v>0.18</v>
      </c>
      <c r="AK532" s="5">
        <f t="shared" si="138"/>
        <v>0</v>
      </c>
      <c r="AL532" s="89">
        <f t="shared" si="139"/>
        <v>0</v>
      </c>
      <c r="AP532" s="7"/>
    </row>
    <row r="533" spans="1:42" x14ac:dyDescent="0.35">
      <c r="A533" s="85"/>
      <c r="B533" s="51"/>
      <c r="C533" s="97"/>
      <c r="D533" s="97"/>
      <c r="E533" s="48"/>
      <c r="F533" s="94"/>
      <c r="G533" s="94"/>
      <c r="H533" s="94"/>
      <c r="I533" s="94"/>
      <c r="J533" s="52"/>
      <c r="K533" s="52"/>
      <c r="L533" s="52"/>
      <c r="M533" s="52"/>
      <c r="N533" s="104">
        <f t="shared" si="141"/>
        <v>0</v>
      </c>
      <c r="O533" s="52"/>
      <c r="P533" s="52"/>
      <c r="Q533" s="52"/>
      <c r="R533" s="104">
        <f t="shared" si="140"/>
        <v>0</v>
      </c>
      <c r="S533" s="86">
        <f t="shared" si="142"/>
        <v>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0</v>
      </c>
      <c r="AF533" s="90">
        <v>6.5000000000000002E-2</v>
      </c>
      <c r="AG533" s="4">
        <f t="shared" si="135"/>
        <v>0</v>
      </c>
      <c r="AH533" s="49">
        <f t="shared" si="136"/>
        <v>0</v>
      </c>
      <c r="AI533" s="89">
        <f t="shared" si="137"/>
        <v>0</v>
      </c>
      <c r="AJ533" s="91">
        <v>0.18</v>
      </c>
      <c r="AK533" s="5">
        <f t="shared" si="138"/>
        <v>0</v>
      </c>
      <c r="AL533" s="89">
        <f t="shared" si="139"/>
        <v>0</v>
      </c>
      <c r="AP533" s="7"/>
    </row>
    <row r="534" spans="1:42" x14ac:dyDescent="0.35">
      <c r="A534" s="85"/>
      <c r="B534" s="51"/>
      <c r="C534" s="97"/>
      <c r="D534" s="97"/>
      <c r="E534" s="48"/>
      <c r="F534" s="94"/>
      <c r="G534" s="94"/>
      <c r="H534" s="94"/>
      <c r="I534" s="94"/>
      <c r="J534" s="52"/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0</v>
      </c>
      <c r="AF534" s="90">
        <v>6.5000000000000002E-2</v>
      </c>
      <c r="AG534" s="4">
        <f t="shared" si="135"/>
        <v>0</v>
      </c>
      <c r="AH534" s="49">
        <f t="shared" si="136"/>
        <v>0</v>
      </c>
      <c r="AI534" s="89">
        <f t="shared" si="137"/>
        <v>0</v>
      </c>
      <c r="AJ534" s="91">
        <v>0.18</v>
      </c>
      <c r="AK534" s="5">
        <f t="shared" si="138"/>
        <v>0</v>
      </c>
      <c r="AL534" s="89">
        <f t="shared" si="139"/>
        <v>0</v>
      </c>
      <c r="AP534" s="7"/>
    </row>
    <row r="535" spans="1:42" x14ac:dyDescent="0.35">
      <c r="A535" s="85"/>
      <c r="B535" s="51"/>
      <c r="C535" s="97"/>
      <c r="D535" s="97"/>
      <c r="E535" s="48"/>
      <c r="F535" s="94"/>
      <c r="G535" s="94"/>
      <c r="H535" s="94"/>
      <c r="I535" s="94"/>
      <c r="J535" s="52"/>
      <c r="K535" s="52"/>
      <c r="L535" s="52"/>
      <c r="M535" s="52"/>
      <c r="N535" s="104">
        <f t="shared" si="141"/>
        <v>0</v>
      </c>
      <c r="O535" s="52"/>
      <c r="P535" s="52"/>
      <c r="Q535" s="52"/>
      <c r="R535" s="104">
        <f t="shared" si="140"/>
        <v>0</v>
      </c>
      <c r="S535" s="86">
        <f t="shared" si="142"/>
        <v>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0</v>
      </c>
      <c r="AF535" s="90">
        <v>6.5000000000000002E-2</v>
      </c>
      <c r="AG535" s="4">
        <f t="shared" si="135"/>
        <v>0</v>
      </c>
      <c r="AH535" s="49">
        <f t="shared" si="136"/>
        <v>0</v>
      </c>
      <c r="AI535" s="89">
        <f t="shared" si="137"/>
        <v>0</v>
      </c>
      <c r="AJ535" s="91">
        <v>0.18</v>
      </c>
      <c r="AK535" s="5">
        <f t="shared" si="138"/>
        <v>0</v>
      </c>
      <c r="AL535" s="89">
        <f t="shared" si="139"/>
        <v>0</v>
      </c>
      <c r="AP535" s="7"/>
    </row>
    <row r="536" spans="1:42" x14ac:dyDescent="0.35">
      <c r="A536" s="85"/>
      <c r="B536" s="51"/>
      <c r="C536" s="97"/>
      <c r="D536" s="97"/>
      <c r="E536" s="48"/>
      <c r="F536" s="94"/>
      <c r="G536" s="94"/>
      <c r="H536" s="94"/>
      <c r="I536" s="94"/>
      <c r="J536" s="52"/>
      <c r="K536" s="52"/>
      <c r="L536" s="52"/>
      <c r="M536" s="52"/>
      <c r="N536" s="104">
        <f t="shared" si="141"/>
        <v>0</v>
      </c>
      <c r="O536" s="52"/>
      <c r="P536" s="52"/>
      <c r="Q536" s="52"/>
      <c r="R536" s="104">
        <f t="shared" si="140"/>
        <v>0</v>
      </c>
      <c r="S536" s="86">
        <f t="shared" si="142"/>
        <v>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0</v>
      </c>
      <c r="AF536" s="90">
        <v>6.5000000000000002E-2</v>
      </c>
      <c r="AG536" s="4">
        <f t="shared" si="135"/>
        <v>0</v>
      </c>
      <c r="AH536" s="49">
        <f t="shared" si="136"/>
        <v>0</v>
      </c>
      <c r="AI536" s="89">
        <f t="shared" si="137"/>
        <v>0</v>
      </c>
      <c r="AJ536" s="91">
        <v>0.18</v>
      </c>
      <c r="AK536" s="5">
        <f t="shared" si="138"/>
        <v>0</v>
      </c>
      <c r="AL536" s="89">
        <f t="shared" si="139"/>
        <v>0</v>
      </c>
      <c r="AP536" s="7"/>
    </row>
    <row r="537" spans="1:42" x14ac:dyDescent="0.35">
      <c r="A537" s="85"/>
      <c r="B537" s="51"/>
      <c r="C537" s="97"/>
      <c r="D537" s="97"/>
      <c r="E537" s="48"/>
      <c r="F537" s="94"/>
      <c r="G537" s="94"/>
      <c r="H537" s="94"/>
      <c r="I537" s="94"/>
      <c r="J537" s="52"/>
      <c r="K537" s="52"/>
      <c r="L537" s="52"/>
      <c r="M537" s="52"/>
      <c r="N537" s="104">
        <f t="shared" si="141"/>
        <v>0</v>
      </c>
      <c r="O537" s="52"/>
      <c r="P537" s="52"/>
      <c r="Q537" s="52"/>
      <c r="R537" s="104">
        <f t="shared" si="140"/>
        <v>0</v>
      </c>
      <c r="S537" s="86">
        <f t="shared" si="142"/>
        <v>0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0</v>
      </c>
      <c r="AF537" s="90">
        <v>6.5000000000000002E-2</v>
      </c>
      <c r="AG537" s="4">
        <f t="shared" si="135"/>
        <v>0</v>
      </c>
      <c r="AH537" s="49">
        <f t="shared" si="136"/>
        <v>0</v>
      </c>
      <c r="AI537" s="89">
        <f t="shared" si="137"/>
        <v>0</v>
      </c>
      <c r="AJ537" s="91">
        <v>0.18</v>
      </c>
      <c r="AK537" s="5">
        <f t="shared" si="138"/>
        <v>0</v>
      </c>
      <c r="AL537" s="89">
        <f t="shared" si="139"/>
        <v>0</v>
      </c>
      <c r="AP537" s="7"/>
    </row>
    <row r="538" spans="1:42" x14ac:dyDescent="0.35">
      <c r="A538" s="85"/>
      <c r="B538" s="51"/>
      <c r="C538" s="97"/>
      <c r="D538" s="97"/>
      <c r="E538" s="48"/>
      <c r="F538" s="94"/>
      <c r="G538" s="94"/>
      <c r="H538" s="94"/>
      <c r="I538" s="94"/>
      <c r="J538" s="52"/>
      <c r="K538" s="52"/>
      <c r="L538" s="52"/>
      <c r="M538" s="52"/>
      <c r="N538" s="104">
        <f t="shared" si="141"/>
        <v>0</v>
      </c>
      <c r="O538" s="52"/>
      <c r="P538" s="52"/>
      <c r="Q538" s="52"/>
      <c r="R538" s="104">
        <f t="shared" si="140"/>
        <v>0</v>
      </c>
      <c r="S538" s="86">
        <f t="shared" si="142"/>
        <v>0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0</v>
      </c>
      <c r="AF538" s="90">
        <v>6.5000000000000002E-2</v>
      </c>
      <c r="AG538" s="4">
        <f t="shared" si="135"/>
        <v>0</v>
      </c>
      <c r="AH538" s="49">
        <f t="shared" si="136"/>
        <v>0</v>
      </c>
      <c r="AI538" s="89">
        <f t="shared" si="137"/>
        <v>0</v>
      </c>
      <c r="AJ538" s="91">
        <v>0.18</v>
      </c>
      <c r="AK538" s="5">
        <f t="shared" si="138"/>
        <v>0</v>
      </c>
      <c r="AL538" s="89">
        <f t="shared" si="139"/>
        <v>0</v>
      </c>
      <c r="AP538" s="7"/>
    </row>
    <row r="539" spans="1:42" x14ac:dyDescent="0.35">
      <c r="A539" s="85"/>
      <c r="B539" s="51"/>
      <c r="C539" s="97"/>
      <c r="D539" s="97"/>
      <c r="E539" s="48"/>
      <c r="F539" s="94"/>
      <c r="G539" s="94"/>
      <c r="H539" s="94"/>
      <c r="I539" s="94"/>
      <c r="J539" s="52"/>
      <c r="K539" s="52"/>
      <c r="L539" s="52"/>
      <c r="M539" s="52"/>
      <c r="N539" s="104">
        <f t="shared" si="141"/>
        <v>0</v>
      </c>
      <c r="O539" s="52"/>
      <c r="P539" s="52"/>
      <c r="Q539" s="52"/>
      <c r="R539" s="104">
        <f t="shared" si="140"/>
        <v>0</v>
      </c>
      <c r="S539" s="86">
        <f t="shared" si="142"/>
        <v>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0</v>
      </c>
      <c r="AF539" s="90">
        <v>6.5000000000000002E-2</v>
      </c>
      <c r="AG539" s="4">
        <f t="shared" si="135"/>
        <v>0</v>
      </c>
      <c r="AH539" s="49">
        <f t="shared" si="136"/>
        <v>0</v>
      </c>
      <c r="AI539" s="89">
        <f t="shared" si="137"/>
        <v>0</v>
      </c>
      <c r="AJ539" s="91">
        <v>0.18</v>
      </c>
      <c r="AK539" s="5">
        <f t="shared" si="138"/>
        <v>0</v>
      </c>
      <c r="AL539" s="89">
        <f t="shared" si="139"/>
        <v>0</v>
      </c>
      <c r="AP539" s="7"/>
    </row>
    <row r="540" spans="1:42" x14ac:dyDescent="0.35">
      <c r="A540" s="85"/>
      <c r="B540" s="51"/>
      <c r="C540" s="97"/>
      <c r="D540" s="97"/>
      <c r="E540" s="48"/>
      <c r="F540" s="94"/>
      <c r="G540" s="94"/>
      <c r="H540" s="94"/>
      <c r="I540" s="94"/>
      <c r="J540" s="52"/>
      <c r="K540" s="52"/>
      <c r="L540" s="52"/>
      <c r="M540" s="52"/>
      <c r="N540" s="104">
        <f t="shared" si="141"/>
        <v>0</v>
      </c>
      <c r="O540" s="52"/>
      <c r="P540" s="52"/>
      <c r="Q540" s="52"/>
      <c r="R540" s="104">
        <f t="shared" si="140"/>
        <v>0</v>
      </c>
      <c r="S540" s="86">
        <f t="shared" si="142"/>
        <v>0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0</v>
      </c>
      <c r="AF540" s="90">
        <v>6.5000000000000002E-2</v>
      </c>
      <c r="AG540" s="4">
        <f t="shared" si="135"/>
        <v>0</v>
      </c>
      <c r="AH540" s="49">
        <f t="shared" si="136"/>
        <v>0</v>
      </c>
      <c r="AI540" s="89">
        <f t="shared" si="137"/>
        <v>0</v>
      </c>
      <c r="AJ540" s="91">
        <v>0.18</v>
      </c>
      <c r="AK540" s="5">
        <f t="shared" si="138"/>
        <v>0</v>
      </c>
      <c r="AL540" s="89">
        <f t="shared" si="139"/>
        <v>0</v>
      </c>
      <c r="AP540" s="7"/>
    </row>
    <row r="541" spans="1:42" x14ac:dyDescent="0.35">
      <c r="A541" s="85"/>
      <c r="B541" s="51"/>
      <c r="C541" s="97"/>
      <c r="D541" s="97"/>
      <c r="E541" s="48"/>
      <c r="F541" s="94"/>
      <c r="G541" s="94"/>
      <c r="H541" s="94"/>
      <c r="I541" s="94"/>
      <c r="J541" s="52"/>
      <c r="K541" s="52"/>
      <c r="L541" s="52"/>
      <c r="M541" s="52"/>
      <c r="N541" s="104">
        <f t="shared" si="141"/>
        <v>0</v>
      </c>
      <c r="O541" s="52"/>
      <c r="P541" s="52"/>
      <c r="Q541" s="52"/>
      <c r="R541" s="104">
        <f t="shared" si="140"/>
        <v>0</v>
      </c>
      <c r="S541" s="86">
        <f t="shared" si="142"/>
        <v>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0</v>
      </c>
      <c r="AF541" s="90">
        <v>6.5000000000000002E-2</v>
      </c>
      <c r="AG541" s="4">
        <f t="shared" si="135"/>
        <v>0</v>
      </c>
      <c r="AH541" s="49">
        <f t="shared" si="136"/>
        <v>0</v>
      </c>
      <c r="AI541" s="89">
        <f t="shared" si="137"/>
        <v>0</v>
      </c>
      <c r="AJ541" s="91">
        <v>0.18</v>
      </c>
      <c r="AK541" s="5">
        <f t="shared" si="138"/>
        <v>0</v>
      </c>
      <c r="AL541" s="89">
        <f t="shared" si="139"/>
        <v>0</v>
      </c>
      <c r="AP541" s="7"/>
    </row>
    <row r="542" spans="1:42" x14ac:dyDescent="0.35">
      <c r="A542" s="85"/>
      <c r="B542" s="51"/>
      <c r="C542" s="97"/>
      <c r="D542" s="97"/>
      <c r="E542" s="48"/>
      <c r="F542" s="94"/>
      <c r="G542" s="94"/>
      <c r="H542" s="94"/>
      <c r="I542" s="94"/>
      <c r="J542" s="52"/>
      <c r="K542" s="52"/>
      <c r="L542" s="52"/>
      <c r="M542" s="52"/>
      <c r="N542" s="104">
        <f t="shared" si="141"/>
        <v>0</v>
      </c>
      <c r="O542" s="52"/>
      <c r="P542" s="52"/>
      <c r="Q542" s="52"/>
      <c r="R542" s="104">
        <f t="shared" si="140"/>
        <v>0</v>
      </c>
      <c r="S542" s="86">
        <f t="shared" si="142"/>
        <v>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0</v>
      </c>
      <c r="AF542" s="90">
        <v>6.5000000000000002E-2</v>
      </c>
      <c r="AG542" s="4">
        <f t="shared" si="135"/>
        <v>0</v>
      </c>
      <c r="AH542" s="49">
        <f t="shared" si="136"/>
        <v>0</v>
      </c>
      <c r="AI542" s="89">
        <f t="shared" si="137"/>
        <v>0</v>
      </c>
      <c r="AJ542" s="91">
        <v>0.18</v>
      </c>
      <c r="AK542" s="5">
        <f t="shared" si="138"/>
        <v>0</v>
      </c>
      <c r="AL542" s="89">
        <f t="shared" si="139"/>
        <v>0</v>
      </c>
      <c r="AP542" s="7"/>
    </row>
    <row r="543" spans="1:42" x14ac:dyDescent="0.35">
      <c r="A543" s="85"/>
      <c r="B543" s="51"/>
      <c r="C543" s="97"/>
      <c r="D543" s="97"/>
      <c r="E543" s="48"/>
      <c r="F543" s="94"/>
      <c r="G543" s="94"/>
      <c r="H543" s="94"/>
      <c r="I543" s="94"/>
      <c r="J543" s="52"/>
      <c r="K543" s="52"/>
      <c r="L543" s="52"/>
      <c r="M543" s="52"/>
      <c r="N543" s="104">
        <f t="shared" si="141"/>
        <v>0</v>
      </c>
      <c r="O543" s="52"/>
      <c r="P543" s="52"/>
      <c r="Q543" s="52"/>
      <c r="R543" s="104">
        <f t="shared" si="140"/>
        <v>0</v>
      </c>
      <c r="S543" s="86">
        <f t="shared" si="142"/>
        <v>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0</v>
      </c>
      <c r="AF543" s="90">
        <v>6.5000000000000002E-2</v>
      </c>
      <c r="AG543" s="4">
        <f t="shared" si="135"/>
        <v>0</v>
      </c>
      <c r="AH543" s="49">
        <f t="shared" si="136"/>
        <v>0</v>
      </c>
      <c r="AI543" s="89">
        <f t="shared" si="137"/>
        <v>0</v>
      </c>
      <c r="AJ543" s="91">
        <v>0.18</v>
      </c>
      <c r="AK543" s="5">
        <f t="shared" si="138"/>
        <v>0</v>
      </c>
      <c r="AL543" s="89">
        <f t="shared" si="139"/>
        <v>0</v>
      </c>
      <c r="AP543" s="7"/>
    </row>
    <row r="544" spans="1:42" x14ac:dyDescent="0.35">
      <c r="A544" s="85"/>
      <c r="B544" s="51"/>
      <c r="C544" s="97"/>
      <c r="D544" s="97"/>
      <c r="E544" s="48"/>
      <c r="F544" s="94"/>
      <c r="G544" s="94"/>
      <c r="H544" s="94"/>
      <c r="I544" s="94"/>
      <c r="J544" s="52"/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0</v>
      </c>
      <c r="AF544" s="90">
        <v>6.5000000000000002E-2</v>
      </c>
      <c r="AG544" s="4">
        <f t="shared" si="135"/>
        <v>0</v>
      </c>
      <c r="AH544" s="49">
        <f t="shared" si="136"/>
        <v>0</v>
      </c>
      <c r="AI544" s="89">
        <f t="shared" si="137"/>
        <v>0</v>
      </c>
      <c r="AJ544" s="91">
        <v>0.18</v>
      </c>
      <c r="AK544" s="5">
        <f t="shared" si="138"/>
        <v>0</v>
      </c>
      <c r="AL544" s="89">
        <f t="shared" si="139"/>
        <v>0</v>
      </c>
      <c r="AP544" s="7"/>
    </row>
    <row r="545" spans="1:42" x14ac:dyDescent="0.35">
      <c r="A545" s="85"/>
      <c r="B545" s="51"/>
      <c r="C545" s="97"/>
      <c r="D545" s="97"/>
      <c r="E545" s="48"/>
      <c r="F545" s="94"/>
      <c r="G545" s="94"/>
      <c r="H545" s="94"/>
      <c r="I545" s="94"/>
      <c r="J545" s="52"/>
      <c r="K545" s="52"/>
      <c r="L545" s="52"/>
      <c r="M545" s="52"/>
      <c r="N545" s="104">
        <f t="shared" si="141"/>
        <v>0</v>
      </c>
      <c r="O545" s="52"/>
      <c r="P545" s="52"/>
      <c r="Q545" s="52"/>
      <c r="R545" s="104">
        <f t="shared" si="140"/>
        <v>0</v>
      </c>
      <c r="S545" s="86">
        <f t="shared" si="142"/>
        <v>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0</v>
      </c>
      <c r="AF545" s="90">
        <v>6.5000000000000002E-2</v>
      </c>
      <c r="AG545" s="4">
        <f t="shared" si="135"/>
        <v>0</v>
      </c>
      <c r="AH545" s="49">
        <f t="shared" si="136"/>
        <v>0</v>
      </c>
      <c r="AI545" s="89">
        <f t="shared" si="137"/>
        <v>0</v>
      </c>
      <c r="AJ545" s="91">
        <v>0.18</v>
      </c>
      <c r="AK545" s="5">
        <f t="shared" si="138"/>
        <v>0</v>
      </c>
      <c r="AL545" s="89">
        <f t="shared" si="139"/>
        <v>0</v>
      </c>
      <c r="AP545" s="7"/>
    </row>
    <row r="546" spans="1:42" x14ac:dyDescent="0.35">
      <c r="A546" s="85"/>
      <c r="B546" s="51"/>
      <c r="C546" s="97"/>
      <c r="D546" s="97"/>
      <c r="E546" s="48"/>
      <c r="F546" s="94"/>
      <c r="G546" s="94"/>
      <c r="H546" s="94"/>
      <c r="I546" s="94"/>
      <c r="J546" s="52"/>
      <c r="K546" s="52"/>
      <c r="L546" s="52"/>
      <c r="M546" s="52"/>
      <c r="N546" s="104">
        <f t="shared" si="141"/>
        <v>0</v>
      </c>
      <c r="O546" s="52"/>
      <c r="P546" s="52"/>
      <c r="Q546" s="52"/>
      <c r="R546" s="104">
        <f t="shared" si="140"/>
        <v>0</v>
      </c>
      <c r="S546" s="86">
        <f t="shared" si="142"/>
        <v>0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0</v>
      </c>
      <c r="AF546" s="90">
        <v>6.5000000000000002E-2</v>
      </c>
      <c r="AG546" s="4">
        <f t="shared" si="135"/>
        <v>0</v>
      </c>
      <c r="AH546" s="49">
        <f t="shared" si="136"/>
        <v>0</v>
      </c>
      <c r="AI546" s="89">
        <f t="shared" si="137"/>
        <v>0</v>
      </c>
      <c r="AJ546" s="91">
        <v>0.18</v>
      </c>
      <c r="AK546" s="5">
        <f t="shared" si="138"/>
        <v>0</v>
      </c>
      <c r="AL546" s="89">
        <f t="shared" si="139"/>
        <v>0</v>
      </c>
      <c r="AP546" s="7"/>
    </row>
    <row r="547" spans="1:42" x14ac:dyDescent="0.35">
      <c r="A547" s="85"/>
      <c r="B547" s="51"/>
      <c r="C547" s="97"/>
      <c r="D547" s="97"/>
      <c r="E547" s="48"/>
      <c r="F547" s="94"/>
      <c r="G547" s="94"/>
      <c r="H547" s="94"/>
      <c r="I547" s="94"/>
      <c r="J547" s="52"/>
      <c r="K547" s="52"/>
      <c r="L547" s="52"/>
      <c r="M547" s="52"/>
      <c r="N547" s="104">
        <f t="shared" si="141"/>
        <v>0</v>
      </c>
      <c r="O547" s="52"/>
      <c r="P547" s="52"/>
      <c r="Q547" s="52"/>
      <c r="R547" s="104">
        <f t="shared" si="140"/>
        <v>0</v>
      </c>
      <c r="S547" s="86">
        <f t="shared" si="142"/>
        <v>0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0</v>
      </c>
      <c r="AF547" s="90">
        <v>6.5000000000000002E-2</v>
      </c>
      <c r="AG547" s="4">
        <f t="shared" si="135"/>
        <v>0</v>
      </c>
      <c r="AH547" s="49">
        <f t="shared" si="136"/>
        <v>0</v>
      </c>
      <c r="AI547" s="89">
        <f t="shared" si="137"/>
        <v>0</v>
      </c>
      <c r="AJ547" s="91">
        <v>0.18</v>
      </c>
      <c r="AK547" s="5">
        <f t="shared" si="138"/>
        <v>0</v>
      </c>
      <c r="AL547" s="89">
        <f t="shared" si="139"/>
        <v>0</v>
      </c>
      <c r="AP547" s="7"/>
    </row>
    <row r="548" spans="1:42" x14ac:dyDescent="0.35">
      <c r="A548" s="85"/>
      <c r="B548" s="51"/>
      <c r="C548" s="97"/>
      <c r="D548" s="97"/>
      <c r="E548" s="48"/>
      <c r="F548" s="94"/>
      <c r="G548" s="94"/>
      <c r="H548" s="94"/>
      <c r="I548" s="94"/>
      <c r="J548" s="52"/>
      <c r="K548" s="52"/>
      <c r="L548" s="52"/>
      <c r="M548" s="52"/>
      <c r="N548" s="104">
        <f t="shared" si="141"/>
        <v>0</v>
      </c>
      <c r="O548" s="52"/>
      <c r="P548" s="52"/>
      <c r="Q548" s="52"/>
      <c r="R548" s="104">
        <f t="shared" si="140"/>
        <v>0</v>
      </c>
      <c r="S548" s="86">
        <f t="shared" si="142"/>
        <v>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0</v>
      </c>
      <c r="AF548" s="90">
        <v>6.5000000000000002E-2</v>
      </c>
      <c r="AG548" s="4">
        <f t="shared" si="135"/>
        <v>0</v>
      </c>
      <c r="AH548" s="49">
        <f t="shared" si="136"/>
        <v>0</v>
      </c>
      <c r="AI548" s="89">
        <f t="shared" si="137"/>
        <v>0</v>
      </c>
      <c r="AJ548" s="91">
        <v>0.18</v>
      </c>
      <c r="AK548" s="5">
        <f t="shared" si="138"/>
        <v>0</v>
      </c>
      <c r="AL548" s="89">
        <f t="shared" si="139"/>
        <v>0</v>
      </c>
      <c r="AP548" s="7"/>
    </row>
    <row r="549" spans="1:42" x14ac:dyDescent="0.35">
      <c r="A549" s="85"/>
      <c r="B549" s="51"/>
      <c r="C549" s="97"/>
      <c r="D549" s="97"/>
      <c r="E549" s="48"/>
      <c r="F549" s="94"/>
      <c r="G549" s="94"/>
      <c r="H549" s="94"/>
      <c r="I549" s="94"/>
      <c r="J549" s="52"/>
      <c r="K549" s="52"/>
      <c r="L549" s="52"/>
      <c r="M549" s="52"/>
      <c r="N549" s="104">
        <f t="shared" si="141"/>
        <v>0</v>
      </c>
      <c r="O549" s="52"/>
      <c r="P549" s="52"/>
      <c r="Q549" s="52"/>
      <c r="R549" s="104">
        <f t="shared" si="140"/>
        <v>0</v>
      </c>
      <c r="S549" s="86">
        <f t="shared" si="142"/>
        <v>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0</v>
      </c>
      <c r="AF549" s="90">
        <v>6.5000000000000002E-2</v>
      </c>
      <c r="AG549" s="4">
        <f t="shared" si="135"/>
        <v>0</v>
      </c>
      <c r="AH549" s="49">
        <f t="shared" si="136"/>
        <v>0</v>
      </c>
      <c r="AI549" s="89">
        <f t="shared" si="137"/>
        <v>0</v>
      </c>
      <c r="AJ549" s="91">
        <v>0.18</v>
      </c>
      <c r="AK549" s="5">
        <f t="shared" si="138"/>
        <v>0</v>
      </c>
      <c r="AL549" s="89">
        <f t="shared" si="139"/>
        <v>0</v>
      </c>
      <c r="AP549" s="7"/>
    </row>
    <row r="550" spans="1:42" x14ac:dyDescent="0.35">
      <c r="A550" s="85"/>
      <c r="B550" s="51"/>
      <c r="C550" s="97"/>
      <c r="D550" s="97"/>
      <c r="E550" s="48"/>
      <c r="F550" s="94"/>
      <c r="G550" s="94"/>
      <c r="H550" s="94"/>
      <c r="I550" s="94"/>
      <c r="J550" s="52"/>
      <c r="K550" s="52"/>
      <c r="L550" s="52"/>
      <c r="M550" s="52"/>
      <c r="N550" s="104">
        <f t="shared" si="141"/>
        <v>0</v>
      </c>
      <c r="O550" s="52"/>
      <c r="P550" s="52"/>
      <c r="Q550" s="52"/>
      <c r="R550" s="104">
        <f t="shared" si="140"/>
        <v>0</v>
      </c>
      <c r="S550" s="86">
        <f t="shared" si="142"/>
        <v>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0</v>
      </c>
      <c r="AF550" s="90">
        <v>6.5000000000000002E-2</v>
      </c>
      <c r="AG550" s="4">
        <f t="shared" si="135"/>
        <v>0</v>
      </c>
      <c r="AH550" s="49">
        <f t="shared" si="136"/>
        <v>0</v>
      </c>
      <c r="AI550" s="89">
        <f t="shared" si="137"/>
        <v>0</v>
      </c>
      <c r="AJ550" s="91">
        <v>0.18</v>
      </c>
      <c r="AK550" s="5">
        <f t="shared" si="138"/>
        <v>0</v>
      </c>
      <c r="AL550" s="89">
        <f t="shared" si="139"/>
        <v>0</v>
      </c>
      <c r="AP550" s="7"/>
    </row>
    <row r="551" spans="1:42" x14ac:dyDescent="0.35">
      <c r="A551" s="85"/>
      <c r="B551" s="51"/>
      <c r="C551" s="97"/>
      <c r="D551" s="97"/>
      <c r="E551" s="48"/>
      <c r="F551" s="94"/>
      <c r="G551" s="94"/>
      <c r="H551" s="94"/>
      <c r="I551" s="94"/>
      <c r="J551" s="52"/>
      <c r="K551" s="52"/>
      <c r="L551" s="52"/>
      <c r="M551" s="52"/>
      <c r="N551" s="104">
        <f t="shared" si="141"/>
        <v>0</v>
      </c>
      <c r="O551" s="52"/>
      <c r="P551" s="52"/>
      <c r="Q551" s="52"/>
      <c r="R551" s="104">
        <f t="shared" si="140"/>
        <v>0</v>
      </c>
      <c r="S551" s="86">
        <f t="shared" si="142"/>
        <v>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0</v>
      </c>
      <c r="AF551" s="90">
        <v>6.5000000000000002E-2</v>
      </c>
      <c r="AG551" s="4">
        <f t="shared" si="135"/>
        <v>0</v>
      </c>
      <c r="AH551" s="49">
        <f t="shared" si="136"/>
        <v>0</v>
      </c>
      <c r="AI551" s="89">
        <f t="shared" si="137"/>
        <v>0</v>
      </c>
      <c r="AJ551" s="91">
        <v>0.18</v>
      </c>
      <c r="AK551" s="5">
        <f t="shared" si="138"/>
        <v>0</v>
      </c>
      <c r="AL551" s="89">
        <f t="shared" si="139"/>
        <v>0</v>
      </c>
      <c r="AP551" s="7"/>
    </row>
    <row r="552" spans="1:42" x14ac:dyDescent="0.35">
      <c r="A552" s="85"/>
      <c r="B552" s="51"/>
      <c r="C552" s="97"/>
      <c r="D552" s="97"/>
      <c r="E552" s="48"/>
      <c r="F552" s="94"/>
      <c r="G552" s="94"/>
      <c r="H552" s="94"/>
      <c r="I552" s="94"/>
      <c r="J552" s="52"/>
      <c r="K552" s="52"/>
      <c r="L552" s="52"/>
      <c r="M552" s="52"/>
      <c r="N552" s="104">
        <f t="shared" si="141"/>
        <v>0</v>
      </c>
      <c r="O552" s="52"/>
      <c r="P552" s="52"/>
      <c r="Q552" s="52"/>
      <c r="R552" s="104">
        <f t="shared" si="140"/>
        <v>0</v>
      </c>
      <c r="S552" s="86">
        <f t="shared" si="142"/>
        <v>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0</v>
      </c>
      <c r="AF552" s="90">
        <v>6.5000000000000002E-2</v>
      </c>
      <c r="AG552" s="4">
        <f t="shared" si="135"/>
        <v>0</v>
      </c>
      <c r="AH552" s="49">
        <f t="shared" si="136"/>
        <v>0</v>
      </c>
      <c r="AI552" s="89">
        <f t="shared" si="137"/>
        <v>0</v>
      </c>
      <c r="AJ552" s="91">
        <v>0.18</v>
      </c>
      <c r="AK552" s="5">
        <f t="shared" si="138"/>
        <v>0</v>
      </c>
      <c r="AL552" s="89">
        <f t="shared" si="139"/>
        <v>0</v>
      </c>
      <c r="AP552" s="7"/>
    </row>
    <row r="553" spans="1:42" x14ac:dyDescent="0.35">
      <c r="A553" s="85"/>
      <c r="B553" s="51"/>
      <c r="C553" s="97"/>
      <c r="D553" s="97"/>
      <c r="E553" s="48"/>
      <c r="F553" s="94"/>
      <c r="G553" s="94"/>
      <c r="H553" s="94"/>
      <c r="I553" s="94"/>
      <c r="J553" s="52"/>
      <c r="K553" s="52"/>
      <c r="L553" s="52"/>
      <c r="M553" s="52"/>
      <c r="N553" s="104">
        <f t="shared" si="141"/>
        <v>0</v>
      </c>
      <c r="O553" s="52"/>
      <c r="P553" s="52"/>
      <c r="Q553" s="52"/>
      <c r="R553" s="104">
        <f t="shared" si="140"/>
        <v>0</v>
      </c>
      <c r="S553" s="86">
        <f t="shared" si="142"/>
        <v>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0</v>
      </c>
      <c r="AF553" s="90">
        <v>6.5000000000000002E-2</v>
      </c>
      <c r="AG553" s="4">
        <f t="shared" si="135"/>
        <v>0</v>
      </c>
      <c r="AH553" s="49">
        <f t="shared" si="136"/>
        <v>0</v>
      </c>
      <c r="AI553" s="89">
        <f t="shared" si="137"/>
        <v>0</v>
      </c>
      <c r="AJ553" s="91">
        <v>0.18</v>
      </c>
      <c r="AK553" s="5">
        <f t="shared" si="138"/>
        <v>0</v>
      </c>
      <c r="AL553" s="89">
        <f t="shared" si="139"/>
        <v>0</v>
      </c>
      <c r="AP553" s="7"/>
    </row>
    <row r="554" spans="1:42" x14ac:dyDescent="0.35">
      <c r="A554" s="85"/>
      <c r="B554" s="51"/>
      <c r="C554" s="97"/>
      <c r="D554" s="97"/>
      <c r="E554" s="48"/>
      <c r="F554" s="94"/>
      <c r="G554" s="94"/>
      <c r="H554" s="94"/>
      <c r="I554" s="94"/>
      <c r="J554" s="52"/>
      <c r="K554" s="52"/>
      <c r="L554" s="52"/>
      <c r="M554" s="52"/>
      <c r="N554" s="104">
        <f t="shared" si="141"/>
        <v>0</v>
      </c>
      <c r="O554" s="52"/>
      <c r="P554" s="52"/>
      <c r="Q554" s="52"/>
      <c r="R554" s="104">
        <f t="shared" si="140"/>
        <v>0</v>
      </c>
      <c r="S554" s="86">
        <f t="shared" si="142"/>
        <v>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0</v>
      </c>
      <c r="AF554" s="90">
        <v>6.5000000000000002E-2</v>
      </c>
      <c r="AG554" s="4">
        <f t="shared" si="135"/>
        <v>0</v>
      </c>
      <c r="AH554" s="49">
        <f t="shared" si="136"/>
        <v>0</v>
      </c>
      <c r="AI554" s="89">
        <f t="shared" si="137"/>
        <v>0</v>
      </c>
      <c r="AJ554" s="91">
        <v>0.18</v>
      </c>
      <c r="AK554" s="5">
        <f t="shared" si="138"/>
        <v>0</v>
      </c>
      <c r="AL554" s="89">
        <f t="shared" si="139"/>
        <v>0</v>
      </c>
      <c r="AP554" s="7"/>
    </row>
    <row r="555" spans="1:42" x14ac:dyDescent="0.35">
      <c r="A555" s="85"/>
      <c r="B555" s="51"/>
      <c r="C555" s="97"/>
      <c r="D555" s="97"/>
      <c r="E555" s="48"/>
      <c r="F555" s="94"/>
      <c r="G555" s="94"/>
      <c r="H555" s="94"/>
      <c r="I555" s="94"/>
      <c r="J555" s="52"/>
      <c r="K555" s="52"/>
      <c r="L555" s="52"/>
      <c r="M555" s="52"/>
      <c r="N555" s="104">
        <f t="shared" si="141"/>
        <v>0</v>
      </c>
      <c r="O555" s="52"/>
      <c r="P555" s="52"/>
      <c r="Q555" s="52"/>
      <c r="R555" s="104">
        <f t="shared" si="140"/>
        <v>0</v>
      </c>
      <c r="S555" s="86">
        <f t="shared" si="142"/>
        <v>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0</v>
      </c>
      <c r="AF555" s="90">
        <v>6.5000000000000002E-2</v>
      </c>
      <c r="AG555" s="4">
        <f t="shared" si="135"/>
        <v>0</v>
      </c>
      <c r="AH555" s="49">
        <f t="shared" si="136"/>
        <v>0</v>
      </c>
      <c r="AI555" s="89">
        <f t="shared" si="137"/>
        <v>0</v>
      </c>
      <c r="AJ555" s="91">
        <v>0.18</v>
      </c>
      <c r="AK555" s="5">
        <f t="shared" si="138"/>
        <v>0</v>
      </c>
      <c r="AL555" s="89">
        <f t="shared" si="139"/>
        <v>0</v>
      </c>
      <c r="AP555" s="7"/>
    </row>
    <row r="556" spans="1:42" x14ac:dyDescent="0.35">
      <c r="A556" s="85"/>
      <c r="B556" s="51"/>
      <c r="C556" s="97"/>
      <c r="D556" s="97"/>
      <c r="E556" s="48"/>
      <c r="F556" s="94"/>
      <c r="G556" s="94"/>
      <c r="H556" s="94"/>
      <c r="I556" s="94"/>
      <c r="J556" s="52"/>
      <c r="K556" s="52"/>
      <c r="L556" s="52"/>
      <c r="M556" s="52"/>
      <c r="N556" s="104">
        <f t="shared" si="141"/>
        <v>0</v>
      </c>
      <c r="O556" s="52"/>
      <c r="P556" s="52"/>
      <c r="Q556" s="52"/>
      <c r="R556" s="104">
        <f t="shared" si="140"/>
        <v>0</v>
      </c>
      <c r="S556" s="86">
        <f t="shared" si="142"/>
        <v>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0</v>
      </c>
      <c r="AF556" s="90">
        <v>6.5000000000000002E-2</v>
      </c>
      <c r="AG556" s="4">
        <f t="shared" si="135"/>
        <v>0</v>
      </c>
      <c r="AH556" s="49">
        <f t="shared" si="136"/>
        <v>0</v>
      </c>
      <c r="AI556" s="89">
        <f t="shared" si="137"/>
        <v>0</v>
      </c>
      <c r="AJ556" s="91">
        <v>0.18</v>
      </c>
      <c r="AK556" s="5">
        <f t="shared" si="138"/>
        <v>0</v>
      </c>
      <c r="AL556" s="89">
        <f t="shared" si="139"/>
        <v>0</v>
      </c>
      <c r="AP556" s="7"/>
    </row>
    <row r="557" spans="1:42" x14ac:dyDescent="0.35">
      <c r="A557" s="85"/>
      <c r="B557" s="51"/>
      <c r="C557" s="97"/>
      <c r="D557" s="97"/>
      <c r="E557" s="48"/>
      <c r="F557" s="94"/>
      <c r="G557" s="94"/>
      <c r="H557" s="94"/>
      <c r="I557" s="94"/>
      <c r="J557" s="52"/>
      <c r="K557" s="52"/>
      <c r="L557" s="52"/>
      <c r="M557" s="52"/>
      <c r="N557" s="104">
        <f t="shared" si="141"/>
        <v>0</v>
      </c>
      <c r="O557" s="52"/>
      <c r="P557" s="52"/>
      <c r="Q557" s="52"/>
      <c r="R557" s="104">
        <f t="shared" si="140"/>
        <v>0</v>
      </c>
      <c r="S557" s="86">
        <f t="shared" si="142"/>
        <v>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0</v>
      </c>
      <c r="AF557" s="90">
        <v>6.5000000000000002E-2</v>
      </c>
      <c r="AG557" s="4">
        <f t="shared" si="135"/>
        <v>0</v>
      </c>
      <c r="AH557" s="49">
        <f t="shared" si="136"/>
        <v>0</v>
      </c>
      <c r="AI557" s="89">
        <f t="shared" si="137"/>
        <v>0</v>
      </c>
      <c r="AJ557" s="91">
        <v>0.18</v>
      </c>
      <c r="AK557" s="5">
        <f t="shared" si="138"/>
        <v>0</v>
      </c>
      <c r="AL557" s="89">
        <f t="shared" si="139"/>
        <v>0</v>
      </c>
      <c r="AP557" s="7"/>
    </row>
    <row r="558" spans="1:42" x14ac:dyDescent="0.35">
      <c r="A558" s="85"/>
      <c r="B558" s="51"/>
      <c r="C558" s="97"/>
      <c r="D558" s="97"/>
      <c r="E558" s="48"/>
      <c r="F558" s="94"/>
      <c r="G558" s="94"/>
      <c r="H558" s="94"/>
      <c r="I558" s="94"/>
      <c r="J558" s="52"/>
      <c r="K558" s="52"/>
      <c r="L558" s="52"/>
      <c r="M558" s="52"/>
      <c r="N558" s="104">
        <f t="shared" si="141"/>
        <v>0</v>
      </c>
      <c r="O558" s="52"/>
      <c r="P558" s="52"/>
      <c r="Q558" s="52"/>
      <c r="R558" s="104">
        <f t="shared" si="140"/>
        <v>0</v>
      </c>
      <c r="S558" s="86">
        <f t="shared" si="142"/>
        <v>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0</v>
      </c>
      <c r="AF558" s="90">
        <v>6.5000000000000002E-2</v>
      </c>
      <c r="AG558" s="4">
        <f t="shared" si="135"/>
        <v>0</v>
      </c>
      <c r="AH558" s="49">
        <f t="shared" si="136"/>
        <v>0</v>
      </c>
      <c r="AI558" s="89">
        <f t="shared" si="137"/>
        <v>0</v>
      </c>
      <c r="AJ558" s="91">
        <v>0.18</v>
      </c>
      <c r="AK558" s="5">
        <f t="shared" si="138"/>
        <v>0</v>
      </c>
      <c r="AL558" s="89">
        <f t="shared" si="139"/>
        <v>0</v>
      </c>
      <c r="AP558" s="7"/>
    </row>
    <row r="559" spans="1:42" x14ac:dyDescent="0.35">
      <c r="A559" s="85"/>
      <c r="B559" s="51"/>
      <c r="C559" s="97"/>
      <c r="D559" s="97"/>
      <c r="E559" s="48"/>
      <c r="F559" s="94"/>
      <c r="G559" s="94"/>
      <c r="H559" s="94"/>
      <c r="I559" s="94"/>
      <c r="J559" s="52"/>
      <c r="K559" s="52"/>
      <c r="L559" s="52"/>
      <c r="M559" s="52"/>
      <c r="N559" s="104">
        <f t="shared" si="141"/>
        <v>0</v>
      </c>
      <c r="O559" s="52"/>
      <c r="P559" s="52"/>
      <c r="Q559" s="52"/>
      <c r="R559" s="104">
        <f t="shared" si="140"/>
        <v>0</v>
      </c>
      <c r="S559" s="86">
        <f t="shared" si="142"/>
        <v>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0</v>
      </c>
      <c r="AF559" s="90">
        <v>6.5000000000000002E-2</v>
      </c>
      <c r="AG559" s="4">
        <f t="shared" si="135"/>
        <v>0</v>
      </c>
      <c r="AH559" s="49">
        <f t="shared" si="136"/>
        <v>0</v>
      </c>
      <c r="AI559" s="89">
        <f t="shared" si="137"/>
        <v>0</v>
      </c>
      <c r="AJ559" s="91">
        <v>0.18</v>
      </c>
      <c r="AK559" s="5">
        <f t="shared" si="138"/>
        <v>0</v>
      </c>
      <c r="AL559" s="89">
        <f t="shared" si="139"/>
        <v>0</v>
      </c>
      <c r="AP559" s="7"/>
    </row>
    <row r="560" spans="1:42" x14ac:dyDescent="0.35">
      <c r="A560" s="85"/>
      <c r="B560" s="51"/>
      <c r="C560" s="97"/>
      <c r="D560" s="97"/>
      <c r="E560" s="48"/>
      <c r="F560" s="94"/>
      <c r="G560" s="94"/>
      <c r="H560" s="94"/>
      <c r="I560" s="94"/>
      <c r="J560" s="52"/>
      <c r="K560" s="52"/>
      <c r="L560" s="52"/>
      <c r="M560" s="52"/>
      <c r="N560" s="104">
        <f t="shared" si="141"/>
        <v>0</v>
      </c>
      <c r="O560" s="52"/>
      <c r="P560" s="52"/>
      <c r="Q560" s="52"/>
      <c r="R560" s="104">
        <f t="shared" si="140"/>
        <v>0</v>
      </c>
      <c r="S560" s="86">
        <f t="shared" si="142"/>
        <v>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0</v>
      </c>
      <c r="AF560" s="90">
        <v>6.5000000000000002E-2</v>
      </c>
      <c r="AG560" s="4">
        <f t="shared" si="135"/>
        <v>0</v>
      </c>
      <c r="AH560" s="49">
        <f t="shared" si="136"/>
        <v>0</v>
      </c>
      <c r="AI560" s="89">
        <f t="shared" si="137"/>
        <v>0</v>
      </c>
      <c r="AJ560" s="91">
        <v>0.18</v>
      </c>
      <c r="AK560" s="5">
        <f t="shared" si="138"/>
        <v>0</v>
      </c>
      <c r="AL560" s="89">
        <f t="shared" si="139"/>
        <v>0</v>
      </c>
      <c r="AP560" s="7"/>
    </row>
    <row r="561" spans="1:42" x14ac:dyDescent="0.35">
      <c r="A561" s="85"/>
      <c r="B561" s="51"/>
      <c r="C561" s="97"/>
      <c r="D561" s="97"/>
      <c r="E561" s="48"/>
      <c r="F561" s="94"/>
      <c r="G561" s="94"/>
      <c r="H561" s="94"/>
      <c r="I561" s="94"/>
      <c r="J561" s="52"/>
      <c r="K561" s="52"/>
      <c r="L561" s="52"/>
      <c r="M561" s="52"/>
      <c r="N561" s="104">
        <f t="shared" si="141"/>
        <v>0</v>
      </c>
      <c r="O561" s="52"/>
      <c r="P561" s="52"/>
      <c r="Q561" s="52"/>
      <c r="R561" s="104">
        <f t="shared" si="140"/>
        <v>0</v>
      </c>
      <c r="S561" s="86">
        <f t="shared" si="142"/>
        <v>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0</v>
      </c>
      <c r="AF561" s="90">
        <v>6.5000000000000002E-2</v>
      </c>
      <c r="AG561" s="4">
        <f t="shared" si="135"/>
        <v>0</v>
      </c>
      <c r="AH561" s="49">
        <f t="shared" si="136"/>
        <v>0</v>
      </c>
      <c r="AI561" s="89">
        <f t="shared" si="137"/>
        <v>0</v>
      </c>
      <c r="AJ561" s="91">
        <v>0.18</v>
      </c>
      <c r="AK561" s="5">
        <f t="shared" si="138"/>
        <v>0</v>
      </c>
      <c r="AL561" s="89">
        <f t="shared" si="139"/>
        <v>0</v>
      </c>
      <c r="AP561" s="7"/>
    </row>
    <row r="562" spans="1:42" x14ac:dyDescent="0.35">
      <c r="A562" s="85"/>
      <c r="B562" s="51"/>
      <c r="C562" s="97"/>
      <c r="D562" s="97"/>
      <c r="E562" s="48"/>
      <c r="F562" s="94"/>
      <c r="G562" s="94"/>
      <c r="H562" s="94"/>
      <c r="I562" s="94"/>
      <c r="J562" s="52"/>
      <c r="K562" s="52"/>
      <c r="L562" s="52"/>
      <c r="M562" s="52"/>
      <c r="N562" s="104">
        <f t="shared" si="141"/>
        <v>0</v>
      </c>
      <c r="O562" s="52"/>
      <c r="P562" s="52"/>
      <c r="Q562" s="52"/>
      <c r="R562" s="104">
        <f t="shared" si="140"/>
        <v>0</v>
      </c>
      <c r="S562" s="86">
        <f t="shared" si="142"/>
        <v>0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0</v>
      </c>
      <c r="AF562" s="90">
        <v>6.5000000000000002E-2</v>
      </c>
      <c r="AG562" s="4">
        <f t="shared" ref="AG562:AG859" si="144">AE562*AF562</f>
        <v>0</v>
      </c>
      <c r="AH562" s="49">
        <f t="shared" ref="AH562:AH859" si="145">(AB562*J562)*$AH$1</f>
        <v>0</v>
      </c>
      <c r="AI562" s="89">
        <f t="shared" ref="AI562:AI859" si="146">AE562-AG562</f>
        <v>0</v>
      </c>
      <c r="AJ562" s="91">
        <v>0.18</v>
      </c>
      <c r="AK562" s="5">
        <f t="shared" ref="AK562:AK859" si="147">AI562*AJ562</f>
        <v>0</v>
      </c>
      <c r="AL562" s="89">
        <f t="shared" ref="AL562:AL859" si="148">AI562+AK562</f>
        <v>0</v>
      </c>
      <c r="AP562" s="7"/>
    </row>
    <row r="563" spans="1:42" x14ac:dyDescent="0.35">
      <c r="A563" s="85"/>
      <c r="B563" s="51"/>
      <c r="C563" s="97"/>
      <c r="D563" s="97"/>
      <c r="E563" s="48"/>
      <c r="F563" s="94"/>
      <c r="G563" s="94"/>
      <c r="H563" s="94"/>
      <c r="I563" s="94"/>
      <c r="J563" s="52"/>
      <c r="K563" s="52"/>
      <c r="L563" s="52"/>
      <c r="M563" s="52"/>
      <c r="N563" s="104">
        <f t="shared" si="141"/>
        <v>0</v>
      </c>
      <c r="O563" s="52"/>
      <c r="P563" s="52"/>
      <c r="Q563" s="52"/>
      <c r="R563" s="104">
        <f t="shared" si="140"/>
        <v>0</v>
      </c>
      <c r="S563" s="86">
        <f t="shared" si="142"/>
        <v>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0</v>
      </c>
      <c r="AF563" s="90">
        <v>6.5000000000000002E-2</v>
      </c>
      <c r="AG563" s="4">
        <f t="shared" si="144"/>
        <v>0</v>
      </c>
      <c r="AH563" s="49">
        <f t="shared" si="145"/>
        <v>0</v>
      </c>
      <c r="AI563" s="89">
        <f t="shared" si="146"/>
        <v>0</v>
      </c>
      <c r="AJ563" s="91">
        <v>0.18</v>
      </c>
      <c r="AK563" s="5">
        <f t="shared" si="147"/>
        <v>0</v>
      </c>
      <c r="AL563" s="89">
        <f t="shared" si="148"/>
        <v>0</v>
      </c>
      <c r="AP563" s="7"/>
    </row>
    <row r="564" spans="1:42" x14ac:dyDescent="0.35">
      <c r="A564" s="85"/>
      <c r="B564" s="51"/>
      <c r="C564" s="97"/>
      <c r="D564" s="97"/>
      <c r="E564" s="48"/>
      <c r="F564" s="94"/>
      <c r="G564" s="94"/>
      <c r="H564" s="94"/>
      <c r="I564" s="94"/>
      <c r="J564" s="52"/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0</v>
      </c>
      <c r="AF564" s="90">
        <v>6.5000000000000002E-2</v>
      </c>
      <c r="AG564" s="4">
        <f t="shared" si="144"/>
        <v>0</v>
      </c>
      <c r="AH564" s="49">
        <f t="shared" si="145"/>
        <v>0</v>
      </c>
      <c r="AI564" s="89">
        <f t="shared" si="146"/>
        <v>0</v>
      </c>
      <c r="AJ564" s="91">
        <v>0.18</v>
      </c>
      <c r="AK564" s="5">
        <f t="shared" si="147"/>
        <v>0</v>
      </c>
      <c r="AL564" s="89">
        <f t="shared" si="148"/>
        <v>0</v>
      </c>
      <c r="AP564" s="7"/>
    </row>
    <row r="565" spans="1:42" x14ac:dyDescent="0.35">
      <c r="A565" s="85"/>
      <c r="B565" s="51"/>
      <c r="C565" s="97"/>
      <c r="D565" s="97"/>
      <c r="E565" s="48"/>
      <c r="F565" s="94"/>
      <c r="G565" s="94"/>
      <c r="H565" s="94"/>
      <c r="I565" s="94"/>
      <c r="J565" s="52"/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0</v>
      </c>
      <c r="AF565" s="90">
        <v>6.5000000000000002E-2</v>
      </c>
      <c r="AG565" s="4">
        <f t="shared" si="144"/>
        <v>0</v>
      </c>
      <c r="AH565" s="49">
        <f t="shared" si="145"/>
        <v>0</v>
      </c>
      <c r="AI565" s="89">
        <f t="shared" si="146"/>
        <v>0</v>
      </c>
      <c r="AJ565" s="91">
        <v>0.18</v>
      </c>
      <c r="AK565" s="5">
        <f t="shared" si="147"/>
        <v>0</v>
      </c>
      <c r="AL565" s="89">
        <f t="shared" si="148"/>
        <v>0</v>
      </c>
      <c r="AP565" s="7"/>
    </row>
    <row r="566" spans="1:42" x14ac:dyDescent="0.35">
      <c r="A566" s="85"/>
      <c r="B566" s="51"/>
      <c r="C566" s="97"/>
      <c r="D566" s="97"/>
      <c r="E566" s="48"/>
      <c r="F566" s="94"/>
      <c r="G566" s="94"/>
      <c r="H566" s="94"/>
      <c r="I566" s="94"/>
      <c r="J566" s="52"/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0</v>
      </c>
      <c r="AF566" s="90">
        <v>6.5000000000000002E-2</v>
      </c>
      <c r="AG566" s="4">
        <f t="shared" si="144"/>
        <v>0</v>
      </c>
      <c r="AH566" s="49">
        <f t="shared" si="145"/>
        <v>0</v>
      </c>
      <c r="AI566" s="89">
        <f t="shared" si="146"/>
        <v>0</v>
      </c>
      <c r="AJ566" s="91">
        <v>0.18</v>
      </c>
      <c r="AK566" s="5">
        <f t="shared" si="147"/>
        <v>0</v>
      </c>
      <c r="AL566" s="89">
        <f t="shared" si="148"/>
        <v>0</v>
      </c>
      <c r="AP566" s="7"/>
    </row>
    <row r="567" spans="1:42" x14ac:dyDescent="0.35">
      <c r="A567" s="85"/>
      <c r="B567" s="51"/>
      <c r="C567" s="97"/>
      <c r="D567" s="97"/>
      <c r="E567" s="48"/>
      <c r="F567" s="94"/>
      <c r="G567" s="94"/>
      <c r="H567" s="94"/>
      <c r="I567" s="94"/>
      <c r="J567" s="52"/>
      <c r="K567" s="52"/>
      <c r="L567" s="52"/>
      <c r="M567" s="52"/>
      <c r="N567" s="104">
        <f t="shared" si="141"/>
        <v>0</v>
      </c>
      <c r="O567" s="52"/>
      <c r="P567" s="52"/>
      <c r="Q567" s="52"/>
      <c r="R567" s="104">
        <f t="shared" si="140"/>
        <v>0</v>
      </c>
      <c r="S567" s="86">
        <f t="shared" si="142"/>
        <v>0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0</v>
      </c>
      <c r="AF567" s="90">
        <v>6.5000000000000002E-2</v>
      </c>
      <c r="AG567" s="4">
        <f t="shared" si="144"/>
        <v>0</v>
      </c>
      <c r="AH567" s="49">
        <f t="shared" si="145"/>
        <v>0</v>
      </c>
      <c r="AI567" s="89">
        <f t="shared" si="146"/>
        <v>0</v>
      </c>
      <c r="AJ567" s="91">
        <v>0.18</v>
      </c>
      <c r="AK567" s="5">
        <f t="shared" si="147"/>
        <v>0</v>
      </c>
      <c r="AL567" s="89">
        <f t="shared" si="148"/>
        <v>0</v>
      </c>
      <c r="AP567" s="7"/>
    </row>
    <row r="568" spans="1:42" x14ac:dyDescent="0.35">
      <c r="A568" s="85"/>
      <c r="B568" s="51"/>
      <c r="C568" s="97"/>
      <c r="D568" s="97"/>
      <c r="E568" s="48"/>
      <c r="F568" s="94"/>
      <c r="G568" s="94"/>
      <c r="H568" s="94"/>
      <c r="I568" s="94"/>
      <c r="J568" s="52"/>
      <c r="K568" s="52"/>
      <c r="L568" s="52"/>
      <c r="M568" s="52"/>
      <c r="N568" s="104">
        <f t="shared" si="141"/>
        <v>0</v>
      </c>
      <c r="O568" s="52"/>
      <c r="P568" s="52"/>
      <c r="Q568" s="52"/>
      <c r="R568" s="104">
        <f t="shared" si="140"/>
        <v>0</v>
      </c>
      <c r="S568" s="86">
        <f t="shared" si="142"/>
        <v>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0</v>
      </c>
      <c r="AF568" s="90">
        <v>6.5000000000000002E-2</v>
      </c>
      <c r="AG568" s="4">
        <f t="shared" si="144"/>
        <v>0</v>
      </c>
      <c r="AH568" s="49">
        <f t="shared" si="145"/>
        <v>0</v>
      </c>
      <c r="AI568" s="89">
        <f t="shared" si="146"/>
        <v>0</v>
      </c>
      <c r="AJ568" s="91">
        <v>0.18</v>
      </c>
      <c r="AK568" s="5">
        <f t="shared" si="147"/>
        <v>0</v>
      </c>
      <c r="AL568" s="89">
        <f t="shared" si="148"/>
        <v>0</v>
      </c>
      <c r="AP568" s="7"/>
    </row>
    <row r="569" spans="1:42" x14ac:dyDescent="0.35">
      <c r="A569" s="85"/>
      <c r="B569" s="51"/>
      <c r="C569" s="97"/>
      <c r="D569" s="97"/>
      <c r="E569" s="48"/>
      <c r="F569" s="94"/>
      <c r="G569" s="94"/>
      <c r="H569" s="94"/>
      <c r="I569" s="94"/>
      <c r="J569" s="52"/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0</v>
      </c>
      <c r="AF569" s="90">
        <v>6.5000000000000002E-2</v>
      </c>
      <c r="AG569" s="4">
        <f t="shared" si="144"/>
        <v>0</v>
      </c>
      <c r="AH569" s="49">
        <f t="shared" si="145"/>
        <v>0</v>
      </c>
      <c r="AI569" s="89">
        <f t="shared" si="146"/>
        <v>0</v>
      </c>
      <c r="AJ569" s="91">
        <v>0.18</v>
      </c>
      <c r="AK569" s="5">
        <f t="shared" si="147"/>
        <v>0</v>
      </c>
      <c r="AL569" s="89">
        <f t="shared" si="148"/>
        <v>0</v>
      </c>
      <c r="AP569" s="7"/>
    </row>
    <row r="570" spans="1:42" x14ac:dyDescent="0.35">
      <c r="A570" s="85"/>
      <c r="B570" s="51"/>
      <c r="C570" s="97"/>
      <c r="D570" s="97"/>
      <c r="E570" s="48"/>
      <c r="F570" s="94"/>
      <c r="G570" s="94"/>
      <c r="H570" s="94"/>
      <c r="I570" s="94"/>
      <c r="J570" s="52"/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0</v>
      </c>
      <c r="AF570" s="90">
        <v>6.5000000000000002E-2</v>
      </c>
      <c r="AG570" s="4">
        <f t="shared" si="144"/>
        <v>0</v>
      </c>
      <c r="AH570" s="49">
        <f t="shared" si="145"/>
        <v>0</v>
      </c>
      <c r="AI570" s="89">
        <f t="shared" si="146"/>
        <v>0</v>
      </c>
      <c r="AJ570" s="91">
        <v>0.18</v>
      </c>
      <c r="AK570" s="5">
        <f t="shared" si="147"/>
        <v>0</v>
      </c>
      <c r="AL570" s="89">
        <f t="shared" si="148"/>
        <v>0</v>
      </c>
      <c r="AP570" s="7"/>
    </row>
    <row r="571" spans="1:42" x14ac:dyDescent="0.35">
      <c r="A571" s="85"/>
      <c r="B571" s="51"/>
      <c r="C571" s="97"/>
      <c r="D571" s="97"/>
      <c r="E571" s="48"/>
      <c r="F571" s="94"/>
      <c r="G571" s="94"/>
      <c r="H571" s="94"/>
      <c r="I571" s="94"/>
      <c r="J571" s="52"/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0</v>
      </c>
      <c r="AF571" s="90">
        <v>6.5000000000000002E-2</v>
      </c>
      <c r="AG571" s="4">
        <f t="shared" si="144"/>
        <v>0</v>
      </c>
      <c r="AH571" s="49">
        <f t="shared" si="145"/>
        <v>0</v>
      </c>
      <c r="AI571" s="89">
        <f t="shared" si="146"/>
        <v>0</v>
      </c>
      <c r="AJ571" s="91">
        <v>0.18</v>
      </c>
      <c r="AK571" s="5">
        <f t="shared" si="147"/>
        <v>0</v>
      </c>
      <c r="AL571" s="89">
        <f t="shared" si="148"/>
        <v>0</v>
      </c>
      <c r="AP571" s="7"/>
    </row>
    <row r="572" spans="1:42" x14ac:dyDescent="0.35">
      <c r="A572" s="85"/>
      <c r="B572" s="51"/>
      <c r="C572" s="97"/>
      <c r="D572" s="97"/>
      <c r="E572" s="48"/>
      <c r="F572" s="94"/>
      <c r="G572" s="94"/>
      <c r="H572" s="94"/>
      <c r="I572" s="94"/>
      <c r="J572" s="52"/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0</v>
      </c>
      <c r="AF572" s="90">
        <v>6.5000000000000002E-2</v>
      </c>
      <c r="AG572" s="4">
        <f t="shared" si="144"/>
        <v>0</v>
      </c>
      <c r="AH572" s="49">
        <f t="shared" si="145"/>
        <v>0</v>
      </c>
      <c r="AI572" s="89">
        <f t="shared" si="146"/>
        <v>0</v>
      </c>
      <c r="AJ572" s="91">
        <v>0.18</v>
      </c>
      <c r="AK572" s="5">
        <f t="shared" si="147"/>
        <v>0</v>
      </c>
      <c r="AL572" s="89">
        <f t="shared" si="148"/>
        <v>0</v>
      </c>
      <c r="AP572" s="7"/>
    </row>
    <row r="573" spans="1:42" x14ac:dyDescent="0.35">
      <c r="A573" s="85"/>
      <c r="B573" s="51"/>
      <c r="C573" s="97"/>
      <c r="D573" s="97"/>
      <c r="E573" s="48"/>
      <c r="F573" s="94"/>
      <c r="G573" s="94"/>
      <c r="H573" s="94"/>
      <c r="I573" s="94"/>
      <c r="J573" s="52"/>
      <c r="K573" s="52"/>
      <c r="L573" s="52"/>
      <c r="M573" s="52"/>
      <c r="N573" s="104">
        <f t="shared" si="141"/>
        <v>0</v>
      </c>
      <c r="O573" s="52"/>
      <c r="P573" s="52"/>
      <c r="Q573" s="52"/>
      <c r="R573" s="104">
        <f t="shared" si="140"/>
        <v>0</v>
      </c>
      <c r="S573" s="86">
        <f t="shared" si="142"/>
        <v>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0</v>
      </c>
      <c r="AF573" s="90">
        <v>6.5000000000000002E-2</v>
      </c>
      <c r="AG573" s="4">
        <f t="shared" si="144"/>
        <v>0</v>
      </c>
      <c r="AH573" s="49">
        <f t="shared" si="145"/>
        <v>0</v>
      </c>
      <c r="AI573" s="89">
        <f t="shared" si="146"/>
        <v>0</v>
      </c>
      <c r="AJ573" s="91">
        <v>0.18</v>
      </c>
      <c r="AK573" s="5">
        <f t="shared" si="147"/>
        <v>0</v>
      </c>
      <c r="AL573" s="89">
        <f t="shared" si="148"/>
        <v>0</v>
      </c>
      <c r="AP573" s="7"/>
    </row>
    <row r="574" spans="1:42" x14ac:dyDescent="0.35">
      <c r="A574" s="85"/>
      <c r="B574" s="51"/>
      <c r="C574" s="97"/>
      <c r="D574" s="97"/>
      <c r="E574" s="48"/>
      <c r="F574" s="94"/>
      <c r="G574" s="94"/>
      <c r="H574" s="94"/>
      <c r="I574" s="94"/>
      <c r="J574" s="52"/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0</v>
      </c>
      <c r="AF574" s="90">
        <v>6.5000000000000002E-2</v>
      </c>
      <c r="AG574" s="4">
        <f t="shared" si="144"/>
        <v>0</v>
      </c>
      <c r="AH574" s="49">
        <f t="shared" si="145"/>
        <v>0</v>
      </c>
      <c r="AI574" s="89">
        <f t="shared" si="146"/>
        <v>0</v>
      </c>
      <c r="AJ574" s="91">
        <v>0.18</v>
      </c>
      <c r="AK574" s="5">
        <f t="shared" si="147"/>
        <v>0</v>
      </c>
      <c r="AL574" s="89">
        <f t="shared" si="148"/>
        <v>0</v>
      </c>
      <c r="AP574" s="7"/>
    </row>
    <row r="575" spans="1:42" x14ac:dyDescent="0.35">
      <c r="A575" s="85"/>
      <c r="B575" s="51"/>
      <c r="C575" s="97"/>
      <c r="D575" s="97"/>
      <c r="E575" s="48"/>
      <c r="F575" s="94"/>
      <c r="G575" s="94"/>
      <c r="H575" s="94"/>
      <c r="I575" s="94"/>
      <c r="J575" s="52"/>
      <c r="K575" s="52"/>
      <c r="L575" s="52"/>
      <c r="M575" s="52"/>
      <c r="N575" s="104">
        <f t="shared" si="141"/>
        <v>0</v>
      </c>
      <c r="O575" s="52"/>
      <c r="P575" s="52"/>
      <c r="Q575" s="52"/>
      <c r="R575" s="104">
        <f t="shared" si="140"/>
        <v>0</v>
      </c>
      <c r="S575" s="86">
        <f t="shared" si="142"/>
        <v>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0</v>
      </c>
      <c r="AF575" s="90">
        <v>6.5000000000000002E-2</v>
      </c>
      <c r="AG575" s="4">
        <f t="shared" si="144"/>
        <v>0</v>
      </c>
      <c r="AH575" s="49">
        <f t="shared" si="145"/>
        <v>0</v>
      </c>
      <c r="AI575" s="89">
        <f t="shared" si="146"/>
        <v>0</v>
      </c>
      <c r="AJ575" s="91">
        <v>0.18</v>
      </c>
      <c r="AK575" s="5">
        <f t="shared" si="147"/>
        <v>0</v>
      </c>
      <c r="AL575" s="89">
        <f t="shared" si="148"/>
        <v>0</v>
      </c>
      <c r="AP575" s="7"/>
    </row>
    <row r="576" spans="1:42" x14ac:dyDescent="0.35">
      <c r="A576" s="85"/>
      <c r="B576" s="51"/>
      <c r="C576" s="97"/>
      <c r="D576" s="97"/>
      <c r="E576" s="48"/>
      <c r="F576" s="94"/>
      <c r="G576" s="94"/>
      <c r="H576" s="94"/>
      <c r="I576" s="94"/>
      <c r="J576" s="52"/>
      <c r="K576" s="52"/>
      <c r="L576" s="52"/>
      <c r="M576" s="52"/>
      <c r="N576" s="104">
        <f t="shared" si="141"/>
        <v>0</v>
      </c>
      <c r="O576" s="52"/>
      <c r="P576" s="52"/>
      <c r="Q576" s="52"/>
      <c r="R576" s="104">
        <f t="shared" si="140"/>
        <v>0</v>
      </c>
      <c r="S576" s="86">
        <f t="shared" si="142"/>
        <v>0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0</v>
      </c>
      <c r="AF576" s="90">
        <v>6.5000000000000002E-2</v>
      </c>
      <c r="AG576" s="4">
        <f t="shared" si="144"/>
        <v>0</v>
      </c>
      <c r="AH576" s="49">
        <f t="shared" si="145"/>
        <v>0</v>
      </c>
      <c r="AI576" s="89">
        <f t="shared" si="146"/>
        <v>0</v>
      </c>
      <c r="AJ576" s="91">
        <v>0.18</v>
      </c>
      <c r="AK576" s="5">
        <f t="shared" si="147"/>
        <v>0</v>
      </c>
      <c r="AL576" s="89">
        <f t="shared" si="148"/>
        <v>0</v>
      </c>
      <c r="AP576" s="7"/>
    </row>
    <row r="577" spans="1:42" x14ac:dyDescent="0.35">
      <c r="A577" s="85"/>
      <c r="B577" s="51"/>
      <c r="C577" s="97"/>
      <c r="D577" s="97"/>
      <c r="E577" s="48"/>
      <c r="F577" s="94"/>
      <c r="G577" s="94"/>
      <c r="H577" s="94"/>
      <c r="I577" s="94"/>
      <c r="J577" s="52"/>
      <c r="K577" s="52"/>
      <c r="L577" s="52"/>
      <c r="M577" s="52"/>
      <c r="N577" s="104">
        <f t="shared" si="141"/>
        <v>0</v>
      </c>
      <c r="O577" s="52"/>
      <c r="P577" s="52"/>
      <c r="Q577" s="52"/>
      <c r="R577" s="104">
        <f t="shared" si="140"/>
        <v>0</v>
      </c>
      <c r="S577" s="86">
        <f t="shared" si="142"/>
        <v>0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0</v>
      </c>
      <c r="AF577" s="90">
        <v>6.5000000000000002E-2</v>
      </c>
      <c r="AG577" s="4">
        <f t="shared" si="144"/>
        <v>0</v>
      </c>
      <c r="AH577" s="49">
        <f t="shared" si="145"/>
        <v>0</v>
      </c>
      <c r="AI577" s="89">
        <f t="shared" si="146"/>
        <v>0</v>
      </c>
      <c r="AJ577" s="91">
        <v>0.18</v>
      </c>
      <c r="AK577" s="5">
        <f t="shared" si="147"/>
        <v>0</v>
      </c>
      <c r="AL577" s="89">
        <f t="shared" si="148"/>
        <v>0</v>
      </c>
      <c r="AP577" s="7"/>
    </row>
    <row r="578" spans="1:42" x14ac:dyDescent="0.35">
      <c r="A578" s="85"/>
      <c r="B578" s="51"/>
      <c r="C578" s="97"/>
      <c r="D578" s="97"/>
      <c r="E578" s="48"/>
      <c r="F578" s="94"/>
      <c r="G578" s="94"/>
      <c r="H578" s="94"/>
      <c r="I578" s="94"/>
      <c r="J578" s="52"/>
      <c r="K578" s="52"/>
      <c r="L578" s="52"/>
      <c r="M578" s="52"/>
      <c r="N578" s="104">
        <f t="shared" si="141"/>
        <v>0</v>
      </c>
      <c r="O578" s="52"/>
      <c r="P578" s="52"/>
      <c r="Q578" s="52"/>
      <c r="R578" s="104">
        <f t="shared" si="140"/>
        <v>0</v>
      </c>
      <c r="S578" s="86">
        <f t="shared" si="142"/>
        <v>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0</v>
      </c>
      <c r="AF578" s="90">
        <v>6.5000000000000002E-2</v>
      </c>
      <c r="AG578" s="4">
        <f t="shared" si="144"/>
        <v>0</v>
      </c>
      <c r="AH578" s="49">
        <f t="shared" si="145"/>
        <v>0</v>
      </c>
      <c r="AI578" s="89">
        <f t="shared" si="146"/>
        <v>0</v>
      </c>
      <c r="AJ578" s="91">
        <v>0.18</v>
      </c>
      <c r="AK578" s="5">
        <f t="shared" si="147"/>
        <v>0</v>
      </c>
      <c r="AL578" s="89">
        <f t="shared" si="148"/>
        <v>0</v>
      </c>
      <c r="AP578" s="7"/>
    </row>
    <row r="579" spans="1:42" x14ac:dyDescent="0.35">
      <c r="A579" s="85"/>
      <c r="B579" s="51"/>
      <c r="C579" s="97"/>
      <c r="D579" s="97"/>
      <c r="E579" s="48"/>
      <c r="F579" s="94"/>
      <c r="G579" s="94"/>
      <c r="H579" s="94"/>
      <c r="I579" s="94"/>
      <c r="J579" s="52"/>
      <c r="K579" s="52"/>
      <c r="L579" s="52"/>
      <c r="M579" s="52"/>
      <c r="N579" s="104">
        <f t="shared" si="141"/>
        <v>0</v>
      </c>
      <c r="O579" s="52"/>
      <c r="P579" s="52"/>
      <c r="Q579" s="52"/>
      <c r="R579" s="104">
        <f t="shared" si="140"/>
        <v>0</v>
      </c>
      <c r="S579" s="86">
        <f t="shared" si="142"/>
        <v>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0</v>
      </c>
      <c r="AF579" s="90">
        <v>6.5000000000000002E-2</v>
      </c>
      <c r="AG579" s="4">
        <f t="shared" si="144"/>
        <v>0</v>
      </c>
      <c r="AH579" s="49">
        <f t="shared" si="145"/>
        <v>0</v>
      </c>
      <c r="AI579" s="89">
        <f t="shared" si="146"/>
        <v>0</v>
      </c>
      <c r="AJ579" s="91">
        <v>0.18</v>
      </c>
      <c r="AK579" s="5">
        <f t="shared" si="147"/>
        <v>0</v>
      </c>
      <c r="AL579" s="89">
        <f t="shared" si="148"/>
        <v>0</v>
      </c>
      <c r="AP579" s="7"/>
    </row>
    <row r="580" spans="1:42" x14ac:dyDescent="0.35">
      <c r="A580" s="85"/>
      <c r="B580" s="51"/>
      <c r="C580" s="97"/>
      <c r="D580" s="97"/>
      <c r="E580" s="48"/>
      <c r="F580" s="94"/>
      <c r="G580" s="94"/>
      <c r="H580" s="94"/>
      <c r="I580" s="94"/>
      <c r="J580" s="52"/>
      <c r="K580" s="52"/>
      <c r="L580" s="52"/>
      <c r="M580" s="52"/>
      <c r="N580" s="104">
        <f t="shared" si="141"/>
        <v>0</v>
      </c>
      <c r="O580" s="52"/>
      <c r="P580" s="52"/>
      <c r="Q580" s="52"/>
      <c r="R580" s="104">
        <f t="shared" ref="R580:R643" si="149">SUM(O580:Q580)</f>
        <v>0</v>
      </c>
      <c r="S580" s="86">
        <f t="shared" si="142"/>
        <v>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0</v>
      </c>
      <c r="AF580" s="90">
        <v>6.5000000000000002E-2</v>
      </c>
      <c r="AG580" s="4">
        <f t="shared" si="144"/>
        <v>0</v>
      </c>
      <c r="AH580" s="49">
        <f t="shared" si="145"/>
        <v>0</v>
      </c>
      <c r="AI580" s="89">
        <f t="shared" si="146"/>
        <v>0</v>
      </c>
      <c r="AJ580" s="91">
        <v>0.18</v>
      </c>
      <c r="AK580" s="5">
        <f t="shared" si="147"/>
        <v>0</v>
      </c>
      <c r="AL580" s="89">
        <f t="shared" si="148"/>
        <v>0</v>
      </c>
      <c r="AP580" s="7"/>
    </row>
    <row r="581" spans="1:42" x14ac:dyDescent="0.35">
      <c r="A581" s="85"/>
      <c r="B581" s="51"/>
      <c r="C581" s="97"/>
      <c r="D581" s="97"/>
      <c r="E581" s="48"/>
      <c r="F581" s="94"/>
      <c r="G581" s="94"/>
      <c r="H581" s="94"/>
      <c r="I581" s="94"/>
      <c r="J581" s="52"/>
      <c r="K581" s="52"/>
      <c r="L581" s="52"/>
      <c r="M581" s="52"/>
      <c r="N581" s="104">
        <f t="shared" ref="N581:N644" si="150">K581+L581+M581</f>
        <v>0</v>
      </c>
      <c r="O581" s="52"/>
      <c r="P581" s="52"/>
      <c r="Q581" s="52"/>
      <c r="R581" s="104">
        <f t="shared" si="149"/>
        <v>0</v>
      </c>
      <c r="S581" s="86">
        <f t="shared" ref="S581:S644" si="151">R581+N581+J581</f>
        <v>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0</v>
      </c>
      <c r="AF581" s="90">
        <v>6.5000000000000002E-2</v>
      </c>
      <c r="AG581" s="4">
        <f t="shared" si="144"/>
        <v>0</v>
      </c>
      <c r="AH581" s="49">
        <f t="shared" si="145"/>
        <v>0</v>
      </c>
      <c r="AI581" s="89">
        <f t="shared" si="146"/>
        <v>0</v>
      </c>
      <c r="AJ581" s="91">
        <v>0.18</v>
      </c>
      <c r="AK581" s="5">
        <f t="shared" si="147"/>
        <v>0</v>
      </c>
      <c r="AL581" s="89">
        <f t="shared" si="148"/>
        <v>0</v>
      </c>
      <c r="AP581" s="7"/>
    </row>
    <row r="582" spans="1:42" x14ac:dyDescent="0.35">
      <c r="A582" s="85"/>
      <c r="B582" s="51"/>
      <c r="C582" s="97"/>
      <c r="D582" s="97"/>
      <c r="E582" s="48"/>
      <c r="F582" s="94"/>
      <c r="G582" s="94"/>
      <c r="H582" s="94"/>
      <c r="I582" s="94"/>
      <c r="J582" s="52"/>
      <c r="K582" s="52"/>
      <c r="L582" s="52"/>
      <c r="M582" s="52"/>
      <c r="N582" s="104">
        <f t="shared" si="150"/>
        <v>0</v>
      </c>
      <c r="O582" s="52"/>
      <c r="P582" s="52"/>
      <c r="Q582" s="52"/>
      <c r="R582" s="104">
        <f t="shared" si="149"/>
        <v>0</v>
      </c>
      <c r="S582" s="86">
        <f t="shared" si="151"/>
        <v>0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0</v>
      </c>
      <c r="AF582" s="90">
        <v>6.5000000000000002E-2</v>
      </c>
      <c r="AG582" s="4">
        <f t="shared" si="144"/>
        <v>0</v>
      </c>
      <c r="AH582" s="49">
        <f t="shared" si="145"/>
        <v>0</v>
      </c>
      <c r="AI582" s="89">
        <f t="shared" si="146"/>
        <v>0</v>
      </c>
      <c r="AJ582" s="91">
        <v>0.18</v>
      </c>
      <c r="AK582" s="5">
        <f t="shared" si="147"/>
        <v>0</v>
      </c>
      <c r="AL582" s="89">
        <f t="shared" si="148"/>
        <v>0</v>
      </c>
      <c r="AP582" s="7"/>
    </row>
    <row r="583" spans="1:42" x14ac:dyDescent="0.35">
      <c r="A583" s="85"/>
      <c r="B583" s="51"/>
      <c r="C583" s="97"/>
      <c r="D583" s="97"/>
      <c r="E583" s="48"/>
      <c r="F583" s="94"/>
      <c r="G583" s="94"/>
      <c r="H583" s="94"/>
      <c r="I583" s="94"/>
      <c r="J583" s="52"/>
      <c r="K583" s="52"/>
      <c r="L583" s="52"/>
      <c r="M583" s="52"/>
      <c r="N583" s="104">
        <f t="shared" si="150"/>
        <v>0</v>
      </c>
      <c r="O583" s="52"/>
      <c r="P583" s="52"/>
      <c r="Q583" s="52"/>
      <c r="R583" s="104">
        <f t="shared" si="149"/>
        <v>0</v>
      </c>
      <c r="S583" s="86">
        <f t="shared" si="151"/>
        <v>0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0</v>
      </c>
      <c r="AF583" s="90">
        <v>6.5000000000000002E-2</v>
      </c>
      <c r="AG583" s="4">
        <f t="shared" si="144"/>
        <v>0</v>
      </c>
      <c r="AH583" s="49">
        <f t="shared" si="145"/>
        <v>0</v>
      </c>
      <c r="AI583" s="89">
        <f t="shared" si="146"/>
        <v>0</v>
      </c>
      <c r="AJ583" s="91">
        <v>0.18</v>
      </c>
      <c r="AK583" s="5">
        <f t="shared" si="147"/>
        <v>0</v>
      </c>
      <c r="AL583" s="89">
        <f t="shared" si="148"/>
        <v>0</v>
      </c>
      <c r="AP583" s="7"/>
    </row>
    <row r="584" spans="1:42" x14ac:dyDescent="0.35">
      <c r="A584" s="85"/>
      <c r="B584" s="51"/>
      <c r="C584" s="97"/>
      <c r="D584" s="97"/>
      <c r="E584" s="48"/>
      <c r="F584" s="94"/>
      <c r="G584" s="94"/>
      <c r="H584" s="94"/>
      <c r="I584" s="94"/>
      <c r="J584" s="52"/>
      <c r="K584" s="52"/>
      <c r="L584" s="52"/>
      <c r="M584" s="52"/>
      <c r="N584" s="104">
        <f t="shared" si="150"/>
        <v>0</v>
      </c>
      <c r="O584" s="52"/>
      <c r="P584" s="52"/>
      <c r="Q584" s="52"/>
      <c r="R584" s="104">
        <f t="shared" si="149"/>
        <v>0</v>
      </c>
      <c r="S584" s="86">
        <f t="shared" si="151"/>
        <v>0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0</v>
      </c>
      <c r="AF584" s="90">
        <v>6.5000000000000002E-2</v>
      </c>
      <c r="AG584" s="4">
        <f t="shared" si="144"/>
        <v>0</v>
      </c>
      <c r="AH584" s="49">
        <f t="shared" si="145"/>
        <v>0</v>
      </c>
      <c r="AI584" s="89">
        <f t="shared" si="146"/>
        <v>0</v>
      </c>
      <c r="AJ584" s="91">
        <v>0.18</v>
      </c>
      <c r="AK584" s="5">
        <f t="shared" si="147"/>
        <v>0</v>
      </c>
      <c r="AL584" s="89">
        <f t="shared" si="148"/>
        <v>0</v>
      </c>
      <c r="AP584" s="7"/>
    </row>
    <row r="585" spans="1:42" x14ac:dyDescent="0.35">
      <c r="A585" s="85"/>
      <c r="B585" s="51"/>
      <c r="C585" s="97"/>
      <c r="D585" s="97"/>
      <c r="E585" s="48"/>
      <c r="F585" s="94"/>
      <c r="G585" s="94"/>
      <c r="H585" s="94"/>
      <c r="I585" s="94"/>
      <c r="J585" s="52"/>
      <c r="K585" s="52"/>
      <c r="L585" s="52"/>
      <c r="M585" s="52"/>
      <c r="N585" s="104">
        <f t="shared" si="150"/>
        <v>0</v>
      </c>
      <c r="O585" s="52"/>
      <c r="P585" s="52"/>
      <c r="Q585" s="52"/>
      <c r="R585" s="104">
        <f t="shared" si="149"/>
        <v>0</v>
      </c>
      <c r="S585" s="86">
        <f t="shared" si="151"/>
        <v>0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0</v>
      </c>
      <c r="AF585" s="90">
        <v>6.5000000000000002E-2</v>
      </c>
      <c r="AG585" s="4">
        <f t="shared" si="144"/>
        <v>0</v>
      </c>
      <c r="AH585" s="49">
        <f t="shared" si="145"/>
        <v>0</v>
      </c>
      <c r="AI585" s="89">
        <f t="shared" si="146"/>
        <v>0</v>
      </c>
      <c r="AJ585" s="91">
        <v>0.18</v>
      </c>
      <c r="AK585" s="5">
        <f t="shared" si="147"/>
        <v>0</v>
      </c>
      <c r="AL585" s="89">
        <f t="shared" si="148"/>
        <v>0</v>
      </c>
      <c r="AP585" s="7"/>
    </row>
    <row r="586" spans="1:42" x14ac:dyDescent="0.35">
      <c r="A586" s="85"/>
      <c r="B586" s="51"/>
      <c r="C586" s="97"/>
      <c r="D586" s="97"/>
      <c r="E586" s="48"/>
      <c r="F586" s="94"/>
      <c r="G586" s="94"/>
      <c r="H586" s="94"/>
      <c r="I586" s="94"/>
      <c r="J586" s="52"/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0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0</v>
      </c>
      <c r="AF586" s="90">
        <v>6.5000000000000002E-2</v>
      </c>
      <c r="AG586" s="4">
        <f t="shared" si="144"/>
        <v>0</v>
      </c>
      <c r="AH586" s="49">
        <f t="shared" si="145"/>
        <v>0</v>
      </c>
      <c r="AI586" s="89">
        <f t="shared" si="146"/>
        <v>0</v>
      </c>
      <c r="AJ586" s="91">
        <v>0.18</v>
      </c>
      <c r="AK586" s="5">
        <f t="shared" si="147"/>
        <v>0</v>
      </c>
      <c r="AL586" s="89">
        <f t="shared" si="148"/>
        <v>0</v>
      </c>
      <c r="AP586" s="7"/>
    </row>
    <row r="587" spans="1:42" x14ac:dyDescent="0.35">
      <c r="A587" s="85"/>
      <c r="B587" s="51"/>
      <c r="C587" s="97"/>
      <c r="D587" s="97"/>
      <c r="E587" s="48"/>
      <c r="F587" s="94"/>
      <c r="G587" s="94"/>
      <c r="H587" s="94"/>
      <c r="I587" s="94"/>
      <c r="J587" s="52"/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0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0</v>
      </c>
      <c r="AF587" s="90">
        <v>6.5000000000000002E-2</v>
      </c>
      <c r="AG587" s="4">
        <f t="shared" si="144"/>
        <v>0</v>
      </c>
      <c r="AH587" s="49">
        <f t="shared" si="145"/>
        <v>0</v>
      </c>
      <c r="AI587" s="89">
        <f t="shared" si="146"/>
        <v>0</v>
      </c>
      <c r="AJ587" s="91">
        <v>0.18</v>
      </c>
      <c r="AK587" s="5">
        <f t="shared" si="147"/>
        <v>0</v>
      </c>
      <c r="AL587" s="89">
        <f t="shared" si="148"/>
        <v>0</v>
      </c>
      <c r="AP587" s="7"/>
    </row>
    <row r="588" spans="1:42" x14ac:dyDescent="0.35">
      <c r="A588" s="85"/>
      <c r="B588" s="51"/>
      <c r="C588" s="97"/>
      <c r="D588" s="97"/>
      <c r="E588" s="48"/>
      <c r="F588" s="94"/>
      <c r="G588" s="94"/>
      <c r="H588" s="94"/>
      <c r="I588" s="94"/>
      <c r="J588" s="52"/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/>
      <c r="B589" s="51"/>
      <c r="C589" s="97"/>
      <c r="D589" s="97"/>
      <c r="E589" s="48"/>
      <c r="F589" s="94"/>
      <c r="G589" s="94"/>
      <c r="H589" s="94"/>
      <c r="I589" s="94"/>
      <c r="J589" s="52"/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/>
      <c r="B590" s="51"/>
      <c r="C590" s="97"/>
      <c r="D590" s="97"/>
      <c r="E590" s="48"/>
      <c r="F590" s="94"/>
      <c r="G590" s="94"/>
      <c r="H590" s="94"/>
      <c r="I590" s="94"/>
      <c r="J590" s="52"/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/>
      <c r="B591" s="51"/>
      <c r="C591" s="97"/>
      <c r="D591" s="97"/>
      <c r="E591" s="48"/>
      <c r="F591" s="94"/>
      <c r="G591" s="94"/>
      <c r="H591" s="94"/>
      <c r="I591" s="94"/>
      <c r="J591" s="52"/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/>
      <c r="B592" s="51"/>
      <c r="C592" s="97"/>
      <c r="D592" s="97"/>
      <c r="E592" s="48"/>
      <c r="F592" s="94"/>
      <c r="G592" s="94"/>
      <c r="H592" s="94"/>
      <c r="I592" s="94"/>
      <c r="J592" s="52"/>
      <c r="K592" s="52"/>
      <c r="L592" s="52"/>
      <c r="M592" s="52"/>
      <c r="N592" s="104">
        <f t="shared" si="150"/>
        <v>0</v>
      </c>
      <c r="O592" s="52"/>
      <c r="P592" s="52"/>
      <c r="Q592" s="52"/>
      <c r="R592" s="104">
        <f t="shared" si="149"/>
        <v>0</v>
      </c>
      <c r="S592" s="86">
        <f t="shared" si="151"/>
        <v>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/>
      <c r="B593" s="51"/>
      <c r="C593" s="97"/>
      <c r="D593" s="97"/>
      <c r="E593" s="48"/>
      <c r="F593" s="94"/>
      <c r="G593" s="94"/>
      <c r="H593" s="94"/>
      <c r="I593" s="94"/>
      <c r="J593" s="52"/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0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/>
      <c r="B594" s="51"/>
      <c r="C594" s="97"/>
      <c r="D594" s="97"/>
      <c r="E594" s="48"/>
      <c r="F594" s="94"/>
      <c r="G594" s="94"/>
      <c r="H594" s="94"/>
      <c r="I594" s="94"/>
      <c r="J594" s="52"/>
      <c r="K594" s="52"/>
      <c r="L594" s="52"/>
      <c r="M594" s="52"/>
      <c r="N594" s="104">
        <f t="shared" si="150"/>
        <v>0</v>
      </c>
      <c r="O594" s="52"/>
      <c r="P594" s="52"/>
      <c r="Q594" s="52"/>
      <c r="R594" s="104">
        <f t="shared" si="149"/>
        <v>0</v>
      </c>
      <c r="S594" s="86">
        <f t="shared" si="151"/>
        <v>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/>
      <c r="B595" s="51"/>
      <c r="C595" s="97"/>
      <c r="D595" s="97"/>
      <c r="E595" s="48"/>
      <c r="F595" s="94"/>
      <c r="G595" s="94"/>
      <c r="H595" s="94"/>
      <c r="I595" s="94"/>
      <c r="J595" s="52"/>
      <c r="K595" s="52"/>
      <c r="L595" s="52"/>
      <c r="M595" s="52"/>
      <c r="N595" s="104">
        <f t="shared" si="150"/>
        <v>0</v>
      </c>
      <c r="O595" s="52"/>
      <c r="P595" s="52"/>
      <c r="Q595" s="52"/>
      <c r="R595" s="104">
        <f t="shared" si="149"/>
        <v>0</v>
      </c>
      <c r="S595" s="86">
        <f t="shared" si="151"/>
        <v>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/>
      <c r="B596" s="51"/>
      <c r="C596" s="97"/>
      <c r="D596" s="97"/>
      <c r="E596" s="48"/>
      <c r="F596" s="94"/>
      <c r="G596" s="94"/>
      <c r="H596" s="94"/>
      <c r="I596" s="94"/>
      <c r="J596" s="52"/>
      <c r="K596" s="52"/>
      <c r="L596" s="52"/>
      <c r="M596" s="52"/>
      <c r="N596" s="104">
        <f t="shared" si="150"/>
        <v>0</v>
      </c>
      <c r="O596" s="52"/>
      <c r="P596" s="52"/>
      <c r="Q596" s="52"/>
      <c r="R596" s="104">
        <f t="shared" si="149"/>
        <v>0</v>
      </c>
      <c r="S596" s="86">
        <f t="shared" si="151"/>
        <v>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/>
      <c r="B597" s="51"/>
      <c r="C597" s="97"/>
      <c r="D597" s="97"/>
      <c r="E597" s="48"/>
      <c r="F597" s="94"/>
      <c r="G597" s="94"/>
      <c r="H597" s="94"/>
      <c r="I597" s="94"/>
      <c r="J597" s="52"/>
      <c r="K597" s="52"/>
      <c r="L597" s="52"/>
      <c r="M597" s="52"/>
      <c r="N597" s="104">
        <f t="shared" si="150"/>
        <v>0</v>
      </c>
      <c r="O597" s="52"/>
      <c r="P597" s="52"/>
      <c r="Q597" s="52"/>
      <c r="R597" s="104">
        <f t="shared" si="149"/>
        <v>0</v>
      </c>
      <c r="S597" s="86">
        <f t="shared" si="151"/>
        <v>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/>
      <c r="B598" s="51"/>
      <c r="C598" s="97"/>
      <c r="D598" s="97"/>
      <c r="E598" s="48"/>
      <c r="F598" s="94"/>
      <c r="G598" s="94"/>
      <c r="H598" s="94"/>
      <c r="I598" s="94"/>
      <c r="J598" s="52"/>
      <c r="K598" s="52"/>
      <c r="L598" s="52"/>
      <c r="M598" s="52"/>
      <c r="N598" s="104">
        <f t="shared" si="150"/>
        <v>0</v>
      </c>
      <c r="O598" s="52"/>
      <c r="P598" s="52"/>
      <c r="Q598" s="52"/>
      <c r="R598" s="104">
        <f t="shared" si="149"/>
        <v>0</v>
      </c>
      <c r="S598" s="86">
        <f t="shared" si="151"/>
        <v>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/>
      <c r="B599" s="51"/>
      <c r="C599" s="97"/>
      <c r="D599" s="97"/>
      <c r="E599" s="48"/>
      <c r="F599" s="94"/>
      <c r="G599" s="94"/>
      <c r="H599" s="94"/>
      <c r="I599" s="94"/>
      <c r="J599" s="52"/>
      <c r="K599" s="52"/>
      <c r="L599" s="52"/>
      <c r="M599" s="52"/>
      <c r="N599" s="104">
        <f t="shared" si="150"/>
        <v>0</v>
      </c>
      <c r="O599" s="52"/>
      <c r="P599" s="52"/>
      <c r="Q599" s="52"/>
      <c r="R599" s="104">
        <f t="shared" si="149"/>
        <v>0</v>
      </c>
      <c r="S599" s="86">
        <f t="shared" si="151"/>
        <v>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/>
      <c r="B600" s="51"/>
      <c r="C600" s="97"/>
      <c r="D600" s="97"/>
      <c r="E600" s="48"/>
      <c r="F600" s="94"/>
      <c r="G600" s="94"/>
      <c r="H600" s="94"/>
      <c r="I600" s="94"/>
      <c r="J600" s="52"/>
      <c r="K600" s="52"/>
      <c r="L600" s="52"/>
      <c r="M600" s="52"/>
      <c r="N600" s="104">
        <f t="shared" si="150"/>
        <v>0</v>
      </c>
      <c r="O600" s="52"/>
      <c r="P600" s="52"/>
      <c r="Q600" s="52"/>
      <c r="R600" s="104">
        <f t="shared" si="149"/>
        <v>0</v>
      </c>
      <c r="S600" s="86">
        <f t="shared" si="151"/>
        <v>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/>
      <c r="B601" s="51"/>
      <c r="C601" s="97"/>
      <c r="D601" s="97"/>
      <c r="E601" s="48"/>
      <c r="F601" s="94"/>
      <c r="G601" s="94"/>
      <c r="H601" s="94"/>
      <c r="I601" s="94"/>
      <c r="J601" s="52"/>
      <c r="K601" s="52"/>
      <c r="L601" s="52"/>
      <c r="M601" s="52"/>
      <c r="N601" s="104">
        <f t="shared" si="150"/>
        <v>0</v>
      </c>
      <c r="O601" s="52"/>
      <c r="P601" s="52"/>
      <c r="Q601" s="52"/>
      <c r="R601" s="104">
        <f t="shared" si="149"/>
        <v>0</v>
      </c>
      <c r="S601" s="86">
        <f t="shared" si="151"/>
        <v>0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/>
      <c r="B602" s="51"/>
      <c r="C602" s="97"/>
      <c r="D602" s="97"/>
      <c r="E602" s="48"/>
      <c r="F602" s="94"/>
      <c r="G602" s="94"/>
      <c r="H602" s="94"/>
      <c r="I602" s="94"/>
      <c r="J602" s="52"/>
      <c r="K602" s="52"/>
      <c r="L602" s="52"/>
      <c r="M602" s="52"/>
      <c r="N602" s="104">
        <f t="shared" si="150"/>
        <v>0</v>
      </c>
      <c r="O602" s="52"/>
      <c r="P602" s="52"/>
      <c r="Q602" s="52"/>
      <c r="R602" s="104">
        <f t="shared" si="149"/>
        <v>0</v>
      </c>
      <c r="S602" s="86">
        <f t="shared" si="151"/>
        <v>0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/>
      <c r="B603" s="51"/>
      <c r="C603" s="97"/>
      <c r="D603" s="97"/>
      <c r="E603" s="48"/>
      <c r="F603" s="94"/>
      <c r="G603" s="94"/>
      <c r="H603" s="94"/>
      <c r="I603" s="94"/>
      <c r="J603" s="52"/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0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/>
      <c r="B604" s="51"/>
      <c r="C604" s="97"/>
      <c r="D604" s="97"/>
      <c r="E604" s="48"/>
      <c r="F604" s="94"/>
      <c r="G604" s="94"/>
      <c r="H604" s="94"/>
      <c r="I604" s="94"/>
      <c r="J604" s="52"/>
      <c r="K604" s="52"/>
      <c r="L604" s="52"/>
      <c r="M604" s="52"/>
      <c r="N604" s="104">
        <f t="shared" si="150"/>
        <v>0</v>
      </c>
      <c r="O604" s="52"/>
      <c r="P604" s="52"/>
      <c r="Q604" s="52"/>
      <c r="R604" s="104">
        <f t="shared" si="149"/>
        <v>0</v>
      </c>
      <c r="S604" s="86">
        <f t="shared" si="151"/>
        <v>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/>
      <c r="B605" s="51"/>
      <c r="C605" s="97"/>
      <c r="D605" s="97"/>
      <c r="E605" s="48"/>
      <c r="F605" s="94"/>
      <c r="G605" s="94"/>
      <c r="H605" s="94"/>
      <c r="I605" s="94"/>
      <c r="J605" s="52"/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/>
      <c r="B606" s="51"/>
      <c r="C606" s="97"/>
      <c r="D606" s="97"/>
      <c r="E606" s="48"/>
      <c r="F606" s="94"/>
      <c r="G606" s="94"/>
      <c r="H606" s="94"/>
      <c r="I606" s="94"/>
      <c r="J606" s="52"/>
      <c r="K606" s="52"/>
      <c r="L606" s="52"/>
      <c r="M606" s="52"/>
      <c r="N606" s="104">
        <f t="shared" si="150"/>
        <v>0</v>
      </c>
      <c r="O606" s="52"/>
      <c r="P606" s="52"/>
      <c r="Q606" s="52"/>
      <c r="R606" s="104">
        <f t="shared" si="149"/>
        <v>0</v>
      </c>
      <c r="S606" s="86">
        <f t="shared" si="151"/>
        <v>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/>
      <c r="B607" s="51"/>
      <c r="C607" s="97"/>
      <c r="D607" s="97"/>
      <c r="E607" s="48"/>
      <c r="F607" s="94"/>
      <c r="G607" s="94"/>
      <c r="H607" s="94"/>
      <c r="I607" s="94"/>
      <c r="J607" s="52"/>
      <c r="K607" s="52"/>
      <c r="L607" s="52"/>
      <c r="M607" s="52"/>
      <c r="N607" s="104">
        <f t="shared" si="150"/>
        <v>0</v>
      </c>
      <c r="O607" s="52"/>
      <c r="P607" s="52"/>
      <c r="Q607" s="52"/>
      <c r="R607" s="104">
        <f t="shared" si="149"/>
        <v>0</v>
      </c>
      <c r="S607" s="86">
        <f t="shared" si="151"/>
        <v>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/>
      <c r="B608" s="51"/>
      <c r="C608" s="97"/>
      <c r="D608" s="97"/>
      <c r="E608" s="48"/>
      <c r="F608" s="94"/>
      <c r="G608" s="94"/>
      <c r="H608" s="94"/>
      <c r="I608" s="94"/>
      <c r="J608" s="52"/>
      <c r="K608" s="52"/>
      <c r="L608" s="52"/>
      <c r="M608" s="52"/>
      <c r="N608" s="104">
        <f t="shared" si="150"/>
        <v>0</v>
      </c>
      <c r="O608" s="52"/>
      <c r="P608" s="52"/>
      <c r="Q608" s="52"/>
      <c r="R608" s="104">
        <f t="shared" si="149"/>
        <v>0</v>
      </c>
      <c r="S608" s="86">
        <f t="shared" si="151"/>
        <v>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/>
      <c r="B609" s="51"/>
      <c r="C609" s="97"/>
      <c r="D609" s="97"/>
      <c r="E609" s="48"/>
      <c r="F609" s="94"/>
      <c r="G609" s="94"/>
      <c r="H609" s="94"/>
      <c r="I609" s="94"/>
      <c r="J609" s="52"/>
      <c r="K609" s="52"/>
      <c r="L609" s="52"/>
      <c r="M609" s="52"/>
      <c r="N609" s="104">
        <f t="shared" si="150"/>
        <v>0</v>
      </c>
      <c r="O609" s="52"/>
      <c r="P609" s="52"/>
      <c r="Q609" s="52"/>
      <c r="R609" s="104">
        <f t="shared" si="149"/>
        <v>0</v>
      </c>
      <c r="S609" s="86">
        <f t="shared" si="151"/>
        <v>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/>
      <c r="B610" s="51"/>
      <c r="C610" s="97"/>
      <c r="D610" s="97"/>
      <c r="E610" s="48"/>
      <c r="F610" s="94"/>
      <c r="G610" s="94"/>
      <c r="H610" s="94"/>
      <c r="I610" s="94"/>
      <c r="J610" s="52"/>
      <c r="K610" s="52"/>
      <c r="L610" s="52"/>
      <c r="M610" s="52"/>
      <c r="N610" s="104">
        <f t="shared" si="150"/>
        <v>0</v>
      </c>
      <c r="O610" s="52"/>
      <c r="P610" s="52"/>
      <c r="Q610" s="52"/>
      <c r="R610" s="104">
        <f t="shared" si="149"/>
        <v>0</v>
      </c>
      <c r="S610" s="86">
        <f t="shared" si="151"/>
        <v>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/>
      <c r="B611" s="51"/>
      <c r="C611" s="97"/>
      <c r="D611" s="97"/>
      <c r="E611" s="48"/>
      <c r="F611" s="94"/>
      <c r="G611" s="94"/>
      <c r="H611" s="94"/>
      <c r="I611" s="94"/>
      <c r="J611" s="52"/>
      <c r="K611" s="52"/>
      <c r="L611" s="52"/>
      <c r="M611" s="52"/>
      <c r="N611" s="104">
        <f t="shared" si="150"/>
        <v>0</v>
      </c>
      <c r="O611" s="52"/>
      <c r="P611" s="52"/>
      <c r="Q611" s="52"/>
      <c r="R611" s="104">
        <f t="shared" si="149"/>
        <v>0</v>
      </c>
      <c r="S611" s="86">
        <f t="shared" si="151"/>
        <v>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/>
      <c r="B612" s="51"/>
      <c r="C612" s="97"/>
      <c r="D612" s="97"/>
      <c r="E612" s="48"/>
      <c r="F612" s="94"/>
      <c r="G612" s="94"/>
      <c r="H612" s="94"/>
      <c r="I612" s="94"/>
      <c r="J612" s="52"/>
      <c r="K612" s="52"/>
      <c r="L612" s="52"/>
      <c r="M612" s="52"/>
      <c r="N612" s="104">
        <f t="shared" si="150"/>
        <v>0</v>
      </c>
      <c r="O612" s="52"/>
      <c r="P612" s="52"/>
      <c r="Q612" s="52"/>
      <c r="R612" s="104">
        <f t="shared" si="149"/>
        <v>0</v>
      </c>
      <c r="S612" s="86">
        <f t="shared" si="151"/>
        <v>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/>
      <c r="B613" s="51"/>
      <c r="C613" s="97"/>
      <c r="D613" s="97"/>
      <c r="E613" s="48"/>
      <c r="F613" s="94"/>
      <c r="G613" s="94"/>
      <c r="H613" s="94"/>
      <c r="I613" s="94"/>
      <c r="J613" s="52"/>
      <c r="K613" s="52"/>
      <c r="L613" s="52"/>
      <c r="M613" s="52"/>
      <c r="N613" s="104">
        <f t="shared" si="150"/>
        <v>0</v>
      </c>
      <c r="O613" s="52"/>
      <c r="P613" s="52"/>
      <c r="Q613" s="52"/>
      <c r="R613" s="104">
        <f t="shared" si="149"/>
        <v>0</v>
      </c>
      <c r="S613" s="86">
        <f t="shared" si="151"/>
        <v>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/>
      <c r="B614" s="51"/>
      <c r="C614" s="97"/>
      <c r="D614" s="97"/>
      <c r="E614" s="48"/>
      <c r="F614" s="94"/>
      <c r="G614" s="94"/>
      <c r="H614" s="94"/>
      <c r="I614" s="94"/>
      <c r="J614" s="52"/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/>
      <c r="B615" s="51"/>
      <c r="C615" s="97"/>
      <c r="D615" s="97"/>
      <c r="E615" s="48"/>
      <c r="F615" s="94"/>
      <c r="G615" s="94"/>
      <c r="H615" s="94"/>
      <c r="I615" s="94"/>
      <c r="J615" s="52"/>
      <c r="K615" s="52"/>
      <c r="L615" s="52"/>
      <c r="M615" s="52"/>
      <c r="N615" s="104">
        <f t="shared" si="150"/>
        <v>0</v>
      </c>
      <c r="O615" s="52"/>
      <c r="P615" s="52"/>
      <c r="Q615" s="52"/>
      <c r="R615" s="104">
        <f t="shared" si="149"/>
        <v>0</v>
      </c>
      <c r="S615" s="86">
        <f t="shared" si="151"/>
        <v>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/>
      <c r="B616" s="51"/>
      <c r="C616" s="97"/>
      <c r="D616" s="97"/>
      <c r="E616" s="48"/>
      <c r="F616" s="94"/>
      <c r="G616" s="94"/>
      <c r="H616" s="94"/>
      <c r="I616" s="94"/>
      <c r="J616" s="52"/>
      <c r="K616" s="52"/>
      <c r="L616" s="52"/>
      <c r="M616" s="52"/>
      <c r="N616" s="104">
        <f t="shared" si="150"/>
        <v>0</v>
      </c>
      <c r="O616" s="52"/>
      <c r="P616" s="52"/>
      <c r="Q616" s="52"/>
      <c r="R616" s="104">
        <f t="shared" si="149"/>
        <v>0</v>
      </c>
      <c r="S616" s="86">
        <f t="shared" si="151"/>
        <v>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/>
      <c r="B617" s="51"/>
      <c r="C617" s="97"/>
      <c r="D617" s="97"/>
      <c r="E617" s="48"/>
      <c r="F617" s="94"/>
      <c r="G617" s="94"/>
      <c r="H617" s="94"/>
      <c r="I617" s="94"/>
      <c r="J617" s="52"/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0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/>
      <c r="B618" s="51"/>
      <c r="C618" s="97"/>
      <c r="D618" s="97"/>
      <c r="E618" s="48"/>
      <c r="F618" s="94"/>
      <c r="G618" s="94"/>
      <c r="H618" s="94"/>
      <c r="I618" s="94"/>
      <c r="J618" s="52"/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0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/>
      <c r="B619" s="51"/>
      <c r="C619" s="97"/>
      <c r="D619" s="97"/>
      <c r="E619" s="48"/>
      <c r="F619" s="94"/>
      <c r="G619" s="94"/>
      <c r="H619" s="94"/>
      <c r="I619" s="94"/>
      <c r="J619" s="52"/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0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/>
      <c r="B620" s="51"/>
      <c r="C620" s="97"/>
      <c r="D620" s="97"/>
      <c r="E620" s="48"/>
      <c r="F620" s="94"/>
      <c r="G620" s="94"/>
      <c r="H620" s="94"/>
      <c r="I620" s="94"/>
      <c r="J620" s="52"/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0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/>
      <c r="B621" s="51"/>
      <c r="C621" s="97"/>
      <c r="D621" s="97"/>
      <c r="E621" s="48"/>
      <c r="F621" s="94"/>
      <c r="G621" s="94"/>
      <c r="H621" s="94"/>
      <c r="I621" s="94"/>
      <c r="J621" s="52"/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/>
      <c r="B622" s="51"/>
      <c r="C622" s="97"/>
      <c r="D622" s="97"/>
      <c r="E622" s="48"/>
      <c r="F622" s="94"/>
      <c r="G622" s="94"/>
      <c r="H622" s="94"/>
      <c r="I622" s="94"/>
      <c r="J622" s="52"/>
      <c r="K622" s="52"/>
      <c r="L622" s="52"/>
      <c r="M622" s="52"/>
      <c r="N622" s="104">
        <f t="shared" si="150"/>
        <v>0</v>
      </c>
      <c r="O622" s="52"/>
      <c r="P622" s="52"/>
      <c r="Q622" s="52"/>
      <c r="R622" s="104">
        <f t="shared" si="149"/>
        <v>0</v>
      </c>
      <c r="S622" s="86">
        <f t="shared" si="151"/>
        <v>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/>
      <c r="B623" s="51"/>
      <c r="C623" s="97"/>
      <c r="D623" s="97"/>
      <c r="E623" s="48"/>
      <c r="F623" s="94"/>
      <c r="G623" s="94"/>
      <c r="H623" s="94"/>
      <c r="I623" s="94"/>
      <c r="J623" s="52"/>
      <c r="K623" s="52"/>
      <c r="L623" s="52"/>
      <c r="M623" s="52"/>
      <c r="N623" s="104">
        <f t="shared" si="150"/>
        <v>0</v>
      </c>
      <c r="O623" s="52"/>
      <c r="P623" s="52"/>
      <c r="Q623" s="52"/>
      <c r="R623" s="104">
        <f t="shared" si="149"/>
        <v>0</v>
      </c>
      <c r="S623" s="86">
        <f t="shared" si="151"/>
        <v>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/>
      <c r="B624" s="51"/>
      <c r="C624" s="97"/>
      <c r="D624" s="97"/>
      <c r="E624" s="48"/>
      <c r="F624" s="94"/>
      <c r="G624" s="94"/>
      <c r="H624" s="94"/>
      <c r="I624" s="94"/>
      <c r="J624" s="52"/>
      <c r="K624" s="52"/>
      <c r="L624" s="52"/>
      <c r="M624" s="52"/>
      <c r="N624" s="104">
        <f t="shared" si="150"/>
        <v>0</v>
      </c>
      <c r="O624" s="52"/>
      <c r="P624" s="52"/>
      <c r="Q624" s="52"/>
      <c r="R624" s="104">
        <f t="shared" si="149"/>
        <v>0</v>
      </c>
      <c r="S624" s="86">
        <f t="shared" si="151"/>
        <v>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/>
      <c r="B625" s="51"/>
      <c r="C625" s="97"/>
      <c r="D625" s="97"/>
      <c r="E625" s="48"/>
      <c r="F625" s="94"/>
      <c r="G625" s="94"/>
      <c r="H625" s="94"/>
      <c r="I625" s="94"/>
      <c r="J625" s="52"/>
      <c r="K625" s="52"/>
      <c r="L625" s="52"/>
      <c r="M625" s="52"/>
      <c r="N625" s="104">
        <f t="shared" si="150"/>
        <v>0</v>
      </c>
      <c r="O625" s="52"/>
      <c r="P625" s="52"/>
      <c r="Q625" s="52"/>
      <c r="R625" s="104">
        <f t="shared" si="149"/>
        <v>0</v>
      </c>
      <c r="S625" s="86">
        <f t="shared" si="151"/>
        <v>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/>
      <c r="B626" s="51"/>
      <c r="C626" s="97"/>
      <c r="D626" s="97"/>
      <c r="E626" s="48"/>
      <c r="F626" s="94"/>
      <c r="G626" s="94"/>
      <c r="H626" s="94"/>
      <c r="I626" s="94"/>
      <c r="J626" s="52"/>
      <c r="K626" s="52"/>
      <c r="L626" s="52"/>
      <c r="M626" s="52"/>
      <c r="N626" s="104">
        <f t="shared" si="150"/>
        <v>0</v>
      </c>
      <c r="O626" s="52"/>
      <c r="P626" s="52"/>
      <c r="Q626" s="52"/>
      <c r="R626" s="104">
        <f t="shared" si="149"/>
        <v>0</v>
      </c>
      <c r="S626" s="86">
        <f t="shared" si="151"/>
        <v>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/>
      <c r="B627" s="51"/>
      <c r="C627" s="97"/>
      <c r="D627" s="97"/>
      <c r="E627" s="48"/>
      <c r="F627" s="94"/>
      <c r="G627" s="94"/>
      <c r="H627" s="94"/>
      <c r="I627" s="94"/>
      <c r="J627" s="52"/>
      <c r="K627" s="52"/>
      <c r="L627" s="52"/>
      <c r="M627" s="52"/>
      <c r="N627" s="104">
        <f t="shared" si="150"/>
        <v>0</v>
      </c>
      <c r="O627" s="52"/>
      <c r="P627" s="52"/>
      <c r="Q627" s="52"/>
      <c r="R627" s="104">
        <f t="shared" si="149"/>
        <v>0</v>
      </c>
      <c r="S627" s="86">
        <f t="shared" si="151"/>
        <v>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/>
      <c r="B628" s="51"/>
      <c r="C628" s="97"/>
      <c r="D628" s="97"/>
      <c r="E628" s="48"/>
      <c r="F628" s="94"/>
      <c r="G628" s="94"/>
      <c r="H628" s="94"/>
      <c r="I628" s="94"/>
      <c r="J628" s="52"/>
      <c r="K628" s="52"/>
      <c r="L628" s="52"/>
      <c r="M628" s="52"/>
      <c r="N628" s="104">
        <f t="shared" si="150"/>
        <v>0</v>
      </c>
      <c r="O628" s="52"/>
      <c r="P628" s="52"/>
      <c r="Q628" s="52"/>
      <c r="R628" s="104">
        <f t="shared" si="149"/>
        <v>0</v>
      </c>
      <c r="S628" s="86">
        <f t="shared" si="151"/>
        <v>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/>
      <c r="B629" s="51"/>
      <c r="C629" s="97"/>
      <c r="D629" s="97"/>
      <c r="E629" s="48"/>
      <c r="F629" s="94"/>
      <c r="G629" s="94"/>
      <c r="H629" s="94"/>
      <c r="I629" s="94"/>
      <c r="J629" s="52"/>
      <c r="K629" s="52"/>
      <c r="L629" s="52"/>
      <c r="M629" s="52"/>
      <c r="N629" s="104">
        <f t="shared" si="150"/>
        <v>0</v>
      </c>
      <c r="O629" s="52"/>
      <c r="P629" s="52"/>
      <c r="Q629" s="52"/>
      <c r="R629" s="104">
        <f t="shared" si="149"/>
        <v>0</v>
      </c>
      <c r="S629" s="86">
        <f t="shared" si="151"/>
        <v>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/>
      <c r="B630" s="51"/>
      <c r="C630" s="97"/>
      <c r="D630" s="97"/>
      <c r="E630" s="48"/>
      <c r="F630" s="94"/>
      <c r="G630" s="94"/>
      <c r="H630" s="94"/>
      <c r="I630" s="94"/>
      <c r="J630" s="52"/>
      <c r="K630" s="52"/>
      <c r="L630" s="52"/>
      <c r="M630" s="52"/>
      <c r="N630" s="104">
        <f t="shared" si="150"/>
        <v>0</v>
      </c>
      <c r="O630" s="52"/>
      <c r="P630" s="52"/>
      <c r="Q630" s="52"/>
      <c r="R630" s="104">
        <f t="shared" si="149"/>
        <v>0</v>
      </c>
      <c r="S630" s="86">
        <f t="shared" si="151"/>
        <v>0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/>
      <c r="B631" s="51"/>
      <c r="C631" s="97"/>
      <c r="D631" s="97"/>
      <c r="E631" s="48"/>
      <c r="F631" s="94"/>
      <c r="G631" s="94"/>
      <c r="H631" s="94"/>
      <c r="I631" s="94"/>
      <c r="J631" s="52"/>
      <c r="K631" s="52"/>
      <c r="L631" s="52"/>
      <c r="M631" s="52"/>
      <c r="N631" s="104">
        <f t="shared" si="150"/>
        <v>0</v>
      </c>
      <c r="O631" s="52"/>
      <c r="P631" s="52"/>
      <c r="Q631" s="52"/>
      <c r="R631" s="104">
        <f t="shared" si="149"/>
        <v>0</v>
      </c>
      <c r="S631" s="86">
        <f t="shared" si="151"/>
        <v>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/>
      <c r="B632" s="51"/>
      <c r="C632" s="97"/>
      <c r="D632" s="97"/>
      <c r="E632" s="48"/>
      <c r="F632" s="94"/>
      <c r="G632" s="94"/>
      <c r="H632" s="94"/>
      <c r="I632" s="94"/>
      <c r="J632" s="52"/>
      <c r="K632" s="52"/>
      <c r="L632" s="52"/>
      <c r="M632" s="52"/>
      <c r="N632" s="104">
        <f t="shared" si="150"/>
        <v>0</v>
      </c>
      <c r="O632" s="52"/>
      <c r="P632" s="52"/>
      <c r="Q632" s="52"/>
      <c r="R632" s="104">
        <f t="shared" si="149"/>
        <v>0</v>
      </c>
      <c r="S632" s="86">
        <f t="shared" si="151"/>
        <v>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/>
      <c r="B633" s="51"/>
      <c r="C633" s="97"/>
      <c r="D633" s="97"/>
      <c r="E633" s="48"/>
      <c r="F633" s="94"/>
      <c r="G633" s="94"/>
      <c r="H633" s="94"/>
      <c r="I633" s="94"/>
      <c r="J633" s="52"/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/>
      <c r="B634" s="51"/>
      <c r="C634" s="97"/>
      <c r="D634" s="97"/>
      <c r="E634" s="48"/>
      <c r="F634" s="94"/>
      <c r="G634" s="94"/>
      <c r="H634" s="94"/>
      <c r="I634" s="94"/>
      <c r="J634" s="52"/>
      <c r="K634" s="52"/>
      <c r="L634" s="52"/>
      <c r="M634" s="52"/>
      <c r="N634" s="104">
        <f t="shared" si="150"/>
        <v>0</v>
      </c>
      <c r="O634" s="52"/>
      <c r="P634" s="52"/>
      <c r="Q634" s="52"/>
      <c r="R634" s="104">
        <f t="shared" si="149"/>
        <v>0</v>
      </c>
      <c r="S634" s="86">
        <f t="shared" si="151"/>
        <v>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/>
      <c r="B635" s="51"/>
      <c r="C635" s="97"/>
      <c r="D635" s="97"/>
      <c r="E635" s="48"/>
      <c r="F635" s="94"/>
      <c r="G635" s="94"/>
      <c r="H635" s="94"/>
      <c r="I635" s="94"/>
      <c r="J635" s="52"/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/>
      <c r="B636" s="51"/>
      <c r="C636" s="97"/>
      <c r="D636" s="97"/>
      <c r="E636" s="48"/>
      <c r="F636" s="94"/>
      <c r="G636" s="94"/>
      <c r="H636" s="94"/>
      <c r="I636" s="94"/>
      <c r="J636" s="52"/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/>
      <c r="B637" s="51"/>
      <c r="C637" s="97"/>
      <c r="D637" s="97"/>
      <c r="E637" s="48"/>
      <c r="F637" s="94"/>
      <c r="G637" s="94"/>
      <c r="H637" s="94"/>
      <c r="I637" s="94"/>
      <c r="J637" s="52"/>
      <c r="K637" s="52"/>
      <c r="L637" s="52"/>
      <c r="M637" s="52"/>
      <c r="N637" s="104">
        <f t="shared" si="150"/>
        <v>0</v>
      </c>
      <c r="O637" s="52"/>
      <c r="P637" s="52"/>
      <c r="Q637" s="52"/>
      <c r="R637" s="104">
        <f t="shared" si="149"/>
        <v>0</v>
      </c>
      <c r="S637" s="86">
        <f t="shared" si="151"/>
        <v>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/>
      <c r="B638" s="51"/>
      <c r="C638" s="97"/>
      <c r="D638" s="97"/>
      <c r="E638" s="48"/>
      <c r="F638" s="94"/>
      <c r="G638" s="94"/>
      <c r="H638" s="94"/>
      <c r="I638" s="94"/>
      <c r="J638" s="52"/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/>
      <c r="B639" s="51"/>
      <c r="C639" s="97"/>
      <c r="D639" s="97"/>
      <c r="E639" s="48"/>
      <c r="F639" s="94"/>
      <c r="G639" s="94"/>
      <c r="H639" s="94"/>
      <c r="I639" s="94"/>
      <c r="J639" s="52"/>
      <c r="K639" s="52"/>
      <c r="L639" s="52"/>
      <c r="M639" s="52"/>
      <c r="N639" s="104">
        <f t="shared" si="150"/>
        <v>0</v>
      </c>
      <c r="O639" s="52"/>
      <c r="P639" s="52"/>
      <c r="Q639" s="52"/>
      <c r="R639" s="104">
        <f t="shared" si="149"/>
        <v>0</v>
      </c>
      <c r="S639" s="86">
        <f t="shared" si="151"/>
        <v>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/>
      <c r="B640" s="51"/>
      <c r="C640" s="97"/>
      <c r="D640" s="97"/>
      <c r="E640" s="48"/>
      <c r="F640" s="94"/>
      <c r="G640" s="94"/>
      <c r="H640" s="94"/>
      <c r="I640" s="94"/>
      <c r="J640" s="52"/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/>
      <c r="B641" s="51"/>
      <c r="C641" s="97"/>
      <c r="D641" s="97"/>
      <c r="E641" s="48"/>
      <c r="F641" s="94"/>
      <c r="G641" s="94"/>
      <c r="H641" s="94"/>
      <c r="I641" s="94"/>
      <c r="J641" s="52"/>
      <c r="K641" s="52"/>
      <c r="L641" s="52"/>
      <c r="M641" s="52"/>
      <c r="N641" s="104">
        <f t="shared" si="150"/>
        <v>0</v>
      </c>
      <c r="O641" s="52"/>
      <c r="P641" s="52"/>
      <c r="Q641" s="52"/>
      <c r="R641" s="104">
        <f t="shared" si="149"/>
        <v>0</v>
      </c>
      <c r="S641" s="86">
        <f t="shared" si="151"/>
        <v>0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/>
      <c r="B642" s="51"/>
      <c r="C642" s="97"/>
      <c r="D642" s="97"/>
      <c r="E642" s="48"/>
      <c r="F642" s="94"/>
      <c r="G642" s="94"/>
      <c r="H642" s="94"/>
      <c r="I642" s="94"/>
      <c r="J642" s="52"/>
      <c r="K642" s="52"/>
      <c r="L642" s="52"/>
      <c r="M642" s="52"/>
      <c r="N642" s="104">
        <f t="shared" si="150"/>
        <v>0</v>
      </c>
      <c r="O642" s="52"/>
      <c r="P642" s="52"/>
      <c r="Q642" s="52"/>
      <c r="R642" s="104">
        <f t="shared" si="149"/>
        <v>0</v>
      </c>
      <c r="S642" s="86">
        <f t="shared" si="151"/>
        <v>0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/>
      <c r="B643" s="51"/>
      <c r="C643" s="97"/>
      <c r="D643" s="97"/>
      <c r="E643" s="48"/>
      <c r="F643" s="94"/>
      <c r="G643" s="94"/>
      <c r="H643" s="94"/>
      <c r="I643" s="94"/>
      <c r="J643" s="52"/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0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/>
      <c r="B644" s="51"/>
      <c r="C644" s="97"/>
      <c r="D644" s="97"/>
      <c r="E644" s="48"/>
      <c r="F644" s="94"/>
      <c r="G644" s="94"/>
      <c r="H644" s="94"/>
      <c r="I644" s="94"/>
      <c r="J644" s="52"/>
      <c r="K644" s="52"/>
      <c r="L644" s="52"/>
      <c r="M644" s="52"/>
      <c r="N644" s="104">
        <f t="shared" si="150"/>
        <v>0</v>
      </c>
      <c r="O644" s="52"/>
      <c r="P644" s="52"/>
      <c r="Q644" s="52"/>
      <c r="R644" s="104">
        <f t="shared" ref="R644:R742" si="152">SUM(O644:Q644)</f>
        <v>0</v>
      </c>
      <c r="S644" s="86">
        <f t="shared" si="151"/>
        <v>0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/>
      <c r="B645" s="51"/>
      <c r="C645" s="97"/>
      <c r="D645" s="97"/>
      <c r="E645" s="48"/>
      <c r="F645" s="94"/>
      <c r="G645" s="94"/>
      <c r="H645" s="94"/>
      <c r="I645" s="94"/>
      <c r="J645" s="52"/>
      <c r="K645" s="52"/>
      <c r="L645" s="52"/>
      <c r="M645" s="52"/>
      <c r="N645" s="104">
        <f t="shared" ref="N645:N708" si="153">K645+L645+M645</f>
        <v>0</v>
      </c>
      <c r="O645" s="52"/>
      <c r="P645" s="52"/>
      <c r="Q645" s="52"/>
      <c r="R645" s="104">
        <f t="shared" si="152"/>
        <v>0</v>
      </c>
      <c r="S645" s="86">
        <f t="shared" ref="S645:S708" si="154">R645+N645+J645</f>
        <v>0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/>
      <c r="B646" s="51"/>
      <c r="C646" s="97"/>
      <c r="D646" s="97"/>
      <c r="E646" s="48"/>
      <c r="F646" s="94"/>
      <c r="G646" s="94"/>
      <c r="H646" s="94"/>
      <c r="I646" s="94"/>
      <c r="J646" s="52"/>
      <c r="K646" s="52"/>
      <c r="L646" s="52"/>
      <c r="M646" s="52"/>
      <c r="N646" s="104">
        <f t="shared" si="153"/>
        <v>0</v>
      </c>
      <c r="O646" s="52"/>
      <c r="P646" s="52"/>
      <c r="Q646" s="52"/>
      <c r="R646" s="104">
        <f t="shared" si="152"/>
        <v>0</v>
      </c>
      <c r="S646" s="86">
        <f t="shared" si="154"/>
        <v>0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/>
      <c r="B647" s="51"/>
      <c r="C647" s="97"/>
      <c r="D647" s="97"/>
      <c r="E647" s="48"/>
      <c r="F647" s="94"/>
      <c r="G647" s="94"/>
      <c r="H647" s="94"/>
      <c r="I647" s="94"/>
      <c r="J647" s="52"/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/>
      <c r="B648" s="51"/>
      <c r="C648" s="97"/>
      <c r="D648" s="97"/>
      <c r="E648" s="48"/>
      <c r="F648" s="94"/>
      <c r="G648" s="94"/>
      <c r="H648" s="94"/>
      <c r="I648" s="94"/>
      <c r="J648" s="52"/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/>
      <c r="B649" s="51"/>
      <c r="C649" s="97"/>
      <c r="D649" s="97"/>
      <c r="E649" s="48"/>
      <c r="F649" s="94"/>
      <c r="G649" s="94"/>
      <c r="H649" s="94"/>
      <c r="I649" s="94"/>
      <c r="J649" s="52"/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/>
      <c r="B650" s="51"/>
      <c r="C650" s="97"/>
      <c r="D650" s="97"/>
      <c r="E650" s="48"/>
      <c r="F650" s="94"/>
      <c r="G650" s="94"/>
      <c r="H650" s="94"/>
      <c r="I650" s="94"/>
      <c r="J650" s="52"/>
      <c r="K650" s="52"/>
      <c r="L650" s="52"/>
      <c r="M650" s="52"/>
      <c r="N650" s="104">
        <f t="shared" si="153"/>
        <v>0</v>
      </c>
      <c r="O650" s="52"/>
      <c r="P650" s="52"/>
      <c r="Q650" s="52"/>
      <c r="R650" s="104">
        <f t="shared" si="152"/>
        <v>0</v>
      </c>
      <c r="S650" s="86">
        <f t="shared" si="154"/>
        <v>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/>
      <c r="B651" s="51"/>
      <c r="C651" s="97"/>
      <c r="D651" s="97"/>
      <c r="E651" s="48"/>
      <c r="F651" s="94"/>
      <c r="G651" s="94"/>
      <c r="H651" s="94"/>
      <c r="I651" s="94"/>
      <c r="J651" s="52"/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/>
      <c r="B652" s="51"/>
      <c r="C652" s="97"/>
      <c r="D652" s="97"/>
      <c r="E652" s="48"/>
      <c r="F652" s="94"/>
      <c r="G652" s="94"/>
      <c r="H652" s="94"/>
      <c r="I652" s="94"/>
      <c r="J652" s="52"/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/>
      <c r="B653" s="51"/>
      <c r="C653" s="97"/>
      <c r="D653" s="97"/>
      <c r="E653" s="48"/>
      <c r="F653" s="94"/>
      <c r="G653" s="94"/>
      <c r="H653" s="94"/>
      <c r="I653" s="94"/>
      <c r="J653" s="52"/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/>
      <c r="B654" s="51"/>
      <c r="C654" s="97"/>
      <c r="D654" s="97"/>
      <c r="E654" s="48"/>
      <c r="F654" s="94"/>
      <c r="G654" s="94"/>
      <c r="H654" s="94"/>
      <c r="I654" s="94"/>
      <c r="J654" s="52"/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/>
      <c r="B655" s="51"/>
      <c r="C655" s="97"/>
      <c r="D655" s="97"/>
      <c r="E655" s="48"/>
      <c r="F655" s="94"/>
      <c r="G655" s="94"/>
      <c r="H655" s="94"/>
      <c r="I655" s="94"/>
      <c r="J655" s="52"/>
      <c r="K655" s="52"/>
      <c r="L655" s="52"/>
      <c r="M655" s="52"/>
      <c r="N655" s="104">
        <f t="shared" si="153"/>
        <v>0</v>
      </c>
      <c r="O655" s="52"/>
      <c r="P655" s="52"/>
      <c r="Q655" s="52"/>
      <c r="R655" s="104">
        <f t="shared" si="152"/>
        <v>0</v>
      </c>
      <c r="S655" s="86">
        <f t="shared" si="154"/>
        <v>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/>
      <c r="B656" s="51"/>
      <c r="C656" s="97"/>
      <c r="D656" s="97"/>
      <c r="E656" s="48"/>
      <c r="F656" s="94"/>
      <c r="G656" s="94"/>
      <c r="H656" s="94"/>
      <c r="I656" s="94"/>
      <c r="J656" s="52"/>
      <c r="K656" s="52"/>
      <c r="L656" s="52"/>
      <c r="M656" s="52"/>
      <c r="N656" s="104">
        <f t="shared" si="153"/>
        <v>0</v>
      </c>
      <c r="O656" s="52"/>
      <c r="P656" s="52"/>
      <c r="Q656" s="52"/>
      <c r="R656" s="104">
        <f t="shared" si="152"/>
        <v>0</v>
      </c>
      <c r="S656" s="86">
        <f t="shared" si="154"/>
        <v>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/>
      <c r="B657" s="51"/>
      <c r="C657" s="97"/>
      <c r="D657" s="97"/>
      <c r="E657" s="48"/>
      <c r="F657" s="94"/>
      <c r="G657" s="94"/>
      <c r="H657" s="94"/>
      <c r="I657" s="94"/>
      <c r="J657" s="52"/>
      <c r="K657" s="52"/>
      <c r="L657" s="52"/>
      <c r="M657" s="52"/>
      <c r="N657" s="104">
        <f t="shared" si="153"/>
        <v>0</v>
      </c>
      <c r="O657" s="52"/>
      <c r="P657" s="52"/>
      <c r="Q657" s="52"/>
      <c r="R657" s="104">
        <f t="shared" si="152"/>
        <v>0</v>
      </c>
      <c r="S657" s="86">
        <f t="shared" si="154"/>
        <v>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/>
      <c r="B658" s="51"/>
      <c r="C658" s="97"/>
      <c r="D658" s="97"/>
      <c r="E658" s="48"/>
      <c r="F658" s="94"/>
      <c r="G658" s="94"/>
      <c r="H658" s="94"/>
      <c r="I658" s="94"/>
      <c r="J658" s="52"/>
      <c r="K658" s="52"/>
      <c r="L658" s="52"/>
      <c r="M658" s="52"/>
      <c r="N658" s="104">
        <f t="shared" si="153"/>
        <v>0</v>
      </c>
      <c r="O658" s="52"/>
      <c r="P658" s="52"/>
      <c r="Q658" s="52"/>
      <c r="R658" s="104">
        <f t="shared" si="152"/>
        <v>0</v>
      </c>
      <c r="S658" s="86">
        <f t="shared" si="154"/>
        <v>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/>
      <c r="B659" s="51"/>
      <c r="C659" s="97"/>
      <c r="D659" s="97"/>
      <c r="E659" s="48"/>
      <c r="F659" s="94"/>
      <c r="G659" s="94"/>
      <c r="H659" s="94"/>
      <c r="I659" s="94"/>
      <c r="J659" s="52"/>
      <c r="K659" s="52"/>
      <c r="L659" s="52"/>
      <c r="M659" s="52"/>
      <c r="N659" s="104">
        <f t="shared" si="153"/>
        <v>0</v>
      </c>
      <c r="O659" s="52"/>
      <c r="P659" s="52"/>
      <c r="Q659" s="52"/>
      <c r="R659" s="104">
        <f t="shared" si="152"/>
        <v>0</v>
      </c>
      <c r="S659" s="86">
        <f t="shared" si="154"/>
        <v>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/>
      <c r="B660" s="51"/>
      <c r="C660" s="97"/>
      <c r="D660" s="97"/>
      <c r="E660" s="48"/>
      <c r="F660" s="94"/>
      <c r="G660" s="94"/>
      <c r="H660" s="94"/>
      <c r="I660" s="94"/>
      <c r="J660" s="52"/>
      <c r="K660" s="52"/>
      <c r="L660" s="52"/>
      <c r="M660" s="52"/>
      <c r="N660" s="104">
        <f t="shared" si="153"/>
        <v>0</v>
      </c>
      <c r="O660" s="52"/>
      <c r="P660" s="52"/>
      <c r="Q660" s="52"/>
      <c r="R660" s="104">
        <f t="shared" si="152"/>
        <v>0</v>
      </c>
      <c r="S660" s="86">
        <f t="shared" si="154"/>
        <v>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/>
      <c r="B661" s="51"/>
      <c r="C661" s="97"/>
      <c r="D661" s="97"/>
      <c r="E661" s="48"/>
      <c r="F661" s="118"/>
      <c r="G661" s="118"/>
      <c r="H661" s="118"/>
      <c r="I661" s="52"/>
      <c r="J661" s="52"/>
      <c r="K661" s="52"/>
      <c r="L661" s="52"/>
      <c r="M661" s="52"/>
      <c r="N661" s="104">
        <f t="shared" si="153"/>
        <v>0</v>
      </c>
      <c r="O661" s="52"/>
      <c r="P661" s="52"/>
      <c r="Q661" s="52"/>
      <c r="R661" s="104">
        <f t="shared" si="152"/>
        <v>0</v>
      </c>
      <c r="S661" s="86">
        <f t="shared" si="154"/>
        <v>0</v>
      </c>
      <c r="T661" s="110"/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/>
      <c r="B662" s="51"/>
      <c r="C662" s="97"/>
      <c r="D662" s="97"/>
      <c r="E662" s="48"/>
      <c r="F662" s="94"/>
      <c r="G662" s="94"/>
      <c r="H662" s="94"/>
      <c r="I662" s="94"/>
      <c r="J662" s="52"/>
      <c r="K662" s="52"/>
      <c r="L662" s="52"/>
      <c r="M662" s="52"/>
      <c r="N662" s="104">
        <f t="shared" si="153"/>
        <v>0</v>
      </c>
      <c r="O662" s="52"/>
      <c r="P662" s="52"/>
      <c r="Q662" s="52"/>
      <c r="R662" s="104">
        <f t="shared" si="152"/>
        <v>0</v>
      </c>
      <c r="S662" s="86">
        <f t="shared" si="154"/>
        <v>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/>
      <c r="B663" s="51"/>
      <c r="C663" s="97"/>
      <c r="D663" s="97"/>
      <c r="E663" s="48"/>
      <c r="F663" s="94"/>
      <c r="G663" s="94"/>
      <c r="H663" s="94"/>
      <c r="I663" s="94"/>
      <c r="J663" s="52"/>
      <c r="K663" s="52"/>
      <c r="L663" s="52"/>
      <c r="M663" s="52"/>
      <c r="N663" s="104">
        <f t="shared" si="153"/>
        <v>0</v>
      </c>
      <c r="O663" s="52"/>
      <c r="P663" s="52"/>
      <c r="Q663" s="52"/>
      <c r="R663" s="104">
        <f t="shared" si="152"/>
        <v>0</v>
      </c>
      <c r="S663" s="86">
        <f t="shared" si="154"/>
        <v>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/>
      <c r="B664" s="51"/>
      <c r="C664" s="97"/>
      <c r="D664" s="97"/>
      <c r="E664" s="48"/>
      <c r="F664" s="94"/>
      <c r="G664" s="94"/>
      <c r="H664" s="94"/>
      <c r="I664" s="94"/>
      <c r="J664" s="52"/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0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/>
      <c r="B665" s="51"/>
      <c r="C665" s="97"/>
      <c r="D665" s="97"/>
      <c r="E665" s="48"/>
      <c r="F665" s="94"/>
      <c r="G665" s="94"/>
      <c r="H665" s="94"/>
      <c r="I665" s="94"/>
      <c r="J665" s="52"/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/>
      <c r="B666" s="51"/>
      <c r="C666" s="97"/>
      <c r="D666" s="97"/>
      <c r="E666" s="48"/>
      <c r="F666" s="94"/>
      <c r="G666" s="94"/>
      <c r="H666" s="94"/>
      <c r="I666" s="94"/>
      <c r="J666" s="52"/>
      <c r="K666" s="52"/>
      <c r="L666" s="52"/>
      <c r="M666" s="52"/>
      <c r="N666" s="104">
        <f t="shared" si="153"/>
        <v>0</v>
      </c>
      <c r="O666" s="52"/>
      <c r="P666" s="52"/>
      <c r="Q666" s="52"/>
      <c r="R666" s="104">
        <f t="shared" si="152"/>
        <v>0</v>
      </c>
      <c r="S666" s="86">
        <f t="shared" si="154"/>
        <v>0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/>
      <c r="B667" s="51"/>
      <c r="C667" s="97"/>
      <c r="D667" s="97"/>
      <c r="E667" s="48"/>
      <c r="F667" s="94"/>
      <c r="G667" s="94"/>
      <c r="H667" s="94"/>
      <c r="I667" s="94"/>
      <c r="J667" s="52"/>
      <c r="K667" s="52"/>
      <c r="L667" s="52"/>
      <c r="M667" s="52"/>
      <c r="N667" s="104">
        <f t="shared" si="153"/>
        <v>0</v>
      </c>
      <c r="O667" s="52"/>
      <c r="P667" s="52"/>
      <c r="Q667" s="52"/>
      <c r="R667" s="104">
        <f t="shared" si="152"/>
        <v>0</v>
      </c>
      <c r="S667" s="86">
        <f t="shared" si="154"/>
        <v>0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/>
      <c r="B668" s="51"/>
      <c r="C668" s="97"/>
      <c r="D668" s="97"/>
      <c r="E668" s="48"/>
      <c r="F668" s="94"/>
      <c r="G668" s="94"/>
      <c r="H668" s="94"/>
      <c r="I668" s="94"/>
      <c r="J668" s="52"/>
      <c r="K668" s="52"/>
      <c r="L668" s="52"/>
      <c r="M668" s="52"/>
      <c r="N668" s="104">
        <f t="shared" si="153"/>
        <v>0</v>
      </c>
      <c r="O668" s="52"/>
      <c r="P668" s="52"/>
      <c r="Q668" s="52"/>
      <c r="R668" s="104">
        <f t="shared" si="152"/>
        <v>0</v>
      </c>
      <c r="S668" s="86">
        <f t="shared" si="154"/>
        <v>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/>
      <c r="B669" s="51"/>
      <c r="C669" s="97"/>
      <c r="D669" s="97"/>
      <c r="E669" s="48"/>
      <c r="F669" s="94"/>
      <c r="G669" s="94"/>
      <c r="H669" s="94"/>
      <c r="I669" s="94"/>
      <c r="J669" s="52"/>
      <c r="K669" s="52"/>
      <c r="L669" s="52"/>
      <c r="M669" s="52"/>
      <c r="N669" s="104">
        <f t="shared" si="153"/>
        <v>0</v>
      </c>
      <c r="O669" s="52"/>
      <c r="P669" s="52"/>
      <c r="Q669" s="52"/>
      <c r="R669" s="104">
        <f t="shared" si="152"/>
        <v>0</v>
      </c>
      <c r="S669" s="86">
        <f t="shared" si="154"/>
        <v>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/>
      <c r="B670" s="51"/>
      <c r="C670" s="97"/>
      <c r="D670" s="97"/>
      <c r="E670" s="48"/>
      <c r="F670" s="94"/>
      <c r="G670" s="94"/>
      <c r="H670" s="94"/>
      <c r="I670" s="94"/>
      <c r="J670" s="52"/>
      <c r="K670" s="52"/>
      <c r="L670" s="52"/>
      <c r="M670" s="52"/>
      <c r="N670" s="104">
        <f t="shared" si="153"/>
        <v>0</v>
      </c>
      <c r="O670" s="52"/>
      <c r="P670" s="52"/>
      <c r="Q670" s="52"/>
      <c r="R670" s="104">
        <f t="shared" si="152"/>
        <v>0</v>
      </c>
      <c r="S670" s="86">
        <f t="shared" si="154"/>
        <v>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/>
      <c r="B671" s="51"/>
      <c r="C671" s="97"/>
      <c r="D671" s="97"/>
      <c r="E671" s="48"/>
      <c r="F671" s="94"/>
      <c r="G671" s="94"/>
      <c r="H671" s="94"/>
      <c r="I671" s="94"/>
      <c r="J671" s="52"/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0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85"/>
      <c r="B672" s="51"/>
      <c r="C672" s="97"/>
      <c r="D672" s="97"/>
      <c r="E672" s="48"/>
      <c r="F672" s="94"/>
      <c r="G672" s="94"/>
      <c r="H672" s="94"/>
      <c r="I672" s="94"/>
      <c r="J672" s="52"/>
      <c r="K672" s="52"/>
      <c r="L672" s="52"/>
      <c r="M672" s="52"/>
      <c r="N672" s="104">
        <f t="shared" si="153"/>
        <v>0</v>
      </c>
      <c r="O672" s="52"/>
      <c r="P672" s="52"/>
      <c r="Q672" s="52"/>
      <c r="R672" s="104">
        <f t="shared" si="152"/>
        <v>0</v>
      </c>
      <c r="S672" s="86">
        <f t="shared" si="154"/>
        <v>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85"/>
      <c r="B673" s="51"/>
      <c r="C673" s="97"/>
      <c r="D673" s="97"/>
      <c r="E673" s="48"/>
      <c r="F673" s="94"/>
      <c r="G673" s="94"/>
      <c r="H673" s="94"/>
      <c r="I673" s="94"/>
      <c r="J673" s="52"/>
      <c r="K673" s="52"/>
      <c r="L673" s="52"/>
      <c r="M673" s="52"/>
      <c r="N673" s="104">
        <f t="shared" si="153"/>
        <v>0</v>
      </c>
      <c r="O673" s="52"/>
      <c r="P673" s="52"/>
      <c r="Q673" s="52"/>
      <c r="R673" s="104">
        <f t="shared" si="152"/>
        <v>0</v>
      </c>
      <c r="S673" s="86">
        <f t="shared" si="154"/>
        <v>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85"/>
      <c r="B674" s="51"/>
      <c r="C674" s="97"/>
      <c r="D674" s="97"/>
      <c r="E674" s="48"/>
      <c r="F674" s="94"/>
      <c r="G674" s="94"/>
      <c r="H674" s="94"/>
      <c r="I674" s="94"/>
      <c r="J674" s="52"/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85"/>
      <c r="B675" s="51"/>
      <c r="C675" s="97"/>
      <c r="D675" s="97"/>
      <c r="E675" s="48"/>
      <c r="F675" s="94"/>
      <c r="G675" s="94"/>
      <c r="H675" s="94"/>
      <c r="I675" s="94"/>
      <c r="J675" s="52"/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0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85"/>
      <c r="B676" s="51"/>
      <c r="C676" s="97"/>
      <c r="D676" s="97"/>
      <c r="E676" s="48"/>
      <c r="F676" s="94"/>
      <c r="G676" s="94"/>
      <c r="H676" s="94"/>
      <c r="I676" s="94"/>
      <c r="J676" s="52"/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/>
      <c r="B677" s="51"/>
      <c r="C677" s="97"/>
      <c r="D677" s="97"/>
      <c r="E677" s="48"/>
      <c r="F677" s="94"/>
      <c r="G677" s="94"/>
      <c r="H677" s="94"/>
      <c r="I677" s="94"/>
      <c r="J677" s="52"/>
      <c r="K677" s="52"/>
      <c r="L677" s="52"/>
      <c r="M677" s="52"/>
      <c r="N677" s="104">
        <f t="shared" si="153"/>
        <v>0</v>
      </c>
      <c r="O677" s="52"/>
      <c r="P677" s="52"/>
      <c r="Q677" s="52"/>
      <c r="R677" s="104">
        <f t="shared" si="152"/>
        <v>0</v>
      </c>
      <c r="S677" s="86">
        <f t="shared" si="154"/>
        <v>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/>
      <c r="B678" s="51"/>
      <c r="C678" s="97"/>
      <c r="D678" s="97"/>
      <c r="E678" s="48"/>
      <c r="F678" s="94"/>
      <c r="G678" s="94"/>
      <c r="H678" s="94"/>
      <c r="I678" s="94"/>
      <c r="J678" s="52"/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/>
      <c r="B679" s="51"/>
      <c r="C679" s="97"/>
      <c r="D679" s="97"/>
      <c r="E679" s="48"/>
      <c r="F679" s="94"/>
      <c r="G679" s="94"/>
      <c r="H679" s="94"/>
      <c r="I679" s="94"/>
      <c r="J679" s="52"/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/>
      <c r="B680" s="51"/>
      <c r="C680" s="97"/>
      <c r="D680" s="97"/>
      <c r="E680" s="48"/>
      <c r="F680" s="94"/>
      <c r="G680" s="94"/>
      <c r="H680" s="94"/>
      <c r="I680" s="94"/>
      <c r="J680" s="52"/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/>
      <c r="B681" s="51"/>
      <c r="C681" s="97"/>
      <c r="D681" s="97"/>
      <c r="E681" s="48"/>
      <c r="F681" s="94"/>
      <c r="G681" s="94"/>
      <c r="H681" s="94"/>
      <c r="I681" s="94"/>
      <c r="J681" s="52"/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/>
      <c r="B682" s="51"/>
      <c r="C682" s="97"/>
      <c r="D682" s="97"/>
      <c r="E682" s="48"/>
      <c r="F682" s="94"/>
      <c r="G682" s="94"/>
      <c r="H682" s="94"/>
      <c r="I682" s="94"/>
      <c r="J682" s="52"/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/>
      <c r="B683" s="51"/>
      <c r="C683" s="97"/>
      <c r="D683" s="97"/>
      <c r="E683" s="48"/>
      <c r="F683" s="94"/>
      <c r="G683" s="94"/>
      <c r="H683" s="94"/>
      <c r="I683" s="94"/>
      <c r="J683" s="52"/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/>
      <c r="B684" s="51"/>
      <c r="C684" s="97"/>
      <c r="D684" s="97"/>
      <c r="E684" s="48"/>
      <c r="F684" s="94"/>
      <c r="G684" s="94"/>
      <c r="H684" s="94"/>
      <c r="I684" s="94"/>
      <c r="J684" s="52"/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/>
      <c r="B685" s="51"/>
      <c r="C685" s="97"/>
      <c r="D685" s="97"/>
      <c r="E685" s="48"/>
      <c r="F685" s="94"/>
      <c r="G685" s="94"/>
      <c r="H685" s="94"/>
      <c r="I685" s="94"/>
      <c r="J685" s="52"/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0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/>
      <c r="B686" s="51"/>
      <c r="C686" s="97"/>
      <c r="D686" s="97"/>
      <c r="E686" s="48"/>
      <c r="F686" s="94"/>
      <c r="G686" s="94"/>
      <c r="H686" s="94"/>
      <c r="I686" s="94"/>
      <c r="J686" s="52"/>
      <c r="K686" s="52"/>
      <c r="L686" s="52"/>
      <c r="M686" s="52"/>
      <c r="N686" s="104">
        <f t="shared" si="153"/>
        <v>0</v>
      </c>
      <c r="O686" s="52"/>
      <c r="P686" s="52"/>
      <c r="Q686" s="52"/>
      <c r="R686" s="104">
        <f t="shared" si="152"/>
        <v>0</v>
      </c>
      <c r="S686" s="86">
        <f t="shared" si="154"/>
        <v>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85"/>
      <c r="B687" s="51"/>
      <c r="C687" s="97"/>
      <c r="D687" s="97"/>
      <c r="E687" s="48"/>
      <c r="F687" s="94"/>
      <c r="G687" s="94"/>
      <c r="H687" s="94"/>
      <c r="I687" s="94"/>
      <c r="J687" s="52"/>
      <c r="K687" s="52"/>
      <c r="L687" s="52"/>
      <c r="M687" s="52"/>
      <c r="N687" s="104">
        <f t="shared" si="153"/>
        <v>0</v>
      </c>
      <c r="O687" s="52"/>
      <c r="P687" s="52"/>
      <c r="Q687" s="52"/>
      <c r="R687" s="104">
        <f t="shared" si="152"/>
        <v>0</v>
      </c>
      <c r="S687" s="86">
        <f t="shared" si="154"/>
        <v>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85"/>
      <c r="B688" s="51"/>
      <c r="C688" s="97"/>
      <c r="D688" s="97"/>
      <c r="E688" s="48"/>
      <c r="F688" s="94"/>
      <c r="G688" s="94"/>
      <c r="H688" s="94"/>
      <c r="I688" s="94"/>
      <c r="J688" s="52"/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85"/>
      <c r="B689" s="51"/>
      <c r="C689" s="97"/>
      <c r="D689" s="97"/>
      <c r="E689" s="48"/>
      <c r="F689" s="94"/>
      <c r="G689" s="94"/>
      <c r="H689" s="94"/>
      <c r="I689" s="94"/>
      <c r="J689" s="52"/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0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x14ac:dyDescent="0.35">
      <c r="A690" s="85"/>
      <c r="B690" s="51"/>
      <c r="C690" s="97"/>
      <c r="D690" s="97"/>
      <c r="E690" s="48"/>
      <c r="F690" s="94"/>
      <c r="G690" s="94"/>
      <c r="H690" s="94"/>
      <c r="I690" s="94"/>
      <c r="J690" s="52"/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x14ac:dyDescent="0.35">
      <c r="A691" s="85"/>
      <c r="B691" s="51"/>
      <c r="C691" s="97"/>
      <c r="D691" s="97"/>
      <c r="E691" s="48"/>
      <c r="F691" s="94"/>
      <c r="G691" s="94"/>
      <c r="H691" s="94"/>
      <c r="I691" s="94"/>
      <c r="J691" s="52"/>
      <c r="K691" s="52"/>
      <c r="L691" s="52"/>
      <c r="M691" s="52"/>
      <c r="N691" s="104">
        <f t="shared" si="153"/>
        <v>0</v>
      </c>
      <c r="O691" s="52"/>
      <c r="P691" s="52"/>
      <c r="Q691" s="52"/>
      <c r="R691" s="104">
        <f t="shared" si="152"/>
        <v>0</v>
      </c>
      <c r="S691" s="86">
        <f t="shared" si="154"/>
        <v>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x14ac:dyDescent="0.35">
      <c r="A692" s="85"/>
      <c r="B692" s="51"/>
      <c r="C692" s="97"/>
      <c r="D692" s="97"/>
      <c r="E692" s="48"/>
      <c r="F692" s="94"/>
      <c r="G692" s="94"/>
      <c r="H692" s="94"/>
      <c r="I692" s="94"/>
      <c r="J692" s="52"/>
      <c r="K692" s="52"/>
      <c r="L692" s="52"/>
      <c r="M692" s="52"/>
      <c r="N692" s="104">
        <f t="shared" si="153"/>
        <v>0</v>
      </c>
      <c r="O692" s="52"/>
      <c r="P692" s="52"/>
      <c r="Q692" s="52"/>
      <c r="R692" s="104">
        <f t="shared" si="152"/>
        <v>0</v>
      </c>
      <c r="S692" s="86">
        <f t="shared" si="154"/>
        <v>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x14ac:dyDescent="0.35">
      <c r="A693" s="85"/>
      <c r="B693" s="51"/>
      <c r="C693" s="97"/>
      <c r="D693" s="97"/>
      <c r="E693" s="48"/>
      <c r="F693" s="94"/>
      <c r="G693" s="94"/>
      <c r="H693" s="94"/>
      <c r="I693" s="94"/>
      <c r="J693" s="52"/>
      <c r="K693" s="52"/>
      <c r="L693" s="52"/>
      <c r="M693" s="52"/>
      <c r="N693" s="104">
        <f t="shared" si="153"/>
        <v>0</v>
      </c>
      <c r="O693" s="52"/>
      <c r="P693" s="52"/>
      <c r="Q693" s="52"/>
      <c r="R693" s="104">
        <f t="shared" si="152"/>
        <v>0</v>
      </c>
      <c r="S693" s="86">
        <f t="shared" si="154"/>
        <v>0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/>
      <c r="B694" s="51"/>
      <c r="C694" s="97"/>
      <c r="D694" s="97"/>
      <c r="E694" s="48"/>
      <c r="F694" s="94"/>
      <c r="G694" s="94"/>
      <c r="H694" s="94"/>
      <c r="I694" s="94"/>
      <c r="J694" s="52"/>
      <c r="K694" s="52"/>
      <c r="L694" s="52"/>
      <c r="M694" s="52"/>
      <c r="N694" s="104">
        <f t="shared" si="153"/>
        <v>0</v>
      </c>
      <c r="O694" s="52"/>
      <c r="P694" s="52"/>
      <c r="Q694" s="52"/>
      <c r="R694" s="104">
        <f t="shared" si="152"/>
        <v>0</v>
      </c>
      <c r="S694" s="86">
        <f t="shared" si="154"/>
        <v>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/>
      <c r="B695" s="51"/>
      <c r="C695" s="97"/>
      <c r="D695" s="97"/>
      <c r="E695" s="48"/>
      <c r="F695" s="94"/>
      <c r="G695" s="94"/>
      <c r="H695" s="94"/>
      <c r="I695" s="94"/>
      <c r="J695" s="52"/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/>
      <c r="B696" s="51"/>
      <c r="C696" s="97"/>
      <c r="D696" s="97"/>
      <c r="E696" s="48"/>
      <c r="F696" s="94"/>
      <c r="G696" s="94"/>
      <c r="H696" s="94"/>
      <c r="I696" s="94"/>
      <c r="J696" s="52"/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/>
      <c r="B697" s="51"/>
      <c r="C697" s="97"/>
      <c r="D697" s="97"/>
      <c r="E697" s="48"/>
      <c r="F697" s="94"/>
      <c r="G697" s="94"/>
      <c r="H697" s="94"/>
      <c r="I697" s="94"/>
      <c r="J697" s="52"/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/>
      <c r="B698" s="51"/>
      <c r="C698" s="97"/>
      <c r="D698" s="97"/>
      <c r="E698" s="48"/>
      <c r="F698" s="94"/>
      <c r="G698" s="94"/>
      <c r="H698" s="94"/>
      <c r="I698" s="94"/>
      <c r="J698" s="52"/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/>
      <c r="B699" s="51"/>
      <c r="C699" s="97"/>
      <c r="D699" s="97"/>
      <c r="E699" s="48"/>
      <c r="F699" s="94"/>
      <c r="G699" s="94"/>
      <c r="H699" s="94"/>
      <c r="I699" s="94"/>
      <c r="J699" s="52"/>
      <c r="K699" s="52"/>
      <c r="L699" s="52"/>
      <c r="M699" s="52"/>
      <c r="N699" s="104">
        <f t="shared" si="153"/>
        <v>0</v>
      </c>
      <c r="O699" s="52"/>
      <c r="P699" s="52"/>
      <c r="Q699" s="52"/>
      <c r="R699" s="104">
        <f t="shared" si="152"/>
        <v>0</v>
      </c>
      <c r="S699" s="86">
        <f t="shared" si="154"/>
        <v>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/>
      <c r="B700" s="51"/>
      <c r="C700" s="97"/>
      <c r="D700" s="97"/>
      <c r="E700" s="48"/>
      <c r="F700" s="94"/>
      <c r="G700" s="94"/>
      <c r="H700" s="94"/>
      <c r="I700" s="94"/>
      <c r="J700" s="52"/>
      <c r="K700" s="52"/>
      <c r="L700" s="52"/>
      <c r="M700" s="52"/>
      <c r="N700" s="104">
        <f t="shared" si="153"/>
        <v>0</v>
      </c>
      <c r="O700" s="52"/>
      <c r="P700" s="52"/>
      <c r="Q700" s="52"/>
      <c r="R700" s="104">
        <f t="shared" si="152"/>
        <v>0</v>
      </c>
      <c r="S700" s="86">
        <f t="shared" si="154"/>
        <v>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/>
      <c r="B701" s="51"/>
      <c r="C701" s="97"/>
      <c r="D701" s="97"/>
      <c r="E701" s="48"/>
      <c r="F701" s="94"/>
      <c r="G701" s="94"/>
      <c r="H701" s="94"/>
      <c r="I701" s="94"/>
      <c r="J701" s="52"/>
      <c r="K701" s="52"/>
      <c r="L701" s="52"/>
      <c r="M701" s="52"/>
      <c r="N701" s="104">
        <f t="shared" si="153"/>
        <v>0</v>
      </c>
      <c r="O701" s="52"/>
      <c r="P701" s="52"/>
      <c r="Q701" s="52"/>
      <c r="R701" s="104">
        <f t="shared" si="152"/>
        <v>0</v>
      </c>
      <c r="S701" s="86">
        <f t="shared" si="154"/>
        <v>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/>
      <c r="B702" s="51"/>
      <c r="C702" s="97"/>
      <c r="D702" s="97"/>
      <c r="E702" s="48"/>
      <c r="F702" s="94"/>
      <c r="G702" s="94"/>
      <c r="H702" s="94"/>
      <c r="I702" s="94"/>
      <c r="J702" s="52"/>
      <c r="K702" s="52"/>
      <c r="L702" s="52"/>
      <c r="M702" s="52"/>
      <c r="N702" s="104">
        <f t="shared" si="153"/>
        <v>0</v>
      </c>
      <c r="O702" s="52"/>
      <c r="P702" s="52"/>
      <c r="Q702" s="52"/>
      <c r="R702" s="104">
        <f t="shared" si="152"/>
        <v>0</v>
      </c>
      <c r="S702" s="86">
        <f t="shared" si="154"/>
        <v>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/>
      <c r="B703" s="51"/>
      <c r="C703" s="97"/>
      <c r="D703" s="97"/>
      <c r="E703" s="48"/>
      <c r="F703" s="94"/>
      <c r="G703" s="94"/>
      <c r="H703" s="94"/>
      <c r="I703" s="94"/>
      <c r="J703" s="52"/>
      <c r="K703" s="52"/>
      <c r="L703" s="52"/>
      <c r="M703" s="52"/>
      <c r="N703" s="104">
        <f t="shared" si="153"/>
        <v>0</v>
      </c>
      <c r="O703" s="52"/>
      <c r="P703" s="52"/>
      <c r="Q703" s="52"/>
      <c r="R703" s="104">
        <f t="shared" si="152"/>
        <v>0</v>
      </c>
      <c r="S703" s="86">
        <f t="shared" si="154"/>
        <v>0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/>
      <c r="B704" s="51"/>
      <c r="C704" s="97"/>
      <c r="D704" s="97"/>
      <c r="E704" s="48"/>
      <c r="F704" s="94"/>
      <c r="G704" s="94"/>
      <c r="H704" s="94"/>
      <c r="I704" s="94"/>
      <c r="J704" s="52"/>
      <c r="K704" s="52"/>
      <c r="L704" s="52"/>
      <c r="M704" s="52"/>
      <c r="N704" s="104">
        <f t="shared" si="153"/>
        <v>0</v>
      </c>
      <c r="O704" s="52"/>
      <c r="P704" s="52"/>
      <c r="Q704" s="52"/>
      <c r="R704" s="104">
        <f t="shared" si="152"/>
        <v>0</v>
      </c>
      <c r="S704" s="86">
        <f t="shared" si="154"/>
        <v>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/>
      <c r="B705" s="51"/>
      <c r="C705" s="97"/>
      <c r="D705" s="97"/>
      <c r="E705" s="48"/>
      <c r="F705" s="94"/>
      <c r="G705" s="94"/>
      <c r="H705" s="94"/>
      <c r="I705" s="94"/>
      <c r="J705" s="52"/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/>
      <c r="B706" s="51"/>
      <c r="C706" s="97"/>
      <c r="D706" s="97"/>
      <c r="E706" s="48"/>
      <c r="F706" s="94"/>
      <c r="G706" s="94"/>
      <c r="H706" s="94"/>
      <c r="I706" s="94"/>
      <c r="J706" s="52"/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/>
      <c r="B707" s="51"/>
      <c r="C707" s="97"/>
      <c r="D707" s="97"/>
      <c r="E707" s="48"/>
      <c r="F707" s="94"/>
      <c r="G707" s="94"/>
      <c r="H707" s="94"/>
      <c r="I707" s="94"/>
      <c r="J707" s="52"/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/>
      <c r="B708" s="51"/>
      <c r="C708" s="97"/>
      <c r="D708" s="97"/>
      <c r="E708" s="48"/>
      <c r="F708" s="94"/>
      <c r="G708" s="94"/>
      <c r="H708" s="94"/>
      <c r="I708" s="94"/>
      <c r="J708" s="52"/>
      <c r="K708" s="52"/>
      <c r="L708" s="52"/>
      <c r="M708" s="52"/>
      <c r="N708" s="104">
        <f t="shared" si="153"/>
        <v>0</v>
      </c>
      <c r="O708" s="52"/>
      <c r="P708" s="52"/>
      <c r="Q708" s="52"/>
      <c r="R708" s="104">
        <f t="shared" si="152"/>
        <v>0</v>
      </c>
      <c r="S708" s="86">
        <f t="shared" si="154"/>
        <v>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/>
      <c r="B709" s="51"/>
      <c r="C709" s="97"/>
      <c r="D709" s="97"/>
      <c r="E709" s="48"/>
      <c r="F709" s="94"/>
      <c r="G709" s="94"/>
      <c r="H709" s="94"/>
      <c r="I709" s="94"/>
      <c r="J709" s="52"/>
      <c r="K709" s="52"/>
      <c r="L709" s="52"/>
      <c r="M709" s="52"/>
      <c r="N709" s="104">
        <f t="shared" ref="N709:N742" si="155">K709+L709+M709</f>
        <v>0</v>
      </c>
      <c r="O709" s="52"/>
      <c r="P709" s="52"/>
      <c r="Q709" s="52"/>
      <c r="R709" s="104">
        <f t="shared" si="152"/>
        <v>0</v>
      </c>
      <c r="S709" s="86">
        <f t="shared" ref="S709:S772" si="156">R709+N709+J709</f>
        <v>0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/>
      <c r="B710" s="51"/>
      <c r="C710" s="97"/>
      <c r="D710" s="97"/>
      <c r="E710" s="48"/>
      <c r="F710" s="94"/>
      <c r="G710" s="94"/>
      <c r="H710" s="94"/>
      <c r="I710" s="94"/>
      <c r="J710" s="52"/>
      <c r="K710" s="52"/>
      <c r="L710" s="52"/>
      <c r="M710" s="52"/>
      <c r="N710" s="104">
        <f t="shared" si="155"/>
        <v>0</v>
      </c>
      <c r="O710" s="52"/>
      <c r="P710" s="52"/>
      <c r="Q710" s="52"/>
      <c r="R710" s="104">
        <f t="shared" si="152"/>
        <v>0</v>
      </c>
      <c r="S710" s="86">
        <f t="shared" si="156"/>
        <v>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x14ac:dyDescent="0.35">
      <c r="A711" s="85"/>
      <c r="B711" s="51"/>
      <c r="C711" s="97"/>
      <c r="D711" s="97"/>
      <c r="E711" s="48"/>
      <c r="F711" s="94"/>
      <c r="G711" s="94"/>
      <c r="H711" s="94"/>
      <c r="I711" s="94"/>
      <c r="J711" s="52"/>
      <c r="K711" s="52"/>
      <c r="L711" s="52"/>
      <c r="M711" s="52"/>
      <c r="N711" s="104">
        <f t="shared" si="155"/>
        <v>0</v>
      </c>
      <c r="O711" s="52"/>
      <c r="P711" s="52"/>
      <c r="Q711" s="52"/>
      <c r="R711" s="104">
        <f t="shared" si="152"/>
        <v>0</v>
      </c>
      <c r="S711" s="86">
        <f t="shared" si="156"/>
        <v>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x14ac:dyDescent="0.35">
      <c r="A712" s="85"/>
      <c r="B712" s="51"/>
      <c r="C712" s="97"/>
      <c r="D712" s="97"/>
      <c r="E712" s="48"/>
      <c r="F712" s="94"/>
      <c r="G712" s="94"/>
      <c r="H712" s="94"/>
      <c r="I712" s="94"/>
      <c r="J712" s="52"/>
      <c r="K712" s="52"/>
      <c r="L712" s="52"/>
      <c r="M712" s="52"/>
      <c r="N712" s="104">
        <f t="shared" si="155"/>
        <v>0</v>
      </c>
      <c r="O712" s="52"/>
      <c r="P712" s="52"/>
      <c r="Q712" s="52"/>
      <c r="R712" s="104">
        <f t="shared" si="152"/>
        <v>0</v>
      </c>
      <c r="S712" s="86">
        <f t="shared" si="156"/>
        <v>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x14ac:dyDescent="0.35">
      <c r="A713" s="85"/>
      <c r="B713" s="51"/>
      <c r="C713" s="97"/>
      <c r="D713" s="97"/>
      <c r="E713" s="48"/>
      <c r="F713" s="94"/>
      <c r="G713" s="94"/>
      <c r="H713" s="94"/>
      <c r="I713" s="94"/>
      <c r="J713" s="52"/>
      <c r="K713" s="52"/>
      <c r="L713" s="52"/>
      <c r="M713" s="52"/>
      <c r="N713" s="104">
        <f t="shared" si="155"/>
        <v>0</v>
      </c>
      <c r="O713" s="52"/>
      <c r="P713" s="52"/>
      <c r="Q713" s="52"/>
      <c r="R713" s="104">
        <f t="shared" si="152"/>
        <v>0</v>
      </c>
      <c r="S713" s="86">
        <f t="shared" si="156"/>
        <v>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x14ac:dyDescent="0.35">
      <c r="A714" s="85"/>
      <c r="B714" s="51"/>
      <c r="C714" s="97"/>
      <c r="D714" s="97"/>
      <c r="E714" s="48"/>
      <c r="F714" s="94"/>
      <c r="G714" s="94"/>
      <c r="H714" s="94"/>
      <c r="I714" s="94"/>
      <c r="J714" s="52"/>
      <c r="K714" s="52"/>
      <c r="L714" s="52"/>
      <c r="M714" s="52"/>
      <c r="N714" s="104">
        <f t="shared" si="155"/>
        <v>0</v>
      </c>
      <c r="O714" s="52"/>
      <c r="P714" s="52"/>
      <c r="Q714" s="52"/>
      <c r="R714" s="104">
        <f t="shared" si="152"/>
        <v>0</v>
      </c>
      <c r="S714" s="86">
        <f t="shared" si="156"/>
        <v>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x14ac:dyDescent="0.35">
      <c r="A715" s="85"/>
      <c r="B715" s="51"/>
      <c r="C715" s="97"/>
      <c r="D715" s="97"/>
      <c r="E715" s="48"/>
      <c r="F715" s="94"/>
      <c r="G715" s="94"/>
      <c r="H715" s="94"/>
      <c r="I715" s="94"/>
      <c r="J715" s="52"/>
      <c r="K715" s="52"/>
      <c r="L715" s="52"/>
      <c r="M715" s="52"/>
      <c r="N715" s="104">
        <f t="shared" si="155"/>
        <v>0</v>
      </c>
      <c r="O715" s="52"/>
      <c r="P715" s="52"/>
      <c r="Q715" s="52"/>
      <c r="R715" s="104">
        <f t="shared" si="152"/>
        <v>0</v>
      </c>
      <c r="S715" s="86">
        <f t="shared" si="156"/>
        <v>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x14ac:dyDescent="0.35">
      <c r="A716" s="85"/>
      <c r="B716" s="51"/>
      <c r="C716" s="97"/>
      <c r="D716" s="97"/>
      <c r="E716" s="48"/>
      <c r="F716" s="94"/>
      <c r="G716" s="94"/>
      <c r="H716" s="94"/>
      <c r="I716" s="94"/>
      <c r="J716" s="52"/>
      <c r="K716" s="52"/>
      <c r="L716" s="52"/>
      <c r="M716" s="52"/>
      <c r="N716" s="104">
        <f t="shared" si="155"/>
        <v>0</v>
      </c>
      <c r="O716" s="52"/>
      <c r="P716" s="52"/>
      <c r="Q716" s="52"/>
      <c r="R716" s="104">
        <f t="shared" si="152"/>
        <v>0</v>
      </c>
      <c r="S716" s="86">
        <f t="shared" si="156"/>
        <v>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x14ac:dyDescent="0.35">
      <c r="A717" s="85"/>
      <c r="B717" s="51"/>
      <c r="C717" s="97"/>
      <c r="D717" s="97"/>
      <c r="E717" s="48"/>
      <c r="F717" s="94"/>
      <c r="G717" s="94"/>
      <c r="H717" s="94"/>
      <c r="I717" s="94"/>
      <c r="J717" s="52"/>
      <c r="K717" s="52"/>
      <c r="L717" s="52"/>
      <c r="M717" s="52"/>
      <c r="N717" s="104">
        <f t="shared" si="155"/>
        <v>0</v>
      </c>
      <c r="O717" s="52"/>
      <c r="P717" s="52"/>
      <c r="Q717" s="52"/>
      <c r="R717" s="104">
        <f t="shared" si="152"/>
        <v>0</v>
      </c>
      <c r="S717" s="86">
        <f t="shared" si="156"/>
        <v>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x14ac:dyDescent="0.35">
      <c r="A718" s="85"/>
      <c r="B718" s="51"/>
      <c r="C718" s="97"/>
      <c r="D718" s="97"/>
      <c r="E718" s="48"/>
      <c r="F718" s="94"/>
      <c r="G718" s="94"/>
      <c r="H718" s="94"/>
      <c r="I718" s="94"/>
      <c r="J718" s="52"/>
      <c r="K718" s="52"/>
      <c r="L718" s="52"/>
      <c r="M718" s="52"/>
      <c r="N718" s="104">
        <f t="shared" si="155"/>
        <v>0</v>
      </c>
      <c r="O718" s="52"/>
      <c r="P718" s="52"/>
      <c r="Q718" s="52"/>
      <c r="R718" s="104">
        <f t="shared" si="152"/>
        <v>0</v>
      </c>
      <c r="S718" s="86">
        <f t="shared" si="156"/>
        <v>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x14ac:dyDescent="0.35">
      <c r="A719" s="85"/>
      <c r="B719" s="51"/>
      <c r="C719" s="97"/>
      <c r="D719" s="97"/>
      <c r="E719" s="48"/>
      <c r="F719" s="94"/>
      <c r="G719" s="94"/>
      <c r="H719" s="94"/>
      <c r="I719" s="94"/>
      <c r="J719" s="52"/>
      <c r="K719" s="52"/>
      <c r="L719" s="52"/>
      <c r="M719" s="52"/>
      <c r="N719" s="104">
        <f t="shared" si="155"/>
        <v>0</v>
      </c>
      <c r="O719" s="52"/>
      <c r="P719" s="52"/>
      <c r="Q719" s="52"/>
      <c r="R719" s="104">
        <f t="shared" si="152"/>
        <v>0</v>
      </c>
      <c r="S719" s="86">
        <f t="shared" si="156"/>
        <v>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x14ac:dyDescent="0.35">
      <c r="A720" s="85"/>
      <c r="B720" s="51"/>
      <c r="C720" s="97"/>
      <c r="D720" s="97"/>
      <c r="E720" s="48"/>
      <c r="F720" s="94"/>
      <c r="G720" s="94"/>
      <c r="H720" s="94"/>
      <c r="I720" s="94"/>
      <c r="J720" s="52"/>
      <c r="K720" s="52"/>
      <c r="L720" s="52"/>
      <c r="M720" s="52"/>
      <c r="N720" s="104">
        <f t="shared" si="155"/>
        <v>0</v>
      </c>
      <c r="O720" s="52"/>
      <c r="P720" s="52"/>
      <c r="Q720" s="52"/>
      <c r="R720" s="104">
        <f t="shared" si="152"/>
        <v>0</v>
      </c>
      <c r="S720" s="86">
        <f t="shared" si="156"/>
        <v>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x14ac:dyDescent="0.35">
      <c r="A721" s="85"/>
      <c r="B721" s="51"/>
      <c r="C721" s="97"/>
      <c r="D721" s="97"/>
      <c r="E721" s="48"/>
      <c r="F721" s="94"/>
      <c r="G721" s="94"/>
      <c r="H721" s="94"/>
      <c r="I721" s="94"/>
      <c r="J721" s="52"/>
      <c r="K721" s="52"/>
      <c r="L721" s="52"/>
      <c r="M721" s="52"/>
      <c r="N721" s="104">
        <f t="shared" si="155"/>
        <v>0</v>
      </c>
      <c r="O721" s="52"/>
      <c r="P721" s="52"/>
      <c r="Q721" s="52"/>
      <c r="R721" s="104">
        <f t="shared" si="152"/>
        <v>0</v>
      </c>
      <c r="S721" s="86">
        <f t="shared" si="156"/>
        <v>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x14ac:dyDescent="0.35">
      <c r="A722" s="85"/>
      <c r="B722" s="51"/>
      <c r="C722" s="97"/>
      <c r="D722" s="97"/>
      <c r="E722" s="48"/>
      <c r="F722" s="94"/>
      <c r="G722" s="94"/>
      <c r="H722" s="94"/>
      <c r="I722" s="94"/>
      <c r="J722" s="52"/>
      <c r="K722" s="52"/>
      <c r="L722" s="52"/>
      <c r="M722" s="52"/>
      <c r="N722" s="104">
        <f t="shared" si="155"/>
        <v>0</v>
      </c>
      <c r="O722" s="52"/>
      <c r="P722" s="52"/>
      <c r="Q722" s="52"/>
      <c r="R722" s="104">
        <f t="shared" si="152"/>
        <v>0</v>
      </c>
      <c r="S722" s="86">
        <f t="shared" si="156"/>
        <v>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x14ac:dyDescent="0.35">
      <c r="A723" s="85"/>
      <c r="B723" s="51"/>
      <c r="C723" s="97"/>
      <c r="D723" s="97"/>
      <c r="E723" s="48"/>
      <c r="F723" s="94"/>
      <c r="G723" s="94"/>
      <c r="H723" s="94"/>
      <c r="I723" s="94"/>
      <c r="J723" s="52"/>
      <c r="K723" s="52"/>
      <c r="L723" s="52"/>
      <c r="M723" s="52"/>
      <c r="N723" s="104">
        <f t="shared" si="155"/>
        <v>0</v>
      </c>
      <c r="O723" s="52"/>
      <c r="P723" s="52"/>
      <c r="Q723" s="52"/>
      <c r="R723" s="104">
        <f t="shared" si="152"/>
        <v>0</v>
      </c>
      <c r="S723" s="86">
        <f t="shared" si="156"/>
        <v>0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x14ac:dyDescent="0.35">
      <c r="A724" s="85"/>
      <c r="B724" s="51"/>
      <c r="C724" s="97"/>
      <c r="D724" s="97"/>
      <c r="E724" s="48"/>
      <c r="F724" s="94"/>
      <c r="G724" s="94"/>
      <c r="H724" s="94"/>
      <c r="I724" s="94"/>
      <c r="J724" s="52"/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0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x14ac:dyDescent="0.35">
      <c r="A725" s="85"/>
      <c r="B725" s="51"/>
      <c r="C725" s="97"/>
      <c r="D725" s="97"/>
      <c r="E725" s="48"/>
      <c r="F725" s="94"/>
      <c r="G725" s="94"/>
      <c r="H725" s="94"/>
      <c r="I725" s="94"/>
      <c r="J725" s="52"/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x14ac:dyDescent="0.35">
      <c r="A726" s="85"/>
      <c r="B726" s="51"/>
      <c r="C726" s="97"/>
      <c r="D726" s="97"/>
      <c r="E726" s="48"/>
      <c r="F726" s="94"/>
      <c r="G726" s="94"/>
      <c r="H726" s="94"/>
      <c r="I726" s="94"/>
      <c r="J726" s="52"/>
      <c r="K726" s="52"/>
      <c r="L726" s="52"/>
      <c r="M726" s="52"/>
      <c r="N726" s="104">
        <f t="shared" si="155"/>
        <v>0</v>
      </c>
      <c r="O726" s="52"/>
      <c r="P726" s="52"/>
      <c r="Q726" s="52"/>
      <c r="R726" s="104">
        <f t="shared" si="152"/>
        <v>0</v>
      </c>
      <c r="S726" s="86">
        <f t="shared" si="156"/>
        <v>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x14ac:dyDescent="0.35">
      <c r="A727" s="85"/>
      <c r="B727" s="51"/>
      <c r="C727" s="97"/>
      <c r="D727" s="97"/>
      <c r="E727" s="48"/>
      <c r="F727" s="94"/>
      <c r="G727" s="94"/>
      <c r="H727" s="94"/>
      <c r="I727" s="94"/>
      <c r="J727" s="52"/>
      <c r="K727" s="52"/>
      <c r="L727" s="52"/>
      <c r="M727" s="52"/>
      <c r="N727" s="104">
        <f t="shared" si="155"/>
        <v>0</v>
      </c>
      <c r="O727" s="52"/>
      <c r="P727" s="52"/>
      <c r="Q727" s="52"/>
      <c r="R727" s="104">
        <f t="shared" si="152"/>
        <v>0</v>
      </c>
      <c r="S727" s="86">
        <f t="shared" si="156"/>
        <v>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x14ac:dyDescent="0.35">
      <c r="A728" s="85"/>
      <c r="B728" s="51"/>
      <c r="C728" s="97"/>
      <c r="D728" s="97"/>
      <c r="E728" s="48"/>
      <c r="F728" s="94"/>
      <c r="G728" s="94"/>
      <c r="H728" s="94"/>
      <c r="I728" s="94"/>
      <c r="J728" s="52"/>
      <c r="K728" s="52"/>
      <c r="L728" s="52"/>
      <c r="M728" s="52"/>
      <c r="N728" s="104">
        <f t="shared" si="155"/>
        <v>0</v>
      </c>
      <c r="O728" s="52"/>
      <c r="P728" s="52"/>
      <c r="Q728" s="52"/>
      <c r="R728" s="104">
        <f t="shared" si="152"/>
        <v>0</v>
      </c>
      <c r="S728" s="86">
        <f t="shared" si="156"/>
        <v>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x14ac:dyDescent="0.35">
      <c r="A729" s="85"/>
      <c r="B729" s="51"/>
      <c r="C729" s="97"/>
      <c r="D729" s="97"/>
      <c r="E729" s="48"/>
      <c r="F729" s="94"/>
      <c r="G729" s="94"/>
      <c r="H729" s="94"/>
      <c r="I729" s="94"/>
      <c r="J729" s="52"/>
      <c r="K729" s="52"/>
      <c r="L729" s="52"/>
      <c r="M729" s="52"/>
      <c r="N729" s="104">
        <f t="shared" si="155"/>
        <v>0</v>
      </c>
      <c r="O729" s="52"/>
      <c r="P729" s="52"/>
      <c r="Q729" s="52"/>
      <c r="R729" s="104">
        <f t="shared" si="152"/>
        <v>0</v>
      </c>
      <c r="S729" s="86">
        <f t="shared" si="156"/>
        <v>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x14ac:dyDescent="0.35">
      <c r="A730" s="85"/>
      <c r="B730" s="51"/>
      <c r="C730" s="97"/>
      <c r="D730" s="97"/>
      <c r="E730" s="48"/>
      <c r="F730" s="94"/>
      <c r="G730" s="94"/>
      <c r="H730" s="94"/>
      <c r="I730" s="94"/>
      <c r="J730" s="52"/>
      <c r="K730" s="52"/>
      <c r="L730" s="52"/>
      <c r="M730" s="52"/>
      <c r="N730" s="104">
        <f t="shared" si="155"/>
        <v>0</v>
      </c>
      <c r="O730" s="52"/>
      <c r="P730" s="52"/>
      <c r="Q730" s="52"/>
      <c r="R730" s="104">
        <f t="shared" si="152"/>
        <v>0</v>
      </c>
      <c r="S730" s="86">
        <f t="shared" si="156"/>
        <v>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x14ac:dyDescent="0.35">
      <c r="A731" s="85"/>
      <c r="B731" s="51"/>
      <c r="C731" s="97"/>
      <c r="D731" s="97"/>
      <c r="E731" s="48"/>
      <c r="F731" s="94"/>
      <c r="G731" s="94"/>
      <c r="H731" s="94"/>
      <c r="I731" s="94"/>
      <c r="J731" s="52"/>
      <c r="K731" s="52"/>
      <c r="L731" s="52"/>
      <c r="M731" s="52"/>
      <c r="N731" s="104">
        <f t="shared" si="155"/>
        <v>0</v>
      </c>
      <c r="O731" s="52"/>
      <c r="P731" s="52"/>
      <c r="Q731" s="52"/>
      <c r="R731" s="104">
        <f t="shared" si="152"/>
        <v>0</v>
      </c>
      <c r="S731" s="86">
        <f t="shared" si="156"/>
        <v>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x14ac:dyDescent="0.35">
      <c r="A732" s="85"/>
      <c r="B732" s="51"/>
      <c r="C732" s="97"/>
      <c r="D732" s="97"/>
      <c r="E732" s="48"/>
      <c r="F732" s="94"/>
      <c r="G732" s="94"/>
      <c r="H732" s="94"/>
      <c r="I732" s="94"/>
      <c r="J732" s="52"/>
      <c r="K732" s="52"/>
      <c r="L732" s="52"/>
      <c r="M732" s="52"/>
      <c r="N732" s="104">
        <f t="shared" si="155"/>
        <v>0</v>
      </c>
      <c r="O732" s="52"/>
      <c r="P732" s="52"/>
      <c r="Q732" s="52"/>
      <c r="R732" s="104">
        <f t="shared" si="152"/>
        <v>0</v>
      </c>
      <c r="S732" s="86">
        <f t="shared" si="156"/>
        <v>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x14ac:dyDescent="0.35">
      <c r="A733" s="85"/>
      <c r="B733" s="51"/>
      <c r="C733" s="97"/>
      <c r="D733" s="97"/>
      <c r="E733" s="48"/>
      <c r="F733" s="94"/>
      <c r="G733" s="94"/>
      <c r="H733" s="94"/>
      <c r="I733" s="94"/>
      <c r="J733" s="52"/>
      <c r="K733" s="52"/>
      <c r="L733" s="52"/>
      <c r="M733" s="52"/>
      <c r="N733" s="104">
        <f t="shared" si="155"/>
        <v>0</v>
      </c>
      <c r="O733" s="52"/>
      <c r="P733" s="52"/>
      <c r="Q733" s="52"/>
      <c r="R733" s="104">
        <f t="shared" si="152"/>
        <v>0</v>
      </c>
      <c r="S733" s="86">
        <f t="shared" si="156"/>
        <v>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x14ac:dyDescent="0.35">
      <c r="A734" s="85"/>
      <c r="B734" s="51"/>
      <c r="C734" s="97"/>
      <c r="D734" s="97"/>
      <c r="E734" s="48"/>
      <c r="F734" s="94"/>
      <c r="G734" s="94"/>
      <c r="H734" s="94"/>
      <c r="I734" s="94"/>
      <c r="J734" s="52"/>
      <c r="K734" s="52"/>
      <c r="L734" s="52"/>
      <c r="M734" s="52"/>
      <c r="N734" s="104">
        <f t="shared" si="155"/>
        <v>0</v>
      </c>
      <c r="O734" s="52"/>
      <c r="P734" s="52"/>
      <c r="Q734" s="52"/>
      <c r="R734" s="104">
        <f t="shared" si="152"/>
        <v>0</v>
      </c>
      <c r="S734" s="86">
        <f t="shared" si="156"/>
        <v>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/>
      <c r="B735" s="51"/>
      <c r="C735" s="97"/>
      <c r="D735" s="97"/>
      <c r="E735" s="48"/>
      <c r="F735" s="94"/>
      <c r="G735" s="94"/>
      <c r="H735" s="94"/>
      <c r="I735" s="94"/>
      <c r="J735" s="52"/>
      <c r="K735" s="52"/>
      <c r="L735" s="52"/>
      <c r="M735" s="52"/>
      <c r="N735" s="104">
        <f t="shared" si="155"/>
        <v>0</v>
      </c>
      <c r="O735" s="52"/>
      <c r="P735" s="52"/>
      <c r="Q735" s="52"/>
      <c r="R735" s="104">
        <f t="shared" si="152"/>
        <v>0</v>
      </c>
      <c r="S735" s="86">
        <f t="shared" si="156"/>
        <v>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x14ac:dyDescent="0.35">
      <c r="A736" s="85"/>
      <c r="B736" s="51"/>
      <c r="C736" s="97"/>
      <c r="D736" s="97"/>
      <c r="E736" s="48"/>
      <c r="F736" s="94"/>
      <c r="G736" s="94"/>
      <c r="H736" s="94"/>
      <c r="I736" s="94"/>
      <c r="J736" s="52"/>
      <c r="K736" s="52"/>
      <c r="L736" s="52"/>
      <c r="M736" s="52"/>
      <c r="N736" s="104">
        <f t="shared" si="155"/>
        <v>0</v>
      </c>
      <c r="O736" s="52"/>
      <c r="P736" s="52"/>
      <c r="Q736" s="52"/>
      <c r="R736" s="104">
        <f t="shared" si="152"/>
        <v>0</v>
      </c>
      <c r="S736" s="86">
        <f t="shared" si="156"/>
        <v>0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x14ac:dyDescent="0.35">
      <c r="A737" s="85"/>
      <c r="B737" s="51"/>
      <c r="C737" s="97"/>
      <c r="D737" s="97"/>
      <c r="E737" s="48"/>
      <c r="F737" s="94"/>
      <c r="G737" s="94"/>
      <c r="H737" s="94"/>
      <c r="I737" s="94"/>
      <c r="J737" s="52"/>
      <c r="K737" s="52"/>
      <c r="L737" s="52"/>
      <c r="M737" s="52"/>
      <c r="N737" s="103">
        <f t="shared" si="155"/>
        <v>0</v>
      </c>
      <c r="O737" s="52"/>
      <c r="P737" s="52"/>
      <c r="Q737" s="52"/>
      <c r="R737" s="104">
        <f t="shared" si="152"/>
        <v>0</v>
      </c>
      <c r="S737" s="86">
        <f t="shared" si="156"/>
        <v>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x14ac:dyDescent="0.35">
      <c r="A738" s="85"/>
      <c r="B738" s="51"/>
      <c r="C738" s="97"/>
      <c r="D738" s="97"/>
      <c r="E738" s="48"/>
      <c r="F738" s="94"/>
      <c r="G738" s="94"/>
      <c r="H738" s="94"/>
      <c r="I738" s="94"/>
      <c r="J738" s="52"/>
      <c r="K738" s="52"/>
      <c r="L738" s="52"/>
      <c r="M738" s="52"/>
      <c r="N738" s="103">
        <f t="shared" si="155"/>
        <v>0</v>
      </c>
      <c r="O738" s="52"/>
      <c r="P738" s="52"/>
      <c r="Q738" s="52"/>
      <c r="R738" s="104">
        <f t="shared" si="152"/>
        <v>0</v>
      </c>
      <c r="S738" s="86">
        <f t="shared" si="156"/>
        <v>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x14ac:dyDescent="0.35">
      <c r="A739" s="85"/>
      <c r="B739" s="51"/>
      <c r="C739" s="97"/>
      <c r="D739" s="97"/>
      <c r="E739" s="48"/>
      <c r="F739" s="94"/>
      <c r="G739" s="94"/>
      <c r="H739" s="94"/>
      <c r="I739" s="94"/>
      <c r="J739" s="52"/>
      <c r="K739" s="52"/>
      <c r="L739" s="52"/>
      <c r="M739" s="52"/>
      <c r="N739" s="103">
        <f t="shared" si="155"/>
        <v>0</v>
      </c>
      <c r="O739" s="52"/>
      <c r="P739" s="52"/>
      <c r="Q739" s="52"/>
      <c r="R739" s="104">
        <f t="shared" si="152"/>
        <v>0</v>
      </c>
      <c r="S739" s="86">
        <f t="shared" si="156"/>
        <v>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x14ac:dyDescent="0.35">
      <c r="A740" s="85"/>
      <c r="B740" s="51"/>
      <c r="C740" s="97"/>
      <c r="D740" s="97"/>
      <c r="E740" s="48"/>
      <c r="F740" s="94"/>
      <c r="G740" s="94"/>
      <c r="H740" s="94"/>
      <c r="I740" s="94"/>
      <c r="J740" s="52"/>
      <c r="K740" s="52"/>
      <c r="L740" s="52"/>
      <c r="M740" s="52"/>
      <c r="N740" s="103">
        <f t="shared" si="155"/>
        <v>0</v>
      </c>
      <c r="O740" s="52"/>
      <c r="P740" s="52"/>
      <c r="Q740" s="52"/>
      <c r="R740" s="104">
        <f t="shared" si="152"/>
        <v>0</v>
      </c>
      <c r="S740" s="86">
        <f t="shared" si="156"/>
        <v>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x14ac:dyDescent="0.35">
      <c r="A741" s="85"/>
      <c r="B741" s="51"/>
      <c r="C741" s="97"/>
      <c r="D741" s="97"/>
      <c r="E741" s="48"/>
      <c r="F741" s="94"/>
      <c r="G741" s="94"/>
      <c r="H741" s="94"/>
      <c r="I741" s="94"/>
      <c r="J741" s="52"/>
      <c r="K741" s="52"/>
      <c r="L741" s="52"/>
      <c r="M741" s="52"/>
      <c r="N741" s="103">
        <f t="shared" si="155"/>
        <v>0</v>
      </c>
      <c r="O741" s="52"/>
      <c r="P741" s="52"/>
      <c r="Q741" s="52"/>
      <c r="R741" s="104">
        <f t="shared" si="152"/>
        <v>0</v>
      </c>
      <c r="S741" s="86">
        <f t="shared" si="156"/>
        <v>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x14ac:dyDescent="0.35">
      <c r="A742" s="85"/>
      <c r="B742" s="51"/>
      <c r="C742" s="97"/>
      <c r="D742" s="97"/>
      <c r="E742" s="48"/>
      <c r="F742" s="94"/>
      <c r="G742" s="94"/>
      <c r="H742" s="94"/>
      <c r="I742" s="94"/>
      <c r="J742" s="52"/>
      <c r="K742" s="52"/>
      <c r="L742" s="52"/>
      <c r="M742" s="52"/>
      <c r="N742" s="103">
        <f t="shared" si="155"/>
        <v>0</v>
      </c>
      <c r="O742" s="52"/>
      <c r="P742" s="52"/>
      <c r="Q742" s="52"/>
      <c r="R742" s="104">
        <f t="shared" si="152"/>
        <v>0</v>
      </c>
      <c r="S742" s="86">
        <f t="shared" si="156"/>
        <v>0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x14ac:dyDescent="0.35">
      <c r="A743" s="85"/>
      <c r="B743" s="51"/>
      <c r="C743" s="97"/>
      <c r="D743" s="97"/>
      <c r="E743" s="48"/>
      <c r="F743" s="94"/>
      <c r="G743" s="94"/>
      <c r="H743" s="94"/>
      <c r="I743" s="94"/>
      <c r="J743" s="52"/>
      <c r="K743" s="52"/>
      <c r="L743" s="52"/>
      <c r="M743" s="52"/>
      <c r="N743" s="103">
        <f t="shared" ref="N743:N806" si="157">K743+L743+M743</f>
        <v>0</v>
      </c>
      <c r="O743" s="52"/>
      <c r="P743" s="52"/>
      <c r="Q743" s="52"/>
      <c r="R743" s="104">
        <f t="shared" ref="R743:R776" si="158">SUM(O743:Q743)</f>
        <v>0</v>
      </c>
      <c r="S743" s="86">
        <f t="shared" si="156"/>
        <v>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x14ac:dyDescent="0.35">
      <c r="A744" s="85"/>
      <c r="B744" s="51"/>
      <c r="C744" s="97"/>
      <c r="D744" s="97"/>
      <c r="E744" s="48"/>
      <c r="F744" s="94"/>
      <c r="G744" s="94"/>
      <c r="H744" s="94"/>
      <c r="I744" s="94"/>
      <c r="J744" s="52"/>
      <c r="K744" s="52"/>
      <c r="L744" s="52"/>
      <c r="M744" s="52"/>
      <c r="N744" s="103">
        <f t="shared" si="157"/>
        <v>0</v>
      </c>
      <c r="O744" s="52"/>
      <c r="P744" s="52"/>
      <c r="Q744" s="52"/>
      <c r="R744" s="104">
        <f t="shared" si="158"/>
        <v>0</v>
      </c>
      <c r="S744" s="86">
        <f t="shared" si="156"/>
        <v>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x14ac:dyDescent="0.35">
      <c r="A745" s="85"/>
      <c r="B745" s="51"/>
      <c r="C745" s="97"/>
      <c r="D745" s="97"/>
      <c r="E745" s="48"/>
      <c r="F745" s="94"/>
      <c r="G745" s="94"/>
      <c r="H745" s="94"/>
      <c r="I745" s="94"/>
      <c r="J745" s="52"/>
      <c r="K745" s="52"/>
      <c r="L745" s="52"/>
      <c r="M745" s="52"/>
      <c r="N745" s="103">
        <f t="shared" si="157"/>
        <v>0</v>
      </c>
      <c r="O745" s="52"/>
      <c r="P745" s="52"/>
      <c r="Q745" s="52"/>
      <c r="R745" s="104">
        <f t="shared" si="158"/>
        <v>0</v>
      </c>
      <c r="S745" s="86">
        <f t="shared" si="156"/>
        <v>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x14ac:dyDescent="0.35">
      <c r="A746" s="85"/>
      <c r="B746" s="51"/>
      <c r="C746" s="97"/>
      <c r="D746" s="97"/>
      <c r="E746" s="48"/>
      <c r="F746" s="94"/>
      <c r="G746" s="94"/>
      <c r="H746" s="94"/>
      <c r="I746" s="94"/>
      <c r="J746" s="52"/>
      <c r="K746" s="52"/>
      <c r="L746" s="52"/>
      <c r="M746" s="52"/>
      <c r="N746" s="103">
        <f t="shared" si="157"/>
        <v>0</v>
      </c>
      <c r="O746" s="52"/>
      <c r="P746" s="52"/>
      <c r="Q746" s="52"/>
      <c r="R746" s="104">
        <f t="shared" si="158"/>
        <v>0</v>
      </c>
      <c r="S746" s="86">
        <f t="shared" si="156"/>
        <v>0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x14ac:dyDescent="0.35">
      <c r="A747" s="85"/>
      <c r="B747" s="51"/>
      <c r="C747" s="97"/>
      <c r="D747" s="97"/>
      <c r="E747" s="48"/>
      <c r="F747" s="94"/>
      <c r="G747" s="94"/>
      <c r="H747" s="94"/>
      <c r="I747" s="94"/>
      <c r="J747" s="52"/>
      <c r="K747" s="52"/>
      <c r="L747" s="52"/>
      <c r="M747" s="52"/>
      <c r="N747" s="103">
        <f t="shared" si="157"/>
        <v>0</v>
      </c>
      <c r="O747" s="52"/>
      <c r="P747" s="52"/>
      <c r="Q747" s="52"/>
      <c r="R747" s="104">
        <f t="shared" si="158"/>
        <v>0</v>
      </c>
      <c r="S747" s="86">
        <f t="shared" si="156"/>
        <v>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x14ac:dyDescent="0.35">
      <c r="A748" s="85"/>
      <c r="B748" s="51"/>
      <c r="C748" s="97"/>
      <c r="D748" s="97"/>
      <c r="E748" s="48"/>
      <c r="F748" s="94"/>
      <c r="G748" s="94"/>
      <c r="H748" s="94"/>
      <c r="I748" s="94"/>
      <c r="J748" s="52"/>
      <c r="K748" s="52"/>
      <c r="L748" s="52"/>
      <c r="M748" s="52"/>
      <c r="N748" s="103">
        <f t="shared" si="157"/>
        <v>0</v>
      </c>
      <c r="O748" s="52"/>
      <c r="P748" s="52"/>
      <c r="Q748" s="52"/>
      <c r="R748" s="104">
        <f t="shared" si="158"/>
        <v>0</v>
      </c>
      <c r="S748" s="86">
        <f t="shared" si="156"/>
        <v>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x14ac:dyDescent="0.35">
      <c r="A749" s="85"/>
      <c r="B749" s="51"/>
      <c r="C749" s="97"/>
      <c r="D749" s="97"/>
      <c r="E749" s="48"/>
      <c r="F749" s="94"/>
      <c r="G749" s="94"/>
      <c r="H749" s="94"/>
      <c r="I749" s="94"/>
      <c r="J749" s="52"/>
      <c r="K749" s="52"/>
      <c r="L749" s="52"/>
      <c r="M749" s="52"/>
      <c r="N749" s="103">
        <f t="shared" si="157"/>
        <v>0</v>
      </c>
      <c r="O749" s="52"/>
      <c r="P749" s="52"/>
      <c r="Q749" s="52"/>
      <c r="R749" s="104">
        <f t="shared" si="158"/>
        <v>0</v>
      </c>
      <c r="S749" s="86">
        <f t="shared" si="156"/>
        <v>0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x14ac:dyDescent="0.35">
      <c r="A750" s="85"/>
      <c r="B750" s="51"/>
      <c r="C750" s="97"/>
      <c r="D750" s="97"/>
      <c r="E750" s="48"/>
      <c r="F750" s="94"/>
      <c r="G750" s="94"/>
      <c r="H750" s="94"/>
      <c r="I750" s="94"/>
      <c r="J750" s="52"/>
      <c r="K750" s="52"/>
      <c r="L750" s="52"/>
      <c r="M750" s="52"/>
      <c r="N750" s="103">
        <f t="shared" si="157"/>
        <v>0</v>
      </c>
      <c r="O750" s="52"/>
      <c r="P750" s="52"/>
      <c r="Q750" s="52"/>
      <c r="R750" s="104">
        <f t="shared" si="158"/>
        <v>0</v>
      </c>
      <c r="S750" s="86">
        <f t="shared" si="156"/>
        <v>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x14ac:dyDescent="0.35">
      <c r="A751" s="85"/>
      <c r="B751" s="51"/>
      <c r="C751" s="97"/>
      <c r="D751" s="97"/>
      <c r="E751" s="48"/>
      <c r="F751" s="94"/>
      <c r="G751" s="94"/>
      <c r="H751" s="94"/>
      <c r="I751" s="94"/>
      <c r="J751" s="52"/>
      <c r="K751" s="52"/>
      <c r="L751" s="52"/>
      <c r="M751" s="52"/>
      <c r="N751" s="103">
        <f t="shared" si="157"/>
        <v>0</v>
      </c>
      <c r="O751" s="52"/>
      <c r="P751" s="52"/>
      <c r="Q751" s="52"/>
      <c r="R751" s="104">
        <f t="shared" si="158"/>
        <v>0</v>
      </c>
      <c r="S751" s="86">
        <f t="shared" si="156"/>
        <v>0</v>
      </c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x14ac:dyDescent="0.35">
      <c r="A752" s="85"/>
      <c r="B752" s="51"/>
      <c r="C752" s="97"/>
      <c r="D752" s="97"/>
      <c r="E752" s="48"/>
      <c r="F752" s="94"/>
      <c r="G752" s="94"/>
      <c r="H752" s="94"/>
      <c r="I752" s="94"/>
      <c r="J752" s="52"/>
      <c r="K752" s="52"/>
      <c r="L752" s="52"/>
      <c r="M752" s="52"/>
      <c r="N752" s="103">
        <f t="shared" si="157"/>
        <v>0</v>
      </c>
      <c r="O752" s="52"/>
      <c r="P752" s="52"/>
      <c r="Q752" s="52"/>
      <c r="R752" s="104">
        <f t="shared" si="158"/>
        <v>0</v>
      </c>
      <c r="S752" s="86">
        <f t="shared" si="156"/>
        <v>0</v>
      </c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x14ac:dyDescent="0.35">
      <c r="A753" s="85"/>
      <c r="B753" s="51"/>
      <c r="C753" s="97"/>
      <c r="D753" s="97"/>
      <c r="E753" s="48"/>
      <c r="F753" s="94"/>
      <c r="G753" s="94"/>
      <c r="H753" s="94"/>
      <c r="I753" s="94"/>
      <c r="J753" s="52"/>
      <c r="K753" s="52"/>
      <c r="L753" s="52"/>
      <c r="M753" s="52"/>
      <c r="N753" s="103">
        <f t="shared" si="157"/>
        <v>0</v>
      </c>
      <c r="O753" s="52"/>
      <c r="P753" s="52"/>
      <c r="Q753" s="52"/>
      <c r="R753" s="104">
        <f t="shared" si="158"/>
        <v>0</v>
      </c>
      <c r="S753" s="86">
        <f t="shared" si="156"/>
        <v>0</v>
      </c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x14ac:dyDescent="0.35">
      <c r="A754" s="85"/>
      <c r="B754" s="51"/>
      <c r="C754" s="97"/>
      <c r="D754" s="97"/>
      <c r="E754" s="48"/>
      <c r="F754" s="94"/>
      <c r="G754" s="94"/>
      <c r="H754" s="94"/>
      <c r="I754" s="94"/>
      <c r="J754" s="52"/>
      <c r="K754" s="52"/>
      <c r="L754" s="52"/>
      <c r="M754" s="52"/>
      <c r="N754" s="103">
        <f t="shared" si="157"/>
        <v>0</v>
      </c>
      <c r="O754" s="52"/>
      <c r="P754" s="52"/>
      <c r="Q754" s="52"/>
      <c r="R754" s="104">
        <f t="shared" si="158"/>
        <v>0</v>
      </c>
      <c r="S754" s="86">
        <f t="shared" si="156"/>
        <v>0</v>
      </c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x14ac:dyDescent="0.35">
      <c r="A755" s="85"/>
      <c r="B755" s="51"/>
      <c r="C755" s="97"/>
      <c r="D755" s="97"/>
      <c r="E755" s="48"/>
      <c r="F755" s="94"/>
      <c r="G755" s="94"/>
      <c r="H755" s="94"/>
      <c r="I755" s="94"/>
      <c r="J755" s="52"/>
      <c r="K755" s="52"/>
      <c r="L755" s="52"/>
      <c r="M755" s="52"/>
      <c r="N755" s="103">
        <f t="shared" si="157"/>
        <v>0</v>
      </c>
      <c r="O755" s="52"/>
      <c r="P755" s="52"/>
      <c r="Q755" s="52"/>
      <c r="R755" s="104">
        <f t="shared" si="158"/>
        <v>0</v>
      </c>
      <c r="S755" s="86">
        <f t="shared" si="156"/>
        <v>0</v>
      </c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85"/>
      <c r="B756" s="51"/>
      <c r="C756" s="97"/>
      <c r="D756" s="97"/>
      <c r="E756" s="48"/>
      <c r="F756" s="94"/>
      <c r="G756" s="94"/>
      <c r="H756" s="94"/>
      <c r="I756" s="94"/>
      <c r="J756" s="52"/>
      <c r="K756" s="52"/>
      <c r="L756" s="52"/>
      <c r="M756" s="52"/>
      <c r="N756" s="103">
        <f t="shared" si="157"/>
        <v>0</v>
      </c>
      <c r="O756" s="52"/>
      <c r="P756" s="52"/>
      <c r="Q756" s="52"/>
      <c r="R756" s="104">
        <f t="shared" si="158"/>
        <v>0</v>
      </c>
      <c r="S756" s="86">
        <f t="shared" si="156"/>
        <v>0</v>
      </c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85"/>
      <c r="B757" s="51"/>
      <c r="C757" s="97"/>
      <c r="D757" s="97"/>
      <c r="E757" s="48"/>
      <c r="F757" s="94"/>
      <c r="G757" s="94"/>
      <c r="H757" s="94"/>
      <c r="I757" s="94"/>
      <c r="J757" s="52"/>
      <c r="K757" s="52"/>
      <c r="L757" s="52"/>
      <c r="M757" s="52"/>
      <c r="N757" s="103">
        <f t="shared" si="157"/>
        <v>0</v>
      </c>
      <c r="O757" s="52"/>
      <c r="P757" s="52"/>
      <c r="Q757" s="52"/>
      <c r="R757" s="104">
        <f t="shared" si="158"/>
        <v>0</v>
      </c>
      <c r="S757" s="86">
        <f t="shared" si="156"/>
        <v>0</v>
      </c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85"/>
      <c r="B758" s="51"/>
      <c r="C758" s="97"/>
      <c r="D758" s="97"/>
      <c r="E758" s="48"/>
      <c r="F758" s="94"/>
      <c r="G758" s="94"/>
      <c r="H758" s="94"/>
      <c r="I758" s="94"/>
      <c r="J758" s="52"/>
      <c r="K758" s="52"/>
      <c r="L758" s="52"/>
      <c r="M758" s="52"/>
      <c r="N758" s="103">
        <f t="shared" si="157"/>
        <v>0</v>
      </c>
      <c r="O758" s="52"/>
      <c r="P758" s="52"/>
      <c r="Q758" s="52"/>
      <c r="R758" s="104">
        <f t="shared" si="158"/>
        <v>0</v>
      </c>
      <c r="S758" s="86">
        <f t="shared" si="156"/>
        <v>0</v>
      </c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85"/>
      <c r="B759" s="51"/>
      <c r="C759" s="97"/>
      <c r="D759" s="97"/>
      <c r="E759" s="48"/>
      <c r="F759" s="94"/>
      <c r="G759" s="94"/>
      <c r="H759" s="94"/>
      <c r="I759" s="94"/>
      <c r="J759" s="52"/>
      <c r="K759" s="52"/>
      <c r="L759" s="52"/>
      <c r="M759" s="52"/>
      <c r="N759" s="103">
        <f t="shared" si="157"/>
        <v>0</v>
      </c>
      <c r="O759" s="52"/>
      <c r="P759" s="52"/>
      <c r="Q759" s="52"/>
      <c r="R759" s="104">
        <f t="shared" si="158"/>
        <v>0</v>
      </c>
      <c r="S759" s="86">
        <f t="shared" si="156"/>
        <v>0</v>
      </c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85"/>
      <c r="B760" s="51"/>
      <c r="C760" s="97"/>
      <c r="D760" s="97"/>
      <c r="E760" s="48"/>
      <c r="F760" s="94"/>
      <c r="G760" s="94"/>
      <c r="H760" s="94"/>
      <c r="I760" s="94"/>
      <c r="J760" s="52"/>
      <c r="K760" s="52"/>
      <c r="L760" s="52"/>
      <c r="M760" s="52"/>
      <c r="N760" s="103">
        <f t="shared" si="157"/>
        <v>0</v>
      </c>
      <c r="O760" s="52"/>
      <c r="P760" s="52"/>
      <c r="Q760" s="52"/>
      <c r="R760" s="104">
        <f t="shared" si="158"/>
        <v>0</v>
      </c>
      <c r="S760" s="86">
        <f t="shared" si="156"/>
        <v>0</v>
      </c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85"/>
      <c r="B761" s="51"/>
      <c r="C761" s="97"/>
      <c r="D761" s="97"/>
      <c r="E761" s="48"/>
      <c r="F761" s="94"/>
      <c r="G761" s="94"/>
      <c r="H761" s="94"/>
      <c r="I761" s="94"/>
      <c r="J761" s="52"/>
      <c r="K761" s="52"/>
      <c r="L761" s="52"/>
      <c r="M761" s="52"/>
      <c r="N761" s="103">
        <f t="shared" si="157"/>
        <v>0</v>
      </c>
      <c r="O761" s="52"/>
      <c r="P761" s="52"/>
      <c r="Q761" s="52"/>
      <c r="R761" s="104">
        <f t="shared" si="158"/>
        <v>0</v>
      </c>
      <c r="S761" s="86">
        <f t="shared" si="156"/>
        <v>0</v>
      </c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85"/>
      <c r="B762" s="51"/>
      <c r="C762" s="97"/>
      <c r="D762" s="97"/>
      <c r="E762" s="48"/>
      <c r="F762" s="94"/>
      <c r="G762" s="94"/>
      <c r="H762" s="94"/>
      <c r="I762" s="94"/>
      <c r="J762" s="52"/>
      <c r="K762" s="52"/>
      <c r="L762" s="52"/>
      <c r="M762" s="52"/>
      <c r="N762" s="103">
        <f t="shared" si="157"/>
        <v>0</v>
      </c>
      <c r="O762" s="52"/>
      <c r="P762" s="52"/>
      <c r="Q762" s="52"/>
      <c r="R762" s="104">
        <f t="shared" si="158"/>
        <v>0</v>
      </c>
      <c r="S762" s="86">
        <f t="shared" si="156"/>
        <v>0</v>
      </c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85"/>
      <c r="B763" s="51"/>
      <c r="C763" s="97"/>
      <c r="D763" s="97"/>
      <c r="E763" s="48"/>
      <c r="F763" s="94"/>
      <c r="G763" s="94"/>
      <c r="H763" s="94"/>
      <c r="I763" s="94"/>
      <c r="J763" s="52"/>
      <c r="K763" s="52"/>
      <c r="L763" s="52"/>
      <c r="M763" s="52"/>
      <c r="N763" s="103">
        <f t="shared" si="157"/>
        <v>0</v>
      </c>
      <c r="O763" s="52"/>
      <c r="P763" s="52"/>
      <c r="Q763" s="52"/>
      <c r="R763" s="104">
        <f t="shared" si="158"/>
        <v>0</v>
      </c>
      <c r="S763" s="86">
        <f t="shared" si="156"/>
        <v>0</v>
      </c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x14ac:dyDescent="0.35">
      <c r="A764" s="85"/>
      <c r="B764" s="51"/>
      <c r="C764" s="97"/>
      <c r="D764" s="97"/>
      <c r="E764" s="48"/>
      <c r="F764" s="94"/>
      <c r="G764" s="94"/>
      <c r="H764" s="94"/>
      <c r="I764" s="94"/>
      <c r="J764" s="52"/>
      <c r="K764" s="52"/>
      <c r="L764" s="52"/>
      <c r="M764" s="52"/>
      <c r="N764" s="103">
        <f t="shared" si="157"/>
        <v>0</v>
      </c>
      <c r="O764" s="52"/>
      <c r="P764" s="52"/>
      <c r="Q764" s="52"/>
      <c r="R764" s="104">
        <f t="shared" si="158"/>
        <v>0</v>
      </c>
      <c r="S764" s="86">
        <f t="shared" si="156"/>
        <v>0</v>
      </c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x14ac:dyDescent="0.35">
      <c r="A765" s="85"/>
      <c r="B765" s="51"/>
      <c r="C765" s="97"/>
      <c r="D765" s="97"/>
      <c r="E765" s="48"/>
      <c r="F765" s="94"/>
      <c r="G765" s="94"/>
      <c r="H765" s="94"/>
      <c r="I765" s="94"/>
      <c r="J765" s="52"/>
      <c r="K765" s="52"/>
      <c r="L765" s="52"/>
      <c r="M765" s="52"/>
      <c r="N765" s="103">
        <f t="shared" si="157"/>
        <v>0</v>
      </c>
      <c r="O765" s="52"/>
      <c r="P765" s="52"/>
      <c r="Q765" s="52"/>
      <c r="R765" s="104">
        <f t="shared" si="158"/>
        <v>0</v>
      </c>
      <c r="S765" s="86">
        <f t="shared" si="156"/>
        <v>0</v>
      </c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x14ac:dyDescent="0.35">
      <c r="A766" s="85"/>
      <c r="B766" s="51"/>
      <c r="C766" s="97"/>
      <c r="D766" s="97"/>
      <c r="E766" s="48"/>
      <c r="F766" s="94"/>
      <c r="G766" s="94"/>
      <c r="H766" s="94"/>
      <c r="I766" s="94"/>
      <c r="J766" s="52"/>
      <c r="K766" s="52"/>
      <c r="L766" s="52"/>
      <c r="M766" s="52"/>
      <c r="N766" s="103">
        <f t="shared" si="157"/>
        <v>0</v>
      </c>
      <c r="O766" s="52"/>
      <c r="P766" s="52"/>
      <c r="Q766" s="52"/>
      <c r="R766" s="104">
        <f t="shared" si="158"/>
        <v>0</v>
      </c>
      <c r="S766" s="86">
        <f t="shared" si="156"/>
        <v>0</v>
      </c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x14ac:dyDescent="0.35">
      <c r="A767" s="85"/>
      <c r="B767" s="51"/>
      <c r="C767" s="97"/>
      <c r="D767" s="97"/>
      <c r="E767" s="48"/>
      <c r="F767" s="94"/>
      <c r="G767" s="94"/>
      <c r="H767" s="94"/>
      <c r="I767" s="94"/>
      <c r="J767" s="52"/>
      <c r="K767" s="52"/>
      <c r="L767" s="52"/>
      <c r="M767" s="52"/>
      <c r="N767" s="103">
        <f t="shared" si="157"/>
        <v>0</v>
      </c>
      <c r="O767" s="52"/>
      <c r="P767" s="52"/>
      <c r="Q767" s="52"/>
      <c r="R767" s="104">
        <f t="shared" si="158"/>
        <v>0</v>
      </c>
      <c r="S767" s="86">
        <f t="shared" si="156"/>
        <v>0</v>
      </c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x14ac:dyDescent="0.35">
      <c r="A768" s="85"/>
      <c r="B768" s="51"/>
      <c r="C768" s="97"/>
      <c r="D768" s="97"/>
      <c r="E768" s="48"/>
      <c r="F768" s="94"/>
      <c r="G768" s="94"/>
      <c r="H768" s="94"/>
      <c r="I768" s="94"/>
      <c r="J768" s="52"/>
      <c r="K768" s="52"/>
      <c r="L768" s="52"/>
      <c r="M768" s="52"/>
      <c r="N768" s="103">
        <f t="shared" si="157"/>
        <v>0</v>
      </c>
      <c r="O768" s="52"/>
      <c r="P768" s="52"/>
      <c r="Q768" s="52"/>
      <c r="R768" s="104">
        <f t="shared" si="158"/>
        <v>0</v>
      </c>
      <c r="S768" s="86">
        <f t="shared" si="156"/>
        <v>0</v>
      </c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x14ac:dyDescent="0.35">
      <c r="A769" s="85"/>
      <c r="B769" s="51"/>
      <c r="C769" s="97"/>
      <c r="D769" s="97"/>
      <c r="E769" s="48"/>
      <c r="F769" s="94"/>
      <c r="G769" s="94"/>
      <c r="H769" s="94"/>
      <c r="I769" s="94"/>
      <c r="J769" s="52"/>
      <c r="K769" s="52"/>
      <c r="L769" s="52"/>
      <c r="M769" s="52"/>
      <c r="N769" s="103">
        <f t="shared" si="157"/>
        <v>0</v>
      </c>
      <c r="O769" s="52"/>
      <c r="P769" s="52"/>
      <c r="Q769" s="52"/>
      <c r="R769" s="104">
        <f t="shared" si="158"/>
        <v>0</v>
      </c>
      <c r="S769" s="86">
        <f t="shared" si="156"/>
        <v>0</v>
      </c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x14ac:dyDescent="0.35">
      <c r="A770" s="85"/>
      <c r="B770" s="51"/>
      <c r="C770" s="97"/>
      <c r="D770" s="97"/>
      <c r="E770" s="48"/>
      <c r="F770" s="94"/>
      <c r="G770" s="94"/>
      <c r="H770" s="94"/>
      <c r="I770" s="94"/>
      <c r="J770" s="52"/>
      <c r="K770" s="52"/>
      <c r="L770" s="52"/>
      <c r="M770" s="52"/>
      <c r="N770" s="103">
        <f t="shared" si="157"/>
        <v>0</v>
      </c>
      <c r="O770" s="52"/>
      <c r="P770" s="52"/>
      <c r="Q770" s="52"/>
      <c r="R770" s="104">
        <f t="shared" si="158"/>
        <v>0</v>
      </c>
      <c r="S770" s="86">
        <f t="shared" si="156"/>
        <v>0</v>
      </c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x14ac:dyDescent="0.35">
      <c r="A771" s="85"/>
      <c r="B771" s="51"/>
      <c r="C771" s="97"/>
      <c r="D771" s="97"/>
      <c r="E771" s="48"/>
      <c r="F771" s="94"/>
      <c r="G771" s="94"/>
      <c r="H771" s="94"/>
      <c r="I771" s="94"/>
      <c r="J771" s="52"/>
      <c r="K771" s="52"/>
      <c r="L771" s="52"/>
      <c r="M771" s="52"/>
      <c r="N771" s="103">
        <f t="shared" si="157"/>
        <v>0</v>
      </c>
      <c r="O771" s="52"/>
      <c r="P771" s="52"/>
      <c r="Q771" s="52"/>
      <c r="R771" s="104">
        <f t="shared" si="158"/>
        <v>0</v>
      </c>
      <c r="S771" s="86">
        <f t="shared" si="156"/>
        <v>0</v>
      </c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x14ac:dyDescent="0.35">
      <c r="A772" s="85"/>
      <c r="B772" s="51"/>
      <c r="C772" s="97"/>
      <c r="D772" s="97"/>
      <c r="E772" s="48"/>
      <c r="F772" s="94"/>
      <c r="G772" s="94"/>
      <c r="H772" s="94"/>
      <c r="I772" s="94"/>
      <c r="J772" s="52"/>
      <c r="K772" s="52"/>
      <c r="L772" s="52"/>
      <c r="M772" s="52"/>
      <c r="N772" s="103">
        <f t="shared" si="157"/>
        <v>0</v>
      </c>
      <c r="O772" s="52"/>
      <c r="P772" s="52"/>
      <c r="Q772" s="52"/>
      <c r="R772" s="104">
        <f t="shared" si="158"/>
        <v>0</v>
      </c>
      <c r="S772" s="86">
        <f t="shared" si="156"/>
        <v>0</v>
      </c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x14ac:dyDescent="0.35">
      <c r="A773" s="85"/>
      <c r="B773" s="51"/>
      <c r="C773" s="97"/>
      <c r="D773" s="97"/>
      <c r="E773" s="48"/>
      <c r="F773" s="94"/>
      <c r="G773" s="94"/>
      <c r="H773" s="94"/>
      <c r="I773" s="94"/>
      <c r="J773" s="52"/>
      <c r="K773" s="52"/>
      <c r="L773" s="52"/>
      <c r="M773" s="52"/>
      <c r="N773" s="103">
        <f t="shared" si="157"/>
        <v>0</v>
      </c>
      <c r="O773" s="52"/>
      <c r="P773" s="52"/>
      <c r="Q773" s="52"/>
      <c r="R773" s="104">
        <f t="shared" si="158"/>
        <v>0</v>
      </c>
      <c r="S773" s="86">
        <f t="shared" ref="S773:S776" si="159">R773+N773+J773</f>
        <v>0</v>
      </c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x14ac:dyDescent="0.35">
      <c r="A774" s="85"/>
      <c r="B774" s="51"/>
      <c r="C774" s="97"/>
      <c r="D774" s="97"/>
      <c r="E774" s="48"/>
      <c r="F774" s="94"/>
      <c r="G774" s="94"/>
      <c r="H774" s="94"/>
      <c r="I774" s="94"/>
      <c r="J774" s="52"/>
      <c r="K774" s="52"/>
      <c r="L774" s="52"/>
      <c r="M774" s="52"/>
      <c r="N774" s="103">
        <f t="shared" si="157"/>
        <v>0</v>
      </c>
      <c r="O774" s="52"/>
      <c r="P774" s="52"/>
      <c r="Q774" s="52"/>
      <c r="R774" s="104">
        <f t="shared" si="158"/>
        <v>0</v>
      </c>
      <c r="S774" s="86">
        <f t="shared" si="159"/>
        <v>0</v>
      </c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x14ac:dyDescent="0.35">
      <c r="A775" s="85"/>
      <c r="B775" s="51"/>
      <c r="C775" s="97"/>
      <c r="D775" s="97"/>
      <c r="E775" s="48"/>
      <c r="F775" s="94"/>
      <c r="G775" s="94"/>
      <c r="H775" s="94"/>
      <c r="I775" s="94"/>
      <c r="J775" s="52"/>
      <c r="K775" s="52"/>
      <c r="L775" s="52"/>
      <c r="M775" s="52"/>
      <c r="N775" s="103">
        <f t="shared" si="157"/>
        <v>0</v>
      </c>
      <c r="O775" s="52"/>
      <c r="P775" s="52"/>
      <c r="Q775" s="52"/>
      <c r="R775" s="104">
        <f t="shared" si="158"/>
        <v>0</v>
      </c>
      <c r="S775" s="86">
        <f t="shared" si="159"/>
        <v>0</v>
      </c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85"/>
      <c r="B776" s="51"/>
      <c r="C776" s="97"/>
      <c r="D776" s="97"/>
      <c r="E776" s="48"/>
      <c r="F776" s="94"/>
      <c r="G776" s="94"/>
      <c r="H776" s="94"/>
      <c r="I776" s="94"/>
      <c r="J776" s="52"/>
      <c r="K776" s="52"/>
      <c r="L776" s="52"/>
      <c r="M776" s="52"/>
      <c r="N776" s="103">
        <f t="shared" si="157"/>
        <v>0</v>
      </c>
      <c r="O776" s="52"/>
      <c r="P776" s="52"/>
      <c r="Q776" s="52"/>
      <c r="R776" s="104">
        <f t="shared" si="158"/>
        <v>0</v>
      </c>
      <c r="S776" s="86">
        <f t="shared" si="159"/>
        <v>0</v>
      </c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85"/>
      <c r="B777" s="51"/>
      <c r="C777" s="97"/>
      <c r="D777" s="97"/>
      <c r="E777" s="48"/>
      <c r="F777" s="94"/>
      <c r="G777" s="94"/>
      <c r="H777" s="94"/>
      <c r="I777" s="94"/>
      <c r="J777" s="52"/>
      <c r="K777" s="52"/>
      <c r="L777" s="52"/>
      <c r="M777" s="52"/>
      <c r="N777" s="103">
        <f t="shared" si="157"/>
        <v>0</v>
      </c>
      <c r="O777" s="52"/>
      <c r="P777" s="52"/>
      <c r="Q777" s="52"/>
      <c r="R777" s="104">
        <f t="shared" ref="R777:R794" si="160">SUM(O777:Q777)</f>
        <v>0</v>
      </c>
      <c r="S777" s="86">
        <f t="shared" ref="S777:S794" si="161">R777+N777+J777</f>
        <v>0</v>
      </c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85"/>
      <c r="B778" s="51"/>
      <c r="C778" s="97"/>
      <c r="D778" s="97"/>
      <c r="E778" s="48"/>
      <c r="F778" s="94"/>
      <c r="G778" s="94"/>
      <c r="H778" s="94"/>
      <c r="I778" s="94"/>
      <c r="J778" s="52"/>
      <c r="K778" s="52"/>
      <c r="L778" s="52"/>
      <c r="M778" s="52"/>
      <c r="N778" s="103">
        <f t="shared" si="157"/>
        <v>0</v>
      </c>
      <c r="O778" s="52"/>
      <c r="P778" s="52"/>
      <c r="Q778" s="52"/>
      <c r="R778" s="104">
        <f t="shared" si="160"/>
        <v>0</v>
      </c>
      <c r="S778" s="86">
        <f t="shared" si="161"/>
        <v>0</v>
      </c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85"/>
      <c r="B779" s="51"/>
      <c r="C779" s="97"/>
      <c r="D779" s="97"/>
      <c r="E779" s="48"/>
      <c r="F779" s="94"/>
      <c r="G779" s="94"/>
      <c r="H779" s="94"/>
      <c r="I779" s="94"/>
      <c r="J779" s="52"/>
      <c r="K779" s="52"/>
      <c r="L779" s="52"/>
      <c r="M779" s="52"/>
      <c r="N779" s="103">
        <f t="shared" si="157"/>
        <v>0</v>
      </c>
      <c r="O779" s="52"/>
      <c r="P779" s="52"/>
      <c r="Q779" s="52"/>
      <c r="R779" s="104">
        <f t="shared" si="160"/>
        <v>0</v>
      </c>
      <c r="S779" s="86">
        <f t="shared" si="161"/>
        <v>0</v>
      </c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85"/>
      <c r="B780" s="51"/>
      <c r="C780" s="97"/>
      <c r="D780" s="97"/>
      <c r="E780" s="48"/>
      <c r="F780" s="94"/>
      <c r="G780" s="94"/>
      <c r="H780" s="94"/>
      <c r="I780" s="94"/>
      <c r="J780" s="52"/>
      <c r="K780" s="52"/>
      <c r="L780" s="52"/>
      <c r="M780" s="52"/>
      <c r="N780" s="103">
        <f t="shared" si="157"/>
        <v>0</v>
      </c>
      <c r="O780" s="52"/>
      <c r="P780" s="52"/>
      <c r="Q780" s="52"/>
      <c r="R780" s="104">
        <f t="shared" si="160"/>
        <v>0</v>
      </c>
      <c r="S780" s="86">
        <f t="shared" si="161"/>
        <v>0</v>
      </c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85"/>
      <c r="B781" s="51"/>
      <c r="C781" s="97"/>
      <c r="D781" s="97"/>
      <c r="E781" s="48"/>
      <c r="F781" s="94"/>
      <c r="G781" s="94"/>
      <c r="H781" s="94"/>
      <c r="I781" s="94"/>
      <c r="J781" s="52"/>
      <c r="K781" s="52"/>
      <c r="L781" s="52"/>
      <c r="M781" s="52"/>
      <c r="N781" s="103">
        <f t="shared" si="157"/>
        <v>0</v>
      </c>
      <c r="O781" s="52"/>
      <c r="P781" s="52"/>
      <c r="Q781" s="52"/>
      <c r="R781" s="104">
        <f t="shared" si="160"/>
        <v>0</v>
      </c>
      <c r="S781" s="86">
        <f t="shared" si="161"/>
        <v>0</v>
      </c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x14ac:dyDescent="0.35">
      <c r="A782" s="85"/>
      <c r="B782" s="51"/>
      <c r="C782" s="97"/>
      <c r="D782" s="97"/>
      <c r="E782" s="48"/>
      <c r="F782" s="94"/>
      <c r="G782" s="94"/>
      <c r="H782" s="94"/>
      <c r="I782" s="94"/>
      <c r="J782" s="52"/>
      <c r="K782" s="52"/>
      <c r="L782" s="52"/>
      <c r="M782" s="52"/>
      <c r="N782" s="103">
        <f t="shared" si="157"/>
        <v>0</v>
      </c>
      <c r="O782" s="52"/>
      <c r="P782" s="52"/>
      <c r="Q782" s="52"/>
      <c r="R782" s="104">
        <f t="shared" si="160"/>
        <v>0</v>
      </c>
      <c r="S782" s="86">
        <f t="shared" si="161"/>
        <v>0</v>
      </c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x14ac:dyDescent="0.35">
      <c r="A783" s="85"/>
      <c r="B783" s="51"/>
      <c r="C783" s="97"/>
      <c r="D783" s="97"/>
      <c r="E783" s="48"/>
      <c r="F783" s="94"/>
      <c r="G783" s="94"/>
      <c r="H783" s="94"/>
      <c r="I783" s="94"/>
      <c r="J783" s="52"/>
      <c r="K783" s="52"/>
      <c r="L783" s="52"/>
      <c r="M783" s="52"/>
      <c r="N783" s="103">
        <f t="shared" si="157"/>
        <v>0</v>
      </c>
      <c r="O783" s="52"/>
      <c r="P783" s="52"/>
      <c r="Q783" s="52"/>
      <c r="R783" s="104">
        <f t="shared" si="160"/>
        <v>0</v>
      </c>
      <c r="S783" s="86">
        <f t="shared" si="161"/>
        <v>0</v>
      </c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x14ac:dyDescent="0.35">
      <c r="A784" s="85"/>
      <c r="B784" s="51"/>
      <c r="C784" s="97"/>
      <c r="D784" s="97"/>
      <c r="E784" s="48"/>
      <c r="F784" s="94"/>
      <c r="G784" s="94"/>
      <c r="H784" s="94"/>
      <c r="I784" s="94"/>
      <c r="J784" s="52"/>
      <c r="K784" s="52"/>
      <c r="L784" s="52"/>
      <c r="M784" s="52"/>
      <c r="N784" s="103">
        <f t="shared" si="157"/>
        <v>0</v>
      </c>
      <c r="O784" s="52"/>
      <c r="P784" s="52"/>
      <c r="Q784" s="52"/>
      <c r="R784" s="104">
        <f t="shared" si="160"/>
        <v>0</v>
      </c>
      <c r="S784" s="86">
        <f t="shared" si="161"/>
        <v>0</v>
      </c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x14ac:dyDescent="0.35">
      <c r="A785" s="85"/>
      <c r="B785" s="51"/>
      <c r="C785" s="97"/>
      <c r="D785" s="97"/>
      <c r="E785" s="48"/>
      <c r="F785" s="94"/>
      <c r="G785" s="94"/>
      <c r="H785" s="94"/>
      <c r="I785" s="94"/>
      <c r="J785" s="52"/>
      <c r="K785" s="52"/>
      <c r="L785" s="52"/>
      <c r="M785" s="52"/>
      <c r="N785" s="103">
        <f t="shared" si="157"/>
        <v>0</v>
      </c>
      <c r="O785" s="52"/>
      <c r="P785" s="52"/>
      <c r="Q785" s="52"/>
      <c r="R785" s="104">
        <f t="shared" si="160"/>
        <v>0</v>
      </c>
      <c r="S785" s="86">
        <f t="shared" si="161"/>
        <v>0</v>
      </c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x14ac:dyDescent="0.35">
      <c r="A786" s="85"/>
      <c r="B786" s="51"/>
      <c r="C786" s="97"/>
      <c r="D786" s="97"/>
      <c r="E786" s="48"/>
      <c r="F786" s="94"/>
      <c r="G786" s="94"/>
      <c r="H786" s="94"/>
      <c r="I786" s="94"/>
      <c r="J786" s="52"/>
      <c r="K786" s="52"/>
      <c r="L786" s="52"/>
      <c r="M786" s="52"/>
      <c r="N786" s="103">
        <f t="shared" si="157"/>
        <v>0</v>
      </c>
      <c r="O786" s="52"/>
      <c r="P786" s="52"/>
      <c r="Q786" s="52"/>
      <c r="R786" s="104">
        <f t="shared" si="160"/>
        <v>0</v>
      </c>
      <c r="S786" s="86">
        <f t="shared" si="161"/>
        <v>0</v>
      </c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x14ac:dyDescent="0.35">
      <c r="A787" s="85"/>
      <c r="B787" s="51"/>
      <c r="C787" s="97"/>
      <c r="D787" s="97"/>
      <c r="E787" s="48"/>
      <c r="F787" s="94"/>
      <c r="G787" s="94"/>
      <c r="H787" s="94"/>
      <c r="I787" s="94"/>
      <c r="J787" s="52"/>
      <c r="K787" s="52"/>
      <c r="L787" s="52"/>
      <c r="M787" s="52"/>
      <c r="N787" s="103">
        <f t="shared" si="157"/>
        <v>0</v>
      </c>
      <c r="O787" s="52"/>
      <c r="P787" s="52"/>
      <c r="Q787" s="52"/>
      <c r="R787" s="104">
        <f t="shared" si="160"/>
        <v>0</v>
      </c>
      <c r="S787" s="86">
        <f t="shared" si="161"/>
        <v>0</v>
      </c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x14ac:dyDescent="0.35">
      <c r="A788" s="85"/>
      <c r="B788" s="51"/>
      <c r="C788" s="97"/>
      <c r="D788" s="97"/>
      <c r="E788" s="48"/>
      <c r="F788" s="94"/>
      <c r="G788" s="94"/>
      <c r="H788" s="94"/>
      <c r="I788" s="94"/>
      <c r="J788" s="52"/>
      <c r="K788" s="52"/>
      <c r="L788" s="52"/>
      <c r="M788" s="52"/>
      <c r="N788" s="103">
        <f t="shared" si="157"/>
        <v>0</v>
      </c>
      <c r="O788" s="52"/>
      <c r="P788" s="52"/>
      <c r="Q788" s="52"/>
      <c r="R788" s="104">
        <f t="shared" si="160"/>
        <v>0</v>
      </c>
      <c r="S788" s="86">
        <f t="shared" si="161"/>
        <v>0</v>
      </c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x14ac:dyDescent="0.35">
      <c r="A789" s="85"/>
      <c r="B789" s="51"/>
      <c r="C789" s="97"/>
      <c r="D789" s="97"/>
      <c r="E789" s="48"/>
      <c r="F789" s="94"/>
      <c r="G789" s="94"/>
      <c r="H789" s="94"/>
      <c r="I789" s="94"/>
      <c r="J789" s="52"/>
      <c r="K789" s="52"/>
      <c r="L789" s="52"/>
      <c r="M789" s="52"/>
      <c r="N789" s="103">
        <f t="shared" si="157"/>
        <v>0</v>
      </c>
      <c r="O789" s="52"/>
      <c r="P789" s="52"/>
      <c r="Q789" s="52"/>
      <c r="R789" s="104">
        <f t="shared" si="160"/>
        <v>0</v>
      </c>
      <c r="S789" s="86">
        <f t="shared" si="161"/>
        <v>0</v>
      </c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x14ac:dyDescent="0.35">
      <c r="A790" s="85"/>
      <c r="B790" s="51"/>
      <c r="C790" s="97"/>
      <c r="D790" s="97"/>
      <c r="E790" s="48"/>
      <c r="F790" s="94"/>
      <c r="G790" s="94"/>
      <c r="H790" s="94"/>
      <c r="I790" s="94"/>
      <c r="J790" s="52"/>
      <c r="K790" s="52"/>
      <c r="L790" s="52"/>
      <c r="M790" s="52"/>
      <c r="N790" s="103">
        <f t="shared" si="157"/>
        <v>0</v>
      </c>
      <c r="O790" s="52"/>
      <c r="P790" s="52"/>
      <c r="Q790" s="52"/>
      <c r="R790" s="104">
        <f t="shared" si="160"/>
        <v>0</v>
      </c>
      <c r="S790" s="86">
        <f t="shared" si="161"/>
        <v>0</v>
      </c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x14ac:dyDescent="0.35">
      <c r="A791" s="85"/>
      <c r="B791" s="51"/>
      <c r="C791" s="97"/>
      <c r="D791" s="97"/>
      <c r="E791" s="48"/>
      <c r="F791" s="94"/>
      <c r="G791" s="94"/>
      <c r="H791" s="94"/>
      <c r="I791" s="94"/>
      <c r="J791" s="52"/>
      <c r="K791" s="52"/>
      <c r="L791" s="52"/>
      <c r="M791" s="52"/>
      <c r="N791" s="103">
        <f t="shared" si="157"/>
        <v>0</v>
      </c>
      <c r="O791" s="52"/>
      <c r="P791" s="52"/>
      <c r="Q791" s="52"/>
      <c r="R791" s="104">
        <f t="shared" si="160"/>
        <v>0</v>
      </c>
      <c r="S791" s="86">
        <f t="shared" si="161"/>
        <v>0</v>
      </c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x14ac:dyDescent="0.35">
      <c r="A792" s="85"/>
      <c r="B792" s="51"/>
      <c r="C792" s="97"/>
      <c r="D792" s="97"/>
      <c r="E792" s="48"/>
      <c r="F792" s="94"/>
      <c r="G792" s="94"/>
      <c r="H792" s="94"/>
      <c r="I792" s="94"/>
      <c r="J792" s="52"/>
      <c r="K792" s="52"/>
      <c r="L792" s="52"/>
      <c r="M792" s="52"/>
      <c r="N792" s="103">
        <f t="shared" si="157"/>
        <v>0</v>
      </c>
      <c r="O792" s="52"/>
      <c r="P792" s="52"/>
      <c r="Q792" s="52"/>
      <c r="R792" s="104">
        <f t="shared" si="160"/>
        <v>0</v>
      </c>
      <c r="S792" s="86">
        <f t="shared" si="161"/>
        <v>0</v>
      </c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x14ac:dyDescent="0.35">
      <c r="A793" s="85"/>
      <c r="B793" s="51"/>
      <c r="C793" s="97"/>
      <c r="D793" s="97"/>
      <c r="E793" s="48"/>
      <c r="F793" s="94"/>
      <c r="G793" s="94"/>
      <c r="H793" s="94"/>
      <c r="I793" s="94"/>
      <c r="J793" s="52"/>
      <c r="K793" s="52"/>
      <c r="L793" s="52"/>
      <c r="M793" s="52"/>
      <c r="N793" s="103">
        <f t="shared" si="157"/>
        <v>0</v>
      </c>
      <c r="O793" s="52"/>
      <c r="P793" s="52"/>
      <c r="Q793" s="52"/>
      <c r="R793" s="104">
        <f t="shared" si="160"/>
        <v>0</v>
      </c>
      <c r="S793" s="86">
        <f t="shared" si="161"/>
        <v>0</v>
      </c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x14ac:dyDescent="0.35">
      <c r="A794" s="85"/>
      <c r="B794" s="51"/>
      <c r="C794" s="97"/>
      <c r="D794" s="97"/>
      <c r="E794" s="48"/>
      <c r="F794" s="94"/>
      <c r="G794" s="94"/>
      <c r="H794" s="94"/>
      <c r="I794" s="94"/>
      <c r="J794" s="52"/>
      <c r="K794" s="52"/>
      <c r="L794" s="52"/>
      <c r="M794" s="52"/>
      <c r="N794" s="103">
        <f t="shared" si="157"/>
        <v>0</v>
      </c>
      <c r="O794" s="52"/>
      <c r="P794" s="52"/>
      <c r="Q794" s="52"/>
      <c r="R794" s="104">
        <f t="shared" si="160"/>
        <v>0</v>
      </c>
      <c r="S794" s="86">
        <f t="shared" si="161"/>
        <v>0</v>
      </c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x14ac:dyDescent="0.35">
      <c r="A795" s="85"/>
      <c r="B795" s="51"/>
      <c r="C795" s="97"/>
      <c r="D795" s="97"/>
      <c r="E795" s="48"/>
      <c r="F795" s="94"/>
      <c r="G795" s="94"/>
      <c r="H795" s="94"/>
      <c r="I795" s="94"/>
      <c r="J795" s="52"/>
      <c r="K795" s="52"/>
      <c r="L795" s="52"/>
      <c r="M795" s="52"/>
      <c r="N795" s="103">
        <f t="shared" si="157"/>
        <v>0</v>
      </c>
      <c r="O795" s="52"/>
      <c r="P795" s="52"/>
      <c r="Q795" s="52"/>
      <c r="R795" s="104">
        <f t="shared" ref="R795:R821" si="162">SUM(O795:Q795)</f>
        <v>0</v>
      </c>
      <c r="S795" s="86">
        <f t="shared" ref="S795:S821" si="163">R795+N795+J795</f>
        <v>0</v>
      </c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x14ac:dyDescent="0.35">
      <c r="A796" s="85"/>
      <c r="B796" s="51"/>
      <c r="C796" s="97"/>
      <c r="D796" s="97"/>
      <c r="E796" s="48"/>
      <c r="F796" s="94"/>
      <c r="G796" s="94"/>
      <c r="H796" s="94"/>
      <c r="I796" s="94"/>
      <c r="J796" s="52"/>
      <c r="K796" s="52"/>
      <c r="L796" s="52"/>
      <c r="M796" s="52"/>
      <c r="N796" s="103">
        <f t="shared" si="157"/>
        <v>0</v>
      </c>
      <c r="O796" s="52"/>
      <c r="P796" s="52"/>
      <c r="Q796" s="52"/>
      <c r="R796" s="104">
        <f t="shared" si="162"/>
        <v>0</v>
      </c>
      <c r="S796" s="86">
        <f t="shared" si="163"/>
        <v>0</v>
      </c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x14ac:dyDescent="0.35">
      <c r="A797" s="85"/>
      <c r="B797" s="51"/>
      <c r="C797" s="97"/>
      <c r="D797" s="97"/>
      <c r="E797" s="48"/>
      <c r="F797" s="94"/>
      <c r="G797" s="94"/>
      <c r="H797" s="94"/>
      <c r="I797" s="94"/>
      <c r="J797" s="52"/>
      <c r="K797" s="52"/>
      <c r="L797" s="52"/>
      <c r="M797" s="52"/>
      <c r="N797" s="103">
        <f t="shared" si="157"/>
        <v>0</v>
      </c>
      <c r="O797" s="52"/>
      <c r="P797" s="52"/>
      <c r="Q797" s="52"/>
      <c r="R797" s="104">
        <f t="shared" si="162"/>
        <v>0</v>
      </c>
      <c r="S797" s="86">
        <f t="shared" si="163"/>
        <v>0</v>
      </c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x14ac:dyDescent="0.35">
      <c r="A798" s="85"/>
      <c r="B798" s="51"/>
      <c r="C798" s="97"/>
      <c r="D798" s="97"/>
      <c r="E798" s="48"/>
      <c r="F798" s="94"/>
      <c r="G798" s="94"/>
      <c r="H798" s="94"/>
      <c r="I798" s="94"/>
      <c r="J798" s="52"/>
      <c r="K798" s="52"/>
      <c r="L798" s="52"/>
      <c r="M798" s="52"/>
      <c r="N798" s="103">
        <f t="shared" si="157"/>
        <v>0</v>
      </c>
      <c r="O798" s="52"/>
      <c r="P798" s="52"/>
      <c r="Q798" s="52"/>
      <c r="R798" s="104">
        <f t="shared" si="162"/>
        <v>0</v>
      </c>
      <c r="S798" s="86">
        <f t="shared" si="163"/>
        <v>0</v>
      </c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x14ac:dyDescent="0.35">
      <c r="A799" s="85"/>
      <c r="B799" s="51"/>
      <c r="C799" s="97"/>
      <c r="D799" s="97"/>
      <c r="E799" s="48"/>
      <c r="F799" s="94"/>
      <c r="G799" s="94"/>
      <c r="H799" s="94"/>
      <c r="I799" s="94"/>
      <c r="J799" s="52"/>
      <c r="K799" s="52"/>
      <c r="L799" s="52"/>
      <c r="M799" s="52"/>
      <c r="N799" s="103">
        <f t="shared" si="157"/>
        <v>0</v>
      </c>
      <c r="O799" s="52"/>
      <c r="P799" s="52"/>
      <c r="Q799" s="52"/>
      <c r="R799" s="104">
        <f t="shared" si="162"/>
        <v>0</v>
      </c>
      <c r="S799" s="86">
        <f t="shared" si="163"/>
        <v>0</v>
      </c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x14ac:dyDescent="0.35">
      <c r="A800" s="85"/>
      <c r="B800" s="51"/>
      <c r="C800" s="97"/>
      <c r="D800" s="97"/>
      <c r="E800" s="48"/>
      <c r="F800" s="94"/>
      <c r="G800" s="94"/>
      <c r="H800" s="94"/>
      <c r="I800" s="94"/>
      <c r="J800" s="52"/>
      <c r="K800" s="52"/>
      <c r="L800" s="52"/>
      <c r="M800" s="52"/>
      <c r="N800" s="103">
        <f t="shared" si="157"/>
        <v>0</v>
      </c>
      <c r="O800" s="52"/>
      <c r="P800" s="52"/>
      <c r="Q800" s="52"/>
      <c r="R800" s="104">
        <f t="shared" si="162"/>
        <v>0</v>
      </c>
      <c r="S800" s="86">
        <f t="shared" si="163"/>
        <v>0</v>
      </c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x14ac:dyDescent="0.35">
      <c r="A801" s="85"/>
      <c r="B801" s="51"/>
      <c r="C801" s="97"/>
      <c r="D801" s="97"/>
      <c r="E801" s="48"/>
      <c r="F801" s="94"/>
      <c r="G801" s="94"/>
      <c r="H801" s="94"/>
      <c r="I801" s="94"/>
      <c r="J801" s="52"/>
      <c r="K801" s="52"/>
      <c r="L801" s="52"/>
      <c r="M801" s="52"/>
      <c r="N801" s="103">
        <f t="shared" si="157"/>
        <v>0</v>
      </c>
      <c r="O801" s="52"/>
      <c r="P801" s="52"/>
      <c r="Q801" s="52"/>
      <c r="R801" s="104">
        <f t="shared" si="162"/>
        <v>0</v>
      </c>
      <c r="S801" s="86">
        <f t="shared" si="163"/>
        <v>0</v>
      </c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x14ac:dyDescent="0.35">
      <c r="A802" s="85"/>
      <c r="B802" s="51"/>
      <c r="C802" s="97"/>
      <c r="D802" s="97"/>
      <c r="E802" s="48"/>
      <c r="F802" s="94"/>
      <c r="G802" s="94"/>
      <c r="H802" s="94"/>
      <c r="I802" s="94"/>
      <c r="J802" s="52"/>
      <c r="K802" s="52"/>
      <c r="L802" s="52"/>
      <c r="M802" s="52"/>
      <c r="N802" s="103">
        <f t="shared" si="157"/>
        <v>0</v>
      </c>
      <c r="O802" s="52"/>
      <c r="P802" s="52"/>
      <c r="Q802" s="52"/>
      <c r="R802" s="104">
        <f t="shared" si="162"/>
        <v>0</v>
      </c>
      <c r="S802" s="86">
        <f t="shared" si="163"/>
        <v>0</v>
      </c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x14ac:dyDescent="0.35">
      <c r="A803" s="85"/>
      <c r="B803" s="51"/>
      <c r="C803" s="97"/>
      <c r="D803" s="97"/>
      <c r="E803" s="48"/>
      <c r="F803" s="94"/>
      <c r="G803" s="94"/>
      <c r="H803" s="94"/>
      <c r="I803" s="94"/>
      <c r="J803" s="52"/>
      <c r="K803" s="52"/>
      <c r="L803" s="52"/>
      <c r="M803" s="52"/>
      <c r="N803" s="103">
        <f t="shared" si="157"/>
        <v>0</v>
      </c>
      <c r="O803" s="52"/>
      <c r="P803" s="52"/>
      <c r="Q803" s="52"/>
      <c r="R803" s="104">
        <f t="shared" si="162"/>
        <v>0</v>
      </c>
      <c r="S803" s="86">
        <f t="shared" si="163"/>
        <v>0</v>
      </c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x14ac:dyDescent="0.35">
      <c r="A804" s="85"/>
      <c r="B804" s="51"/>
      <c r="C804" s="97"/>
      <c r="D804" s="97"/>
      <c r="E804" s="48"/>
      <c r="F804" s="94"/>
      <c r="G804" s="94"/>
      <c r="H804" s="94"/>
      <c r="I804" s="94"/>
      <c r="J804" s="52"/>
      <c r="K804" s="52"/>
      <c r="L804" s="52"/>
      <c r="M804" s="52"/>
      <c r="N804" s="103">
        <f t="shared" si="157"/>
        <v>0</v>
      </c>
      <c r="O804" s="52"/>
      <c r="P804" s="52"/>
      <c r="Q804" s="52"/>
      <c r="R804" s="104">
        <f t="shared" si="162"/>
        <v>0</v>
      </c>
      <c r="S804" s="86">
        <f t="shared" si="163"/>
        <v>0</v>
      </c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x14ac:dyDescent="0.35">
      <c r="A805" s="85"/>
      <c r="B805" s="51"/>
      <c r="C805" s="97"/>
      <c r="D805" s="97"/>
      <c r="E805" s="48"/>
      <c r="F805" s="94"/>
      <c r="G805" s="94"/>
      <c r="H805" s="94"/>
      <c r="I805" s="94"/>
      <c r="J805" s="52"/>
      <c r="K805" s="52"/>
      <c r="L805" s="52"/>
      <c r="M805" s="52"/>
      <c r="N805" s="103">
        <f t="shared" si="157"/>
        <v>0</v>
      </c>
      <c r="O805" s="52"/>
      <c r="P805" s="52"/>
      <c r="Q805" s="52"/>
      <c r="R805" s="104">
        <f t="shared" si="162"/>
        <v>0</v>
      </c>
      <c r="S805" s="86">
        <f t="shared" si="163"/>
        <v>0</v>
      </c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x14ac:dyDescent="0.35">
      <c r="A806" s="85"/>
      <c r="B806" s="51"/>
      <c r="C806" s="97"/>
      <c r="D806" s="97"/>
      <c r="E806" s="48"/>
      <c r="F806" s="94"/>
      <c r="G806" s="94"/>
      <c r="H806" s="94"/>
      <c r="I806" s="94"/>
      <c r="J806" s="52"/>
      <c r="K806" s="52"/>
      <c r="L806" s="52"/>
      <c r="M806" s="52"/>
      <c r="N806" s="103">
        <f t="shared" si="157"/>
        <v>0</v>
      </c>
      <c r="O806" s="52"/>
      <c r="P806" s="52"/>
      <c r="Q806" s="52"/>
      <c r="R806" s="104">
        <f t="shared" si="162"/>
        <v>0</v>
      </c>
      <c r="S806" s="86">
        <f t="shared" si="163"/>
        <v>0</v>
      </c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x14ac:dyDescent="0.35">
      <c r="A807" s="85"/>
      <c r="B807" s="51"/>
      <c r="C807" s="97"/>
      <c r="D807" s="97"/>
      <c r="E807" s="48"/>
      <c r="F807" s="94"/>
      <c r="G807" s="94"/>
      <c r="H807" s="94"/>
      <c r="I807" s="94"/>
      <c r="J807" s="52"/>
      <c r="K807" s="52"/>
      <c r="L807" s="52"/>
      <c r="M807" s="52"/>
      <c r="N807" s="103">
        <f t="shared" ref="N807:N857" si="164">K807+L807+M807</f>
        <v>0</v>
      </c>
      <c r="O807" s="52"/>
      <c r="P807" s="52"/>
      <c r="Q807" s="52"/>
      <c r="R807" s="104">
        <f t="shared" si="162"/>
        <v>0</v>
      </c>
      <c r="S807" s="86">
        <f t="shared" si="163"/>
        <v>0</v>
      </c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x14ac:dyDescent="0.35">
      <c r="A808" s="85"/>
      <c r="B808" s="51"/>
      <c r="C808" s="97"/>
      <c r="D808" s="97"/>
      <c r="E808" s="48"/>
      <c r="F808" s="94"/>
      <c r="G808" s="94"/>
      <c r="H808" s="94"/>
      <c r="I808" s="94"/>
      <c r="J808" s="52"/>
      <c r="K808" s="52"/>
      <c r="L808" s="52"/>
      <c r="M808" s="52"/>
      <c r="N808" s="103">
        <f t="shared" si="164"/>
        <v>0</v>
      </c>
      <c r="O808" s="52"/>
      <c r="P808" s="52"/>
      <c r="Q808" s="52"/>
      <c r="R808" s="104">
        <f t="shared" si="162"/>
        <v>0</v>
      </c>
      <c r="S808" s="86">
        <f t="shared" si="163"/>
        <v>0</v>
      </c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x14ac:dyDescent="0.35">
      <c r="A809" s="85"/>
      <c r="B809" s="51"/>
      <c r="C809" s="97"/>
      <c r="D809" s="97"/>
      <c r="E809" s="48"/>
      <c r="F809" s="94"/>
      <c r="G809" s="94"/>
      <c r="H809" s="94"/>
      <c r="I809" s="94"/>
      <c r="J809" s="52"/>
      <c r="K809" s="52"/>
      <c r="L809" s="52"/>
      <c r="M809" s="52"/>
      <c r="N809" s="103">
        <f t="shared" si="164"/>
        <v>0</v>
      </c>
      <c r="O809" s="52"/>
      <c r="P809" s="52"/>
      <c r="Q809" s="52"/>
      <c r="R809" s="104">
        <f t="shared" si="162"/>
        <v>0</v>
      </c>
      <c r="S809" s="86">
        <f t="shared" si="163"/>
        <v>0</v>
      </c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x14ac:dyDescent="0.35">
      <c r="A810" s="85"/>
      <c r="B810" s="51"/>
      <c r="C810" s="97"/>
      <c r="D810" s="97"/>
      <c r="E810" s="48"/>
      <c r="F810" s="94"/>
      <c r="G810" s="94"/>
      <c r="H810" s="94"/>
      <c r="I810" s="94"/>
      <c r="J810" s="52"/>
      <c r="K810" s="52"/>
      <c r="L810" s="52"/>
      <c r="M810" s="52"/>
      <c r="N810" s="103">
        <f t="shared" si="164"/>
        <v>0</v>
      </c>
      <c r="O810" s="52"/>
      <c r="P810" s="52"/>
      <c r="Q810" s="52"/>
      <c r="R810" s="104">
        <f t="shared" si="162"/>
        <v>0</v>
      </c>
      <c r="S810" s="86">
        <f t="shared" si="163"/>
        <v>0</v>
      </c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x14ac:dyDescent="0.35">
      <c r="A811" s="85"/>
      <c r="B811" s="51"/>
      <c r="C811" s="97"/>
      <c r="D811" s="97"/>
      <c r="E811" s="48"/>
      <c r="F811" s="94"/>
      <c r="G811" s="94"/>
      <c r="H811" s="94"/>
      <c r="I811" s="94"/>
      <c r="J811" s="52"/>
      <c r="K811" s="52"/>
      <c r="L811" s="52"/>
      <c r="M811" s="52"/>
      <c r="N811" s="103">
        <f t="shared" si="164"/>
        <v>0</v>
      </c>
      <c r="O811" s="52"/>
      <c r="P811" s="52"/>
      <c r="Q811" s="52"/>
      <c r="R811" s="104">
        <f t="shared" si="162"/>
        <v>0</v>
      </c>
      <c r="S811" s="86">
        <f t="shared" si="163"/>
        <v>0</v>
      </c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x14ac:dyDescent="0.35">
      <c r="A812" s="85"/>
      <c r="B812" s="51"/>
      <c r="C812" s="97"/>
      <c r="D812" s="97"/>
      <c r="E812" s="48"/>
      <c r="F812" s="94"/>
      <c r="G812" s="94"/>
      <c r="H812" s="94"/>
      <c r="I812" s="94"/>
      <c r="J812" s="52"/>
      <c r="K812" s="52"/>
      <c r="L812" s="52"/>
      <c r="M812" s="52"/>
      <c r="N812" s="103">
        <f t="shared" si="164"/>
        <v>0</v>
      </c>
      <c r="O812" s="52"/>
      <c r="P812" s="52"/>
      <c r="Q812" s="52"/>
      <c r="R812" s="104">
        <f t="shared" si="162"/>
        <v>0</v>
      </c>
      <c r="S812" s="86">
        <f t="shared" si="163"/>
        <v>0</v>
      </c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x14ac:dyDescent="0.35">
      <c r="A813" s="85"/>
      <c r="B813" s="51"/>
      <c r="C813" s="97"/>
      <c r="D813" s="97"/>
      <c r="E813" s="48"/>
      <c r="F813" s="94"/>
      <c r="G813" s="94"/>
      <c r="H813" s="94"/>
      <c r="I813" s="94"/>
      <c r="J813" s="52"/>
      <c r="K813" s="52"/>
      <c r="L813" s="52"/>
      <c r="M813" s="52"/>
      <c r="N813" s="103">
        <f t="shared" si="164"/>
        <v>0</v>
      </c>
      <c r="O813" s="52"/>
      <c r="P813" s="52"/>
      <c r="Q813" s="52"/>
      <c r="R813" s="104">
        <f t="shared" si="162"/>
        <v>0</v>
      </c>
      <c r="S813" s="86">
        <f t="shared" si="163"/>
        <v>0</v>
      </c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x14ac:dyDescent="0.35">
      <c r="A814" s="85"/>
      <c r="B814" s="51"/>
      <c r="C814" s="97"/>
      <c r="D814" s="97"/>
      <c r="E814" s="48"/>
      <c r="F814" s="94"/>
      <c r="G814" s="94"/>
      <c r="H814" s="94"/>
      <c r="I814" s="94"/>
      <c r="J814" s="52"/>
      <c r="K814" s="52"/>
      <c r="L814" s="52"/>
      <c r="M814" s="52"/>
      <c r="N814" s="103">
        <f t="shared" si="164"/>
        <v>0</v>
      </c>
      <c r="O814" s="52"/>
      <c r="P814" s="52"/>
      <c r="Q814" s="52"/>
      <c r="R814" s="104">
        <f t="shared" si="162"/>
        <v>0</v>
      </c>
      <c r="S814" s="86">
        <f t="shared" si="163"/>
        <v>0</v>
      </c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x14ac:dyDescent="0.35">
      <c r="A815" s="85"/>
      <c r="B815" s="51"/>
      <c r="C815" s="97"/>
      <c r="D815" s="97"/>
      <c r="E815" s="48"/>
      <c r="F815" s="94"/>
      <c r="G815" s="94"/>
      <c r="H815" s="94"/>
      <c r="I815" s="94"/>
      <c r="J815" s="52"/>
      <c r="K815" s="52"/>
      <c r="L815" s="52"/>
      <c r="M815" s="52"/>
      <c r="N815" s="103">
        <f t="shared" si="164"/>
        <v>0</v>
      </c>
      <c r="O815" s="52"/>
      <c r="P815" s="52"/>
      <c r="Q815" s="52"/>
      <c r="R815" s="104">
        <f t="shared" si="162"/>
        <v>0</v>
      </c>
      <c r="S815" s="86">
        <f t="shared" si="163"/>
        <v>0</v>
      </c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x14ac:dyDescent="0.35">
      <c r="A816" s="85"/>
      <c r="B816" s="51"/>
      <c r="C816" s="97"/>
      <c r="D816" s="97"/>
      <c r="E816" s="48"/>
      <c r="F816" s="94"/>
      <c r="G816" s="94"/>
      <c r="H816" s="94"/>
      <c r="I816" s="94"/>
      <c r="J816" s="52"/>
      <c r="K816" s="52"/>
      <c r="L816" s="52"/>
      <c r="M816" s="52"/>
      <c r="N816" s="103">
        <f t="shared" si="164"/>
        <v>0</v>
      </c>
      <c r="O816" s="52"/>
      <c r="P816" s="52"/>
      <c r="Q816" s="52"/>
      <c r="R816" s="104">
        <f t="shared" si="162"/>
        <v>0</v>
      </c>
      <c r="S816" s="86">
        <f t="shared" si="163"/>
        <v>0</v>
      </c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x14ac:dyDescent="0.35">
      <c r="A817" s="85"/>
      <c r="B817" s="51"/>
      <c r="C817" s="97"/>
      <c r="D817" s="97"/>
      <c r="E817" s="48"/>
      <c r="F817" s="94"/>
      <c r="G817" s="94"/>
      <c r="H817" s="94"/>
      <c r="I817" s="94"/>
      <c r="J817" s="52"/>
      <c r="K817" s="52"/>
      <c r="L817" s="52"/>
      <c r="M817" s="52"/>
      <c r="N817" s="103">
        <f t="shared" si="164"/>
        <v>0</v>
      </c>
      <c r="O817" s="52"/>
      <c r="P817" s="52"/>
      <c r="Q817" s="52"/>
      <c r="R817" s="104">
        <f t="shared" si="162"/>
        <v>0</v>
      </c>
      <c r="S817" s="86">
        <f t="shared" si="163"/>
        <v>0</v>
      </c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x14ac:dyDescent="0.35">
      <c r="A818" s="85"/>
      <c r="B818" s="51"/>
      <c r="C818" s="97"/>
      <c r="D818" s="97"/>
      <c r="E818" s="48"/>
      <c r="F818" s="94"/>
      <c r="G818" s="94"/>
      <c r="H818" s="94"/>
      <c r="I818" s="94"/>
      <c r="J818" s="52"/>
      <c r="K818" s="52"/>
      <c r="L818" s="52"/>
      <c r="M818" s="52"/>
      <c r="N818" s="103">
        <f t="shared" si="164"/>
        <v>0</v>
      </c>
      <c r="O818" s="52"/>
      <c r="P818" s="52"/>
      <c r="Q818" s="52"/>
      <c r="R818" s="104">
        <f t="shared" si="162"/>
        <v>0</v>
      </c>
      <c r="S818" s="86">
        <f t="shared" si="163"/>
        <v>0</v>
      </c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x14ac:dyDescent="0.35">
      <c r="A819" s="85"/>
      <c r="B819" s="51"/>
      <c r="C819" s="97"/>
      <c r="D819" s="97"/>
      <c r="E819" s="48"/>
      <c r="F819" s="94"/>
      <c r="G819" s="94"/>
      <c r="H819" s="94"/>
      <c r="I819" s="94"/>
      <c r="J819" s="52"/>
      <c r="K819" s="52"/>
      <c r="L819" s="52"/>
      <c r="M819" s="52"/>
      <c r="N819" s="103">
        <f t="shared" si="164"/>
        <v>0</v>
      </c>
      <c r="O819" s="52"/>
      <c r="P819" s="52"/>
      <c r="Q819" s="52"/>
      <c r="R819" s="104">
        <f t="shared" si="162"/>
        <v>0</v>
      </c>
      <c r="S819" s="86">
        <f t="shared" si="163"/>
        <v>0</v>
      </c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x14ac:dyDescent="0.35">
      <c r="A820" s="85"/>
      <c r="B820" s="51"/>
      <c r="C820" s="97"/>
      <c r="D820" s="97"/>
      <c r="E820" s="48"/>
      <c r="F820" s="94"/>
      <c r="G820" s="94"/>
      <c r="H820" s="94"/>
      <c r="I820" s="94"/>
      <c r="J820" s="52"/>
      <c r="K820" s="52"/>
      <c r="L820" s="52"/>
      <c r="M820" s="52"/>
      <c r="N820" s="103">
        <f t="shared" si="164"/>
        <v>0</v>
      </c>
      <c r="O820" s="52"/>
      <c r="P820" s="52"/>
      <c r="Q820" s="52"/>
      <c r="R820" s="104">
        <f t="shared" si="162"/>
        <v>0</v>
      </c>
      <c r="S820" s="86">
        <f t="shared" si="163"/>
        <v>0</v>
      </c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85"/>
      <c r="B821" s="51"/>
      <c r="C821" s="97"/>
      <c r="D821" s="97"/>
      <c r="E821" s="48"/>
      <c r="F821" s="94"/>
      <c r="G821" s="94"/>
      <c r="H821" s="94"/>
      <c r="I821" s="94"/>
      <c r="J821" s="52"/>
      <c r="K821" s="52"/>
      <c r="L821" s="52"/>
      <c r="M821" s="52"/>
      <c r="N821" s="103">
        <f t="shared" si="164"/>
        <v>0</v>
      </c>
      <c r="O821" s="52"/>
      <c r="P821" s="52"/>
      <c r="Q821" s="52"/>
      <c r="R821" s="104">
        <f t="shared" si="162"/>
        <v>0</v>
      </c>
      <c r="S821" s="86">
        <f t="shared" si="163"/>
        <v>0</v>
      </c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85"/>
      <c r="B822" s="51"/>
      <c r="C822" s="97"/>
      <c r="D822" s="97"/>
      <c r="E822" s="48"/>
      <c r="F822" s="94"/>
      <c r="G822" s="94"/>
      <c r="H822" s="94"/>
      <c r="I822" s="94"/>
      <c r="J822" s="52"/>
      <c r="K822" s="52"/>
      <c r="L822" s="52"/>
      <c r="M822" s="52"/>
      <c r="N822" s="103">
        <f t="shared" si="164"/>
        <v>0</v>
      </c>
      <c r="O822" s="52"/>
      <c r="P822" s="52"/>
      <c r="Q822" s="52"/>
      <c r="R822" s="104">
        <f t="shared" ref="R822:R832" si="165">SUM(O822:Q822)</f>
        <v>0</v>
      </c>
      <c r="S822" s="86">
        <f t="shared" ref="S822:S832" si="166">R822+N822+J822</f>
        <v>0</v>
      </c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85"/>
      <c r="B823" s="51"/>
      <c r="C823" s="97"/>
      <c r="D823" s="97"/>
      <c r="E823" s="48"/>
      <c r="F823" s="94"/>
      <c r="G823" s="94"/>
      <c r="H823" s="94"/>
      <c r="I823" s="94"/>
      <c r="J823" s="52"/>
      <c r="K823" s="52"/>
      <c r="L823" s="52"/>
      <c r="M823" s="52"/>
      <c r="N823" s="103">
        <f t="shared" si="164"/>
        <v>0</v>
      </c>
      <c r="O823" s="52"/>
      <c r="P823" s="52"/>
      <c r="Q823" s="52"/>
      <c r="R823" s="104">
        <f t="shared" si="165"/>
        <v>0</v>
      </c>
      <c r="S823" s="86">
        <f t="shared" si="166"/>
        <v>0</v>
      </c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85"/>
      <c r="B824" s="51"/>
      <c r="C824" s="97"/>
      <c r="D824" s="97"/>
      <c r="E824" s="48"/>
      <c r="F824" s="94"/>
      <c r="G824" s="94"/>
      <c r="H824" s="94"/>
      <c r="I824" s="94"/>
      <c r="J824" s="52"/>
      <c r="K824" s="52"/>
      <c r="L824" s="52"/>
      <c r="M824" s="52"/>
      <c r="N824" s="103">
        <f t="shared" si="164"/>
        <v>0</v>
      </c>
      <c r="O824" s="52"/>
      <c r="P824" s="52"/>
      <c r="Q824" s="52"/>
      <c r="R824" s="104">
        <f t="shared" si="165"/>
        <v>0</v>
      </c>
      <c r="S824" s="86">
        <f t="shared" si="166"/>
        <v>0</v>
      </c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85"/>
      <c r="B825" s="51"/>
      <c r="C825" s="97"/>
      <c r="D825" s="97"/>
      <c r="E825" s="48"/>
      <c r="F825" s="94"/>
      <c r="G825" s="94"/>
      <c r="H825" s="94"/>
      <c r="I825" s="94"/>
      <c r="J825" s="52"/>
      <c r="K825" s="52"/>
      <c r="L825" s="52"/>
      <c r="M825" s="52"/>
      <c r="N825" s="103">
        <f t="shared" si="164"/>
        <v>0</v>
      </c>
      <c r="O825" s="52"/>
      <c r="P825" s="52"/>
      <c r="Q825" s="52"/>
      <c r="R825" s="104">
        <f t="shared" si="165"/>
        <v>0</v>
      </c>
      <c r="S825" s="86">
        <f t="shared" si="166"/>
        <v>0</v>
      </c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85"/>
      <c r="B826" s="51"/>
      <c r="C826" s="97"/>
      <c r="D826" s="97"/>
      <c r="E826" s="48"/>
      <c r="F826" s="94"/>
      <c r="G826" s="94"/>
      <c r="H826" s="94"/>
      <c r="I826" s="94"/>
      <c r="J826" s="52"/>
      <c r="K826" s="52"/>
      <c r="L826" s="52"/>
      <c r="M826" s="52"/>
      <c r="N826" s="103">
        <f t="shared" si="164"/>
        <v>0</v>
      </c>
      <c r="O826" s="52"/>
      <c r="P826" s="52"/>
      <c r="Q826" s="52"/>
      <c r="R826" s="104">
        <f t="shared" si="165"/>
        <v>0</v>
      </c>
      <c r="S826" s="86">
        <f t="shared" si="166"/>
        <v>0</v>
      </c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85"/>
      <c r="B827" s="51"/>
      <c r="C827" s="97"/>
      <c r="D827" s="97"/>
      <c r="E827" s="48"/>
      <c r="F827" s="94"/>
      <c r="G827" s="94"/>
      <c r="H827" s="94"/>
      <c r="I827" s="94"/>
      <c r="J827" s="52"/>
      <c r="K827" s="52"/>
      <c r="L827" s="52"/>
      <c r="M827" s="52"/>
      <c r="N827" s="103">
        <f t="shared" si="164"/>
        <v>0</v>
      </c>
      <c r="O827" s="52"/>
      <c r="P827" s="52"/>
      <c r="Q827" s="52"/>
      <c r="R827" s="104">
        <f t="shared" si="165"/>
        <v>0</v>
      </c>
      <c r="S827" s="86">
        <f t="shared" si="166"/>
        <v>0</v>
      </c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85"/>
      <c r="B828" s="51"/>
      <c r="C828" s="97"/>
      <c r="D828" s="97"/>
      <c r="E828" s="48"/>
      <c r="F828" s="94"/>
      <c r="G828" s="94"/>
      <c r="H828" s="94"/>
      <c r="I828" s="94"/>
      <c r="J828" s="52"/>
      <c r="K828" s="52"/>
      <c r="L828" s="52"/>
      <c r="M828" s="52"/>
      <c r="N828" s="103">
        <f t="shared" si="164"/>
        <v>0</v>
      </c>
      <c r="O828" s="52"/>
      <c r="P828" s="52"/>
      <c r="Q828" s="52"/>
      <c r="R828" s="104">
        <f t="shared" si="165"/>
        <v>0</v>
      </c>
      <c r="S828" s="86">
        <f t="shared" si="166"/>
        <v>0</v>
      </c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85"/>
      <c r="B829" s="51"/>
      <c r="C829" s="97"/>
      <c r="D829" s="97"/>
      <c r="E829" s="48"/>
      <c r="F829" s="94"/>
      <c r="G829" s="94"/>
      <c r="H829" s="94"/>
      <c r="I829" s="94"/>
      <c r="J829" s="52"/>
      <c r="K829" s="52"/>
      <c r="L829" s="52"/>
      <c r="M829" s="52"/>
      <c r="N829" s="103">
        <f t="shared" si="164"/>
        <v>0</v>
      </c>
      <c r="O829" s="52"/>
      <c r="P829" s="52"/>
      <c r="Q829" s="52"/>
      <c r="R829" s="104">
        <f t="shared" si="165"/>
        <v>0</v>
      </c>
      <c r="S829" s="86">
        <f t="shared" si="166"/>
        <v>0</v>
      </c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85"/>
      <c r="B830" s="51"/>
      <c r="C830" s="97"/>
      <c r="D830" s="97"/>
      <c r="E830" s="48"/>
      <c r="F830" s="94"/>
      <c r="G830" s="94"/>
      <c r="H830" s="94"/>
      <c r="I830" s="94"/>
      <c r="J830" s="52"/>
      <c r="K830" s="52"/>
      <c r="L830" s="52"/>
      <c r="M830" s="52"/>
      <c r="N830" s="103">
        <f t="shared" si="164"/>
        <v>0</v>
      </c>
      <c r="O830" s="52"/>
      <c r="P830" s="52"/>
      <c r="Q830" s="52"/>
      <c r="R830" s="104">
        <f t="shared" si="165"/>
        <v>0</v>
      </c>
      <c r="S830" s="86">
        <f t="shared" si="166"/>
        <v>0</v>
      </c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x14ac:dyDescent="0.35">
      <c r="A831" s="85"/>
      <c r="B831" s="51"/>
      <c r="C831" s="97"/>
      <c r="D831" s="97"/>
      <c r="E831" s="48"/>
      <c r="F831" s="94"/>
      <c r="G831" s="94"/>
      <c r="H831" s="94"/>
      <c r="I831" s="94"/>
      <c r="J831" s="52"/>
      <c r="K831" s="52"/>
      <c r="L831" s="52"/>
      <c r="M831" s="52"/>
      <c r="N831" s="103">
        <f t="shared" si="164"/>
        <v>0</v>
      </c>
      <c r="O831" s="52"/>
      <c r="P831" s="52"/>
      <c r="Q831" s="52"/>
      <c r="R831" s="104">
        <f t="shared" si="165"/>
        <v>0</v>
      </c>
      <c r="S831" s="86">
        <f t="shared" si="166"/>
        <v>0</v>
      </c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x14ac:dyDescent="0.35">
      <c r="A832" s="85"/>
      <c r="B832" s="51"/>
      <c r="C832" s="97"/>
      <c r="D832" s="97"/>
      <c r="E832" s="48"/>
      <c r="F832" s="118"/>
      <c r="G832" s="118"/>
      <c r="H832" s="118"/>
      <c r="I832" s="52"/>
      <c r="J832" s="52"/>
      <c r="K832" s="52"/>
      <c r="L832" s="52"/>
      <c r="M832" s="52"/>
      <c r="N832" s="103">
        <f t="shared" si="164"/>
        <v>0</v>
      </c>
      <c r="O832" s="52"/>
      <c r="P832" s="52"/>
      <c r="Q832" s="52"/>
      <c r="R832" s="104">
        <f t="shared" si="165"/>
        <v>0</v>
      </c>
      <c r="S832" s="86">
        <f t="shared" si="166"/>
        <v>0</v>
      </c>
      <c r="T832" s="110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x14ac:dyDescent="0.35">
      <c r="A833" s="85"/>
      <c r="B833" s="51"/>
      <c r="C833" s="97"/>
      <c r="D833" s="97"/>
      <c r="E833" s="48"/>
      <c r="F833" s="94"/>
      <c r="G833" s="94"/>
      <c r="H833" s="94"/>
      <c r="I833" s="94"/>
      <c r="J833" s="52"/>
      <c r="K833" s="52"/>
      <c r="L833" s="52"/>
      <c r="M833" s="52"/>
      <c r="N833" s="103">
        <f t="shared" si="164"/>
        <v>0</v>
      </c>
      <c r="O833" s="52"/>
      <c r="P833" s="52"/>
      <c r="Q833" s="52"/>
      <c r="R833" s="104">
        <f t="shared" ref="R833:R849" si="167">SUM(O833:Q833)</f>
        <v>0</v>
      </c>
      <c r="S833" s="86">
        <f t="shared" ref="S833:S849" si="168">R833+N833+J833</f>
        <v>0</v>
      </c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x14ac:dyDescent="0.35">
      <c r="A834" s="85"/>
      <c r="B834" s="51"/>
      <c r="C834" s="97"/>
      <c r="D834" s="97"/>
      <c r="E834" s="48"/>
      <c r="F834" s="94"/>
      <c r="G834" s="94"/>
      <c r="H834" s="94"/>
      <c r="I834" s="94"/>
      <c r="J834" s="52"/>
      <c r="K834" s="52"/>
      <c r="L834" s="52"/>
      <c r="M834" s="52"/>
      <c r="N834" s="103">
        <f t="shared" si="164"/>
        <v>0</v>
      </c>
      <c r="O834" s="52"/>
      <c r="P834" s="52"/>
      <c r="Q834" s="52"/>
      <c r="R834" s="104">
        <f t="shared" si="167"/>
        <v>0</v>
      </c>
      <c r="S834" s="86">
        <f t="shared" si="168"/>
        <v>0</v>
      </c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x14ac:dyDescent="0.35">
      <c r="A835" s="85"/>
      <c r="B835" s="51"/>
      <c r="C835" s="97"/>
      <c r="D835" s="97"/>
      <c r="E835" s="48"/>
      <c r="F835" s="94"/>
      <c r="G835" s="94"/>
      <c r="H835" s="94"/>
      <c r="I835" s="94"/>
      <c r="J835" s="52"/>
      <c r="K835" s="52"/>
      <c r="L835" s="52"/>
      <c r="M835" s="52"/>
      <c r="N835" s="103">
        <f t="shared" si="164"/>
        <v>0</v>
      </c>
      <c r="O835" s="52"/>
      <c r="P835" s="52"/>
      <c r="Q835" s="52"/>
      <c r="R835" s="104">
        <f t="shared" si="167"/>
        <v>0</v>
      </c>
      <c r="S835" s="86">
        <f t="shared" si="168"/>
        <v>0</v>
      </c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x14ac:dyDescent="0.35">
      <c r="A836" s="85"/>
      <c r="B836" s="51"/>
      <c r="C836" s="97"/>
      <c r="D836" s="97"/>
      <c r="E836" s="48"/>
      <c r="F836" s="94"/>
      <c r="G836" s="94"/>
      <c r="H836" s="94"/>
      <c r="I836" s="94"/>
      <c r="J836" s="52"/>
      <c r="K836" s="52"/>
      <c r="L836" s="52"/>
      <c r="M836" s="52"/>
      <c r="N836" s="103">
        <f t="shared" si="164"/>
        <v>0</v>
      </c>
      <c r="O836" s="52"/>
      <c r="P836" s="52"/>
      <c r="Q836" s="52"/>
      <c r="R836" s="104">
        <f t="shared" si="167"/>
        <v>0</v>
      </c>
      <c r="S836" s="86">
        <f t="shared" si="168"/>
        <v>0</v>
      </c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x14ac:dyDescent="0.35">
      <c r="A837" s="85"/>
      <c r="B837" s="51"/>
      <c r="C837" s="97"/>
      <c r="D837" s="97"/>
      <c r="E837" s="48"/>
      <c r="F837" s="94"/>
      <c r="G837" s="94"/>
      <c r="H837" s="94"/>
      <c r="I837" s="94"/>
      <c r="J837" s="52"/>
      <c r="K837" s="52"/>
      <c r="L837" s="52"/>
      <c r="M837" s="52"/>
      <c r="N837" s="103">
        <f t="shared" si="164"/>
        <v>0</v>
      </c>
      <c r="O837" s="52"/>
      <c r="P837" s="52"/>
      <c r="Q837" s="52"/>
      <c r="R837" s="104">
        <f t="shared" si="167"/>
        <v>0</v>
      </c>
      <c r="S837" s="86">
        <f t="shared" si="168"/>
        <v>0</v>
      </c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x14ac:dyDescent="0.35">
      <c r="A838" s="85"/>
      <c r="B838" s="51"/>
      <c r="C838" s="97"/>
      <c r="D838" s="97"/>
      <c r="E838" s="48"/>
      <c r="F838" s="94"/>
      <c r="G838" s="94"/>
      <c r="H838" s="94"/>
      <c r="I838" s="94"/>
      <c r="J838" s="52"/>
      <c r="K838" s="52"/>
      <c r="L838" s="52"/>
      <c r="M838" s="52"/>
      <c r="N838" s="103">
        <f t="shared" si="164"/>
        <v>0</v>
      </c>
      <c r="O838" s="52"/>
      <c r="P838" s="52"/>
      <c r="Q838" s="52"/>
      <c r="R838" s="104">
        <f t="shared" si="167"/>
        <v>0</v>
      </c>
      <c r="S838" s="86">
        <f t="shared" si="168"/>
        <v>0</v>
      </c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x14ac:dyDescent="0.35">
      <c r="A839" s="85"/>
      <c r="B839" s="51"/>
      <c r="C839" s="97"/>
      <c r="D839" s="97"/>
      <c r="E839" s="48"/>
      <c r="F839" s="94"/>
      <c r="G839" s="94"/>
      <c r="H839" s="94"/>
      <c r="I839" s="94"/>
      <c r="J839" s="52"/>
      <c r="K839" s="52"/>
      <c r="L839" s="52"/>
      <c r="M839" s="52"/>
      <c r="N839" s="103">
        <f t="shared" si="164"/>
        <v>0</v>
      </c>
      <c r="O839" s="52"/>
      <c r="P839" s="52"/>
      <c r="Q839" s="52"/>
      <c r="R839" s="104">
        <f t="shared" si="167"/>
        <v>0</v>
      </c>
      <c r="S839" s="86">
        <f t="shared" si="168"/>
        <v>0</v>
      </c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x14ac:dyDescent="0.35">
      <c r="A840" s="85"/>
      <c r="B840" s="51"/>
      <c r="C840" s="97"/>
      <c r="D840" s="97"/>
      <c r="E840" s="48"/>
      <c r="F840" s="94"/>
      <c r="G840" s="94"/>
      <c r="H840" s="94"/>
      <c r="I840" s="94"/>
      <c r="J840" s="52"/>
      <c r="K840" s="52"/>
      <c r="L840" s="52"/>
      <c r="M840" s="52"/>
      <c r="N840" s="103">
        <f t="shared" si="164"/>
        <v>0</v>
      </c>
      <c r="O840" s="52"/>
      <c r="P840" s="52"/>
      <c r="Q840" s="52"/>
      <c r="R840" s="104">
        <f t="shared" si="167"/>
        <v>0</v>
      </c>
      <c r="S840" s="86">
        <f t="shared" si="168"/>
        <v>0</v>
      </c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x14ac:dyDescent="0.35">
      <c r="A841" s="85"/>
      <c r="B841" s="51"/>
      <c r="C841" s="97"/>
      <c r="D841" s="97"/>
      <c r="E841" s="48"/>
      <c r="F841" s="94"/>
      <c r="G841" s="94"/>
      <c r="H841" s="94"/>
      <c r="I841" s="94"/>
      <c r="J841" s="52"/>
      <c r="K841" s="52"/>
      <c r="L841" s="52"/>
      <c r="M841" s="52"/>
      <c r="N841" s="103">
        <f t="shared" si="164"/>
        <v>0</v>
      </c>
      <c r="O841" s="52"/>
      <c r="P841" s="52"/>
      <c r="Q841" s="52"/>
      <c r="R841" s="104">
        <f t="shared" si="167"/>
        <v>0</v>
      </c>
      <c r="S841" s="86">
        <f t="shared" si="168"/>
        <v>0</v>
      </c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x14ac:dyDescent="0.35">
      <c r="A842" s="85"/>
      <c r="B842" s="51"/>
      <c r="C842" s="97"/>
      <c r="D842" s="97"/>
      <c r="E842" s="48"/>
      <c r="F842" s="94"/>
      <c r="G842" s="94"/>
      <c r="H842" s="94"/>
      <c r="I842" s="94"/>
      <c r="J842" s="52"/>
      <c r="K842" s="52"/>
      <c r="L842" s="52"/>
      <c r="M842" s="52"/>
      <c r="N842" s="103">
        <f t="shared" si="164"/>
        <v>0</v>
      </c>
      <c r="O842" s="52"/>
      <c r="P842" s="52"/>
      <c r="Q842" s="52"/>
      <c r="R842" s="104">
        <f t="shared" si="167"/>
        <v>0</v>
      </c>
      <c r="S842" s="86">
        <f t="shared" si="168"/>
        <v>0</v>
      </c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x14ac:dyDescent="0.35">
      <c r="A843" s="85"/>
      <c r="B843" s="51"/>
      <c r="C843" s="97"/>
      <c r="D843" s="97"/>
      <c r="E843" s="48"/>
      <c r="F843" s="94"/>
      <c r="G843" s="94"/>
      <c r="H843" s="94"/>
      <c r="I843" s="94"/>
      <c r="J843" s="52"/>
      <c r="K843" s="52"/>
      <c r="L843" s="52"/>
      <c r="M843" s="52"/>
      <c r="N843" s="103">
        <f t="shared" si="164"/>
        <v>0</v>
      </c>
      <c r="O843" s="52"/>
      <c r="P843" s="52"/>
      <c r="Q843" s="52"/>
      <c r="R843" s="104">
        <f t="shared" si="167"/>
        <v>0</v>
      </c>
      <c r="S843" s="86">
        <f t="shared" si="168"/>
        <v>0</v>
      </c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x14ac:dyDescent="0.35">
      <c r="A844" s="85"/>
      <c r="B844" s="51"/>
      <c r="C844" s="97"/>
      <c r="D844" s="97"/>
      <c r="E844" s="48"/>
      <c r="F844" s="94"/>
      <c r="G844" s="94"/>
      <c r="H844" s="94"/>
      <c r="I844" s="94"/>
      <c r="J844" s="52"/>
      <c r="K844" s="52"/>
      <c r="L844" s="52"/>
      <c r="M844" s="52"/>
      <c r="N844" s="103">
        <f t="shared" si="164"/>
        <v>0</v>
      </c>
      <c r="O844" s="52"/>
      <c r="P844" s="52"/>
      <c r="Q844" s="52"/>
      <c r="R844" s="104">
        <f t="shared" si="167"/>
        <v>0</v>
      </c>
      <c r="S844" s="86">
        <f t="shared" si="168"/>
        <v>0</v>
      </c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x14ac:dyDescent="0.35">
      <c r="A845" s="85"/>
      <c r="B845" s="51"/>
      <c r="C845" s="97"/>
      <c r="D845" s="97"/>
      <c r="E845" s="48"/>
      <c r="F845" s="94"/>
      <c r="G845" s="94"/>
      <c r="H845" s="94"/>
      <c r="I845" s="94"/>
      <c r="J845" s="52"/>
      <c r="K845" s="52"/>
      <c r="L845" s="52"/>
      <c r="M845" s="52"/>
      <c r="N845" s="103">
        <f t="shared" si="164"/>
        <v>0</v>
      </c>
      <c r="O845" s="52"/>
      <c r="P845" s="52"/>
      <c r="Q845" s="52"/>
      <c r="R845" s="104">
        <f t="shared" si="167"/>
        <v>0</v>
      </c>
      <c r="S845" s="86">
        <f t="shared" si="168"/>
        <v>0</v>
      </c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x14ac:dyDescent="0.35">
      <c r="A846" s="85"/>
      <c r="B846" s="51"/>
      <c r="C846" s="97"/>
      <c r="D846" s="97"/>
      <c r="E846" s="48"/>
      <c r="F846" s="94"/>
      <c r="G846" s="94"/>
      <c r="H846" s="94"/>
      <c r="I846" s="94"/>
      <c r="J846" s="52"/>
      <c r="K846" s="52"/>
      <c r="L846" s="52"/>
      <c r="M846" s="52"/>
      <c r="N846" s="103">
        <f t="shared" si="164"/>
        <v>0</v>
      </c>
      <c r="O846" s="52"/>
      <c r="P846" s="52"/>
      <c r="Q846" s="52"/>
      <c r="R846" s="104">
        <f t="shared" si="167"/>
        <v>0</v>
      </c>
      <c r="S846" s="86">
        <f t="shared" si="168"/>
        <v>0</v>
      </c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x14ac:dyDescent="0.35">
      <c r="A847" s="85"/>
      <c r="B847" s="51"/>
      <c r="C847" s="97"/>
      <c r="D847" s="97"/>
      <c r="E847" s="48"/>
      <c r="F847" s="94"/>
      <c r="G847" s="94"/>
      <c r="H847" s="94"/>
      <c r="I847" s="94"/>
      <c r="J847" s="52"/>
      <c r="K847" s="52"/>
      <c r="L847" s="52"/>
      <c r="M847" s="52"/>
      <c r="N847" s="103">
        <f t="shared" si="164"/>
        <v>0</v>
      </c>
      <c r="O847" s="52"/>
      <c r="P847" s="52"/>
      <c r="Q847" s="52"/>
      <c r="R847" s="104">
        <f t="shared" si="167"/>
        <v>0</v>
      </c>
      <c r="S847" s="86">
        <f t="shared" si="168"/>
        <v>0</v>
      </c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85"/>
      <c r="B848" s="51"/>
      <c r="C848" s="97"/>
      <c r="D848" s="97"/>
      <c r="E848" s="48"/>
      <c r="F848" s="94"/>
      <c r="G848" s="94"/>
      <c r="H848" s="94"/>
      <c r="I848" s="94"/>
      <c r="J848" s="52"/>
      <c r="K848" s="52"/>
      <c r="L848" s="52"/>
      <c r="M848" s="52"/>
      <c r="N848" s="103">
        <f t="shared" si="164"/>
        <v>0</v>
      </c>
      <c r="O848" s="52"/>
      <c r="P848" s="52"/>
      <c r="Q848" s="52"/>
      <c r="R848" s="104">
        <f t="shared" ref="R848" si="169">SUM(O848:Q848)</f>
        <v>0</v>
      </c>
      <c r="S848" s="86">
        <f t="shared" ref="S848" si="170">R848+N848+J848</f>
        <v>0</v>
      </c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x14ac:dyDescent="0.35">
      <c r="A849" s="85"/>
      <c r="B849" s="51"/>
      <c r="C849" s="97"/>
      <c r="D849" s="97"/>
      <c r="E849" s="48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4">
        <f t="shared" si="167"/>
        <v>0</v>
      </c>
      <c r="S849" s="86">
        <f t="shared" si="168"/>
        <v>0</v>
      </c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x14ac:dyDescent="0.35">
      <c r="A850" s="85"/>
      <c r="B850" s="51"/>
      <c r="C850" s="97"/>
      <c r="D850" s="97"/>
      <c r="E850" s="48"/>
      <c r="F850" s="94"/>
      <c r="G850" s="94"/>
      <c r="H850" s="94"/>
      <c r="I850" s="94"/>
      <c r="J850" s="52"/>
      <c r="K850" s="52"/>
      <c r="L850" s="52"/>
      <c r="M850" s="52"/>
      <c r="N850" s="103">
        <f t="shared" si="164"/>
        <v>0</v>
      </c>
      <c r="O850" s="52"/>
      <c r="P850" s="52"/>
      <c r="Q850" s="52"/>
      <c r="R850" s="104">
        <f t="shared" ref="R850:R858" si="171">SUM(O850:Q850)</f>
        <v>0</v>
      </c>
      <c r="S850" s="86">
        <f t="shared" ref="S850:S858" si="172">R850+N850+J850</f>
        <v>0</v>
      </c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x14ac:dyDescent="0.35">
      <c r="A851" s="85"/>
      <c r="B851" s="51"/>
      <c r="C851" s="97"/>
      <c r="D851" s="97"/>
      <c r="E851" s="48"/>
      <c r="F851" s="94"/>
      <c r="G851" s="94"/>
      <c r="H851" s="94"/>
      <c r="I851" s="94"/>
      <c r="J851" s="52"/>
      <c r="K851" s="52"/>
      <c r="L851" s="52"/>
      <c r="M851" s="52"/>
      <c r="N851" s="103">
        <f t="shared" si="164"/>
        <v>0</v>
      </c>
      <c r="O851" s="52"/>
      <c r="P851" s="52"/>
      <c r="Q851" s="52"/>
      <c r="R851" s="104">
        <f t="shared" si="171"/>
        <v>0</v>
      </c>
      <c r="S851" s="86">
        <f t="shared" si="172"/>
        <v>0</v>
      </c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x14ac:dyDescent="0.35">
      <c r="A852" s="85"/>
      <c r="B852" s="51"/>
      <c r="C852" s="97"/>
      <c r="D852" s="97"/>
      <c r="E852" s="48"/>
      <c r="F852" s="94"/>
      <c r="G852" s="94"/>
      <c r="H852" s="94"/>
      <c r="I852" s="94"/>
      <c r="J852" s="52"/>
      <c r="K852" s="52"/>
      <c r="L852" s="52"/>
      <c r="M852" s="52"/>
      <c r="N852" s="103">
        <f t="shared" si="164"/>
        <v>0</v>
      </c>
      <c r="O852" s="52"/>
      <c r="P852" s="52"/>
      <c r="Q852" s="52"/>
      <c r="R852" s="104">
        <f t="shared" si="171"/>
        <v>0</v>
      </c>
      <c r="S852" s="86">
        <f t="shared" si="172"/>
        <v>0</v>
      </c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x14ac:dyDescent="0.35">
      <c r="A853" s="85"/>
      <c r="B853" s="51"/>
      <c r="C853" s="97"/>
      <c r="D853" s="97"/>
      <c r="E853" s="48"/>
      <c r="F853" s="94"/>
      <c r="G853" s="94"/>
      <c r="H853" s="94"/>
      <c r="I853" s="94"/>
      <c r="J853" s="52"/>
      <c r="K853" s="52"/>
      <c r="L853" s="52"/>
      <c r="M853" s="52"/>
      <c r="N853" s="103">
        <f t="shared" si="164"/>
        <v>0</v>
      </c>
      <c r="O853" s="52"/>
      <c r="P853" s="52"/>
      <c r="Q853" s="52"/>
      <c r="R853" s="104">
        <f t="shared" si="171"/>
        <v>0</v>
      </c>
      <c r="S853" s="86">
        <f t="shared" si="172"/>
        <v>0</v>
      </c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x14ac:dyDescent="0.35">
      <c r="A854" s="85"/>
      <c r="B854" s="51"/>
      <c r="C854" s="97"/>
      <c r="D854" s="97"/>
      <c r="E854" s="48"/>
      <c r="F854" s="94"/>
      <c r="G854" s="94"/>
      <c r="H854" s="94"/>
      <c r="I854" s="94"/>
      <c r="J854" s="52"/>
      <c r="K854" s="52"/>
      <c r="L854" s="52"/>
      <c r="M854" s="52"/>
      <c r="N854" s="103">
        <f t="shared" si="164"/>
        <v>0</v>
      </c>
      <c r="O854" s="52"/>
      <c r="P854" s="52"/>
      <c r="Q854" s="52"/>
      <c r="R854" s="104">
        <f t="shared" si="171"/>
        <v>0</v>
      </c>
      <c r="S854" s="86">
        <f t="shared" si="172"/>
        <v>0</v>
      </c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x14ac:dyDescent="0.35">
      <c r="A855" s="85"/>
      <c r="B855" s="51"/>
      <c r="C855" s="97"/>
      <c r="D855" s="97"/>
      <c r="E855" s="48"/>
      <c r="F855" s="94"/>
      <c r="G855" s="94"/>
      <c r="H855" s="94"/>
      <c r="I855" s="94"/>
      <c r="J855" s="52"/>
      <c r="K855" s="52"/>
      <c r="L855" s="52"/>
      <c r="M855" s="52"/>
      <c r="N855" s="103">
        <f t="shared" si="164"/>
        <v>0</v>
      </c>
      <c r="O855" s="52"/>
      <c r="P855" s="52"/>
      <c r="Q855" s="52"/>
      <c r="R855" s="104">
        <f t="shared" si="171"/>
        <v>0</v>
      </c>
      <c r="S855" s="86">
        <f t="shared" si="172"/>
        <v>0</v>
      </c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x14ac:dyDescent="0.35">
      <c r="A856" s="85"/>
      <c r="B856" s="51"/>
      <c r="C856" s="97"/>
      <c r="D856" s="97"/>
      <c r="E856" s="48"/>
      <c r="F856" s="94"/>
      <c r="G856" s="94"/>
      <c r="H856" s="94"/>
      <c r="I856" s="94"/>
      <c r="J856" s="52"/>
      <c r="K856" s="52"/>
      <c r="L856" s="52"/>
      <c r="M856" s="52"/>
      <c r="N856" s="103">
        <f t="shared" si="164"/>
        <v>0</v>
      </c>
      <c r="O856" s="52"/>
      <c r="P856" s="52"/>
      <c r="Q856" s="52"/>
      <c r="R856" s="104">
        <f t="shared" si="171"/>
        <v>0</v>
      </c>
      <c r="S856" s="86">
        <f t="shared" si="172"/>
        <v>0</v>
      </c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x14ac:dyDescent="0.35">
      <c r="A857" s="85"/>
      <c r="B857" s="51"/>
      <c r="C857" s="97"/>
      <c r="D857" s="97"/>
      <c r="E857" s="48"/>
      <c r="F857" s="94"/>
      <c r="G857" s="94"/>
      <c r="H857" s="94"/>
      <c r="I857" s="94"/>
      <c r="J857" s="52"/>
      <c r="K857" s="52"/>
      <c r="L857" s="52"/>
      <c r="M857" s="52"/>
      <c r="N857" s="103">
        <f t="shared" si="164"/>
        <v>0</v>
      </c>
      <c r="O857" s="52"/>
      <c r="P857" s="52"/>
      <c r="Q857" s="52"/>
      <c r="R857" s="104">
        <f t="shared" si="171"/>
        <v>0</v>
      </c>
      <c r="S857" s="86">
        <f t="shared" si="172"/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ref="N858:N860" si="173">K858+L858+M858</f>
        <v>0</v>
      </c>
      <c r="O858" s="52"/>
      <c r="P858" s="52"/>
      <c r="Q858" s="52"/>
      <c r="R858" s="104">
        <f t="shared" si="171"/>
        <v>0</v>
      </c>
      <c r="S858" s="86">
        <f t="shared" si="172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73"/>
        <v>0</v>
      </c>
      <c r="O859" s="52"/>
      <c r="P859" s="52"/>
      <c r="Q859" s="52"/>
      <c r="R859" s="104">
        <f t="shared" ref="R859:R860" si="174">SUM(O859:Q859)</f>
        <v>0</v>
      </c>
      <c r="S859" s="86">
        <f t="shared" ref="S859:S860" si="175">R859+N859+J859</f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x14ac:dyDescent="0.35">
      <c r="A860" s="79"/>
      <c r="B860" s="80"/>
      <c r="D860" s="81"/>
      <c r="J860" s="108"/>
      <c r="K860" s="108"/>
      <c r="L860" s="108"/>
      <c r="M860" s="108"/>
      <c r="N860" s="104">
        <f t="shared" si="173"/>
        <v>0</v>
      </c>
      <c r="O860" s="108"/>
      <c r="P860" s="108"/>
      <c r="Q860" s="108"/>
      <c r="R860" s="104">
        <f t="shared" si="174"/>
        <v>0</v>
      </c>
      <c r="S860" s="86">
        <f t="shared" si="175"/>
        <v>0</v>
      </c>
      <c r="AP860" s="7"/>
    </row>
    <row r="861" spans="1:42" x14ac:dyDescent="0.35">
      <c r="A861" s="3"/>
      <c r="J861" s="107">
        <f>SUM(J3:J860)</f>
        <v>3941</v>
      </c>
      <c r="K861" s="107">
        <f t="shared" ref="K861:S861" si="176">SUM(K3:K860)</f>
        <v>2603</v>
      </c>
      <c r="L861" s="107">
        <f t="shared" si="176"/>
        <v>2641</v>
      </c>
      <c r="M861" s="107">
        <f t="shared" si="176"/>
        <v>4645</v>
      </c>
      <c r="N861" s="107">
        <f t="shared" si="176"/>
        <v>9889</v>
      </c>
      <c r="O861" s="107">
        <f t="shared" si="176"/>
        <v>4789</v>
      </c>
      <c r="P861" s="107">
        <f t="shared" si="176"/>
        <v>4924</v>
      </c>
      <c r="Q861" s="107">
        <f t="shared" si="176"/>
        <v>7550</v>
      </c>
      <c r="R861" s="107">
        <f t="shared" si="176"/>
        <v>17263</v>
      </c>
      <c r="S861" s="107">
        <f t="shared" si="176"/>
        <v>31093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98.525000000000006</v>
      </c>
      <c r="K864" s="109">
        <f t="shared" ref="K864:S864" si="177">K861/40</f>
        <v>65.075000000000003</v>
      </c>
      <c r="L864" s="109">
        <f t="shared" si="177"/>
        <v>66.025000000000006</v>
      </c>
      <c r="M864" s="109">
        <f t="shared" si="177"/>
        <v>116.125</v>
      </c>
      <c r="N864" s="47">
        <f t="shared" si="177"/>
        <v>247.22499999999999</v>
      </c>
      <c r="O864" s="109">
        <f t="shared" si="177"/>
        <v>119.72499999999999</v>
      </c>
      <c r="P864" s="109">
        <f t="shared" si="177"/>
        <v>123.1</v>
      </c>
      <c r="Q864" s="109">
        <f t="shared" si="177"/>
        <v>188.75</v>
      </c>
      <c r="R864" s="47">
        <f t="shared" si="177"/>
        <v>431.57499999999999</v>
      </c>
      <c r="S864" s="109">
        <f t="shared" si="177"/>
        <v>777.32500000000005</v>
      </c>
      <c r="T864" s="54">
        <f t="shared" ref="T864:AF864" si="178">+T433/40</f>
        <v>0</v>
      </c>
      <c r="U864" s="54">
        <f t="shared" si="178"/>
        <v>0</v>
      </c>
      <c r="V864" s="54">
        <f t="shared" si="178"/>
        <v>0</v>
      </c>
      <c r="W864" s="54">
        <f t="shared" si="178"/>
        <v>0</v>
      </c>
      <c r="X864" s="54">
        <f t="shared" si="178"/>
        <v>0</v>
      </c>
      <c r="Y864" s="54">
        <f t="shared" si="178"/>
        <v>0</v>
      </c>
      <c r="Z864" s="54">
        <f t="shared" si="178"/>
        <v>0</v>
      </c>
      <c r="AA864" s="54">
        <f t="shared" si="178"/>
        <v>0</v>
      </c>
      <c r="AB864" s="55"/>
      <c r="AC864" s="43">
        <f t="shared" si="178"/>
        <v>0</v>
      </c>
      <c r="AD864" s="43">
        <f t="shared" si="178"/>
        <v>0</v>
      </c>
      <c r="AE864" s="43">
        <f t="shared" si="178"/>
        <v>73217.0010625</v>
      </c>
      <c r="AF864" s="43">
        <f t="shared" si="178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777.32500000000005</v>
      </c>
      <c r="X866" t="s">
        <v>50</v>
      </c>
    </row>
    <row r="868" spans="19:24" x14ac:dyDescent="0.35">
      <c r="S868" s="53"/>
    </row>
  </sheetData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85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Report'!Q864+'STT Report'!Z864</f>
        <v>188.75</v>
      </c>
      <c r="H7" s="17">
        <f>E7+F7-G7</f>
        <v>1131.25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Report'!P864+'STT Report'!Y864</f>
        <v>123.1</v>
      </c>
      <c r="H8" s="17">
        <f>E8+F8-G8</f>
        <v>219.9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Report'!O864+'STT Report'!X864</f>
        <v>119.72499999999999</v>
      </c>
      <c r="H9" s="17">
        <f>E9+F9-G9</f>
        <v>808.27499999999998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431.57500000000005</v>
      </c>
      <c r="H10" s="23">
        <f>SUM(H7:H9)</f>
        <v>2159.4250000000002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Report'!J864</f>
        <v>98.525000000000006</v>
      </c>
      <c r="H11" s="17">
        <f t="shared" ref="H11:H13" si="0">(E11+F11)-G11</f>
        <v>1554.4749999999999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98.525000000000006</v>
      </c>
      <c r="H14" s="23">
        <f>SUM(H11:H13)</f>
        <v>1554.4749999999999</v>
      </c>
    </row>
    <row r="15" spans="4:8" ht="16.5" x14ac:dyDescent="0.45">
      <c r="D15" s="13" t="s">
        <v>46</v>
      </c>
      <c r="E15" s="14">
        <v>0</v>
      </c>
      <c r="F15" s="15"/>
      <c r="G15" s="16">
        <f>'STT Report'!M864+'STT Report'!V864</f>
        <v>116.125</v>
      </c>
      <c r="H15" s="17">
        <f>E15+F15-G15</f>
        <v>-116.125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Report'!L864+'STT Report'!U864</f>
        <v>66.025000000000006</v>
      </c>
      <c r="H16" s="17">
        <f>E16+F16-G16</f>
        <v>200.97499999999999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Report'!K864+'STT Report'!T864</f>
        <v>65.075000000000003</v>
      </c>
      <c r="H17" s="17">
        <f>E17+F17-G17</f>
        <v>174.92500000000001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247.22500000000002</v>
      </c>
      <c r="H18" s="23">
        <f>SUM(H15:H17)</f>
        <v>259.77499999999998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777.32500000000005</v>
      </c>
      <c r="H19" s="27">
        <f>H10+H14+H18</f>
        <v>3973.6750000000002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2026-08-10T11:28:50Z</dcterms:modified>
</cp:coreProperties>
</file>