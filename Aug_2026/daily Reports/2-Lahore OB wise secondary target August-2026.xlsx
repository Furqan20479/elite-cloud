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E8895B38-2BB1-4276-82C3-845026AD6C29}" xr6:coauthVersionLast="47" xr6:coauthVersionMax="47" xr10:uidLastSave="{00000000-0000-0000-0000-000000000000}"/>
  <bookViews>
    <workbookView xWindow="-110" yWindow="-110" windowWidth="19420" windowHeight="10420" xr2:uid="{4D9D047E-922E-4661-B830-06C6A050BC87}"/>
  </bookViews>
  <sheets>
    <sheet name="OB wsie Target (August-26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H28" i="1"/>
  <c r="J28" i="1"/>
  <c r="K28" i="1"/>
  <c r="J10" i="1"/>
  <c r="I28" i="1" l="1"/>
  <c r="L28" i="1"/>
  <c r="M28" i="1"/>
  <c r="O28" i="1"/>
  <c r="P16" i="1"/>
  <c r="K16" i="1"/>
  <c r="J16" i="1"/>
  <c r="H16" i="1"/>
  <c r="G16" i="1"/>
  <c r="G29" i="1" s="1"/>
  <c r="G10" i="1"/>
  <c r="P10" i="1"/>
  <c r="K10" i="1"/>
  <c r="M10" i="1" s="1"/>
  <c r="H10" i="1"/>
  <c r="O27" i="1"/>
  <c r="M27" i="1"/>
  <c r="L27" i="1"/>
  <c r="I27" i="1"/>
  <c r="O26" i="1"/>
  <c r="M26" i="1"/>
  <c r="L26" i="1"/>
  <c r="I26" i="1"/>
  <c r="O25" i="1"/>
  <c r="M25" i="1"/>
  <c r="L25" i="1"/>
  <c r="I25" i="1"/>
  <c r="O24" i="1"/>
  <c r="M24" i="1"/>
  <c r="L24" i="1"/>
  <c r="I24" i="1"/>
  <c r="O23" i="1"/>
  <c r="M23" i="1"/>
  <c r="L23" i="1"/>
  <c r="I23" i="1"/>
  <c r="O22" i="1"/>
  <c r="M22" i="1"/>
  <c r="L22" i="1"/>
  <c r="I22" i="1"/>
  <c r="O21" i="1"/>
  <c r="M21" i="1"/>
  <c r="L21" i="1"/>
  <c r="I21" i="1"/>
  <c r="O20" i="1"/>
  <c r="M20" i="1"/>
  <c r="L20" i="1"/>
  <c r="I20" i="1"/>
  <c r="O19" i="1"/>
  <c r="M19" i="1"/>
  <c r="L19" i="1"/>
  <c r="I19" i="1"/>
  <c r="O18" i="1"/>
  <c r="M18" i="1"/>
  <c r="L18" i="1"/>
  <c r="I18" i="1"/>
  <c r="O17" i="1"/>
  <c r="M17" i="1"/>
  <c r="L17" i="1"/>
  <c r="I17" i="1"/>
  <c r="O15" i="1"/>
  <c r="M15" i="1"/>
  <c r="L15" i="1"/>
  <c r="I15" i="1"/>
  <c r="O14" i="1"/>
  <c r="M14" i="1"/>
  <c r="L14" i="1"/>
  <c r="I14" i="1"/>
  <c r="O13" i="1"/>
  <c r="M13" i="1"/>
  <c r="L13" i="1"/>
  <c r="I13" i="1"/>
  <c r="O12" i="1"/>
  <c r="M12" i="1"/>
  <c r="L12" i="1"/>
  <c r="I12" i="1"/>
  <c r="O11" i="1"/>
  <c r="M11" i="1"/>
  <c r="L11" i="1"/>
  <c r="I11" i="1"/>
  <c r="O9" i="1"/>
  <c r="M9" i="1"/>
  <c r="L9" i="1"/>
  <c r="I9" i="1"/>
  <c r="O8" i="1"/>
  <c r="M8" i="1"/>
  <c r="L8" i="1"/>
  <c r="I8" i="1"/>
  <c r="O7" i="1"/>
  <c r="M7" i="1"/>
  <c r="L7" i="1"/>
  <c r="I7" i="1"/>
  <c r="O6" i="1"/>
  <c r="M6" i="1"/>
  <c r="L6" i="1"/>
  <c r="I6" i="1"/>
  <c r="O5" i="1"/>
  <c r="M5" i="1"/>
  <c r="L5" i="1"/>
  <c r="I5" i="1"/>
  <c r="O4" i="1"/>
  <c r="M4" i="1"/>
  <c r="L4" i="1"/>
  <c r="I4" i="1"/>
  <c r="M16" i="1" l="1"/>
  <c r="M29" i="1" s="1"/>
  <c r="J29" i="1"/>
  <c r="P28" i="1"/>
  <c r="I10" i="1"/>
  <c r="O16" i="1"/>
  <c r="O10" i="1"/>
  <c r="L16" i="1"/>
  <c r="I16" i="1"/>
  <c r="L10" i="1"/>
  <c r="D2" i="1" l="1"/>
  <c r="C2" i="1"/>
  <c r="N28" i="1" l="1"/>
  <c r="N16" i="1"/>
  <c r="N10" i="1"/>
  <c r="N5" i="1"/>
  <c r="N15" i="1"/>
  <c r="N18" i="1"/>
  <c r="N13" i="1"/>
  <c r="N14" i="1"/>
  <c r="N25" i="1"/>
  <c r="N6" i="1"/>
  <c r="N23" i="1"/>
  <c r="N20" i="1"/>
  <c r="N22" i="1"/>
  <c r="N27" i="1"/>
  <c r="N9" i="1"/>
  <c r="N26" i="1"/>
  <c r="N12" i="1"/>
  <c r="N7" i="1"/>
  <c r="N4" i="1"/>
  <c r="N19" i="1"/>
  <c r="N21" i="1"/>
  <c r="N24" i="1"/>
  <c r="N17" i="1"/>
  <c r="N8" i="1"/>
  <c r="N11" i="1"/>
  <c r="N29" i="1" l="1"/>
</calcChain>
</file>

<file path=xl/sharedStrings.xml><?xml version="1.0" encoding="utf-8"?>
<sst xmlns="http://schemas.openxmlformats.org/spreadsheetml/2006/main" count="166" uniqueCount="53">
  <si>
    <t>Area</t>
  </si>
  <si>
    <t>ASM Name</t>
  </si>
  <si>
    <t>TSO Name</t>
  </si>
  <si>
    <t>Distribution Name</t>
  </si>
  <si>
    <t>Total</t>
  </si>
  <si>
    <t>Region</t>
  </si>
  <si>
    <t>Total Day</t>
  </si>
  <si>
    <t>Day Gone</t>
  </si>
  <si>
    <t>Day Gone %</t>
  </si>
  <si>
    <t>Remaining Day</t>
  </si>
  <si>
    <t>Unique Productivity</t>
  </si>
  <si>
    <t>Secondary Sales Update</t>
  </si>
  <si>
    <t>KPI's</t>
  </si>
  <si>
    <t>Booker Name</t>
  </si>
  <si>
    <t>Plan Shop</t>
  </si>
  <si>
    <t>Productive</t>
  </si>
  <si>
    <t>%</t>
  </si>
  <si>
    <t>Target</t>
  </si>
  <si>
    <t>Ach(CTN)</t>
  </si>
  <si>
    <t>Balance</t>
  </si>
  <si>
    <t>RPD</t>
  </si>
  <si>
    <t>Drop Size</t>
  </si>
  <si>
    <t>SKU/Bills</t>
  </si>
  <si>
    <t>Remarks</t>
  </si>
  <si>
    <t xml:space="preserve">Lahore </t>
  </si>
  <si>
    <t xml:space="preserve">Muhammad Bilal </t>
  </si>
  <si>
    <t xml:space="preserve">Ahmed Shah </t>
  </si>
  <si>
    <t xml:space="preserve">Waseem Brother </t>
  </si>
  <si>
    <t>M. Shahzad</t>
  </si>
  <si>
    <t xml:space="preserve">Ghulam Ahmad </t>
  </si>
  <si>
    <t>Maqbool</t>
  </si>
  <si>
    <t xml:space="preserve">Usman Akbar </t>
  </si>
  <si>
    <t xml:space="preserve">Nouman Youns </t>
  </si>
  <si>
    <t>Ahmad TSO WS</t>
  </si>
  <si>
    <t xml:space="preserve">Zohaib </t>
  </si>
  <si>
    <t xml:space="preserve">Dolphin Trader </t>
  </si>
  <si>
    <t>Shahzad Nayyar</t>
  </si>
  <si>
    <t xml:space="preserve">Muhammad Hassan </t>
  </si>
  <si>
    <t xml:space="preserve">Azeem Arshad </t>
  </si>
  <si>
    <t>Zohaib TSO WS</t>
  </si>
  <si>
    <t xml:space="preserve">Vacant </t>
  </si>
  <si>
    <t xml:space="preserve">Elite Marketing </t>
  </si>
  <si>
    <t xml:space="preserve">Zeeshan Meharban </t>
  </si>
  <si>
    <t xml:space="preserve">Umair Rehman </t>
  </si>
  <si>
    <t>Salman Butt</t>
  </si>
  <si>
    <t>Vacant OB</t>
  </si>
  <si>
    <t>Shakoor (LMT)</t>
  </si>
  <si>
    <t>Elite Marketing SD</t>
  </si>
  <si>
    <t>Jabar Akhter</t>
  </si>
  <si>
    <t>Muhammad Awais</t>
  </si>
  <si>
    <t xml:space="preserve">Sohail Traders </t>
  </si>
  <si>
    <t xml:space="preserve">Nabeel Traders </t>
  </si>
  <si>
    <t xml:space="preserve">Abdullah Traders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</si>
</sst>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0">
    <xf numFmtId="0" fontId="0" fillId="0" borderId="0" xfId="0"/>
    <xf numFmtId="1" fontId="1" fillId="3" borderId="4" xfId="0" applyNumberFormat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1" fontId="1" fillId="3" borderId="28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164" fontId="1" fillId="3" borderId="28" xfId="0" applyNumberFormat="1" applyFont="1" applyFill="1" applyBorder="1"/>
    <xf numFmtId="0" fontId="1" fillId="2" borderId="2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9" fontId="0" fillId="3" borderId="19" xfId="1" applyFont="1" applyFill="1" applyBorder="1" applyAlignment="1">
      <alignment horizontal="center"/>
    </xf>
    <xf numFmtId="9" fontId="0" fillId="0" borderId="31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1" fontId="1" fillId="3" borderId="34" xfId="0" applyNumberFormat="1" applyFont="1" applyFill="1" applyBorder="1" applyAlignment="1">
      <alignment horizontal="center"/>
    </xf>
    <xf numFmtId="1" fontId="1" fillId="3" borderId="24" xfId="0" applyNumberFormat="1" applyFont="1" applyFill="1" applyBorder="1" applyAlignment="1">
      <alignment horizontal="center"/>
    </xf>
    <xf numFmtId="1" fontId="1" fillId="3" borderId="36" xfId="0" applyNumberFormat="1" applyFont="1" applyFill="1" applyBorder="1" applyAlignment="1">
      <alignment horizontal="center"/>
    </xf>
    <xf numFmtId="1" fontId="1" fillId="3" borderId="32" xfId="0" applyNumberFormat="1" applyFont="1" applyFill="1" applyBorder="1" applyAlignment="1">
      <alignment horizontal="center"/>
    </xf>
    <xf numFmtId="9" fontId="1" fillId="3" borderId="32" xfId="1" applyFont="1" applyFill="1" applyBorder="1" applyAlignment="1">
      <alignment horizontal="center"/>
    </xf>
    <xf numFmtId="1" fontId="1" fillId="3" borderId="37" xfId="0" applyNumberFormat="1" applyFont="1" applyFill="1" applyBorder="1" applyAlignment="1">
      <alignment horizontal="center"/>
    </xf>
    <xf numFmtId="1" fontId="1" fillId="3" borderId="38" xfId="0" applyNumberFormat="1" applyFont="1" applyFill="1" applyBorder="1" applyAlignment="1">
      <alignment horizontal="center"/>
    </xf>
    <xf numFmtId="1" fontId="1" fillId="3" borderId="39" xfId="0" applyNumberFormat="1" applyFont="1" applyFill="1" applyBorder="1" applyAlignment="1">
      <alignment horizontal="center"/>
    </xf>
    <xf numFmtId="9" fontId="0" fillId="0" borderId="33" xfId="1" applyFont="1" applyBorder="1" applyAlignment="1">
      <alignment horizontal="center"/>
    </xf>
    <xf numFmtId="9" fontId="1" fillId="3" borderId="4" xfId="1" applyFont="1" applyFill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9" fontId="0" fillId="0" borderId="37" xfId="1" applyFont="1" applyBorder="1" applyAlignment="1">
      <alignment horizontal="center"/>
    </xf>
    <xf numFmtId="0" fontId="1" fillId="3" borderId="2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9" fontId="1" fillId="3" borderId="33" xfId="1" applyFont="1" applyFill="1" applyBorder="1" applyAlignment="1">
      <alignment horizontal="center"/>
    </xf>
    <xf numFmtId="1" fontId="1" fillId="3" borderId="40" xfId="0" applyNumberFormat="1" applyFont="1" applyFill="1" applyBorder="1" applyAlignment="1">
      <alignment horizontal="center"/>
    </xf>
    <xf numFmtId="1" fontId="1" fillId="3" borderId="3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0" xfId="0" applyBorder="1"/>
    <xf numFmtId="1" fontId="0" fillId="0" borderId="20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6" xfId="0" applyBorder="1"/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7" borderId="22" xfId="0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5" borderId="23" xfId="0" applyFill="1" applyBorder="1"/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0" xfId="0" applyFill="1" applyBorder="1"/>
    <xf numFmtId="0" fontId="0" fillId="8" borderId="1" xfId="0" applyFill="1" applyBorder="1" applyAlignment="1">
      <alignment vertical="center"/>
    </xf>
    <xf numFmtId="0" fontId="0" fillId="8" borderId="10" xfId="0" applyFill="1" applyBorder="1"/>
    <xf numFmtId="0" fontId="0" fillId="6" borderId="1" xfId="0" applyFill="1" applyBorder="1" applyAlignment="1">
      <alignment vertical="center"/>
    </xf>
    <xf numFmtId="0" fontId="0" fillId="6" borderId="10" xfId="0" applyFill="1" applyBorder="1"/>
    <xf numFmtId="1" fontId="0" fillId="0" borderId="15" xfId="0" applyNumberFormat="1" applyBorder="1" applyAlignment="1">
      <alignment horizontal="center"/>
    </xf>
    <xf numFmtId="0" fontId="3" fillId="6" borderId="10" xfId="0" applyFont="1" applyFill="1" applyBorder="1"/>
    <xf numFmtId="1" fontId="0" fillId="3" borderId="6" xfId="0" applyNumberFormat="1" applyFill="1" applyBorder="1" applyAlignment="1">
      <alignment horizontal="center"/>
    </xf>
    <xf numFmtId="0" fontId="0" fillId="0" borderId="1" xfId="0" applyBorder="1"/>
    <xf numFmtId="1" fontId="0" fillId="0" borderId="13" xfId="0" applyNumberFormat="1" applyBorder="1" applyAlignment="1">
      <alignment horizontal="center"/>
    </xf>
    <xf numFmtId="0" fontId="0" fillId="6" borderId="2" xfId="0" applyFill="1" applyBorder="1" applyAlignment="1">
      <alignment vertical="center"/>
    </xf>
    <xf numFmtId="0" fontId="0" fillId="6" borderId="19" xfId="0" applyFill="1" applyBorder="1"/>
    <xf numFmtId="1" fontId="0" fillId="0" borderId="36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/>
    <xf numFmtId="0" fontId="1" fillId="3" borderId="3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1264-5376-492D-84C0-F396BFB3DA87}">
  <dimension ref="A1:Q31"/>
  <sheetViews>
    <sheetView tabSelected="1" zoomScale="85" zoomScaleNormal="85" workbookViewId="0">
      <pane xSplit="3" ySplit="3" topLeftCell="D16" activePane="bottomRight" state="frozen"/>
      <selection pane="topRight" activeCell="D1" sqref="D1"/>
      <selection pane="bottomLeft" activeCell="A4" sqref="A4"/>
      <selection pane="bottomRight" activeCell="K22" sqref="K22"/>
    </sheetView>
  </sheetViews>
  <sheetFormatPr defaultRowHeight="14.5" x14ac:dyDescent="0.35"/>
  <cols>
    <col min="1" max="1" width="13.54296875" bestFit="1" customWidth="1"/>
    <col min="2" max="2" width="15.54296875" bestFit="1" customWidth="1"/>
    <col min="3" max="4" width="16.453125" bestFit="1" customWidth="1"/>
    <col min="5" max="5" width="23.7265625" customWidth="1"/>
    <col min="6" max="6" width="23.7265625" bestFit="1" customWidth="1"/>
    <col min="7" max="7" width="6" style="41" bestFit="1" customWidth="1"/>
    <col min="8" max="8" width="10.54296875" customWidth="1"/>
    <col min="9" max="9" width="4.54296875" bestFit="1" customWidth="1"/>
    <col min="10" max="10" width="6.54296875" bestFit="1" customWidth="1"/>
    <col min="11" max="11" width="9.26953125" bestFit="1" customWidth="1"/>
    <col min="12" max="12" width="4.54296875" bestFit="1" customWidth="1"/>
    <col min="13" max="14" width="8.453125" bestFit="1" customWidth="1"/>
    <col min="15" max="15" width="7.7265625" bestFit="1" customWidth="1"/>
    <col min="17" max="17" width="8.54296875" bestFit="1" customWidth="1"/>
    <col min="19" max="19" width="4" bestFit="1" customWidth="1"/>
  </cols>
  <sheetData>
    <row r="1" spans="1:17" ht="15" thickBot="1" x14ac:dyDescent="0.4">
      <c r="A1" s="3" t="s">
        <v>6</v>
      </c>
      <c r="B1" s="3" t="s">
        <v>7</v>
      </c>
      <c r="C1" s="3" t="s">
        <v>8</v>
      </c>
      <c r="D1" s="3" t="s">
        <v>9</v>
      </c>
    </row>
    <row r="2" spans="1:17" ht="15" thickBot="1" x14ac:dyDescent="0.4">
      <c r="A2" s="42">
        <v>25</v>
      </c>
      <c r="B2" s="41">
        <v>8</v>
      </c>
      <c r="C2" s="4">
        <f>+B2/A2</f>
        <v>0.32</v>
      </c>
      <c r="D2" s="42">
        <f>+A2-B2</f>
        <v>17</v>
      </c>
      <c r="F2" s="7">
        <v>46242</v>
      </c>
      <c r="G2" s="82" t="s">
        <v>10</v>
      </c>
      <c r="H2" s="83"/>
      <c r="I2" s="83"/>
      <c r="J2" s="84" t="s">
        <v>11</v>
      </c>
      <c r="K2" s="85"/>
      <c r="L2" s="85"/>
      <c r="M2" s="85"/>
      <c r="N2" s="86"/>
      <c r="O2" s="80" t="s">
        <v>12</v>
      </c>
      <c r="P2" s="81"/>
    </row>
    <row r="3" spans="1:17" ht="29.5" thickBot="1" x14ac:dyDescent="0.4">
      <c r="A3" s="8" t="s">
        <v>5</v>
      </c>
      <c r="B3" s="8" t="s">
        <v>0</v>
      </c>
      <c r="C3" s="8" t="s">
        <v>1</v>
      </c>
      <c r="D3" s="8" t="s">
        <v>2</v>
      </c>
      <c r="E3" s="9" t="s">
        <v>3</v>
      </c>
      <c r="F3" s="10" t="s">
        <v>13</v>
      </c>
      <c r="G3" s="11" t="s">
        <v>14</v>
      </c>
      <c r="H3" s="6" t="s">
        <v>15</v>
      </c>
      <c r="I3" s="12" t="s">
        <v>16</v>
      </c>
      <c r="J3" s="13" t="s">
        <v>17</v>
      </c>
      <c r="K3" s="14" t="s">
        <v>18</v>
      </c>
      <c r="L3" s="14" t="s">
        <v>16</v>
      </c>
      <c r="M3" s="14" t="s">
        <v>19</v>
      </c>
      <c r="N3" s="15" t="s">
        <v>20</v>
      </c>
      <c r="O3" s="16" t="s">
        <v>21</v>
      </c>
      <c r="P3" s="17" t="s">
        <v>22</v>
      </c>
      <c r="Q3" s="18" t="s">
        <v>23</v>
      </c>
    </row>
    <row r="4" spans="1:17" x14ac:dyDescent="0.35">
      <c r="A4" s="43" t="s">
        <v>24</v>
      </c>
      <c r="B4" s="56" t="s">
        <v>24</v>
      </c>
      <c r="C4" s="56" t="s">
        <v>25</v>
      </c>
      <c r="D4" s="57" t="s">
        <v>26</v>
      </c>
      <c r="E4" s="57" t="s">
        <v>27</v>
      </c>
      <c r="F4" s="58" t="s">
        <v>28</v>
      </c>
      <c r="G4" s="44">
        <v>600</v>
      </c>
      <c r="H4" s="45"/>
      <c r="I4" s="20">
        <f>H4/G4</f>
        <v>0</v>
      </c>
      <c r="J4" s="48">
        <v>510</v>
      </c>
      <c r="K4" s="45"/>
      <c r="L4" s="32">
        <f>K4/J4</f>
        <v>0</v>
      </c>
      <c r="M4" s="45">
        <f>J4-K4</f>
        <v>510</v>
      </c>
      <c r="N4" s="54">
        <f>M4/$D$2</f>
        <v>30</v>
      </c>
      <c r="O4" s="53" t="e">
        <f>K4/H4</f>
        <v>#DIV/0!</v>
      </c>
      <c r="P4" s="54"/>
      <c r="Q4" s="54"/>
    </row>
    <row r="5" spans="1:17" x14ac:dyDescent="0.35">
      <c r="A5" s="47" t="s">
        <v>24</v>
      </c>
      <c r="B5" s="59" t="s">
        <v>24</v>
      </c>
      <c r="C5" s="59" t="s">
        <v>25</v>
      </c>
      <c r="D5" s="60" t="s">
        <v>26</v>
      </c>
      <c r="E5" s="60" t="s">
        <v>27</v>
      </c>
      <c r="F5" s="61" t="s">
        <v>29</v>
      </c>
      <c r="G5" s="48">
        <v>600</v>
      </c>
      <c r="H5" s="46"/>
      <c r="I5" s="21">
        <f t="shared" ref="I5:I28" si="0">H5/G5</f>
        <v>0</v>
      </c>
      <c r="J5" s="48">
        <v>560</v>
      </c>
      <c r="K5" s="46"/>
      <c r="L5" s="33">
        <f t="shared" ref="L5:L28" si="1">K5/J5</f>
        <v>0</v>
      </c>
      <c r="M5" s="46">
        <f t="shared" ref="M5:M27" si="2">J5-K5</f>
        <v>560</v>
      </c>
      <c r="N5" s="49">
        <f t="shared" ref="N5:N27" si="3">M5/$D$2</f>
        <v>32.941176470588232</v>
      </c>
      <c r="O5" s="55" t="e">
        <f t="shared" ref="O5:O27" si="4">K5/H5</f>
        <v>#DIV/0!</v>
      </c>
      <c r="P5" s="49"/>
      <c r="Q5" s="49"/>
    </row>
    <row r="6" spans="1:17" x14ac:dyDescent="0.35">
      <c r="A6" s="47" t="s">
        <v>24</v>
      </c>
      <c r="B6" s="59" t="s">
        <v>24</v>
      </c>
      <c r="C6" s="59" t="s">
        <v>25</v>
      </c>
      <c r="D6" s="60" t="s">
        <v>26</v>
      </c>
      <c r="E6" s="60" t="s">
        <v>27</v>
      </c>
      <c r="F6" s="61" t="s">
        <v>30</v>
      </c>
      <c r="G6" s="48">
        <v>600</v>
      </c>
      <c r="H6" s="46"/>
      <c r="I6" s="21">
        <f t="shared" si="0"/>
        <v>0</v>
      </c>
      <c r="J6" s="48">
        <v>460</v>
      </c>
      <c r="K6" s="46"/>
      <c r="L6" s="33">
        <f t="shared" si="1"/>
        <v>0</v>
      </c>
      <c r="M6" s="46">
        <f t="shared" si="2"/>
        <v>460</v>
      </c>
      <c r="N6" s="49">
        <f t="shared" si="3"/>
        <v>27.058823529411764</v>
      </c>
      <c r="O6" s="55" t="e">
        <f t="shared" si="4"/>
        <v>#DIV/0!</v>
      </c>
      <c r="P6" s="49"/>
      <c r="Q6" s="49"/>
    </row>
    <row r="7" spans="1:17" x14ac:dyDescent="0.35">
      <c r="A7" s="47" t="s">
        <v>24</v>
      </c>
      <c r="B7" s="59" t="s">
        <v>24</v>
      </c>
      <c r="C7" s="59" t="s">
        <v>25</v>
      </c>
      <c r="D7" s="60" t="s">
        <v>26</v>
      </c>
      <c r="E7" s="60" t="s">
        <v>27</v>
      </c>
      <c r="F7" s="61" t="s">
        <v>31</v>
      </c>
      <c r="G7" s="48">
        <v>600</v>
      </c>
      <c r="H7" s="46"/>
      <c r="I7" s="21">
        <f t="shared" si="0"/>
        <v>0</v>
      </c>
      <c r="J7" s="48">
        <v>510</v>
      </c>
      <c r="K7" s="46"/>
      <c r="L7" s="33">
        <f t="shared" si="1"/>
        <v>0</v>
      </c>
      <c r="M7" s="46">
        <f t="shared" si="2"/>
        <v>510</v>
      </c>
      <c r="N7" s="49">
        <f t="shared" si="3"/>
        <v>30</v>
      </c>
      <c r="O7" s="55" t="e">
        <f t="shared" si="4"/>
        <v>#DIV/0!</v>
      </c>
      <c r="P7" s="49"/>
      <c r="Q7" s="49"/>
    </row>
    <row r="8" spans="1:17" x14ac:dyDescent="0.35">
      <c r="A8" s="47" t="s">
        <v>24</v>
      </c>
      <c r="B8" s="59" t="s">
        <v>24</v>
      </c>
      <c r="C8" s="59" t="s">
        <v>25</v>
      </c>
      <c r="D8" s="60" t="s">
        <v>26</v>
      </c>
      <c r="E8" s="60" t="s">
        <v>27</v>
      </c>
      <c r="F8" s="61" t="s">
        <v>32</v>
      </c>
      <c r="G8" s="48">
        <v>600</v>
      </c>
      <c r="H8" s="46"/>
      <c r="I8" s="21">
        <f t="shared" si="0"/>
        <v>0</v>
      </c>
      <c r="J8" s="48">
        <v>460</v>
      </c>
      <c r="K8" s="46"/>
      <c r="L8" s="33">
        <f t="shared" si="1"/>
        <v>0</v>
      </c>
      <c r="M8" s="46">
        <f t="shared" si="2"/>
        <v>460</v>
      </c>
      <c r="N8" s="49">
        <f t="shared" si="3"/>
        <v>27.058823529411764</v>
      </c>
      <c r="O8" s="55" t="e">
        <f t="shared" si="4"/>
        <v>#DIV/0!</v>
      </c>
      <c r="P8" s="49"/>
      <c r="Q8" s="49"/>
    </row>
    <row r="9" spans="1:17" ht="15" thickBot="1" x14ac:dyDescent="0.4">
      <c r="A9" s="47" t="s">
        <v>24</v>
      </c>
      <c r="B9" s="59" t="s">
        <v>24</v>
      </c>
      <c r="C9" s="59" t="s">
        <v>25</v>
      </c>
      <c r="D9" s="60" t="s">
        <v>26</v>
      </c>
      <c r="E9" s="60" t="s">
        <v>27</v>
      </c>
      <c r="F9" s="61" t="s">
        <v>33</v>
      </c>
      <c r="G9" s="48">
        <v>25</v>
      </c>
      <c r="H9" s="46"/>
      <c r="I9" s="21">
        <f t="shared" si="0"/>
        <v>0</v>
      </c>
      <c r="J9" s="48">
        <v>200</v>
      </c>
      <c r="K9" s="46"/>
      <c r="L9" s="33">
        <f t="shared" si="1"/>
        <v>0</v>
      </c>
      <c r="M9" s="46">
        <f t="shared" si="2"/>
        <v>200</v>
      </c>
      <c r="N9" s="49">
        <f t="shared" si="3"/>
        <v>11.764705882352942</v>
      </c>
      <c r="O9" s="55" t="e">
        <f t="shared" si="4"/>
        <v>#DIV/0!</v>
      </c>
      <c r="P9" s="49"/>
      <c r="Q9" s="49"/>
    </row>
    <row r="10" spans="1:17" ht="15" thickBot="1" x14ac:dyDescent="0.4">
      <c r="A10" s="47"/>
      <c r="B10" s="59" t="s">
        <v>24</v>
      </c>
      <c r="C10" s="59" t="s">
        <v>25</v>
      </c>
      <c r="D10" s="87" t="s">
        <v>4</v>
      </c>
      <c r="E10" s="88"/>
      <c r="F10" s="89"/>
      <c r="G10" s="22">
        <f>SUM(G4:G9)</f>
        <v>3025</v>
      </c>
      <c r="H10" s="23">
        <f>SUM(H4:H9)</f>
        <v>0</v>
      </c>
      <c r="I10" s="19">
        <f t="shared" ref="I10" si="5">IFERROR(H10/G10,0)</f>
        <v>0</v>
      </c>
      <c r="J10" s="24">
        <f>SUM(J4:J9)</f>
        <v>2700</v>
      </c>
      <c r="K10" s="25">
        <f t="shared" ref="K10" si="6">SUM(K4:K9)</f>
        <v>0</v>
      </c>
      <c r="L10" s="26">
        <f>+IFERROR(K10/J10,0)</f>
        <v>0</v>
      </c>
      <c r="M10" s="25">
        <f t="shared" si="2"/>
        <v>2700</v>
      </c>
      <c r="N10" s="27">
        <f t="shared" si="3"/>
        <v>158.8235294117647</v>
      </c>
      <c r="O10" s="28">
        <f>IFERROR(K10/H10,0)</f>
        <v>0</v>
      </c>
      <c r="P10" s="29">
        <f>IFERROR(AVERAGE(P4:P9),0)</f>
        <v>0</v>
      </c>
      <c r="Q10" s="5"/>
    </row>
    <row r="11" spans="1:17" x14ac:dyDescent="0.35">
      <c r="A11" s="47" t="s">
        <v>24</v>
      </c>
      <c r="B11" s="59" t="s">
        <v>24</v>
      </c>
      <c r="C11" s="59" t="s">
        <v>25</v>
      </c>
      <c r="D11" s="62" t="s">
        <v>34</v>
      </c>
      <c r="E11" s="62" t="s">
        <v>35</v>
      </c>
      <c r="F11" s="63" t="s">
        <v>36</v>
      </c>
      <c r="G11" s="48">
        <v>600</v>
      </c>
      <c r="H11" s="46"/>
      <c r="I11" s="21">
        <f t="shared" si="0"/>
        <v>0</v>
      </c>
      <c r="J11" s="48">
        <v>550</v>
      </c>
      <c r="K11" s="46"/>
      <c r="L11" s="33">
        <f t="shared" si="1"/>
        <v>0</v>
      </c>
      <c r="M11" s="46">
        <f t="shared" si="2"/>
        <v>550</v>
      </c>
      <c r="N11" s="49">
        <f t="shared" si="3"/>
        <v>32.352941176470587</v>
      </c>
      <c r="O11" s="55" t="e">
        <f t="shared" si="4"/>
        <v>#DIV/0!</v>
      </c>
      <c r="P11" s="49"/>
      <c r="Q11" s="49"/>
    </row>
    <row r="12" spans="1:17" x14ac:dyDescent="0.35">
      <c r="A12" s="47" t="s">
        <v>24</v>
      </c>
      <c r="B12" s="59" t="s">
        <v>24</v>
      </c>
      <c r="C12" s="59" t="s">
        <v>25</v>
      </c>
      <c r="D12" s="62" t="s">
        <v>34</v>
      </c>
      <c r="E12" s="62" t="s">
        <v>35</v>
      </c>
      <c r="F12" s="63" t="s">
        <v>37</v>
      </c>
      <c r="G12" s="48">
        <v>600</v>
      </c>
      <c r="H12" s="46"/>
      <c r="I12" s="21">
        <f t="shared" si="0"/>
        <v>0</v>
      </c>
      <c r="J12" s="48">
        <v>450</v>
      </c>
      <c r="K12" s="46"/>
      <c r="L12" s="33">
        <f t="shared" si="1"/>
        <v>0</v>
      </c>
      <c r="M12" s="46">
        <f t="shared" si="2"/>
        <v>450</v>
      </c>
      <c r="N12" s="49">
        <f t="shared" si="3"/>
        <v>26.470588235294116</v>
      </c>
      <c r="O12" s="55" t="e">
        <f t="shared" si="4"/>
        <v>#DIV/0!</v>
      </c>
      <c r="P12" s="49"/>
      <c r="Q12" s="49"/>
    </row>
    <row r="13" spans="1:17" x14ac:dyDescent="0.35">
      <c r="A13" s="47" t="s">
        <v>24</v>
      </c>
      <c r="B13" s="59" t="s">
        <v>24</v>
      </c>
      <c r="C13" s="59" t="s">
        <v>25</v>
      </c>
      <c r="D13" s="62" t="s">
        <v>34</v>
      </c>
      <c r="E13" s="62" t="s">
        <v>35</v>
      </c>
      <c r="F13" s="63" t="s">
        <v>38</v>
      </c>
      <c r="G13" s="48">
        <v>600</v>
      </c>
      <c r="H13" s="46"/>
      <c r="I13" s="21">
        <f t="shared" si="0"/>
        <v>0</v>
      </c>
      <c r="J13" s="48">
        <v>500</v>
      </c>
      <c r="K13" s="46"/>
      <c r="L13" s="33">
        <f t="shared" si="1"/>
        <v>0</v>
      </c>
      <c r="M13" s="46">
        <f t="shared" si="2"/>
        <v>500</v>
      </c>
      <c r="N13" s="49">
        <f t="shared" si="3"/>
        <v>29.411764705882351</v>
      </c>
      <c r="O13" s="55" t="e">
        <f t="shared" si="4"/>
        <v>#DIV/0!</v>
      </c>
      <c r="P13" s="49"/>
      <c r="Q13" s="49"/>
    </row>
    <row r="14" spans="1:17" x14ac:dyDescent="0.35">
      <c r="A14" s="47" t="s">
        <v>24</v>
      </c>
      <c r="B14" s="59" t="s">
        <v>24</v>
      </c>
      <c r="C14" s="59" t="s">
        <v>25</v>
      </c>
      <c r="D14" s="62" t="s">
        <v>34</v>
      </c>
      <c r="E14" s="62" t="s">
        <v>35</v>
      </c>
      <c r="F14" s="63" t="s">
        <v>49</v>
      </c>
      <c r="G14" s="48">
        <v>600</v>
      </c>
      <c r="H14" s="46"/>
      <c r="I14" s="21">
        <f t="shared" si="0"/>
        <v>0</v>
      </c>
      <c r="J14" s="48">
        <v>500</v>
      </c>
      <c r="K14" s="46"/>
      <c r="L14" s="33">
        <f t="shared" si="1"/>
        <v>0</v>
      </c>
      <c r="M14" s="46">
        <f t="shared" si="2"/>
        <v>500</v>
      </c>
      <c r="N14" s="49">
        <f t="shared" si="3"/>
        <v>29.411764705882351</v>
      </c>
      <c r="O14" s="55" t="e">
        <f t="shared" si="4"/>
        <v>#DIV/0!</v>
      </c>
      <c r="P14" s="49"/>
      <c r="Q14" s="49"/>
    </row>
    <row r="15" spans="1:17" ht="15" thickBot="1" x14ac:dyDescent="0.4">
      <c r="A15" s="47" t="s">
        <v>24</v>
      </c>
      <c r="B15" s="59" t="s">
        <v>24</v>
      </c>
      <c r="C15" s="59" t="s">
        <v>25</v>
      </c>
      <c r="D15" s="62" t="s">
        <v>34</v>
      </c>
      <c r="E15" s="62" t="s">
        <v>35</v>
      </c>
      <c r="F15" s="63" t="s">
        <v>39</v>
      </c>
      <c r="G15" s="48">
        <v>25</v>
      </c>
      <c r="H15" s="46"/>
      <c r="I15" s="21">
        <f t="shared" si="0"/>
        <v>0</v>
      </c>
      <c r="J15" s="48">
        <v>200</v>
      </c>
      <c r="K15" s="46"/>
      <c r="L15" s="33">
        <f t="shared" si="1"/>
        <v>0</v>
      </c>
      <c r="M15" s="46">
        <f t="shared" si="2"/>
        <v>200</v>
      </c>
      <c r="N15" s="49">
        <f t="shared" si="3"/>
        <v>11.764705882352942</v>
      </c>
      <c r="O15" s="55" t="e">
        <f t="shared" si="4"/>
        <v>#DIV/0!</v>
      </c>
      <c r="P15" s="49"/>
      <c r="Q15" s="49"/>
    </row>
    <row r="16" spans="1:17" ht="15" thickBot="1" x14ac:dyDescent="0.4">
      <c r="A16" s="47"/>
      <c r="B16" s="59" t="s">
        <v>24</v>
      </c>
      <c r="C16" s="59" t="s">
        <v>25</v>
      </c>
      <c r="D16" s="87" t="s">
        <v>4</v>
      </c>
      <c r="E16" s="88"/>
      <c r="F16" s="89"/>
      <c r="G16" s="22">
        <f>SUM(G11:G15)</f>
        <v>2425</v>
      </c>
      <c r="H16" s="23">
        <f>SUM(H11:H15)</f>
        <v>0</v>
      </c>
      <c r="I16" s="19">
        <f t="shared" ref="I16" si="7">IFERROR(H16/G16,0)</f>
        <v>0</v>
      </c>
      <c r="J16" s="22">
        <f>SUM(J11:J15)</f>
        <v>2200</v>
      </c>
      <c r="K16" s="23">
        <f>SUM(K11:K15)</f>
        <v>0</v>
      </c>
      <c r="L16" s="19">
        <f t="shared" ref="L16" si="8">IFERROR(K16/J16,0)</f>
        <v>0</v>
      </c>
      <c r="M16" s="25">
        <f>J16-K16</f>
        <v>2200</v>
      </c>
      <c r="N16" s="27">
        <f t="shared" si="3"/>
        <v>129.41176470588235</v>
      </c>
      <c r="O16" s="28">
        <f>IFERROR(K16/H16,0)</f>
        <v>0</v>
      </c>
      <c r="P16" s="29">
        <f>IFERROR(AVERAGE(P11:P15),0)</f>
        <v>0</v>
      </c>
      <c r="Q16" s="5"/>
    </row>
    <row r="17" spans="1:17" x14ac:dyDescent="0.35">
      <c r="A17" s="47" t="s">
        <v>24</v>
      </c>
      <c r="B17" s="59" t="s">
        <v>24</v>
      </c>
      <c r="C17" s="59" t="s">
        <v>25</v>
      </c>
      <c r="D17" s="64" t="s">
        <v>40</v>
      </c>
      <c r="E17" s="64" t="s">
        <v>41</v>
      </c>
      <c r="F17" s="65" t="s">
        <v>42</v>
      </c>
      <c r="G17" s="48">
        <v>600</v>
      </c>
      <c r="H17" s="46">
        <v>81</v>
      </c>
      <c r="I17" s="21">
        <f t="shared" si="0"/>
        <v>0.13500000000000001</v>
      </c>
      <c r="J17" s="48">
        <v>550</v>
      </c>
      <c r="K17" s="46">
        <v>92.42</v>
      </c>
      <c r="L17" s="33">
        <f t="shared" si="1"/>
        <v>0.16803636363636365</v>
      </c>
      <c r="M17" s="46">
        <f t="shared" si="2"/>
        <v>457.58</v>
      </c>
      <c r="N17" s="49">
        <f t="shared" si="3"/>
        <v>26.916470588235292</v>
      </c>
      <c r="O17" s="55">
        <f t="shared" si="4"/>
        <v>1.1409876543209876</v>
      </c>
      <c r="P17" s="49"/>
      <c r="Q17" s="49"/>
    </row>
    <row r="18" spans="1:17" x14ac:dyDescent="0.35">
      <c r="A18" s="47" t="s">
        <v>24</v>
      </c>
      <c r="B18" s="59" t="s">
        <v>24</v>
      </c>
      <c r="C18" s="59" t="s">
        <v>25</v>
      </c>
      <c r="D18" s="64" t="s">
        <v>40</v>
      </c>
      <c r="E18" s="64" t="s">
        <v>41</v>
      </c>
      <c r="F18" s="65" t="s">
        <v>44</v>
      </c>
      <c r="G18" s="48">
        <v>600</v>
      </c>
      <c r="H18" s="51">
        <v>35</v>
      </c>
      <c r="I18" s="21">
        <f t="shared" si="0"/>
        <v>5.8333333333333334E-2</v>
      </c>
      <c r="J18" s="48">
        <v>550</v>
      </c>
      <c r="K18" s="51">
        <v>58</v>
      </c>
      <c r="L18" s="33">
        <f t="shared" si="1"/>
        <v>0.10545454545454545</v>
      </c>
      <c r="M18" s="46">
        <f t="shared" si="2"/>
        <v>492</v>
      </c>
      <c r="N18" s="49">
        <f t="shared" si="3"/>
        <v>28.941176470588236</v>
      </c>
      <c r="O18" s="55">
        <f t="shared" si="4"/>
        <v>1.6571428571428573</v>
      </c>
      <c r="P18" s="66"/>
      <c r="Q18" s="49"/>
    </row>
    <row r="19" spans="1:17" x14ac:dyDescent="0.35">
      <c r="A19" s="47" t="s">
        <v>24</v>
      </c>
      <c r="B19" s="59" t="s">
        <v>24</v>
      </c>
      <c r="C19" s="59" t="s">
        <v>25</v>
      </c>
      <c r="D19" s="64" t="s">
        <v>40</v>
      </c>
      <c r="E19" s="64" t="s">
        <v>41</v>
      </c>
      <c r="F19" s="65" t="s">
        <v>43</v>
      </c>
      <c r="G19" s="48">
        <v>600</v>
      </c>
      <c r="H19" s="51">
        <v>27</v>
      </c>
      <c r="I19" s="21">
        <f t="shared" si="0"/>
        <v>4.4999999999999998E-2</v>
      </c>
      <c r="J19" s="48">
        <v>450</v>
      </c>
      <c r="K19" s="51">
        <v>41.52</v>
      </c>
      <c r="L19" s="33">
        <f t="shared" si="1"/>
        <v>9.2266666666666677E-2</v>
      </c>
      <c r="M19" s="46">
        <f t="shared" si="2"/>
        <v>408.48</v>
      </c>
      <c r="N19" s="49">
        <f t="shared" si="3"/>
        <v>24.02823529411765</v>
      </c>
      <c r="O19" s="55">
        <f t="shared" si="4"/>
        <v>1.5377777777777779</v>
      </c>
      <c r="P19" s="66"/>
      <c r="Q19" s="49"/>
    </row>
    <row r="20" spans="1:17" x14ac:dyDescent="0.35">
      <c r="A20" s="47" t="s">
        <v>24</v>
      </c>
      <c r="B20" s="59" t="s">
        <v>24</v>
      </c>
      <c r="C20" s="59" t="s">
        <v>25</v>
      </c>
      <c r="D20" s="64" t="s">
        <v>40</v>
      </c>
      <c r="E20" s="64" t="s">
        <v>41</v>
      </c>
      <c r="F20" s="65" t="s">
        <v>48</v>
      </c>
      <c r="G20" s="48">
        <v>600</v>
      </c>
      <c r="H20" s="51">
        <v>5</v>
      </c>
      <c r="I20" s="21">
        <f t="shared" si="0"/>
        <v>8.3333333333333332E-3</v>
      </c>
      <c r="J20" s="48">
        <v>400</v>
      </c>
      <c r="K20" s="51">
        <v>8.5500000000000007</v>
      </c>
      <c r="L20" s="33">
        <f t="shared" si="1"/>
        <v>2.1375000000000002E-2</v>
      </c>
      <c r="M20" s="46">
        <f t="shared" si="2"/>
        <v>391.45</v>
      </c>
      <c r="N20" s="49">
        <f t="shared" si="3"/>
        <v>23.026470588235295</v>
      </c>
      <c r="O20" s="55">
        <f t="shared" si="4"/>
        <v>1.7100000000000002</v>
      </c>
      <c r="P20" s="66"/>
      <c r="Q20" s="49"/>
    </row>
    <row r="21" spans="1:17" ht="15" thickBot="1" x14ac:dyDescent="0.4">
      <c r="A21" s="47" t="s">
        <v>24</v>
      </c>
      <c r="B21" s="59" t="s">
        <v>24</v>
      </c>
      <c r="C21" s="59" t="s">
        <v>25</v>
      </c>
      <c r="D21" s="64" t="s">
        <v>40</v>
      </c>
      <c r="E21" s="64" t="s">
        <v>41</v>
      </c>
      <c r="F21" s="67" t="s">
        <v>45</v>
      </c>
      <c r="G21" s="48">
        <v>600</v>
      </c>
      <c r="H21" s="51"/>
      <c r="I21" s="21">
        <f t="shared" si="0"/>
        <v>0</v>
      </c>
      <c r="J21" s="48">
        <v>500</v>
      </c>
      <c r="K21" s="51"/>
      <c r="L21" s="33">
        <f t="shared" si="1"/>
        <v>0</v>
      </c>
      <c r="M21" s="46">
        <f t="shared" si="2"/>
        <v>500</v>
      </c>
      <c r="N21" s="49">
        <f t="shared" si="3"/>
        <v>29.411764705882351</v>
      </c>
      <c r="O21" s="55" t="e">
        <f t="shared" si="4"/>
        <v>#DIV/0!</v>
      </c>
      <c r="P21" s="66"/>
      <c r="Q21" s="52"/>
    </row>
    <row r="22" spans="1:17" x14ac:dyDescent="0.35">
      <c r="A22" s="47" t="s">
        <v>24</v>
      </c>
      <c r="B22" s="59" t="s">
        <v>24</v>
      </c>
      <c r="C22" s="59" t="s">
        <v>25</v>
      </c>
      <c r="D22" s="64" t="s">
        <v>40</v>
      </c>
      <c r="E22" s="64" t="s">
        <v>41</v>
      </c>
      <c r="F22" s="67" t="s">
        <v>45</v>
      </c>
      <c r="G22" s="48">
        <v>600</v>
      </c>
      <c r="H22" s="51"/>
      <c r="I22" s="21">
        <f t="shared" si="0"/>
        <v>0</v>
      </c>
      <c r="J22" s="48">
        <v>500</v>
      </c>
      <c r="K22" s="51"/>
      <c r="L22" s="33">
        <f t="shared" si="1"/>
        <v>0</v>
      </c>
      <c r="M22" s="46">
        <f t="shared" si="2"/>
        <v>500</v>
      </c>
      <c r="N22" s="49">
        <f t="shared" si="3"/>
        <v>29.411764705882351</v>
      </c>
      <c r="O22" s="55" t="e">
        <f t="shared" si="4"/>
        <v>#DIV/0!</v>
      </c>
      <c r="P22" s="66"/>
      <c r="Q22" s="66"/>
    </row>
    <row r="23" spans="1:17" x14ac:dyDescent="0.35">
      <c r="A23" s="47" t="s">
        <v>24</v>
      </c>
      <c r="B23" s="59" t="s">
        <v>24</v>
      </c>
      <c r="C23" s="59" t="s">
        <v>25</v>
      </c>
      <c r="D23" s="64" t="s">
        <v>40</v>
      </c>
      <c r="E23" s="64" t="s">
        <v>41</v>
      </c>
      <c r="F23" s="67" t="s">
        <v>45</v>
      </c>
      <c r="G23" s="48">
        <v>600</v>
      </c>
      <c r="H23" s="51"/>
      <c r="I23" s="21">
        <f t="shared" si="0"/>
        <v>0</v>
      </c>
      <c r="J23" s="48">
        <v>500</v>
      </c>
      <c r="K23" s="51"/>
      <c r="L23" s="33">
        <f t="shared" si="1"/>
        <v>0</v>
      </c>
      <c r="M23" s="46">
        <f t="shared" si="2"/>
        <v>500</v>
      </c>
      <c r="N23" s="49">
        <f t="shared" si="3"/>
        <v>29.411764705882351</v>
      </c>
      <c r="O23" s="55" t="e">
        <f t="shared" si="4"/>
        <v>#DIV/0!</v>
      </c>
      <c r="P23" s="66"/>
      <c r="Q23" s="66"/>
    </row>
    <row r="24" spans="1:17" x14ac:dyDescent="0.35">
      <c r="A24" s="47" t="s">
        <v>24</v>
      </c>
      <c r="B24" s="59" t="s">
        <v>24</v>
      </c>
      <c r="C24" s="59" t="s">
        <v>25</v>
      </c>
      <c r="D24" s="64" t="s">
        <v>40</v>
      </c>
      <c r="E24" s="64" t="s">
        <v>41</v>
      </c>
      <c r="F24" s="65" t="s">
        <v>46</v>
      </c>
      <c r="G24" s="68">
        <v>150</v>
      </c>
      <c r="H24" s="51">
        <v>16</v>
      </c>
      <c r="I24" s="21">
        <f t="shared" si="0"/>
        <v>0.10666666666666667</v>
      </c>
      <c r="J24" s="50">
        <v>3000</v>
      </c>
      <c r="K24" s="51">
        <v>462.22</v>
      </c>
      <c r="L24" s="33">
        <f t="shared" si="1"/>
        <v>0.15407333333333334</v>
      </c>
      <c r="M24" s="46">
        <f t="shared" si="2"/>
        <v>2537.7799999999997</v>
      </c>
      <c r="N24" s="49">
        <f t="shared" si="3"/>
        <v>149.28117647058821</v>
      </c>
      <c r="O24" s="55">
        <f t="shared" si="4"/>
        <v>28.888750000000002</v>
      </c>
      <c r="P24" s="66"/>
      <c r="Q24" s="66"/>
    </row>
    <row r="25" spans="1:17" x14ac:dyDescent="0.35">
      <c r="A25" s="47" t="s">
        <v>24</v>
      </c>
      <c r="B25" s="59" t="s">
        <v>24</v>
      </c>
      <c r="C25" s="59" t="s">
        <v>25</v>
      </c>
      <c r="D25" s="64" t="s">
        <v>40</v>
      </c>
      <c r="E25" s="64" t="s">
        <v>47</v>
      </c>
      <c r="F25" s="65" t="s">
        <v>50</v>
      </c>
      <c r="G25" s="48"/>
      <c r="H25" s="51">
        <v>1</v>
      </c>
      <c r="I25" s="21" t="e">
        <f t="shared" si="0"/>
        <v>#DIV/0!</v>
      </c>
      <c r="J25" s="48">
        <v>500</v>
      </c>
      <c r="K25" s="51">
        <v>100</v>
      </c>
      <c r="L25" s="33">
        <f t="shared" si="1"/>
        <v>0.2</v>
      </c>
      <c r="M25" s="46">
        <f t="shared" si="2"/>
        <v>400</v>
      </c>
      <c r="N25" s="49">
        <f t="shared" si="3"/>
        <v>23.529411764705884</v>
      </c>
      <c r="O25" s="55">
        <f t="shared" si="4"/>
        <v>100</v>
      </c>
      <c r="P25" s="66"/>
      <c r="Q25" s="66"/>
    </row>
    <row r="26" spans="1:17" x14ac:dyDescent="0.35">
      <c r="A26" s="69" t="s">
        <v>24</v>
      </c>
      <c r="B26" s="59" t="s">
        <v>24</v>
      </c>
      <c r="C26" s="59" t="s">
        <v>25</v>
      </c>
      <c r="D26" s="64" t="s">
        <v>40</v>
      </c>
      <c r="E26" s="64" t="s">
        <v>47</v>
      </c>
      <c r="F26" s="65" t="s">
        <v>51</v>
      </c>
      <c r="G26" s="48"/>
      <c r="H26" s="51"/>
      <c r="I26" s="21" t="e">
        <f t="shared" si="0"/>
        <v>#DIV/0!</v>
      </c>
      <c r="J26" s="48">
        <v>450</v>
      </c>
      <c r="K26" s="46"/>
      <c r="L26" s="2">
        <f t="shared" si="1"/>
        <v>0</v>
      </c>
      <c r="M26" s="46">
        <f t="shared" si="2"/>
        <v>450</v>
      </c>
      <c r="N26" s="49">
        <f t="shared" si="3"/>
        <v>26.470588235294116</v>
      </c>
      <c r="O26" s="70" t="e">
        <f t="shared" si="4"/>
        <v>#DIV/0!</v>
      </c>
      <c r="P26" s="66"/>
      <c r="Q26" s="66"/>
    </row>
    <row r="27" spans="1:17" ht="15" thickBot="1" x14ac:dyDescent="0.4">
      <c r="A27" s="69" t="s">
        <v>24</v>
      </c>
      <c r="B27" s="59" t="s">
        <v>24</v>
      </c>
      <c r="C27" s="59" t="s">
        <v>25</v>
      </c>
      <c r="D27" s="71" t="s">
        <v>40</v>
      </c>
      <c r="E27" s="71" t="s">
        <v>47</v>
      </c>
      <c r="F27" s="72" t="s">
        <v>52</v>
      </c>
      <c r="G27" s="73"/>
      <c r="H27" s="74"/>
      <c r="I27" s="34" t="e">
        <f t="shared" si="0"/>
        <v>#DIV/0!</v>
      </c>
      <c r="J27" s="73">
        <v>200</v>
      </c>
      <c r="K27" s="74"/>
      <c r="L27" s="30">
        <f t="shared" si="1"/>
        <v>0</v>
      </c>
      <c r="M27" s="74">
        <f t="shared" si="2"/>
        <v>200</v>
      </c>
      <c r="N27" s="66">
        <f t="shared" si="3"/>
        <v>11.764705882352942</v>
      </c>
      <c r="O27" s="70" t="e">
        <f t="shared" si="4"/>
        <v>#DIV/0!</v>
      </c>
      <c r="P27" s="66"/>
      <c r="Q27" s="66"/>
    </row>
    <row r="28" spans="1:17" ht="15" thickBot="1" x14ac:dyDescent="0.4">
      <c r="A28" s="69" t="s">
        <v>24</v>
      </c>
      <c r="B28" s="59" t="s">
        <v>24</v>
      </c>
      <c r="C28" s="59" t="s">
        <v>25</v>
      </c>
      <c r="D28" s="77" t="s">
        <v>4</v>
      </c>
      <c r="E28" s="78"/>
      <c r="F28" s="79"/>
      <c r="G28" s="1">
        <f>SUM(G17:G27)</f>
        <v>4350</v>
      </c>
      <c r="H28" s="1">
        <f>SUM(H17:H27)</f>
        <v>165</v>
      </c>
      <c r="I28" s="31">
        <f t="shared" si="0"/>
        <v>3.793103448275862E-2</v>
      </c>
      <c r="J28" s="1">
        <f>SUM(J17:J27)</f>
        <v>7600</v>
      </c>
      <c r="K28" s="1">
        <f>SUM(K17:K27)</f>
        <v>762.71</v>
      </c>
      <c r="L28" s="31">
        <f t="shared" si="1"/>
        <v>0.10035657894736842</v>
      </c>
      <c r="M28" s="1">
        <f>J28-K28</f>
        <v>6837.29</v>
      </c>
      <c r="N28" s="1">
        <f>M28/$D$2</f>
        <v>402.1935294117647</v>
      </c>
      <c r="O28" s="1">
        <f>K28/H28</f>
        <v>4.6224848484848486</v>
      </c>
      <c r="P28" s="1">
        <f>AVERAGE(P4:P26)</f>
        <v>0</v>
      </c>
      <c r="Q28" s="75"/>
    </row>
    <row r="29" spans="1:17" x14ac:dyDescent="0.35">
      <c r="D29" s="37"/>
      <c r="E29" s="35"/>
      <c r="F29" s="36"/>
      <c r="G29" s="39">
        <f>+G28+G16+G10</f>
        <v>9800</v>
      </c>
      <c r="H29" s="23"/>
      <c r="I29" s="38"/>
      <c r="J29" s="39">
        <f>+J28+J16+J10</f>
        <v>12500</v>
      </c>
      <c r="K29" s="25"/>
      <c r="L29" s="26"/>
      <c r="M29" s="39">
        <f t="shared" ref="M29:N29" si="9">+M28+M16+M10</f>
        <v>11737.29</v>
      </c>
      <c r="N29" s="39">
        <f t="shared" si="9"/>
        <v>690.42882352941183</v>
      </c>
      <c r="O29" s="28"/>
      <c r="P29" s="40"/>
      <c r="Q29" s="42"/>
    </row>
    <row r="31" spans="1:17" x14ac:dyDescent="0.35">
      <c r="J31" s="76"/>
    </row>
  </sheetData>
  <mergeCells count="6">
    <mergeCell ref="D28:F28"/>
    <mergeCell ref="O2:P2"/>
    <mergeCell ref="G2:I2"/>
    <mergeCell ref="J2:N2"/>
    <mergeCell ref="D10:F10"/>
    <mergeCell ref="D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wsie Target (August-26)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2026-06-02T11:20:41Z</dcterms:created>
  <dcterms:modified xsi:type="dcterms:W3CDTF">2026-08-10T06:16:17Z</dcterms:modified>
</cp:coreProperties>
</file>