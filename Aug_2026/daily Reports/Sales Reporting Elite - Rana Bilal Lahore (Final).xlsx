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58A70A6E-6F1A-4C07-91BB-BDE54463EAF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7" i="2"/>
  <c r="H6" i="2"/>
  <c r="H5" i="2"/>
  <c r="H4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<sst xmlns="http://schemas.openxmlformats.org/spreadsheetml/2006/main" count="367" uniqueCount="75">
  <si>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</si>
  <si>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</si>
  <si>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</si>
  <si>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</si>
  <si>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</si>
  <si>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</si>
  <si>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</si>
  <si>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</si>
  <si>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</si>
  <si>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</si>
  <si>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</si>
  <si>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</si>
  <si>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</si>
  <si>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</si>
  <si>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</si>
  <si>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</si>
  <si>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</si>
  <si>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</si>
  <si>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</si>
  <si>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</si>
  <si>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</si>
  <si>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</si>
  <si>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</si>
  <si>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</si>
  <si>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</si>
  <si>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</si>
  <si>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</si>
  <si>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</si>
  <si>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</si>
  <si>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</si>
  <si>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</si>
  <si>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</si>
  <si>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</si>
  <si>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</si>
  <si>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</si>
  <si>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</si>
  <si>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</si>
  <si>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</si>
  <si>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</si>
  <si>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</si>
  <si>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</si>
  <si>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</si>
  <si>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</si>
  <si>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</si>
  <si>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</si>
  <si>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</si>
  <si>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</si>
  <si>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</si>
  <si>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</si>
  <si>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</si>
  <si>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</si>
  <si>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</si>
  <si>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</si>
  <si>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</si>
  <si>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</si>
  <si>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</si>
  <si>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</si>
  <si>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</si>
  <si>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</si>
  <si>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</si>
  <si>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</si>
  <si>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</si>
  <si>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</si>
  <si>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</si>
  <si>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</si>
  <si>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</si>
  <si>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</si>
  <si>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</si>
  <si>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</si>
  <si>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</si>
  <si>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</si>
  <si>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</si>
  <si>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</si>
  <si>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</si>
  <si>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 xml:space="preserve">Jabran Iqbal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</si>
</sst>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abSelected="1" workbookViewId="0">
      <selection activeCell="C1" sqref="C1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46247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/>
      <c r="I4" s="32">
        <f t="shared" ref="I4:I31" si="0">H4/G4</f>
        <v>0</v>
      </c>
      <c r="J4" s="30">
        <v>40</v>
      </c>
      <c r="K4" s="31"/>
      <c r="L4" s="32">
        <f t="shared" ref="L4:L12" si="1">K4/J4</f>
        <v>0</v>
      </c>
      <c r="M4" s="30" t="e">
        <f t="shared" ref="M4:N12" si="2">K4/H4</f>
        <v>#DIV/0!</v>
      </c>
      <c r="N4" s="33" t="e">
        <f t="shared" si="2"/>
        <v>#DIV/0!</v>
      </c>
      <c r="O4" s="30">
        <v>10</v>
      </c>
      <c r="P4" s="96">
        <v>10</v>
      </c>
      <c r="Q4" s="32">
        <f t="shared" ref="Q4:Q12" si="3">P4/O4</f>
        <v>1</v>
      </c>
      <c r="R4" s="30">
        <v>8</v>
      </c>
      <c r="S4" s="96">
        <v>4</v>
      </c>
      <c r="T4" s="32">
        <f t="shared" ref="T4:T12" si="4">S4/R4</f>
        <v>0.5</v>
      </c>
      <c r="U4" s="30">
        <f t="shared" ref="U4:V12" si="5">S4/P4</f>
        <v>0.4</v>
      </c>
      <c r="V4" s="33">
        <f t="shared" si="5"/>
        <v>0.5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/>
      <c r="I5" s="13">
        <f t="shared" si="0"/>
        <v>0</v>
      </c>
      <c r="J5" s="30">
        <v>30</v>
      </c>
      <c r="K5" s="12"/>
      <c r="L5" s="13">
        <f t="shared" si="1"/>
        <v>0</v>
      </c>
      <c r="M5" s="11" t="e">
        <f t="shared" si="2"/>
        <v>#DIV/0!</v>
      </c>
      <c r="N5" s="14" t="e">
        <f t="shared" si="2"/>
        <v>#DIV/0!</v>
      </c>
      <c r="O5" s="30">
        <v>8</v>
      </c>
      <c r="P5" s="97">
        <v>8</v>
      </c>
      <c r="Q5" s="13">
        <f t="shared" si="3"/>
        <v>1</v>
      </c>
      <c r="R5" s="30">
        <v>7</v>
      </c>
      <c r="S5" s="97">
        <v>6</v>
      </c>
      <c r="T5" s="13">
        <f t="shared" si="4"/>
        <v>0.8571428571428571</v>
      </c>
      <c r="U5" s="11">
        <f t="shared" si="5"/>
        <v>0.75</v>
      </c>
      <c r="V5" s="14">
        <f t="shared" si="5"/>
        <v>0.8571428571428571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>
        <v>8</v>
      </c>
      <c r="P6" s="97">
        <v>6</v>
      </c>
      <c r="Q6" s="13">
        <f t="shared" si="3"/>
        <v>0.75</v>
      </c>
      <c r="R6" s="30">
        <v>10</v>
      </c>
      <c r="S6" s="97">
        <v>8</v>
      </c>
      <c r="T6" s="13">
        <f t="shared" si="4"/>
        <v>0.8</v>
      </c>
      <c r="U6" s="11">
        <f t="shared" si="5"/>
        <v>1.3333333333333333</v>
      </c>
      <c r="V6" s="14">
        <f t="shared" si="5"/>
        <v>1.0666666666666667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>
        <v>9</v>
      </c>
      <c r="P7" s="97">
        <v>6</v>
      </c>
      <c r="Q7" s="13">
        <f t="shared" si="3"/>
        <v>0.66666666666666663</v>
      </c>
      <c r="R7" s="30">
        <v>8</v>
      </c>
      <c r="S7" s="97">
        <v>6</v>
      </c>
      <c r="T7" s="13">
        <f t="shared" si="4"/>
        <v>0.75</v>
      </c>
      <c r="U7" s="11">
        <f t="shared" si="5"/>
        <v>1</v>
      </c>
      <c r="V7" s="14">
        <f t="shared" si="5"/>
        <v>1.125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50</v>
      </c>
      <c r="H8" s="12"/>
      <c r="I8" s="13">
        <f t="shared" si="0"/>
        <v>0</v>
      </c>
      <c r="J8" s="30">
        <v>20</v>
      </c>
      <c r="K8" s="12"/>
      <c r="L8" s="13">
        <f t="shared" si="1"/>
        <v>0</v>
      </c>
      <c r="M8" s="11" t="e">
        <f t="shared" si="2"/>
        <v>#DIV/0!</v>
      </c>
      <c r="N8" s="14" t="e">
        <f t="shared" si="2"/>
        <v>#DIV/0!</v>
      </c>
      <c r="O8" s="30">
        <v>3</v>
      </c>
      <c r="P8" s="97">
        <v>2</v>
      </c>
      <c r="Q8" s="13">
        <f t="shared" si="3"/>
        <v>0.66666666666666663</v>
      </c>
      <c r="R8" s="30">
        <v>3</v>
      </c>
      <c r="S8" s="97">
        <v>2</v>
      </c>
      <c r="T8" s="13">
        <f t="shared" si="4"/>
        <v>0.66666666666666663</v>
      </c>
      <c r="U8" s="11">
        <f t="shared" si="5"/>
        <v>1</v>
      </c>
      <c r="V8" s="14">
        <f t="shared" si="5"/>
        <v>1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26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/>
      <c r="I10" s="13">
        <f t="shared" si="0"/>
        <v>0</v>
      </c>
      <c r="J10" s="30">
        <v>0</v>
      </c>
      <c r="K10" s="12"/>
      <c r="L10" s="13" t="e">
        <f t="shared" si="1"/>
        <v>#DIV/0!</v>
      </c>
      <c r="M10" s="11" t="e">
        <f t="shared" si="2"/>
        <v>#DIV/0!</v>
      </c>
      <c r="N10" s="14" t="e">
        <f t="shared" si="2"/>
        <v>#DIV/0!</v>
      </c>
      <c r="O10" s="30">
        <v>4</v>
      </c>
      <c r="P10" s="97">
        <v>3</v>
      </c>
      <c r="Q10" s="13">
        <f t="shared" si="3"/>
        <v>0.75</v>
      </c>
      <c r="R10" s="30">
        <v>30</v>
      </c>
      <c r="S10" s="97">
        <v>23</v>
      </c>
      <c r="T10" s="13">
        <f t="shared" si="4"/>
        <v>0.76666666666666672</v>
      </c>
      <c r="U10" s="11">
        <f t="shared" si="5"/>
        <v>7.666666666666667</v>
      </c>
      <c r="V10" s="14">
        <f t="shared" si="5"/>
        <v>1.0222222222222224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0</v>
      </c>
      <c r="I19" s="42">
        <f t="shared" si="0"/>
        <v>0</v>
      </c>
      <c r="J19" s="40">
        <f>SUM(J4:J18)</f>
        <v>385</v>
      </c>
      <c r="K19" s="41">
        <f>SUM(K4:K18)</f>
        <v>0</v>
      </c>
      <c r="L19" s="42">
        <f t="shared" ref="L19" si="6">K19/J19</f>
        <v>0</v>
      </c>
      <c r="M19" s="40" t="e">
        <f>K19/H19</f>
        <v>#DIV/0!</v>
      </c>
      <c r="N19" s="43" t="e">
        <f>AVERAGE(N4:N18)</f>
        <v>#DIV/0!</v>
      </c>
      <c r="O19" s="40">
        <f>SUM(O4:O18)</f>
        <v>42</v>
      </c>
      <c r="P19" s="41">
        <f>SUM(P4:P18)</f>
        <v>35</v>
      </c>
      <c r="Q19" s="42">
        <f t="shared" ref="Q19" si="7">P19/O19</f>
        <v>0.83333333333333337</v>
      </c>
      <c r="R19" s="40">
        <f>SUM(R4:R18)</f>
        <v>66</v>
      </c>
      <c r="S19" s="41">
        <f>SUM(S4:S18)</f>
        <v>49</v>
      </c>
      <c r="T19" s="42">
        <f t="shared" ref="T19" si="8">S19/R19</f>
        <v>0.74242424242424243</v>
      </c>
      <c r="U19" s="40">
        <f>S19/P19</f>
        <v>1.4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138</v>
      </c>
      <c r="I31" s="22">
        <f t="shared" si="0"/>
        <v>4.5619834710743802E-2</v>
      </c>
      <c r="J31" s="20">
        <f>+J30+J25+J19</f>
        <v>2585</v>
      </c>
      <c r="K31" s="21">
        <f t="shared" ref="K31" si="25">+K30+K25+K19</f>
        <v>167</v>
      </c>
      <c r="L31" s="22">
        <f t="shared" si="9"/>
        <v>6.4603481624758222E-2</v>
      </c>
      <c r="M31" s="20">
        <f>K31/H31</f>
        <v>1.2101449275362319</v>
      </c>
      <c r="N31" s="23" t="e">
        <f>AVERAGE(N30,N19,N25)</f>
        <v>#DIV/0!</v>
      </c>
      <c r="O31" s="20">
        <f>+O30+O25+O19</f>
        <v>191</v>
      </c>
      <c r="P31" s="21">
        <f t="shared" ref="P31" si="26">+P30+P25+P19</f>
        <v>148</v>
      </c>
      <c r="Q31" s="22">
        <f t="shared" si="11"/>
        <v>0.77486910994764402</v>
      </c>
      <c r="R31" s="20">
        <f>+R30+R25+R19</f>
        <v>305</v>
      </c>
      <c r="S31" s="21">
        <f t="shared" ref="S31" si="27">+S30+S25+S19</f>
        <v>179</v>
      </c>
      <c r="T31" s="22">
        <f t="shared" si="12"/>
        <v>0.58688524590163937</v>
      </c>
      <c r="U31" s="20">
        <f>S31/P31</f>
        <v>1.2094594594594594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zoomScale="85" zoomScaleNormal="85" workbookViewId="0">
      <selection activeCell="S11" sqref="S11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13</v>
      </c>
      <c r="C2" s="63">
        <f>+B2/A2</f>
        <v>0.5</v>
      </c>
      <c r="D2" s="62">
        <f>+A2-B2</f>
        <v>13</v>
      </c>
      <c r="F2" s="94">
        <v>46247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</f>
        <v>122</v>
      </c>
      <c r="I4" s="68">
        <f t="shared" ref="I4:I31" si="0">H4/G4</f>
        <v>0.20333333333333334</v>
      </c>
      <c r="J4" s="30">
        <v>550</v>
      </c>
      <c r="K4" s="8">
        <v>141</v>
      </c>
      <c r="L4" s="87">
        <f t="shared" ref="L4:L29" si="1">K4/J4</f>
        <v>0.25636363636363635</v>
      </c>
      <c r="M4" s="8">
        <f t="shared" ref="M4:M6" si="2">J4-K4</f>
        <v>409</v>
      </c>
      <c r="N4" s="10">
        <f t="shared" ref="N4:N6" si="3">M4/$D$2</f>
        <v>31.46153846153846</v>
      </c>
      <c r="O4" s="69">
        <f t="shared" ref="O4:P12" si="4">K4/H4</f>
        <v>1.1557377049180328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</f>
        <v>59</v>
      </c>
      <c r="I5" s="70">
        <f t="shared" si="0"/>
        <v>9.8333333333333328E-2</v>
      </c>
      <c r="J5" s="11">
        <v>450</v>
      </c>
      <c r="K5" s="12">
        <v>97</v>
      </c>
      <c r="L5" s="71">
        <f t="shared" si="1"/>
        <v>0.21555555555555556</v>
      </c>
      <c r="M5" s="12">
        <f t="shared" si="2"/>
        <v>353</v>
      </c>
      <c r="N5" s="14">
        <f t="shared" si="3"/>
        <v>27.153846153846153</v>
      </c>
      <c r="O5" s="72">
        <f t="shared" si="4"/>
        <v>1.6440677966101696</v>
      </c>
      <c r="P5" s="14">
        <f t="shared" si="4"/>
        <v>2.1920903954802262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</f>
        <v>54</v>
      </c>
      <c r="I6" s="70">
        <f t="shared" si="0"/>
        <v>0.09</v>
      </c>
      <c r="J6" s="11">
        <v>550</v>
      </c>
      <c r="K6" s="12">
        <v>124</v>
      </c>
      <c r="L6" s="71">
        <f t="shared" si="1"/>
        <v>0.22545454545454546</v>
      </c>
      <c r="M6" s="12">
        <f t="shared" si="2"/>
        <v>426</v>
      </c>
      <c r="N6" s="14">
        <f t="shared" si="3"/>
        <v>32.769230769230766</v>
      </c>
      <c r="O6" s="72">
        <f t="shared" si="4"/>
        <v>2.2962962962962963</v>
      </c>
      <c r="P6" s="14">
        <f t="shared" si="4"/>
        <v>2.5050505050505052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</f>
        <v>17</v>
      </c>
      <c r="I7" s="70">
        <f t="shared" si="0"/>
        <v>2.8333333333333332E-2</v>
      </c>
      <c r="J7" s="11">
        <v>400</v>
      </c>
      <c r="K7" s="12">
        <v>24</v>
      </c>
      <c r="L7" s="71">
        <f t="shared" si="1"/>
        <v>0.06</v>
      </c>
      <c r="M7" s="12">
        <f t="shared" ref="M7:M31" si="5">J7-K7</f>
        <v>376</v>
      </c>
      <c r="N7" s="14">
        <f t="shared" ref="N7:N31" si="6">M7/$D$2</f>
        <v>28.923076923076923</v>
      </c>
      <c r="O7" s="72">
        <f t="shared" si="4"/>
        <v>1.411764705882353</v>
      </c>
      <c r="P7" s="14">
        <f t="shared" si="4"/>
        <v>2.1176470588235294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v>4</v>
      </c>
      <c r="I8" s="70">
        <f t="shared" si="0"/>
        <v>6.6666666666666671E-3</v>
      </c>
      <c r="J8" s="11">
        <v>575</v>
      </c>
      <c r="K8" s="12">
        <v>5</v>
      </c>
      <c r="L8" s="71">
        <f t="shared" si="1"/>
        <v>8.6956521739130436E-3</v>
      </c>
      <c r="M8" s="12">
        <f t="shared" si="5"/>
        <v>570</v>
      </c>
      <c r="N8" s="14">
        <f t="shared" si="6"/>
        <v>43.846153846153847</v>
      </c>
      <c r="O8" s="72">
        <f t="shared" si="4"/>
        <v>1.25</v>
      </c>
      <c r="P8" s="14">
        <f t="shared" si="4"/>
        <v>1.3043478260869565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42.307692307692307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</f>
        <v>34</v>
      </c>
      <c r="I10" s="70">
        <f t="shared" si="0"/>
        <v>0.17</v>
      </c>
      <c r="J10" s="11">
        <v>3000</v>
      </c>
      <c r="K10" s="12">
        <v>664</v>
      </c>
      <c r="L10" s="71">
        <f t="shared" si="1"/>
        <v>0.22133333333333333</v>
      </c>
      <c r="M10" s="12">
        <f t="shared" si="5"/>
        <v>2336</v>
      </c>
      <c r="N10" s="14">
        <f t="shared" si="6"/>
        <v>179.69230769230768</v>
      </c>
      <c r="O10" s="72">
        <f t="shared" si="4"/>
        <v>19.529411764705884</v>
      </c>
      <c r="P10" s="14">
        <f t="shared" si="4"/>
        <v>1.3019607843137253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50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42.307692307692307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-7.6923076923076925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1</v>
      </c>
      <c r="I16" s="70" t="e">
        <f t="shared" ref="I16" si="12">H16/G16</f>
        <v>#DIV/0!</v>
      </c>
      <c r="J16" s="11"/>
      <c r="K16" s="12">
        <v>450</v>
      </c>
      <c r="L16" s="71" t="e">
        <f t="shared" si="8"/>
        <v>#DIV/0!</v>
      </c>
      <c r="M16" s="12">
        <f t="shared" si="5"/>
        <v>-450</v>
      </c>
      <c r="N16" s="14">
        <f t="shared" si="6"/>
        <v>-34.615384615384613</v>
      </c>
      <c r="O16" s="72">
        <f t="shared" si="10"/>
        <v>450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292</v>
      </c>
      <c r="I19" s="79">
        <f t="shared" si="0"/>
        <v>5.8400000000000001E-2</v>
      </c>
      <c r="J19" s="80">
        <f>SUM(J4:J18)</f>
        <v>7275</v>
      </c>
      <c r="K19" s="80">
        <f>SUM(K4:K18)</f>
        <v>1605</v>
      </c>
      <c r="L19" s="82">
        <f>K19/J19</f>
        <v>0.22061855670103092</v>
      </c>
      <c r="M19" s="81">
        <f t="shared" si="5"/>
        <v>5670</v>
      </c>
      <c r="N19" s="83">
        <f t="shared" si="6"/>
        <v>436.15384615384613</v>
      </c>
      <c r="O19" s="84">
        <f>K19/H19</f>
        <v>5.4965753424657535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35.769230769230766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35.92307692307692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35.692307692307693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36.384615384615387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37.230769230769234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181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47.384615384615387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43.53846153846154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44.153846153846153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47.07692307692308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182.15384615384616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493</v>
      </c>
      <c r="I31" s="88">
        <f t="shared" si="0"/>
        <v>9.0458715596330272E-2</v>
      </c>
      <c r="J31" s="89">
        <f t="shared" si="17"/>
        <v>12275</v>
      </c>
      <c r="K31" s="90">
        <f t="shared" si="17"/>
        <v>1884</v>
      </c>
      <c r="L31" s="91">
        <f>K31/J31</f>
        <v>0.15348268839103871</v>
      </c>
      <c r="M31" s="90">
        <f t="shared" si="5"/>
        <v>10391</v>
      </c>
      <c r="N31" s="92">
        <f t="shared" si="6"/>
        <v>799.30769230769226</v>
      </c>
      <c r="O31" s="93">
        <f>K31/H31</f>
        <v>3.8215010141987831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2026-08-13T10:12:29Z</dcterms:modified>
</cp:coreProperties>
</file>