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E3069FD1-F040-4401-8EB0-F26439B4637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2" l="1"/>
  <c r="K12" i="2"/>
  <c r="K11" i="2"/>
  <c r="K8" i="2" l="1"/>
  <c r="H13" i="2" l="1"/>
  <c r="H12" i="2"/>
  <c r="H11" i="2"/>
  <c r="H10" i="2"/>
  <c r="H8" i="2"/>
  <c r="H7" i="2"/>
  <c r="H6" i="2"/>
  <c r="H4" i="2"/>
  <c r="H5" i="2" l="1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<sst xmlns="http://schemas.openxmlformats.org/spreadsheetml/2006/main" count="369" uniqueCount="78">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</sst>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2" zoomScale="85" zoomScaleNormal="85" workbookViewId="0">
      <selection activeCell="R10" sqref="R10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25</v>
      </c>
      <c r="C2" s="63">
        <f>+B2/A2</f>
        <v>0.96153846153846156</v>
      </c>
      <c r="D2" s="62">
        <f>+A2-B2</f>
        <v>1</v>
      </c>
      <c r="F2" s="94">
        <v>46262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92+9+11+10+6+12+6+6+12+6+10+14+9+10+19</f>
        <v>232</v>
      </c>
      <c r="I4" s="68">
        <f t="shared" ref="I4:I31" si="0">H4/G4</f>
        <v>0.38666666666666666</v>
      </c>
      <c r="J4" s="30">
        <v>550</v>
      </c>
      <c r="K4" s="8">
        <v>257</v>
      </c>
      <c r="L4" s="87">
        <f t="shared" ref="L4:L29" si="1">K4/J4</f>
        <v>0.46727272727272728</v>
      </c>
      <c r="M4" s="8">
        <f t="shared" ref="M4:M6" si="2">J4-K4</f>
        <v>293</v>
      </c>
      <c r="N4" s="10">
        <f t="shared" ref="N4:N6" si="3">M4/$D$2</f>
        <v>293</v>
      </c>
      <c r="O4" s="69">
        <f t="shared" ref="O4:P12" si="4">K4/H4</f>
        <v>1.1077586206896552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38+8+5+8+8+8+8+8+7+8+9+15+3</f>
        <v>133</v>
      </c>
      <c r="I5" s="70">
        <f t="shared" si="0"/>
        <v>0.22166666666666668</v>
      </c>
      <c r="J5" s="11">
        <v>450</v>
      </c>
      <c r="K5" s="12">
        <v>195</v>
      </c>
      <c r="L5" s="71">
        <f t="shared" si="1"/>
        <v>0.43333333333333335</v>
      </c>
      <c r="M5" s="12">
        <f t="shared" si="2"/>
        <v>255</v>
      </c>
      <c r="N5" s="14">
        <f t="shared" si="3"/>
        <v>255</v>
      </c>
      <c r="O5" s="72">
        <f t="shared" si="4"/>
        <v>1.4661654135338347</v>
      </c>
      <c r="P5" s="14">
        <f t="shared" si="4"/>
        <v>1.9548872180451127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32+7+9+6+8+5+9+7+5+6+8+6+6</f>
        <v>114</v>
      </c>
      <c r="I6" s="70">
        <f t="shared" si="0"/>
        <v>0.19</v>
      </c>
      <c r="J6" s="11">
        <v>550</v>
      </c>
      <c r="K6" s="12">
        <v>224</v>
      </c>
      <c r="L6" s="71">
        <f t="shared" si="1"/>
        <v>0.40727272727272729</v>
      </c>
      <c r="M6" s="12">
        <f t="shared" si="2"/>
        <v>326</v>
      </c>
      <c r="N6" s="14">
        <f t="shared" si="3"/>
        <v>326</v>
      </c>
      <c r="O6" s="72">
        <f t="shared" si="4"/>
        <v>1.9649122807017543</v>
      </c>
      <c r="P6" s="14">
        <f t="shared" si="4"/>
        <v>2.1435406698564594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5+5+1+6+5+23+3+1+5+8+7+5+1</f>
        <v>75</v>
      </c>
      <c r="I7" s="70">
        <f t="shared" si="0"/>
        <v>0.125</v>
      </c>
      <c r="J7" s="11">
        <v>400</v>
      </c>
      <c r="K7" s="12">
        <v>83</v>
      </c>
      <c r="L7" s="71">
        <f t="shared" si="1"/>
        <v>0.20749999999999999</v>
      </c>
      <c r="M7" s="12">
        <f t="shared" ref="M7:M31" si="5">J7-K7</f>
        <v>317</v>
      </c>
      <c r="N7" s="14">
        <f t="shared" ref="N7:N31" si="6">M7/$D$2</f>
        <v>317</v>
      </c>
      <c r="O7" s="72">
        <f t="shared" si="4"/>
        <v>1.1066666666666667</v>
      </c>
      <c r="P7" s="14">
        <f t="shared" si="4"/>
        <v>1.66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40+5+5</f>
        <v>50</v>
      </c>
      <c r="I8" s="70">
        <f t="shared" si="0"/>
        <v>8.3333333333333329E-2</v>
      </c>
      <c r="J8" s="11">
        <v>575</v>
      </c>
      <c r="K8" s="12">
        <f>44+7+2.5</f>
        <v>53.5</v>
      </c>
      <c r="L8" s="71">
        <f t="shared" si="1"/>
        <v>9.3043478260869561E-2</v>
      </c>
      <c r="M8" s="12">
        <f t="shared" si="5"/>
        <v>521.5</v>
      </c>
      <c r="N8" s="14">
        <f t="shared" si="6"/>
        <v>521.5</v>
      </c>
      <c r="O8" s="72">
        <f t="shared" si="4"/>
        <v>1.07</v>
      </c>
      <c r="P8" s="14">
        <f t="shared" si="4"/>
        <v>1.1165217391304347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550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22+2+7+3+7+5+6+4+10+5+5+7+2</f>
        <v>85</v>
      </c>
      <c r="I10" s="70">
        <f t="shared" si="0"/>
        <v>0.42499999999999999</v>
      </c>
      <c r="J10" s="11">
        <v>3000</v>
      </c>
      <c r="K10" s="12">
        <v>1633</v>
      </c>
      <c r="L10" s="71">
        <f t="shared" si="1"/>
        <v>0.54433333333333334</v>
      </c>
      <c r="M10" s="12">
        <f t="shared" si="5"/>
        <v>1367</v>
      </c>
      <c r="N10" s="14">
        <f t="shared" si="6"/>
        <v>1367</v>
      </c>
      <c r="O10" s="72">
        <f t="shared" si="4"/>
        <v>19.211764705882352</v>
      </c>
      <c r="P10" s="14">
        <f t="shared" si="4"/>
        <v>1.2807843137254902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>
        <f>322+12+10+10</f>
        <v>354</v>
      </c>
      <c r="I11" s="70">
        <f t="shared" si="0"/>
        <v>0.59</v>
      </c>
      <c r="J11" s="11">
        <v>650</v>
      </c>
      <c r="K11" s="12">
        <f>370+19+12+20</f>
        <v>421</v>
      </c>
      <c r="L11" s="71">
        <f t="shared" si="1"/>
        <v>0.64769230769230768</v>
      </c>
      <c r="M11" s="12">
        <f t="shared" si="5"/>
        <v>229</v>
      </c>
      <c r="N11" s="14">
        <f t="shared" si="6"/>
        <v>229</v>
      </c>
      <c r="O11" s="72">
        <f t="shared" si="4"/>
        <v>1.1892655367231639</v>
      </c>
      <c r="P11" s="14">
        <f t="shared" si="4"/>
        <v>1.0977835723598435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>
        <f>182+7+10+10+13</f>
        <v>222</v>
      </c>
      <c r="I12" s="70">
        <f t="shared" si="0"/>
        <v>0.37</v>
      </c>
      <c r="J12" s="11">
        <v>550</v>
      </c>
      <c r="K12" s="12">
        <f>185+12+13+30</f>
        <v>240</v>
      </c>
      <c r="L12" s="71">
        <f t="shared" si="1"/>
        <v>0.43636363636363634</v>
      </c>
      <c r="M12" s="12">
        <f t="shared" si="5"/>
        <v>310</v>
      </c>
      <c r="N12" s="14">
        <f t="shared" si="6"/>
        <v>310</v>
      </c>
      <c r="O12" s="72">
        <f t="shared" si="4"/>
        <v>1.0810810810810811</v>
      </c>
      <c r="P12" s="14">
        <f t="shared" si="4"/>
        <v>1.1793611793611793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>
        <f>15+8+8</f>
        <v>31</v>
      </c>
      <c r="I13" s="70">
        <f t="shared" ref="I13:I15" si="7">H13/G13</f>
        <v>5.1666666666666666E-2</v>
      </c>
      <c r="J13" s="11">
        <v>450</v>
      </c>
      <c r="K13" s="12">
        <f>14+9+6</f>
        <v>29</v>
      </c>
      <c r="L13" s="71">
        <f t="shared" ref="L13:L16" si="8">K13/J13</f>
        <v>6.4444444444444443E-2</v>
      </c>
      <c r="M13" s="12">
        <f t="shared" si="5"/>
        <v>421</v>
      </c>
      <c r="N13" s="14">
        <f t="shared" ref="N13:N15" si="9">M13/$D$2</f>
        <v>421</v>
      </c>
      <c r="O13" s="72">
        <f t="shared" ref="O13:O16" si="10">K13/H13</f>
        <v>0.93548387096774188</v>
      </c>
      <c r="P13" s="14">
        <f t="shared" ref="P13:P16" si="11">L13/I13</f>
        <v>1.2473118279569892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-100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-500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5600</v>
      </c>
      <c r="H19" s="40">
        <f>SUM(H4:H18)</f>
        <v>1298</v>
      </c>
      <c r="I19" s="79">
        <f t="shared" si="0"/>
        <v>0.23178571428571429</v>
      </c>
      <c r="J19" s="80">
        <f>SUM(J4:J18)</f>
        <v>7725</v>
      </c>
      <c r="K19" s="80">
        <f>SUM(K4:K18)</f>
        <v>3735.5</v>
      </c>
      <c r="L19" s="82">
        <f>K19/J19</f>
        <v>0.48355987055016181</v>
      </c>
      <c r="M19" s="81">
        <f t="shared" si="5"/>
        <v>3989.5</v>
      </c>
      <c r="N19" s="83">
        <f t="shared" si="6"/>
        <v>3989.5</v>
      </c>
      <c r="O19" s="84">
        <f>K19/H19</f>
        <v>2.8778890600924498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465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467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464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473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484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2353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616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566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574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612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2368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1499</v>
      </c>
      <c r="I31" s="88">
        <f t="shared" si="0"/>
        <v>0.24776859504132231</v>
      </c>
      <c r="J31" s="89">
        <f t="shared" si="17"/>
        <v>12725</v>
      </c>
      <c r="K31" s="90">
        <f t="shared" si="17"/>
        <v>4014.5</v>
      </c>
      <c r="L31" s="91">
        <f>K31/J31</f>
        <v>0.31548133595284872</v>
      </c>
      <c r="M31" s="90">
        <f t="shared" si="5"/>
        <v>8710.5</v>
      </c>
      <c r="N31" s="92">
        <f t="shared" si="6"/>
        <v>8710.5</v>
      </c>
      <c r="O31" s="93">
        <f>K31/H31</f>
        <v>2.6781187458305538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2026-08-29T05:01:43Z</dcterms:modified>
</cp:coreProperties>
</file>