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19ABCBA1-F1F4-41CC-8AFA-CC8738A84643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9" i="2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<sst xmlns="http://schemas.openxmlformats.org/spreadsheetml/2006/main" count="368" uniqueCount="78">
  <si>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</si>
  <si>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</si>
  <si>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</si>
  <si>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</si>
  <si>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</si>
  <si>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</si>
  <si>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</si>
  <si>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</si>
  <si>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</si>
  <si>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</si>
  <si>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</si>
  <si>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</si>
  <si>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</si>
  <si>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</si>
  <si>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</si>
  <si>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</si>
  <si>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</si>
  <si>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</si>
  <si>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</si>
  <si>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</si>
  <si>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</si>
  <si>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</si>
  <si>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</si>
  <si>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</si>
  <si>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</si>
  <si>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</si>
  <si>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</si>
  <si>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</si>
  <si>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</si>
  <si>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</si>
  <si>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</si>
  <si>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</si>
  <si>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</si>
  <si>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</si>
  <si>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</si>
  <si>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</si>
  <si>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</si>
  <si>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</si>
  <si>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</si>
  <si>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</si>
  <si>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</si>
  <si>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</si>
  <si>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</si>
  <si>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</si>
  <si>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</si>
  <si>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</si>
  <si>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</si>
  <si>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</si>
  <si>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</si>
  <si>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</si>
  <si>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</si>
  <si>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</si>
  <si>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</si>
  <si>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</si>
  <si>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</si>
  <si>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</si>
  <si>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</si>
  <si>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</si>
  <si>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</si>
  <si>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</si>
  <si>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</si>
  <si>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</si>
  <si>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</si>
  <si>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</si>
  <si>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</si>
  <si>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</si>
  <si>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</si>
  <si>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</si>
  <si>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</si>
  <si>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</si>
  <si>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</si>
  <si>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</si>
  <si>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</si>
  <si>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</si>
  <si>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</si>
  <si>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Furqan</t>
  </si>
  <si>
    <t xml:space="preserve">Hasan </t>
  </si>
  <si>
    <t>Pendings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</si>
</sst>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sqref="A1:W19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76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75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S12" sqref="S12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19</v>
      </c>
      <c r="C2" s="63">
        <f>+B2/A2</f>
        <v>0.73076923076923073</v>
      </c>
      <c r="D2" s="62">
        <f>+A2-B2</f>
        <v>7</v>
      </c>
      <c r="F2" s="94">
        <v>46254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</f>
        <v>170</v>
      </c>
      <c r="I4" s="68">
        <f t="shared" ref="I4:I31" si="0">H4/G4</f>
        <v>0.28333333333333333</v>
      </c>
      <c r="J4" s="30">
        <v>550</v>
      </c>
      <c r="K4" s="8">
        <v>193</v>
      </c>
      <c r="L4" s="87">
        <f t="shared" ref="L4:L29" si="1">K4/J4</f>
        <v>0.35090909090909089</v>
      </c>
      <c r="M4" s="8">
        <f t="shared" ref="M4:M6" si="2">J4-K4</f>
        <v>357</v>
      </c>
      <c r="N4" s="10">
        <f t="shared" ref="N4:N6" si="3">M4/$D$2</f>
        <v>51</v>
      </c>
      <c r="O4" s="69">
        <f t="shared" ref="O4:P12" si="4">K4/H4</f>
        <v>1.1352941176470588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</f>
        <v>98</v>
      </c>
      <c r="I5" s="70">
        <f t="shared" si="0"/>
        <v>0.16333333333333333</v>
      </c>
      <c r="J5" s="11">
        <v>450</v>
      </c>
      <c r="K5" s="12">
        <v>146</v>
      </c>
      <c r="L5" s="71">
        <f t="shared" si="1"/>
        <v>0.32444444444444442</v>
      </c>
      <c r="M5" s="12">
        <f t="shared" si="2"/>
        <v>304</v>
      </c>
      <c r="N5" s="14">
        <f t="shared" si="3"/>
        <v>43.428571428571431</v>
      </c>
      <c r="O5" s="72">
        <f t="shared" si="4"/>
        <v>1.489795918367347</v>
      </c>
      <c r="P5" s="14">
        <f t="shared" si="4"/>
        <v>1.9863945578231292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</f>
        <v>83</v>
      </c>
      <c r="I6" s="70">
        <f t="shared" si="0"/>
        <v>0.13833333333333334</v>
      </c>
      <c r="J6" s="11">
        <v>550</v>
      </c>
      <c r="K6" s="12">
        <v>176</v>
      </c>
      <c r="L6" s="71">
        <f t="shared" si="1"/>
        <v>0.32</v>
      </c>
      <c r="M6" s="12">
        <f t="shared" si="2"/>
        <v>374</v>
      </c>
      <c r="N6" s="14">
        <f t="shared" si="3"/>
        <v>53.428571428571431</v>
      </c>
      <c r="O6" s="72">
        <f t="shared" si="4"/>
        <v>2.1204819277108435</v>
      </c>
      <c r="P6" s="14">
        <f t="shared" si="4"/>
        <v>2.3132530120481927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</f>
        <v>49</v>
      </c>
      <c r="I7" s="70">
        <f t="shared" si="0"/>
        <v>8.1666666666666665E-2</v>
      </c>
      <c r="J7" s="11">
        <v>400</v>
      </c>
      <c r="K7" s="12">
        <v>46</v>
      </c>
      <c r="L7" s="71">
        <f t="shared" si="1"/>
        <v>0.115</v>
      </c>
      <c r="M7" s="12">
        <f t="shared" ref="M7:M31" si="5">J7-K7</f>
        <v>354</v>
      </c>
      <c r="N7" s="14">
        <f t="shared" ref="N7:N31" si="6">M7/$D$2</f>
        <v>50.571428571428569</v>
      </c>
      <c r="O7" s="72">
        <f t="shared" si="4"/>
        <v>0.93877551020408168</v>
      </c>
      <c r="P7" s="14">
        <f t="shared" si="4"/>
        <v>1.4081632653061225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80.571428571428569</v>
      </c>
      <c r="O8" s="72">
        <f t="shared" si="4"/>
        <v>2.75</v>
      </c>
      <c r="P8" s="14">
        <f t="shared" si="4"/>
        <v>2.8695652173913042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75</v>
      </c>
      <c r="G9" s="30">
        <v>600</v>
      </c>
      <c r="H9" s="12">
        <f>2+4+4</f>
        <v>10</v>
      </c>
      <c r="I9" s="70">
        <f t="shared" si="0"/>
        <v>1.6666666666666666E-2</v>
      </c>
      <c r="J9" s="11">
        <v>550</v>
      </c>
      <c r="K9" s="12">
        <v>5</v>
      </c>
      <c r="L9" s="71">
        <f t="shared" si="1"/>
        <v>9.0909090909090905E-3</v>
      </c>
      <c r="M9" s="12">
        <f t="shared" si="5"/>
        <v>545</v>
      </c>
      <c r="N9" s="14">
        <f t="shared" si="6"/>
        <v>77.857142857142861</v>
      </c>
      <c r="O9" s="72">
        <f t="shared" si="4"/>
        <v>0.5</v>
      </c>
      <c r="P9" s="14">
        <f t="shared" si="4"/>
        <v>0.54545454545454541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</f>
        <v>56</v>
      </c>
      <c r="I10" s="70">
        <f t="shared" si="0"/>
        <v>0.28000000000000003</v>
      </c>
      <c r="J10" s="11">
        <v>3000</v>
      </c>
      <c r="K10" s="12">
        <v>1165</v>
      </c>
      <c r="L10" s="71">
        <f t="shared" si="1"/>
        <v>0.38833333333333331</v>
      </c>
      <c r="M10" s="12">
        <f t="shared" si="5"/>
        <v>1835</v>
      </c>
      <c r="N10" s="14">
        <f t="shared" si="6"/>
        <v>262.14285714285717</v>
      </c>
      <c r="O10" s="72">
        <f t="shared" si="4"/>
        <v>20.803571428571427</v>
      </c>
      <c r="P10" s="14">
        <f t="shared" si="4"/>
        <v>1.3869047619047616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92.857142857142861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78.571428571428569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-14.285714285714286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-71.428571428571431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472</v>
      </c>
      <c r="I19" s="79">
        <f t="shared" si="0"/>
        <v>9.4399999999999998E-2</v>
      </c>
      <c r="J19" s="80">
        <f>SUM(J4:J18)</f>
        <v>7275</v>
      </c>
      <c r="K19" s="80">
        <f>SUM(K4:K18)</f>
        <v>2342</v>
      </c>
      <c r="L19" s="82">
        <f>K19/J19</f>
        <v>0.32192439862542954</v>
      </c>
      <c r="M19" s="81">
        <f t="shared" si="5"/>
        <v>4933</v>
      </c>
      <c r="N19" s="83">
        <f t="shared" si="6"/>
        <v>704.71428571428567</v>
      </c>
      <c r="O19" s="84">
        <f>K19/H19</f>
        <v>4.9618644067796609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66.428571428571431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66.714285714285708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66.285714285714292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67.571428571428569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69.142857142857139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336.14285714285717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88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80.857142857142861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82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87.428571428571431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338.28571428571428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673</v>
      </c>
      <c r="I31" s="88">
        <f t="shared" si="0"/>
        <v>0.12348623853211009</v>
      </c>
      <c r="J31" s="89">
        <f t="shared" si="17"/>
        <v>12275</v>
      </c>
      <c r="K31" s="90">
        <f t="shared" si="17"/>
        <v>2621</v>
      </c>
      <c r="L31" s="91">
        <f>K31/J31</f>
        <v>0.21352342158859469</v>
      </c>
      <c r="M31" s="90">
        <f t="shared" si="5"/>
        <v>9654</v>
      </c>
      <c r="N31" s="92">
        <f t="shared" si="6"/>
        <v>1379.1428571428571</v>
      </c>
      <c r="O31" s="93">
        <f>K31/H31</f>
        <v>3.8945022288261515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2026-08-21T05:22:23Z</dcterms:modified>
</cp:coreProperties>
</file>