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FD859F01-FABE-4806-86EA-56099E7F007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2" l="1"/>
  <c r="H12" i="2" l="1"/>
  <c r="H11" i="2"/>
  <c r="H13" i="2" l="1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<sst xmlns="http://schemas.openxmlformats.org/spreadsheetml/2006/main" count="369" uniqueCount="78">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</sst>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115" zoomScaleNormal="115" workbookViewId="0">
      <selection activeCell="E1" sqref="E1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26</v>
      </c>
      <c r="C2" s="63">
        <f>+B2/A2</f>
        <v>1</v>
      </c>
      <c r="D2" s="62">
        <f>+A2-B2</f>
        <v>0</v>
      </c>
      <c r="F2" s="94">
        <v>46265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v>296</v>
      </c>
      <c r="I4" s="68">
        <f t="shared" ref="I4:I31" si="0">H4/G4</f>
        <v>0.49333333333333335</v>
      </c>
      <c r="J4" s="30">
        <v>550</v>
      </c>
      <c r="K4" s="8">
        <v>349</v>
      </c>
      <c r="L4" s="87">
        <f t="shared" ref="L4:L29" si="1">K4/J4</f>
        <v>0.63454545454545452</v>
      </c>
      <c r="M4" s="8">
        <f t="shared" ref="M4:M6" si="2">J4-K4</f>
        <v>201</v>
      </c>
      <c r="N4" s="10" t="e">
        <f t="shared" ref="N4:N6" si="3">M4/$D$2</f>
        <v>#DIV/0!</v>
      </c>
      <c r="O4" s="69">
        <f t="shared" ref="O4:P12" si="4">K4/H4</f>
        <v>1.1790540540540539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v>201</v>
      </c>
      <c r="I5" s="70">
        <f t="shared" si="0"/>
        <v>0.33500000000000002</v>
      </c>
      <c r="J5" s="11">
        <v>450</v>
      </c>
      <c r="K5" s="12">
        <v>227</v>
      </c>
      <c r="L5" s="71">
        <f t="shared" si="1"/>
        <v>0.50444444444444447</v>
      </c>
      <c r="M5" s="12">
        <f t="shared" si="2"/>
        <v>223</v>
      </c>
      <c r="N5" s="14" t="e">
        <f t="shared" si="3"/>
        <v>#DIV/0!</v>
      </c>
      <c r="O5" s="72">
        <f t="shared" si="4"/>
        <v>1.1293532338308458</v>
      </c>
      <c r="P5" s="14">
        <f t="shared" si="4"/>
        <v>1.5058043117744611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v>161</v>
      </c>
      <c r="I6" s="70">
        <f t="shared" si="0"/>
        <v>0.26833333333333331</v>
      </c>
      <c r="J6" s="11">
        <v>550</v>
      </c>
      <c r="K6" s="12">
        <v>294</v>
      </c>
      <c r="L6" s="71">
        <f t="shared" si="1"/>
        <v>0.53454545454545455</v>
      </c>
      <c r="M6" s="12">
        <f t="shared" si="2"/>
        <v>256</v>
      </c>
      <c r="N6" s="14" t="e">
        <f t="shared" si="3"/>
        <v>#DIV/0!</v>
      </c>
      <c r="O6" s="72">
        <f t="shared" si="4"/>
        <v>1.826086956521739</v>
      </c>
      <c r="P6" s="14">
        <f t="shared" si="4"/>
        <v>1.9920948616600791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v>86</v>
      </c>
      <c r="I7" s="70">
        <f t="shared" si="0"/>
        <v>0.14333333333333334</v>
      </c>
      <c r="J7" s="11">
        <v>400</v>
      </c>
      <c r="K7" s="12">
        <v>104</v>
      </c>
      <c r="L7" s="71">
        <f t="shared" si="1"/>
        <v>0.26</v>
      </c>
      <c r="M7" s="12">
        <f t="shared" ref="M7:M31" si="5">J7-K7</f>
        <v>296</v>
      </c>
      <c r="N7" s="14" t="e">
        <f t="shared" ref="N7:N31" si="6">M7/$D$2</f>
        <v>#DIV/0!</v>
      </c>
      <c r="O7" s="72">
        <f t="shared" si="4"/>
        <v>1.2093023255813953</v>
      </c>
      <c r="P7" s="14">
        <f t="shared" si="4"/>
        <v>1.8139534883720929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40+5+5+1+5+10</f>
        <v>66</v>
      </c>
      <c r="I8" s="70">
        <f t="shared" si="0"/>
        <v>0.11</v>
      </c>
      <c r="J8" s="11">
        <v>575</v>
      </c>
      <c r="K8" s="12">
        <v>65</v>
      </c>
      <c r="L8" s="71">
        <f t="shared" si="1"/>
        <v>0.11304347826086956</v>
      </c>
      <c r="M8" s="12">
        <f t="shared" si="5"/>
        <v>510</v>
      </c>
      <c r="N8" s="14" t="e">
        <f t="shared" si="6"/>
        <v>#DIV/0!</v>
      </c>
      <c r="O8" s="72">
        <f t="shared" si="4"/>
        <v>0.98484848484848486</v>
      </c>
      <c r="P8" s="14">
        <f t="shared" si="4"/>
        <v>1.0276679841897234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v>82</v>
      </c>
      <c r="I10" s="70">
        <f t="shared" si="0"/>
        <v>0.41</v>
      </c>
      <c r="J10" s="11">
        <v>3000</v>
      </c>
      <c r="K10" s="12">
        <v>1687</v>
      </c>
      <c r="L10" s="71">
        <f t="shared" si="1"/>
        <v>0.56233333333333335</v>
      </c>
      <c r="M10" s="12">
        <f t="shared" si="5"/>
        <v>1313</v>
      </c>
      <c r="N10" s="14" t="e">
        <f t="shared" si="6"/>
        <v>#DIV/0!</v>
      </c>
      <c r="O10" s="72">
        <f t="shared" si="4"/>
        <v>20.573170731707318</v>
      </c>
      <c r="P10" s="14">
        <f t="shared" si="4"/>
        <v>1.3715447154471545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>
        <f>322+12+10+10+18+12</f>
        <v>384</v>
      </c>
      <c r="I11" s="70">
        <f t="shared" si="0"/>
        <v>0.64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 t="e">
        <f t="shared" si="6"/>
        <v>#DIV/0!</v>
      </c>
      <c r="O11" s="72">
        <f t="shared" si="4"/>
        <v>0</v>
      </c>
      <c r="P11" s="14">
        <f t="shared" si="4"/>
        <v>0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>
        <f>182+7+10+10+13+15+5</f>
        <v>242</v>
      </c>
      <c r="I12" s="70">
        <f t="shared" si="0"/>
        <v>0.40333333333333332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 t="e">
        <f t="shared" si="6"/>
        <v>#DIV/0!</v>
      </c>
      <c r="O12" s="72">
        <f t="shared" si="4"/>
        <v>0</v>
      </c>
      <c r="P12" s="14">
        <f t="shared" si="4"/>
        <v>0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>
        <f>15+8+8+8</f>
        <v>39</v>
      </c>
      <c r="I13" s="70">
        <f t="shared" ref="I13:I15" si="7">H13/G13</f>
        <v>6.5000000000000002E-2</v>
      </c>
      <c r="J13" s="11">
        <v>450</v>
      </c>
      <c r="K13" s="12"/>
      <c r="L13" s="71">
        <f t="shared" ref="L13:L16" si="8">K13/J13</f>
        <v>0</v>
      </c>
      <c r="M13" s="12">
        <f t="shared" si="5"/>
        <v>450</v>
      </c>
      <c r="N13" s="14" t="e">
        <f t="shared" ref="N13:N15" si="9">M13/$D$2</f>
        <v>#DIV/0!</v>
      </c>
      <c r="O13" s="72">
        <f t="shared" ref="O13:O16" si="10">K13/H13</f>
        <v>0</v>
      </c>
      <c r="P13" s="14">
        <f t="shared" ref="P13:P16" si="11">L13/I13</f>
        <v>0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 t="e">
        <f t="shared" si="9"/>
        <v>#DIV/0!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2</v>
      </c>
      <c r="I16" s="70" t="e">
        <f t="shared" ref="I16" si="12">H16/G16</f>
        <v>#DIV/0!</v>
      </c>
      <c r="J16" s="11"/>
      <c r="K16" s="12">
        <v>1000</v>
      </c>
      <c r="L16" s="71" t="e">
        <f t="shared" si="8"/>
        <v>#DIV/0!</v>
      </c>
      <c r="M16" s="12">
        <f t="shared" si="5"/>
        <v>-1000</v>
      </c>
      <c r="N16" s="14" t="e">
        <f t="shared" si="6"/>
        <v>#DIV/0!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5600</v>
      </c>
      <c r="H19" s="40">
        <f>SUM(H4:H18)</f>
        <v>1560</v>
      </c>
      <c r="I19" s="79">
        <f t="shared" si="0"/>
        <v>0.27857142857142858</v>
      </c>
      <c r="J19" s="80">
        <f>SUM(J4:J18)</f>
        <v>7725</v>
      </c>
      <c r="K19" s="80">
        <f>SUM(K4:K18)</f>
        <v>3826</v>
      </c>
      <c r="L19" s="82">
        <f>K19/J19</f>
        <v>0.49527508090614886</v>
      </c>
      <c r="M19" s="81">
        <f t="shared" si="5"/>
        <v>3899</v>
      </c>
      <c r="N19" s="83" t="e">
        <f t="shared" si="6"/>
        <v>#DIV/0!</v>
      </c>
      <c r="O19" s="84">
        <f>K19/H19</f>
        <v>2.4525641025641027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1761</v>
      </c>
      <c r="I31" s="88">
        <f t="shared" si="0"/>
        <v>0.29107438016528925</v>
      </c>
      <c r="J31" s="89">
        <f t="shared" si="17"/>
        <v>12725</v>
      </c>
      <c r="K31" s="90">
        <f t="shared" si="17"/>
        <v>4105</v>
      </c>
      <c r="L31" s="91">
        <f>K31/J31</f>
        <v>0.32259332023575638</v>
      </c>
      <c r="M31" s="90">
        <f t="shared" si="5"/>
        <v>8620</v>
      </c>
      <c r="N31" s="92" t="e">
        <f t="shared" si="6"/>
        <v>#DIV/0!</v>
      </c>
      <c r="O31" s="93">
        <f>K31/H31</f>
        <v>2.331061896649631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2026-09-02T08:51:20Z</dcterms:modified>
</cp:coreProperties>
</file>