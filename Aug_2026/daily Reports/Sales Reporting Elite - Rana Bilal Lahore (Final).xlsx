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FD78DE78-FF78-4252-8AD3-9934E536B7C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day Performance" sheetId="1" r:id="rId1"/>
    <sheet name="Till To 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H12" i="2" l="1"/>
  <c r="H11" i="2"/>
  <c r="H13" i="2" l="1"/>
  <c r="J19" i="2" l="1"/>
  <c r="G19" i="2"/>
  <c r="M12" i="2"/>
  <c r="M13" i="2"/>
  <c r="M14" i="2"/>
  <c r="M15" i="2"/>
  <c r="O16" i="2"/>
  <c r="L16" i="2"/>
  <c r="I16" i="2"/>
  <c r="I13" i="2"/>
  <c r="L13" i="2"/>
  <c r="O13" i="2"/>
  <c r="I14" i="2"/>
  <c r="L14" i="2"/>
  <c r="P14" i="2" s="1"/>
  <c r="O14" i="2"/>
  <c r="I15" i="2"/>
  <c r="L15" i="2"/>
  <c r="O15" i="2"/>
  <c r="H19" i="2" l="1"/>
  <c r="I19" i="2" s="1"/>
  <c r="K19" i="2"/>
  <c r="L19" i="2" s="1"/>
  <c r="P16" i="2"/>
  <c r="P15" i="2"/>
  <c r="P13" i="2"/>
  <c r="M19" i="2" l="1"/>
  <c r="T5" i="1" l="1"/>
  <c r="T6" i="1"/>
  <c r="T7" i="1"/>
  <c r="T8" i="1"/>
  <c r="T9" i="1"/>
  <c r="T10" i="1"/>
  <c r="T11" i="1"/>
  <c r="T12" i="1"/>
  <c r="T4" i="1"/>
  <c r="Q5" i="1"/>
  <c r="Q6" i="1"/>
  <c r="Q7" i="1"/>
  <c r="Q8" i="1"/>
  <c r="Q9" i="1"/>
  <c r="Q10" i="1"/>
  <c r="Q11" i="1"/>
  <c r="Q12" i="1"/>
  <c r="Q4" i="1"/>
  <c r="P30" i="2"/>
  <c r="K30" i="2"/>
  <c r="J30" i="2"/>
  <c r="H30" i="2"/>
  <c r="G30" i="2"/>
  <c r="O29" i="2"/>
  <c r="M29" i="2"/>
  <c r="L29" i="2"/>
  <c r="I29" i="2"/>
  <c r="O28" i="2"/>
  <c r="M28" i="2"/>
  <c r="L28" i="2"/>
  <c r="I28" i="2"/>
  <c r="O27" i="2"/>
  <c r="M27" i="2"/>
  <c r="L27" i="2"/>
  <c r="I27" i="2"/>
  <c r="O26" i="2"/>
  <c r="M26" i="2"/>
  <c r="L26" i="2"/>
  <c r="I26" i="2"/>
  <c r="P25" i="2"/>
  <c r="K25" i="2"/>
  <c r="J25" i="2"/>
  <c r="H25" i="2"/>
  <c r="G25" i="2"/>
  <c r="O24" i="2"/>
  <c r="M24" i="2"/>
  <c r="L24" i="2"/>
  <c r="I24" i="2"/>
  <c r="O23" i="2"/>
  <c r="M23" i="2"/>
  <c r="L23" i="2"/>
  <c r="I23" i="2"/>
  <c r="O22" i="2"/>
  <c r="M22" i="2"/>
  <c r="L22" i="2"/>
  <c r="I22" i="2"/>
  <c r="O21" i="2"/>
  <c r="M21" i="2"/>
  <c r="L21" i="2"/>
  <c r="I21" i="2"/>
  <c r="O20" i="2"/>
  <c r="M20" i="2"/>
  <c r="L20" i="2"/>
  <c r="I20" i="2"/>
  <c r="M18" i="2"/>
  <c r="M17" i="2"/>
  <c r="M16" i="2"/>
  <c r="O12" i="2"/>
  <c r="L12" i="2"/>
  <c r="I12" i="2"/>
  <c r="O11" i="2"/>
  <c r="M11" i="2"/>
  <c r="L11" i="2"/>
  <c r="I11" i="2"/>
  <c r="O10" i="2"/>
  <c r="M10" i="2"/>
  <c r="L10" i="2"/>
  <c r="I10" i="2"/>
  <c r="O9" i="2"/>
  <c r="M9" i="2"/>
  <c r="L9" i="2"/>
  <c r="I9" i="2"/>
  <c r="O8" i="2"/>
  <c r="M8" i="2"/>
  <c r="L8" i="2"/>
  <c r="I8" i="2"/>
  <c r="O7" i="2"/>
  <c r="M7" i="2"/>
  <c r="L7" i="2"/>
  <c r="I7" i="2"/>
  <c r="O6" i="2"/>
  <c r="M6" i="2"/>
  <c r="L6" i="2"/>
  <c r="I6" i="2"/>
  <c r="O5" i="2"/>
  <c r="M5" i="2"/>
  <c r="L5" i="2"/>
  <c r="I5" i="2"/>
  <c r="O4" i="2"/>
  <c r="M4" i="2"/>
  <c r="L4" i="2"/>
  <c r="I4" i="2"/>
  <c r="D2" i="2"/>
  <c r="C2" i="2"/>
  <c r="S19" i="1"/>
  <c r="P19" i="1"/>
  <c r="K19" i="1"/>
  <c r="J19" i="1"/>
  <c r="H19" i="1"/>
  <c r="G19" i="1"/>
  <c r="V30" i="1"/>
  <c r="S30" i="1"/>
  <c r="R30" i="1"/>
  <c r="P30" i="1"/>
  <c r="O30" i="1"/>
  <c r="N30" i="1"/>
  <c r="K30" i="1"/>
  <c r="J30" i="1"/>
  <c r="H30" i="1"/>
  <c r="G30" i="1"/>
  <c r="U29" i="1"/>
  <c r="T29" i="1"/>
  <c r="Q29" i="1"/>
  <c r="M29" i="1"/>
  <c r="L29" i="1"/>
  <c r="I29" i="1"/>
  <c r="U28" i="1"/>
  <c r="T28" i="1"/>
  <c r="Q28" i="1"/>
  <c r="M28" i="1"/>
  <c r="L28" i="1"/>
  <c r="I28" i="1"/>
  <c r="U27" i="1"/>
  <c r="T27" i="1"/>
  <c r="Q27" i="1"/>
  <c r="M27" i="1"/>
  <c r="L27" i="1"/>
  <c r="I27" i="1"/>
  <c r="U26" i="1"/>
  <c r="T26" i="1"/>
  <c r="Q26" i="1"/>
  <c r="M26" i="1"/>
  <c r="L26" i="1"/>
  <c r="I26" i="1"/>
  <c r="V25" i="1"/>
  <c r="S25" i="1"/>
  <c r="R25" i="1"/>
  <c r="P25" i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U20" i="1"/>
  <c r="T20" i="1"/>
  <c r="Q20" i="1"/>
  <c r="M20" i="1"/>
  <c r="L20" i="1"/>
  <c r="I20" i="1"/>
  <c r="U12" i="1"/>
  <c r="M12" i="1"/>
  <c r="L12" i="1"/>
  <c r="I12" i="1"/>
  <c r="U11" i="1"/>
  <c r="M11" i="1"/>
  <c r="L11" i="1"/>
  <c r="I11" i="1"/>
  <c r="U10" i="1"/>
  <c r="M10" i="1"/>
  <c r="L10" i="1"/>
  <c r="I10" i="1"/>
  <c r="U9" i="1"/>
  <c r="M9" i="1"/>
  <c r="L9" i="1"/>
  <c r="I9" i="1"/>
  <c r="U8" i="1"/>
  <c r="M8" i="1"/>
  <c r="L8" i="1"/>
  <c r="I8" i="1"/>
  <c r="U7" i="1"/>
  <c r="M7" i="1"/>
  <c r="L7" i="1"/>
  <c r="I7" i="1"/>
  <c r="U6" i="1"/>
  <c r="M6" i="1"/>
  <c r="L6" i="1"/>
  <c r="I6" i="1"/>
  <c r="U5" i="1"/>
  <c r="M5" i="1"/>
  <c r="L5" i="1"/>
  <c r="I5" i="1"/>
  <c r="U4" i="1"/>
  <c r="M4" i="1"/>
  <c r="L4" i="1"/>
  <c r="I4" i="1"/>
  <c r="N13" i="2" l="1"/>
  <c r="N14" i="2"/>
  <c r="N15" i="2"/>
  <c r="N19" i="2"/>
  <c r="M25" i="2"/>
  <c r="R19" i="1"/>
  <c r="T19" i="1" s="1"/>
  <c r="V4" i="1"/>
  <c r="O19" i="1"/>
  <c r="O31" i="1" s="1"/>
  <c r="V7" i="1"/>
  <c r="V11" i="1"/>
  <c r="M25" i="1"/>
  <c r="N5" i="1"/>
  <c r="N8" i="1"/>
  <c r="N12" i="1"/>
  <c r="V5" i="1"/>
  <c r="V8" i="1"/>
  <c r="V10" i="1"/>
  <c r="V12" i="1"/>
  <c r="L19" i="1"/>
  <c r="M30" i="2"/>
  <c r="N30" i="2" s="1"/>
  <c r="P12" i="2"/>
  <c r="P10" i="2"/>
  <c r="P8" i="2"/>
  <c r="P5" i="2"/>
  <c r="N18" i="2"/>
  <c r="N26" i="2"/>
  <c r="N28" i="2"/>
  <c r="O30" i="2"/>
  <c r="P6" i="2"/>
  <c r="P9" i="2"/>
  <c r="G31" i="2"/>
  <c r="N4" i="2"/>
  <c r="N6" i="2"/>
  <c r="N7" i="2"/>
  <c r="N9" i="2"/>
  <c r="N11" i="2"/>
  <c r="I30" i="2"/>
  <c r="I25" i="2"/>
  <c r="N23" i="2"/>
  <c r="O19" i="2"/>
  <c r="L25" i="2"/>
  <c r="N25" i="2"/>
  <c r="O25" i="2"/>
  <c r="N27" i="2"/>
  <c r="N29" i="2"/>
  <c r="P11" i="2"/>
  <c r="N16" i="2"/>
  <c r="N21" i="2"/>
  <c r="N10" i="2"/>
  <c r="P7" i="2"/>
  <c r="N17" i="2"/>
  <c r="N20" i="2"/>
  <c r="N22" i="2"/>
  <c r="H31" i="2"/>
  <c r="L30" i="2"/>
  <c r="J31" i="2"/>
  <c r="K31" i="2"/>
  <c r="N5" i="2"/>
  <c r="N8" i="2"/>
  <c r="N12" i="2"/>
  <c r="N24" i="2"/>
  <c r="M19" i="1"/>
  <c r="Q25" i="1"/>
  <c r="N10" i="1"/>
  <c r="I19" i="1"/>
  <c r="L25" i="1"/>
  <c r="G31" i="1"/>
  <c r="Q30" i="1"/>
  <c r="T30" i="1"/>
  <c r="N4" i="1"/>
  <c r="I30" i="1"/>
  <c r="J31" i="1"/>
  <c r="S31" i="1"/>
  <c r="N7" i="1"/>
  <c r="K31" i="1"/>
  <c r="L30" i="1"/>
  <c r="N11" i="1"/>
  <c r="U30" i="1"/>
  <c r="U19" i="1"/>
  <c r="I25" i="1"/>
  <c r="T25" i="1"/>
  <c r="M30" i="1"/>
  <c r="N6" i="1"/>
  <c r="N9" i="1"/>
  <c r="U25" i="1"/>
  <c r="V6" i="1"/>
  <c r="V9" i="1"/>
  <c r="H31" i="1"/>
  <c r="P31" i="1"/>
  <c r="Q19" i="1" l="1"/>
  <c r="R31" i="1"/>
  <c r="T31" i="1" s="1"/>
  <c r="V19" i="1"/>
  <c r="V31" i="1" s="1"/>
  <c r="I31" i="1"/>
  <c r="L31" i="1"/>
  <c r="N19" i="1"/>
  <c r="N31" i="1" s="1"/>
  <c r="Q31" i="1"/>
  <c r="I31" i="2"/>
  <c r="M31" i="2"/>
  <c r="N31" i="2" s="1"/>
  <c r="P19" i="2"/>
  <c r="P31" i="2" s="1"/>
  <c r="L31" i="2"/>
  <c r="O31" i="2"/>
  <c r="U31" i="1"/>
  <c r="M31" i="1"/>
</calcChain>
</file>

<file path=xl/sharedStrings.xml><?xml version="1.0" encoding="utf-8"?>
<sst xmlns="http://schemas.openxmlformats.org/spreadsheetml/2006/main" count="369" uniqueCount="78">
  <si>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</si>
  <si>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</si>
  <si>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</si>
  <si>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</si>
  <si>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</si>
  <si>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</si>
  <si>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</si>
  <si>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</si>
  <si>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</si>
  <si>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</si>
  <si>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</si>
  <si>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</si>
  <si>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</si>
  <si>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</si>
  <si>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</si>
  <si>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</si>
  <si>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</si>
  <si>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</si>
  <si>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</si>
  <si>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</si>
  <si>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</si>
  <si>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</si>
  <si>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</si>
  <si>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</si>
  <si>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</si>
  <si>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</si>
  <si>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</si>
  <si>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</si>
  <si>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</si>
  <si>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</si>
  <si>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</si>
  <si>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</si>
  <si>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</si>
  <si>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</si>
  <si>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</si>
  <si>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</si>
  <si>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</si>
  <si>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</si>
  <si>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</si>
  <si>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</si>
  <si>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Productive</t>
  </si>
  <si>
    <t>Target</t>
  </si>
  <si>
    <t>Ach(CTN)</t>
  </si>
  <si>
    <t>Raiwind</t>
  </si>
  <si>
    <t>Kasur</t>
  </si>
  <si>
    <t>Kot Radha Kashin</t>
  </si>
  <si>
    <t>Chunnia</t>
  </si>
  <si>
    <t>Phool Nagar</t>
  </si>
  <si>
    <t>Nouman</t>
  </si>
  <si>
    <t>Shahzad Nayyar</t>
  </si>
  <si>
    <t>Muhammad Salah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</si>
  <si>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</si>
  <si>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</si>
  <si>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</si>
  <si>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</si>
  <si>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</si>
  <si>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</si>
  <si>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</si>
  <si>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</si>
  <si>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</si>
  <si>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</si>
  <si>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</si>
  <si>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Aqeel Malik (SD)</t>
  </si>
  <si>
    <t xml:space="preserve">Qasim Khan </t>
  </si>
  <si>
    <t>Nabeel Traders</t>
  </si>
  <si>
    <t xml:space="preserve">Riwand </t>
  </si>
  <si>
    <t>Maqbool</t>
  </si>
  <si>
    <t>Ghulam Ahmad</t>
  </si>
  <si>
    <t>Noman Younas</t>
  </si>
  <si>
    <t xml:space="preserve">M Saleh </t>
  </si>
  <si>
    <t xml:space="preserve">M Hassan </t>
  </si>
  <si>
    <t>Hamid</t>
  </si>
  <si>
    <t>Jabbar</t>
  </si>
  <si>
    <t xml:space="preserve">Umair </t>
  </si>
  <si>
    <t>Furqan</t>
  </si>
  <si>
    <t xml:space="preserve">Hasan </t>
  </si>
  <si>
    <t>Pendings</t>
  </si>
  <si>
    <t xml:space="preserve">Yasir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</si>
</sst>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0" fontId="3" fillId="3" borderId="17" xfId="0" applyFont="1" applyFill="1" applyBorder="1"/>
    <xf numFmtId="1" fontId="0" fillId="5" borderId="31" xfId="0" applyNumberFormat="1" applyFill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opLeftCell="D1" workbookViewId="0">
      <selection activeCell="M15" sqref="M15"/>
    </sheetView>
  </sheetViews>
  <sheetFormatPr defaultRowHeight="14.5" x14ac:dyDescent="0.35"/>
  <cols>
    <col min="1" max="1" width="13.54296875" customWidth="1"/>
    <col min="2" max="2" width="11.26953125" customWidth="1"/>
    <col min="3" max="3" width="10" customWidth="1"/>
    <col min="4" max="4" width="9.453125" customWidth="1"/>
    <col min="5" max="5" width="17.453125" customWidth="1"/>
    <col min="6" max="6" width="25.26953125" bestFit="1" customWidth="1"/>
    <col min="7" max="7" width="5.453125" style="24" customWidth="1"/>
    <col min="8" max="8" width="7.7265625" customWidth="1"/>
    <col min="9" max="9" width="5.54296875" customWidth="1"/>
    <col min="10" max="10" width="8.1796875" customWidth="1"/>
    <col min="11" max="11" width="8.81640625" customWidth="1"/>
    <col min="12" max="12" width="5.54296875" customWidth="1"/>
    <col min="13" max="13" width="10.54296875" customWidth="1"/>
    <col min="14" max="15" width="7.1796875" customWidth="1"/>
    <col min="16" max="16" width="8.7265625" customWidth="1"/>
    <col min="17" max="18" width="7.1796875" customWidth="1"/>
    <col min="19" max="19" width="8.7265625" customWidth="1"/>
    <col min="20" max="22" width="7.1796875" customWidth="1"/>
    <col min="23" max="23" width="20.453125" customWidth="1"/>
    <col min="24" max="24" width="8.7265625" customWidth="1"/>
  </cols>
  <sheetData>
    <row r="1" spans="1:28" ht="15" thickBot="1" x14ac:dyDescent="0.4">
      <c r="G1" s="101" t="s">
        <v>0</v>
      </c>
      <c r="H1" s="102"/>
      <c r="I1" s="102"/>
      <c r="J1" s="102"/>
      <c r="K1" s="102"/>
      <c r="L1" s="102"/>
      <c r="M1" s="102"/>
      <c r="N1" s="103"/>
      <c r="O1" s="104" t="s">
        <v>1</v>
      </c>
      <c r="P1" s="105"/>
      <c r="Q1" s="105"/>
      <c r="R1" s="105"/>
      <c r="S1" s="105"/>
      <c r="T1" s="105"/>
      <c r="U1" s="105"/>
      <c r="V1" s="106"/>
    </row>
    <row r="2" spans="1:28" ht="15" thickBot="1" x14ac:dyDescent="0.4">
      <c r="F2" s="94">
        <v>46253</v>
      </c>
      <c r="G2" s="107" t="s">
        <v>2</v>
      </c>
      <c r="H2" s="108"/>
      <c r="I2" s="109"/>
      <c r="J2" s="108" t="s">
        <v>3</v>
      </c>
      <c r="K2" s="108"/>
      <c r="L2" s="109"/>
      <c r="M2" s="1"/>
      <c r="N2" s="2"/>
      <c r="O2" s="107" t="s">
        <v>2</v>
      </c>
      <c r="P2" s="108"/>
      <c r="Q2" s="109"/>
      <c r="R2" s="108" t="s">
        <v>3</v>
      </c>
      <c r="S2" s="108"/>
      <c r="T2" s="109"/>
      <c r="U2" s="1"/>
      <c r="V2" s="2"/>
    </row>
    <row r="3" spans="1:28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4" t="s">
        <v>11</v>
      </c>
      <c r="I3" s="5" t="s">
        <v>12</v>
      </c>
      <c r="J3" s="6" t="s">
        <v>13</v>
      </c>
      <c r="K3" s="4" t="s">
        <v>14</v>
      </c>
      <c r="L3" s="5" t="s">
        <v>12</v>
      </c>
      <c r="M3" s="6" t="s">
        <v>15</v>
      </c>
      <c r="N3" s="5" t="s">
        <v>16</v>
      </c>
      <c r="O3" s="3" t="s">
        <v>11</v>
      </c>
      <c r="P3" s="4" t="s">
        <v>52</v>
      </c>
      <c r="Q3" s="5" t="s">
        <v>12</v>
      </c>
      <c r="R3" s="6" t="s">
        <v>53</v>
      </c>
      <c r="S3" s="4" t="s">
        <v>54</v>
      </c>
      <c r="T3" s="5" t="s">
        <v>12</v>
      </c>
      <c r="U3" s="6" t="s">
        <v>15</v>
      </c>
      <c r="V3" s="5" t="s">
        <v>16</v>
      </c>
      <c r="W3" s="28" t="s">
        <v>17</v>
      </c>
    </row>
    <row r="4" spans="1:28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8">
        <v>9</v>
      </c>
      <c r="I4" s="32">
        <f t="shared" ref="I4:I31" si="0">H4/G4</f>
        <v>0.18</v>
      </c>
      <c r="J4" s="30">
        <v>40</v>
      </c>
      <c r="K4" s="31">
        <v>13</v>
      </c>
      <c r="L4" s="32">
        <f t="shared" ref="L4:L12" si="1">K4/J4</f>
        <v>0.32500000000000001</v>
      </c>
      <c r="M4" s="30">
        <f t="shared" ref="M4:N12" si="2">K4/H4</f>
        <v>1.4444444444444444</v>
      </c>
      <c r="N4" s="33">
        <f t="shared" si="2"/>
        <v>1.8055555555555556</v>
      </c>
      <c r="O4" s="30">
        <v>15</v>
      </c>
      <c r="P4" s="96">
        <v>12</v>
      </c>
      <c r="Q4" s="32">
        <f t="shared" ref="Q4:Q12" si="3">P4/O4</f>
        <v>0.8</v>
      </c>
      <c r="R4" s="30">
        <v>16</v>
      </c>
      <c r="S4" s="96">
        <v>13</v>
      </c>
      <c r="T4" s="32">
        <f t="shared" ref="T4:T12" si="4">S4/R4</f>
        <v>0.8125</v>
      </c>
      <c r="U4" s="30">
        <f t="shared" ref="U4:V12" si="5">S4/P4</f>
        <v>1.0833333333333333</v>
      </c>
      <c r="V4" s="33">
        <f t="shared" si="5"/>
        <v>1.015625</v>
      </c>
      <c r="W4" s="34"/>
    </row>
    <row r="5" spans="1:28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50</v>
      </c>
      <c r="H5" s="12">
        <v>10</v>
      </c>
      <c r="I5" s="13">
        <f t="shared" si="0"/>
        <v>0.2</v>
      </c>
      <c r="J5" s="30">
        <v>30</v>
      </c>
      <c r="K5" s="12">
        <v>12</v>
      </c>
      <c r="L5" s="13">
        <f t="shared" si="1"/>
        <v>0.4</v>
      </c>
      <c r="M5" s="11">
        <f t="shared" si="2"/>
        <v>1.2</v>
      </c>
      <c r="N5" s="14">
        <f t="shared" si="2"/>
        <v>2</v>
      </c>
      <c r="O5" s="30">
        <v>11</v>
      </c>
      <c r="P5" s="97">
        <v>11</v>
      </c>
      <c r="Q5" s="13">
        <f t="shared" si="3"/>
        <v>1</v>
      </c>
      <c r="R5" s="30">
        <v>16</v>
      </c>
      <c r="S5" s="97">
        <v>8</v>
      </c>
      <c r="T5" s="13">
        <f t="shared" si="4"/>
        <v>0.5</v>
      </c>
      <c r="U5" s="11">
        <f t="shared" si="5"/>
        <v>0.72727272727272729</v>
      </c>
      <c r="V5" s="14">
        <f t="shared" si="5"/>
        <v>0.5</v>
      </c>
      <c r="W5" s="34"/>
    </row>
    <row r="6" spans="1:28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25</v>
      </c>
      <c r="G6" s="30">
        <v>50</v>
      </c>
      <c r="H6" s="12">
        <v>7</v>
      </c>
      <c r="I6" s="13">
        <f t="shared" si="0"/>
        <v>0.14000000000000001</v>
      </c>
      <c r="J6" s="30">
        <v>25</v>
      </c>
      <c r="K6" s="12">
        <v>9</v>
      </c>
      <c r="L6" s="13">
        <f t="shared" si="1"/>
        <v>0.36</v>
      </c>
      <c r="M6" s="11">
        <f t="shared" si="2"/>
        <v>1.2857142857142858</v>
      </c>
      <c r="N6" s="14">
        <f t="shared" si="2"/>
        <v>2.5714285714285712</v>
      </c>
      <c r="O6" s="30">
        <v>11</v>
      </c>
      <c r="P6" s="97">
        <v>7</v>
      </c>
      <c r="Q6" s="13">
        <f t="shared" si="3"/>
        <v>0.63636363636363635</v>
      </c>
      <c r="R6" s="30">
        <v>11</v>
      </c>
      <c r="S6" s="97">
        <v>7</v>
      </c>
      <c r="T6" s="13">
        <f t="shared" si="4"/>
        <v>0.63636363636363635</v>
      </c>
      <c r="U6" s="11">
        <f t="shared" si="5"/>
        <v>1</v>
      </c>
      <c r="V6" s="14">
        <f t="shared" si="5"/>
        <v>1</v>
      </c>
      <c r="W6" s="34"/>
    </row>
    <row r="7" spans="1:28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72</v>
      </c>
      <c r="G7" s="30">
        <v>50</v>
      </c>
      <c r="H7" s="12">
        <v>2</v>
      </c>
      <c r="I7" s="13">
        <f t="shared" si="0"/>
        <v>0.04</v>
      </c>
      <c r="J7" s="30">
        <v>30</v>
      </c>
      <c r="K7" s="12">
        <v>1</v>
      </c>
      <c r="L7" s="13">
        <f t="shared" si="1"/>
        <v>3.3333333333333333E-2</v>
      </c>
      <c r="M7" s="11">
        <f t="shared" si="2"/>
        <v>0.5</v>
      </c>
      <c r="N7" s="14">
        <f t="shared" si="2"/>
        <v>0.83333333333333326</v>
      </c>
      <c r="O7" s="30">
        <v>9</v>
      </c>
      <c r="P7" s="97">
        <v>9</v>
      </c>
      <c r="Q7" s="13">
        <f t="shared" si="3"/>
        <v>1</v>
      </c>
      <c r="R7" s="30">
        <v>13</v>
      </c>
      <c r="S7" s="97">
        <v>10</v>
      </c>
      <c r="T7" s="13">
        <f t="shared" si="4"/>
        <v>0.76923076923076927</v>
      </c>
      <c r="U7" s="11">
        <f t="shared" si="5"/>
        <v>1.1111111111111112</v>
      </c>
      <c r="V7" s="14">
        <f t="shared" si="5"/>
        <v>0.76923076923076927</v>
      </c>
      <c r="W7" s="34"/>
    </row>
    <row r="8" spans="1:28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75</v>
      </c>
      <c r="G8" s="30">
        <v>50</v>
      </c>
      <c r="H8" s="12">
        <v>3</v>
      </c>
      <c r="I8" s="13">
        <f t="shared" si="0"/>
        <v>0.06</v>
      </c>
      <c r="J8" s="30">
        <v>20</v>
      </c>
      <c r="K8" s="12">
        <v>3</v>
      </c>
      <c r="L8" s="13">
        <f t="shared" si="1"/>
        <v>0.15</v>
      </c>
      <c r="M8" s="11">
        <f t="shared" si="2"/>
        <v>1</v>
      </c>
      <c r="N8" s="14">
        <f t="shared" si="2"/>
        <v>2.5</v>
      </c>
      <c r="O8" s="30"/>
      <c r="P8" s="97"/>
      <c r="Q8" s="13" t="e">
        <f t="shared" si="3"/>
        <v>#DIV/0!</v>
      </c>
      <c r="R8" s="30">
        <v>6</v>
      </c>
      <c r="S8" s="97">
        <v>6</v>
      </c>
      <c r="T8" s="13">
        <f t="shared" si="4"/>
        <v>1</v>
      </c>
      <c r="U8" s="11" t="e">
        <f t="shared" si="5"/>
        <v>#DIV/0!</v>
      </c>
      <c r="V8" s="14" t="e">
        <f t="shared" si="5"/>
        <v>#DIV/0!</v>
      </c>
      <c r="W8" s="34"/>
    </row>
    <row r="9" spans="1:28" ht="17" thickBot="1" x14ac:dyDescent="0.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95" t="s">
        <v>74</v>
      </c>
      <c r="G9" s="30">
        <v>0</v>
      </c>
      <c r="H9" s="12">
        <v>10</v>
      </c>
      <c r="I9" s="13" t="e">
        <f t="shared" si="0"/>
        <v>#DIV/0!</v>
      </c>
      <c r="J9" s="30">
        <v>20</v>
      </c>
      <c r="K9" s="12">
        <v>7</v>
      </c>
      <c r="L9" s="13">
        <f t="shared" si="1"/>
        <v>0.35</v>
      </c>
      <c r="M9" s="11">
        <f t="shared" si="2"/>
        <v>0.7</v>
      </c>
      <c r="N9" s="14" t="e">
        <f t="shared" si="2"/>
        <v>#DIV/0!</v>
      </c>
      <c r="O9" s="30">
        <v>0</v>
      </c>
      <c r="P9" s="97">
        <v>0</v>
      </c>
      <c r="Q9" s="13" t="e">
        <f t="shared" si="3"/>
        <v>#DIV/0!</v>
      </c>
      <c r="R9" s="30">
        <v>2</v>
      </c>
      <c r="S9" s="97">
        <v>1</v>
      </c>
      <c r="T9" s="13">
        <f t="shared" si="4"/>
        <v>0.5</v>
      </c>
      <c r="U9" s="11" t="e">
        <f t="shared" si="5"/>
        <v>#DIV/0!</v>
      </c>
      <c r="V9" s="14" t="e">
        <f t="shared" si="5"/>
        <v>#DIV/0!</v>
      </c>
      <c r="W9" s="34"/>
    </row>
    <row r="10" spans="1:28" ht="17" thickBot="1" x14ac:dyDescent="0.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27</v>
      </c>
      <c r="G10" s="30">
        <v>25</v>
      </c>
      <c r="H10" s="12">
        <v>6</v>
      </c>
      <c r="I10" s="13">
        <f t="shared" si="0"/>
        <v>0.24</v>
      </c>
      <c r="J10" s="30">
        <v>0</v>
      </c>
      <c r="K10" s="12">
        <v>61</v>
      </c>
      <c r="L10" s="13" t="e">
        <f t="shared" si="1"/>
        <v>#DIV/0!</v>
      </c>
      <c r="M10" s="11">
        <f t="shared" si="2"/>
        <v>10.166666666666666</v>
      </c>
      <c r="N10" s="14" t="e">
        <f t="shared" si="2"/>
        <v>#DIV/0!</v>
      </c>
      <c r="O10" s="30">
        <v>6</v>
      </c>
      <c r="P10" s="97">
        <v>5</v>
      </c>
      <c r="Q10" s="13">
        <f t="shared" si="3"/>
        <v>0.83333333333333337</v>
      </c>
      <c r="R10" s="30">
        <v>180</v>
      </c>
      <c r="S10" s="97">
        <v>155</v>
      </c>
      <c r="T10" s="13">
        <f t="shared" si="4"/>
        <v>0.86111111111111116</v>
      </c>
      <c r="U10" s="11">
        <f t="shared" si="5"/>
        <v>31</v>
      </c>
      <c r="V10" s="14">
        <f t="shared" si="5"/>
        <v>1.0333333333333334</v>
      </c>
      <c r="W10" s="34" t="s">
        <v>76</v>
      </c>
      <c r="AB10">
        <v>33</v>
      </c>
    </row>
    <row r="11" spans="1:28" ht="17" thickBot="1" x14ac:dyDescent="0.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28</v>
      </c>
      <c r="G11" s="30">
        <v>50</v>
      </c>
      <c r="H11" s="12">
        <v>14</v>
      </c>
      <c r="I11" s="13">
        <f t="shared" si="0"/>
        <v>0.28000000000000003</v>
      </c>
      <c r="J11" s="30">
        <v>200</v>
      </c>
      <c r="K11" s="12">
        <v>23</v>
      </c>
      <c r="L11" s="13">
        <f t="shared" si="1"/>
        <v>0.115</v>
      </c>
      <c r="M11" s="11">
        <f t="shared" si="2"/>
        <v>1.6428571428571428</v>
      </c>
      <c r="N11" s="14">
        <f t="shared" si="2"/>
        <v>0.4107142857142857</v>
      </c>
      <c r="O11" s="30"/>
      <c r="P11" s="12"/>
      <c r="Q11" s="13" t="e">
        <f t="shared" si="3"/>
        <v>#DIV/0!</v>
      </c>
      <c r="R11" s="30"/>
      <c r="S11" s="12"/>
      <c r="T11" s="13" t="e">
        <f t="shared" si="4"/>
        <v>#DIV/0!</v>
      </c>
      <c r="U11" s="11" t="e">
        <f t="shared" si="5"/>
        <v>#DIV/0!</v>
      </c>
      <c r="V11" s="14" t="e">
        <f t="shared" si="5"/>
        <v>#DIV/0!</v>
      </c>
      <c r="W11" s="34"/>
      <c r="AB11">
        <v>50</v>
      </c>
    </row>
    <row r="12" spans="1:28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63</v>
      </c>
      <c r="G12" s="30">
        <v>50</v>
      </c>
      <c r="H12" s="12">
        <v>13</v>
      </c>
      <c r="I12" s="13">
        <f t="shared" si="0"/>
        <v>0.26</v>
      </c>
      <c r="J12" s="30">
        <v>20</v>
      </c>
      <c r="K12" s="12">
        <v>14</v>
      </c>
      <c r="L12" s="13">
        <f t="shared" si="1"/>
        <v>0.7</v>
      </c>
      <c r="M12" s="11">
        <f t="shared" si="2"/>
        <v>1.0769230769230769</v>
      </c>
      <c r="N12" s="14">
        <f t="shared" si="2"/>
        <v>2.6923076923076921</v>
      </c>
      <c r="O12" s="30"/>
      <c r="P12" s="12"/>
      <c r="Q12" s="13" t="e">
        <f t="shared" si="3"/>
        <v>#DIV/0!</v>
      </c>
      <c r="R12" s="30"/>
      <c r="S12" s="12"/>
      <c r="T12" s="13" t="e">
        <f t="shared" si="4"/>
        <v>#DIV/0!</v>
      </c>
      <c r="U12" s="11" t="e">
        <f t="shared" si="5"/>
        <v>#DIV/0!</v>
      </c>
      <c r="V12" s="14" t="e">
        <f t="shared" si="5"/>
        <v>#DIV/0!</v>
      </c>
      <c r="W12" s="34"/>
      <c r="AB12">
        <v>13</v>
      </c>
    </row>
    <row r="13" spans="1:28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49" t="s">
        <v>43</v>
      </c>
      <c r="G13" s="11"/>
      <c r="H13" s="12"/>
      <c r="I13" s="13"/>
      <c r="J13" s="11"/>
      <c r="K13" s="12"/>
      <c r="L13" s="13"/>
      <c r="M13" s="11"/>
      <c r="N13" s="14"/>
      <c r="O13" s="11"/>
      <c r="P13" s="12"/>
      <c r="Q13" s="13"/>
      <c r="R13" s="11"/>
      <c r="S13" s="12"/>
      <c r="T13" s="13"/>
      <c r="U13" s="11"/>
      <c r="V13" s="14"/>
      <c r="W13" s="34"/>
      <c r="AB13">
        <v>14</v>
      </c>
    </row>
    <row r="14" spans="1:28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44</v>
      </c>
      <c r="G14" s="11"/>
      <c r="H14" s="12"/>
      <c r="I14" s="13"/>
      <c r="J14" s="11"/>
      <c r="K14" s="12"/>
      <c r="L14" s="13"/>
      <c r="M14" s="11"/>
      <c r="N14" s="14"/>
      <c r="O14" s="11"/>
      <c r="P14" s="12"/>
      <c r="Q14" s="13"/>
      <c r="R14" s="11"/>
      <c r="S14" s="12"/>
      <c r="T14" s="13"/>
      <c r="U14" s="11"/>
      <c r="V14" s="14"/>
      <c r="W14" s="34"/>
      <c r="AB14">
        <v>8</v>
      </c>
    </row>
    <row r="15" spans="1:28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45</v>
      </c>
      <c r="G15" s="11"/>
      <c r="H15" s="12"/>
      <c r="I15" s="13"/>
      <c r="J15" s="11"/>
      <c r="K15" s="12"/>
      <c r="L15" s="13"/>
      <c r="M15" s="11"/>
      <c r="N15" s="14"/>
      <c r="O15" s="11"/>
      <c r="P15" s="12"/>
      <c r="Q15" s="13"/>
      <c r="R15" s="11"/>
      <c r="S15" s="12"/>
      <c r="T15" s="13"/>
      <c r="U15" s="11"/>
      <c r="V15" s="14"/>
      <c r="W15" s="34"/>
      <c r="AB15">
        <v>11</v>
      </c>
    </row>
    <row r="16" spans="1:28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12"/>
      <c r="I16" s="13"/>
      <c r="J16" s="11"/>
      <c r="K16" s="12"/>
      <c r="L16" s="13"/>
      <c r="M16" s="11"/>
      <c r="N16" s="14"/>
      <c r="O16" s="11"/>
      <c r="P16" s="12"/>
      <c r="Q16" s="13"/>
      <c r="R16" s="11"/>
      <c r="S16" s="12"/>
      <c r="T16" s="13"/>
      <c r="U16" s="11"/>
      <c r="V16" s="14"/>
      <c r="W16" s="34"/>
      <c r="AB16">
        <v>365</v>
      </c>
    </row>
    <row r="17" spans="1:28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46</v>
      </c>
      <c r="G17" s="11"/>
      <c r="H17" s="12"/>
      <c r="I17" s="13"/>
      <c r="J17" s="11"/>
      <c r="K17" s="12"/>
      <c r="L17" s="13"/>
      <c r="M17" s="11"/>
      <c r="N17" s="14"/>
      <c r="O17" s="11"/>
      <c r="P17" s="12"/>
      <c r="Q17" s="13"/>
      <c r="R17" s="11"/>
      <c r="S17" s="12"/>
      <c r="T17" s="13"/>
      <c r="U17" s="11"/>
      <c r="V17" s="14"/>
      <c r="W17" s="34"/>
      <c r="AB17">
        <v>6</v>
      </c>
    </row>
    <row r="18" spans="1:28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47</v>
      </c>
      <c r="G18" s="36"/>
      <c r="H18" s="37"/>
      <c r="I18" s="38"/>
      <c r="J18" s="36"/>
      <c r="K18" s="37"/>
      <c r="L18" s="38"/>
      <c r="M18" s="36"/>
      <c r="N18" s="39"/>
      <c r="O18" s="36"/>
      <c r="P18" s="37"/>
      <c r="Q18" s="38"/>
      <c r="R18" s="36"/>
      <c r="S18" s="37"/>
      <c r="T18" s="38"/>
      <c r="U18" s="36"/>
      <c r="V18" s="39"/>
      <c r="W18" s="34"/>
      <c r="AB18">
        <v>9</v>
      </c>
    </row>
    <row r="19" spans="1:28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375</v>
      </c>
      <c r="H19" s="41">
        <f>SUM(H4:H18)</f>
        <v>74</v>
      </c>
      <c r="I19" s="42">
        <f t="shared" si="0"/>
        <v>0.19733333333333333</v>
      </c>
      <c r="J19" s="40">
        <f>SUM(J4:J18)</f>
        <v>385</v>
      </c>
      <c r="K19" s="41">
        <f>SUM(K4:K18)</f>
        <v>143</v>
      </c>
      <c r="L19" s="42">
        <f t="shared" ref="L19" si="6">K19/J19</f>
        <v>0.37142857142857144</v>
      </c>
      <c r="M19" s="40">
        <f>K19/H19</f>
        <v>1.9324324324324325</v>
      </c>
      <c r="N19" s="43" t="e">
        <f>AVERAGE(N4:N18)</f>
        <v>#DIV/0!</v>
      </c>
      <c r="O19" s="40">
        <f>SUM(O4:O18)</f>
        <v>52</v>
      </c>
      <c r="P19" s="41">
        <f>SUM(P4:P18)</f>
        <v>44</v>
      </c>
      <c r="Q19" s="42">
        <f t="shared" ref="Q19" si="7">P19/O19</f>
        <v>0.84615384615384615</v>
      </c>
      <c r="R19" s="40">
        <f>SUM(R4:R18)</f>
        <v>244</v>
      </c>
      <c r="S19" s="41">
        <f>SUM(S4:S18)</f>
        <v>200</v>
      </c>
      <c r="T19" s="42">
        <f t="shared" ref="T19" si="8">S19/R19</f>
        <v>0.81967213114754101</v>
      </c>
      <c r="U19" s="40">
        <f>S19/P19</f>
        <v>4.5454545454545459</v>
      </c>
      <c r="V19" s="43" t="e">
        <f>AVERAGE(V4:V18)</f>
        <v>#DIV/0!</v>
      </c>
      <c r="W19" s="44"/>
      <c r="AB19">
        <v>23</v>
      </c>
    </row>
    <row r="20" spans="1:28" ht="16.5" x14ac:dyDescent="0.45">
      <c r="A20" s="35" t="s">
        <v>20</v>
      </c>
      <c r="B20" s="26" t="s">
        <v>20</v>
      </c>
      <c r="C20" s="16" t="s">
        <v>21</v>
      </c>
      <c r="D20" s="15" t="s">
        <v>29</v>
      </c>
      <c r="E20" s="15" t="s">
        <v>30</v>
      </c>
      <c r="F20" s="52" t="s">
        <v>33</v>
      </c>
      <c r="G20" s="7">
        <v>50</v>
      </c>
      <c r="H20" s="8">
        <v>15</v>
      </c>
      <c r="I20" s="9">
        <f t="shared" si="0"/>
        <v>0.3</v>
      </c>
      <c r="J20" s="7">
        <v>40</v>
      </c>
      <c r="K20" s="8">
        <v>17</v>
      </c>
      <c r="L20" s="9">
        <f t="shared" ref="L20:L31" si="9">K20/J20</f>
        <v>0.42499999999999999</v>
      </c>
      <c r="M20" s="7">
        <f t="shared" ref="M20:M24" si="10">K20/H20</f>
        <v>1.1333333333333333</v>
      </c>
      <c r="N20" s="10">
        <v>1</v>
      </c>
      <c r="O20" s="7">
        <v>18</v>
      </c>
      <c r="P20" s="8">
        <v>16</v>
      </c>
      <c r="Q20" s="9">
        <f t="shared" ref="Q20:Q31" si="11">P20/O20</f>
        <v>0.88888888888888884</v>
      </c>
      <c r="R20" s="7">
        <v>25</v>
      </c>
      <c r="S20" s="8">
        <v>22</v>
      </c>
      <c r="T20" s="9">
        <f t="shared" ref="T20:T31" si="12">S20/R20</f>
        <v>0.88</v>
      </c>
      <c r="U20" s="7">
        <f t="shared" ref="U20:U24" si="13">S20/P20</f>
        <v>1.375</v>
      </c>
      <c r="V20" s="10">
        <v>1</v>
      </c>
      <c r="W20" s="34"/>
      <c r="AB20">
        <v>12</v>
      </c>
    </row>
    <row r="21" spans="1:28" ht="16.5" x14ac:dyDescent="0.45">
      <c r="A21" s="35" t="s">
        <v>20</v>
      </c>
      <c r="B21" s="26" t="s">
        <v>20</v>
      </c>
      <c r="C21" s="16" t="s">
        <v>21</v>
      </c>
      <c r="D21" s="16" t="s">
        <v>29</v>
      </c>
      <c r="E21" s="16" t="s">
        <v>30</v>
      </c>
      <c r="F21" s="18" t="s">
        <v>66</v>
      </c>
      <c r="G21" s="11">
        <v>50</v>
      </c>
      <c r="H21" s="12">
        <v>20</v>
      </c>
      <c r="I21" s="13">
        <f t="shared" si="0"/>
        <v>0.4</v>
      </c>
      <c r="J21" s="11">
        <v>40</v>
      </c>
      <c r="K21" s="12">
        <v>13</v>
      </c>
      <c r="L21" s="13">
        <f t="shared" si="9"/>
        <v>0.32500000000000001</v>
      </c>
      <c r="M21" s="11">
        <f t="shared" si="10"/>
        <v>0.65</v>
      </c>
      <c r="N21" s="14">
        <v>1</v>
      </c>
      <c r="O21" s="11">
        <v>15</v>
      </c>
      <c r="P21" s="12">
        <v>14</v>
      </c>
      <c r="Q21" s="13">
        <f t="shared" si="11"/>
        <v>0.93333333333333335</v>
      </c>
      <c r="R21" s="11">
        <v>20</v>
      </c>
      <c r="S21" s="12">
        <v>19</v>
      </c>
      <c r="T21" s="13">
        <f t="shared" si="12"/>
        <v>0.95</v>
      </c>
      <c r="U21" s="11">
        <f t="shared" si="13"/>
        <v>1.3571428571428572</v>
      </c>
      <c r="V21" s="14">
        <v>1</v>
      </c>
      <c r="W21" s="34"/>
      <c r="AB21">
        <v>9</v>
      </c>
    </row>
    <row r="22" spans="1:28" ht="16.5" x14ac:dyDescent="0.45">
      <c r="A22" s="35" t="s">
        <v>20</v>
      </c>
      <c r="B22" s="26" t="s">
        <v>20</v>
      </c>
      <c r="C22" s="16" t="s">
        <v>21</v>
      </c>
      <c r="D22" s="16" t="s">
        <v>29</v>
      </c>
      <c r="E22" s="16" t="s">
        <v>30</v>
      </c>
      <c r="F22" s="18" t="s">
        <v>34</v>
      </c>
      <c r="G22" s="11">
        <v>50</v>
      </c>
      <c r="H22" s="12">
        <v>20</v>
      </c>
      <c r="I22" s="13">
        <f t="shared" si="0"/>
        <v>0.4</v>
      </c>
      <c r="J22" s="11">
        <v>40</v>
      </c>
      <c r="K22" s="12">
        <v>20</v>
      </c>
      <c r="L22" s="13">
        <f t="shared" si="9"/>
        <v>0.5</v>
      </c>
      <c r="M22" s="11">
        <f t="shared" si="10"/>
        <v>1</v>
      </c>
      <c r="N22" s="14">
        <v>1</v>
      </c>
      <c r="O22" s="11">
        <v>17</v>
      </c>
      <c r="P22" s="12">
        <v>15</v>
      </c>
      <c r="Q22" s="13">
        <f t="shared" si="11"/>
        <v>0.88235294117647056</v>
      </c>
      <c r="R22" s="11">
        <v>23</v>
      </c>
      <c r="S22" s="12">
        <v>20</v>
      </c>
      <c r="T22" s="13">
        <f t="shared" si="12"/>
        <v>0.86956521739130432</v>
      </c>
      <c r="U22" s="11">
        <f t="shared" si="13"/>
        <v>1.3333333333333333</v>
      </c>
      <c r="V22" s="14">
        <v>1</v>
      </c>
      <c r="W22" s="34"/>
      <c r="AB22">
        <v>30</v>
      </c>
    </row>
    <row r="23" spans="1:28" ht="16.5" x14ac:dyDescent="0.45">
      <c r="A23" s="35" t="s">
        <v>20</v>
      </c>
      <c r="B23" s="26" t="s">
        <v>20</v>
      </c>
      <c r="C23" s="16" t="s">
        <v>21</v>
      </c>
      <c r="D23" s="16" t="s">
        <v>29</v>
      </c>
      <c r="E23" s="16" t="s">
        <v>30</v>
      </c>
      <c r="F23" s="18" t="s">
        <v>67</v>
      </c>
      <c r="G23" s="11">
        <v>50</v>
      </c>
      <c r="H23" s="12">
        <v>23</v>
      </c>
      <c r="I23" s="13">
        <f t="shared" si="0"/>
        <v>0.46</v>
      </c>
      <c r="J23" s="11">
        <v>40</v>
      </c>
      <c r="K23" s="12">
        <v>60</v>
      </c>
      <c r="L23" s="13">
        <f t="shared" si="9"/>
        <v>1.5</v>
      </c>
      <c r="M23" s="11">
        <f t="shared" si="10"/>
        <v>2.6086956521739131</v>
      </c>
      <c r="N23" s="14">
        <v>1</v>
      </c>
      <c r="O23" s="11">
        <v>17</v>
      </c>
      <c r="P23" s="12">
        <v>15</v>
      </c>
      <c r="Q23" s="13">
        <f t="shared" si="11"/>
        <v>0.88235294117647056</v>
      </c>
      <c r="R23" s="11">
        <v>21</v>
      </c>
      <c r="S23" s="12">
        <v>19</v>
      </c>
      <c r="T23" s="13">
        <f t="shared" si="12"/>
        <v>0.90476190476190477</v>
      </c>
      <c r="U23" s="11">
        <f t="shared" si="13"/>
        <v>1.2666666666666666</v>
      </c>
      <c r="V23" s="14">
        <v>1</v>
      </c>
      <c r="W23" s="34"/>
      <c r="AB23">
        <v>36</v>
      </c>
    </row>
    <row r="24" spans="1:28" ht="17" thickBot="1" x14ac:dyDescent="0.5">
      <c r="A24" s="35" t="s">
        <v>20</v>
      </c>
      <c r="B24" s="26" t="s">
        <v>20</v>
      </c>
      <c r="C24" s="16" t="s">
        <v>21</v>
      </c>
      <c r="D24" s="19" t="s">
        <v>29</v>
      </c>
      <c r="E24" s="19" t="s">
        <v>30</v>
      </c>
      <c r="F24" s="53" t="s">
        <v>68</v>
      </c>
      <c r="G24" s="36">
        <v>50</v>
      </c>
      <c r="H24" s="37">
        <v>15</v>
      </c>
      <c r="I24" s="38">
        <f t="shared" si="0"/>
        <v>0.3</v>
      </c>
      <c r="J24" s="36">
        <v>40</v>
      </c>
      <c r="K24" s="37">
        <v>13</v>
      </c>
      <c r="L24" s="38">
        <f t="shared" si="9"/>
        <v>0.32500000000000001</v>
      </c>
      <c r="M24" s="36">
        <f t="shared" si="10"/>
        <v>0.8666666666666667</v>
      </c>
      <c r="N24" s="39">
        <v>1</v>
      </c>
      <c r="O24" s="36">
        <v>19</v>
      </c>
      <c r="P24" s="37">
        <v>17</v>
      </c>
      <c r="Q24" s="38">
        <f t="shared" si="11"/>
        <v>0.89473684210526316</v>
      </c>
      <c r="R24" s="36">
        <v>20</v>
      </c>
      <c r="S24" s="37">
        <v>18</v>
      </c>
      <c r="T24" s="38">
        <f t="shared" si="12"/>
        <v>0.9</v>
      </c>
      <c r="U24" s="36">
        <f t="shared" si="13"/>
        <v>1.0588235294117647</v>
      </c>
      <c r="V24" s="39">
        <v>1</v>
      </c>
      <c r="W24" s="34"/>
    </row>
    <row r="25" spans="1:28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" si="14">SUM(H20:H24)</f>
        <v>93</v>
      </c>
      <c r="I25" s="42">
        <f t="shared" si="0"/>
        <v>0.372</v>
      </c>
      <c r="J25" s="40">
        <f>SUM(J20:J24)</f>
        <v>200</v>
      </c>
      <c r="K25" s="41">
        <f t="shared" ref="K25" si="15">SUM(K20:K24)</f>
        <v>123</v>
      </c>
      <c r="L25" s="42">
        <f t="shared" si="9"/>
        <v>0.61499999999999999</v>
      </c>
      <c r="M25" s="40">
        <f>K25/H25</f>
        <v>1.3225806451612903</v>
      </c>
      <c r="N25" s="43">
        <f>AVERAGE(N20:N24)</f>
        <v>1</v>
      </c>
      <c r="O25" s="40">
        <f>SUM(O20:O24)</f>
        <v>86</v>
      </c>
      <c r="P25" s="41">
        <f t="shared" ref="P25" si="16">SUM(P20:P24)</f>
        <v>77</v>
      </c>
      <c r="Q25" s="42">
        <f t="shared" si="11"/>
        <v>0.89534883720930236</v>
      </c>
      <c r="R25" s="40">
        <f>SUM(R20:R24)</f>
        <v>109</v>
      </c>
      <c r="S25" s="41">
        <f t="shared" ref="S25" si="17">SUM(S20:S24)</f>
        <v>98</v>
      </c>
      <c r="T25" s="42">
        <f t="shared" si="12"/>
        <v>0.8990825688073395</v>
      </c>
      <c r="U25" s="40">
        <f>S25/P25</f>
        <v>1.2727272727272727</v>
      </c>
      <c r="V25" s="43">
        <f>AVERAGE(V20:V24)</f>
        <v>1</v>
      </c>
      <c r="W25" s="44"/>
    </row>
    <row r="26" spans="1:28" ht="16.5" x14ac:dyDescent="0.45">
      <c r="A26" s="35" t="s">
        <v>20</v>
      </c>
      <c r="B26" s="26" t="s">
        <v>20</v>
      </c>
      <c r="C26" s="16" t="s">
        <v>21</v>
      </c>
      <c r="D26" s="15" t="s">
        <v>35</v>
      </c>
      <c r="E26" s="15" t="s">
        <v>36</v>
      </c>
      <c r="F26" s="52" t="s">
        <v>69</v>
      </c>
      <c r="G26" s="7">
        <v>600</v>
      </c>
      <c r="H26" s="8">
        <v>9</v>
      </c>
      <c r="I26" s="9">
        <f t="shared" si="0"/>
        <v>1.4999999999999999E-2</v>
      </c>
      <c r="J26" s="7">
        <v>500</v>
      </c>
      <c r="K26" s="8">
        <v>15</v>
      </c>
      <c r="L26" s="9">
        <f t="shared" si="9"/>
        <v>0.03</v>
      </c>
      <c r="M26" s="7">
        <f t="shared" ref="M26:M29" si="18">K26/H26</f>
        <v>1.6666666666666667</v>
      </c>
      <c r="N26" s="10">
        <v>0</v>
      </c>
      <c r="O26" s="7">
        <v>20</v>
      </c>
      <c r="P26" s="8">
        <v>0</v>
      </c>
      <c r="Q26" s="9">
        <f t="shared" si="11"/>
        <v>0</v>
      </c>
      <c r="R26" s="7">
        <v>47</v>
      </c>
      <c r="S26" s="8">
        <v>0</v>
      </c>
      <c r="T26" s="9">
        <f t="shared" si="12"/>
        <v>0</v>
      </c>
      <c r="U26" s="7" t="e">
        <f t="shared" ref="U26:U29" si="19">S26/P26</f>
        <v>#DIV/0!</v>
      </c>
      <c r="V26" s="10">
        <v>1</v>
      </c>
      <c r="W26" s="34"/>
    </row>
    <row r="27" spans="1:28" ht="16.5" x14ac:dyDescent="0.45">
      <c r="A27" s="35" t="s">
        <v>20</v>
      </c>
      <c r="B27" s="26" t="s">
        <v>20</v>
      </c>
      <c r="C27" s="16" t="s">
        <v>21</v>
      </c>
      <c r="D27" s="16" t="s">
        <v>35</v>
      </c>
      <c r="E27" s="16" t="s">
        <v>36</v>
      </c>
      <c r="F27" s="18" t="s">
        <v>70</v>
      </c>
      <c r="G27" s="11">
        <v>600</v>
      </c>
      <c r="H27" s="12">
        <v>12</v>
      </c>
      <c r="I27" s="13">
        <f t="shared" si="0"/>
        <v>0.02</v>
      </c>
      <c r="J27" s="7">
        <v>500</v>
      </c>
      <c r="K27" s="12">
        <v>8</v>
      </c>
      <c r="L27" s="13">
        <f t="shared" si="9"/>
        <v>1.6E-2</v>
      </c>
      <c r="M27" s="11">
        <f t="shared" si="18"/>
        <v>0.66666666666666663</v>
      </c>
      <c r="N27" s="14">
        <v>0</v>
      </c>
      <c r="O27" s="11">
        <v>14</v>
      </c>
      <c r="P27" s="12">
        <v>7</v>
      </c>
      <c r="Q27" s="13">
        <f t="shared" si="11"/>
        <v>0.5</v>
      </c>
      <c r="R27" s="11">
        <v>30</v>
      </c>
      <c r="S27" s="12">
        <v>7</v>
      </c>
      <c r="T27" s="13">
        <f t="shared" si="12"/>
        <v>0.23333333333333334</v>
      </c>
      <c r="U27" s="11">
        <f t="shared" si="19"/>
        <v>1</v>
      </c>
      <c r="V27" s="14">
        <v>1</v>
      </c>
      <c r="W27" s="34"/>
    </row>
    <row r="28" spans="1:28" ht="16.5" x14ac:dyDescent="0.45">
      <c r="A28" s="35" t="s">
        <v>20</v>
      </c>
      <c r="B28" s="26" t="s">
        <v>20</v>
      </c>
      <c r="C28" s="16" t="s">
        <v>21</v>
      </c>
      <c r="D28" s="16" t="s">
        <v>35</v>
      </c>
      <c r="E28" s="16" t="s">
        <v>36</v>
      </c>
      <c r="F28" s="18" t="s">
        <v>49</v>
      </c>
      <c r="G28" s="11">
        <v>600</v>
      </c>
      <c r="H28" s="12">
        <v>13</v>
      </c>
      <c r="I28" s="13">
        <f t="shared" si="0"/>
        <v>2.1666666666666667E-2</v>
      </c>
      <c r="J28" s="7">
        <v>500</v>
      </c>
      <c r="K28" s="12">
        <v>10</v>
      </c>
      <c r="L28" s="13">
        <f t="shared" si="9"/>
        <v>0.02</v>
      </c>
      <c r="M28" s="11">
        <f t="shared" si="18"/>
        <v>0.76923076923076927</v>
      </c>
      <c r="N28" s="14">
        <v>0</v>
      </c>
      <c r="O28" s="11">
        <v>20</v>
      </c>
      <c r="P28" s="12">
        <v>19</v>
      </c>
      <c r="Q28" s="13">
        <f t="shared" si="11"/>
        <v>0.95</v>
      </c>
      <c r="R28" s="11">
        <v>37</v>
      </c>
      <c r="S28" s="12">
        <v>13</v>
      </c>
      <c r="T28" s="13">
        <f t="shared" si="12"/>
        <v>0.35135135135135137</v>
      </c>
      <c r="U28" s="11">
        <f t="shared" si="19"/>
        <v>0.68421052631578949</v>
      </c>
      <c r="V28" s="14">
        <v>1</v>
      </c>
      <c r="W28" s="34"/>
    </row>
    <row r="29" spans="1:28" ht="17" thickBot="1" x14ac:dyDescent="0.5">
      <c r="A29" s="35" t="s">
        <v>20</v>
      </c>
      <c r="B29" s="26" t="s">
        <v>20</v>
      </c>
      <c r="C29" s="16" t="s">
        <v>21</v>
      </c>
      <c r="D29" s="19" t="s">
        <v>35</v>
      </c>
      <c r="E29" s="19" t="s">
        <v>36</v>
      </c>
      <c r="F29" s="53" t="s">
        <v>71</v>
      </c>
      <c r="G29" s="36">
        <v>600</v>
      </c>
      <c r="H29" s="37">
        <v>11</v>
      </c>
      <c r="I29" s="38">
        <f t="shared" si="0"/>
        <v>1.8333333333333333E-2</v>
      </c>
      <c r="J29" s="7">
        <v>500</v>
      </c>
      <c r="K29" s="37">
        <v>11</v>
      </c>
      <c r="L29" s="38">
        <f t="shared" si="9"/>
        <v>2.1999999999999999E-2</v>
      </c>
      <c r="M29" s="36">
        <f t="shared" si="18"/>
        <v>1</v>
      </c>
      <c r="N29" s="39">
        <v>0</v>
      </c>
      <c r="O29" s="36">
        <v>9</v>
      </c>
      <c r="P29" s="37">
        <v>10</v>
      </c>
      <c r="Q29" s="38">
        <f t="shared" si="11"/>
        <v>1.1111111111111112</v>
      </c>
      <c r="R29" s="36">
        <v>16</v>
      </c>
      <c r="S29" s="37">
        <v>12</v>
      </c>
      <c r="T29" s="38">
        <f t="shared" si="12"/>
        <v>0.75</v>
      </c>
      <c r="U29" s="36">
        <f t="shared" si="19"/>
        <v>1.2</v>
      </c>
      <c r="V29" s="39">
        <v>1</v>
      </c>
      <c r="W29" s="34"/>
    </row>
    <row r="30" spans="1:28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2400</v>
      </c>
      <c r="H30" s="41">
        <f t="shared" ref="H30" si="20">SUM(H26:H29)</f>
        <v>45</v>
      </c>
      <c r="I30" s="42">
        <f t="shared" si="0"/>
        <v>1.8749999999999999E-2</v>
      </c>
      <c r="J30" s="40">
        <f>SUM(J26:J29)</f>
        <v>2000</v>
      </c>
      <c r="K30" s="41">
        <f t="shared" ref="K30" si="21">SUM(K26:K29)</f>
        <v>44</v>
      </c>
      <c r="L30" s="42">
        <f t="shared" si="9"/>
        <v>2.1999999999999999E-2</v>
      </c>
      <c r="M30" s="40">
        <f>K30/H30</f>
        <v>0.97777777777777775</v>
      </c>
      <c r="N30" s="43">
        <f>AVERAGE(N26:N29)</f>
        <v>0</v>
      </c>
      <c r="O30" s="40">
        <f>SUM(O26:O29)</f>
        <v>63</v>
      </c>
      <c r="P30" s="41">
        <f t="shared" ref="P30" si="22">SUM(P26:P29)</f>
        <v>36</v>
      </c>
      <c r="Q30" s="42">
        <f t="shared" si="11"/>
        <v>0.5714285714285714</v>
      </c>
      <c r="R30" s="40">
        <f>SUM(R26:R29)</f>
        <v>130</v>
      </c>
      <c r="S30" s="41">
        <f t="shared" ref="S30" si="23">SUM(S26:S29)</f>
        <v>32</v>
      </c>
      <c r="T30" s="42">
        <f t="shared" si="12"/>
        <v>0.24615384615384617</v>
      </c>
      <c r="U30" s="40">
        <f>S30/P30</f>
        <v>0.88888888888888884</v>
      </c>
      <c r="V30" s="43">
        <f>AVERAGE(V26:V29)</f>
        <v>1</v>
      </c>
      <c r="W30" s="44"/>
    </row>
    <row r="31" spans="1:28" ht="15" thickBot="1" x14ac:dyDescent="0.4">
      <c r="A31" s="45" t="s">
        <v>20</v>
      </c>
      <c r="B31" s="56" t="s">
        <v>37</v>
      </c>
      <c r="C31" s="57"/>
      <c r="D31" s="57"/>
      <c r="E31" s="57"/>
      <c r="F31" s="57"/>
      <c r="G31" s="20">
        <f>+G30+G25+G19</f>
        <v>3025</v>
      </c>
      <c r="H31" s="21">
        <f t="shared" ref="H31" si="24">+H30+H25+H19</f>
        <v>212</v>
      </c>
      <c r="I31" s="22">
        <f t="shared" si="0"/>
        <v>7.0082644628099169E-2</v>
      </c>
      <c r="J31" s="20">
        <f>+J30+J25+J19</f>
        <v>2585</v>
      </c>
      <c r="K31" s="21">
        <f t="shared" ref="K31" si="25">+K30+K25+K19</f>
        <v>310</v>
      </c>
      <c r="L31" s="22">
        <f t="shared" si="9"/>
        <v>0.11992263056092843</v>
      </c>
      <c r="M31" s="20">
        <f>K31/H31</f>
        <v>1.4622641509433962</v>
      </c>
      <c r="N31" s="23" t="e">
        <f>AVERAGE(N30,N19,N25)</f>
        <v>#DIV/0!</v>
      </c>
      <c r="O31" s="20">
        <f>+O30+O25+O19</f>
        <v>201</v>
      </c>
      <c r="P31" s="21">
        <f t="shared" ref="P31" si="26">+P30+P25+P19</f>
        <v>157</v>
      </c>
      <c r="Q31" s="22">
        <f t="shared" si="11"/>
        <v>0.78109452736318408</v>
      </c>
      <c r="R31" s="20">
        <f>+R30+R25+R19</f>
        <v>483</v>
      </c>
      <c r="S31" s="21">
        <f t="shared" ref="S31" si="27">+S30+S25+S19</f>
        <v>330</v>
      </c>
      <c r="T31" s="22">
        <f t="shared" si="12"/>
        <v>0.68322981366459623</v>
      </c>
      <c r="U31" s="20">
        <f>S31/P31</f>
        <v>2.1019108280254777</v>
      </c>
      <c r="V31" s="23" t="e">
        <f>AVERAGE(V30,V19,V25)</f>
        <v>#DIV/0!</v>
      </c>
      <c r="W31" s="34"/>
    </row>
  </sheetData>
  <mergeCells count="9">
    <mergeCell ref="D19:F19"/>
    <mergeCell ref="D25:F25"/>
    <mergeCell ref="D30:F30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Q31"/>
  <sheetViews>
    <sheetView tabSelected="1" topLeftCell="A4" zoomScale="115" zoomScaleNormal="115" workbookViewId="0">
      <selection activeCell="H16" sqref="H16"/>
    </sheetView>
  </sheetViews>
  <sheetFormatPr defaultRowHeight="14.5" x14ac:dyDescent="0.35"/>
  <cols>
    <col min="1" max="1" width="8.7265625" bestFit="1" customWidth="1"/>
    <col min="2" max="2" width="11.26953125" bestFit="1" customWidth="1"/>
    <col min="3" max="3" width="10.81640625" bestFit="1" customWidth="1"/>
    <col min="4" max="4" width="13.26953125" bestFit="1" customWidth="1"/>
    <col min="5" max="5" width="17.453125" bestFit="1" customWidth="1"/>
    <col min="6" max="6" width="26" bestFit="1" customWidth="1"/>
    <col min="7" max="7" width="5" style="24" bestFit="1" customWidth="1"/>
    <col min="8" max="8" width="9.81640625" bestFit="1" customWidth="1"/>
    <col min="9" max="9" width="7.1796875" bestFit="1" customWidth="1"/>
    <col min="10" max="10" width="6.1796875" bestFit="1" customWidth="1"/>
    <col min="11" max="11" width="8.54296875" bestFit="1" customWidth="1"/>
    <col min="12" max="12" width="7.1796875" bestFit="1" customWidth="1"/>
    <col min="13" max="13" width="7.26953125" bestFit="1" customWidth="1"/>
    <col min="14" max="14" width="4.81640625" bestFit="1" customWidth="1"/>
    <col min="15" max="15" width="7.1796875" bestFit="1" customWidth="1"/>
    <col min="16" max="16" width="8.1796875" bestFit="1" customWidth="1"/>
    <col min="17" max="17" width="8.26953125" bestFit="1" customWidth="1"/>
  </cols>
  <sheetData>
    <row r="1" spans="1:17" ht="15" thickBot="1" x14ac:dyDescent="0.4">
      <c r="A1" s="61" t="s">
        <v>55</v>
      </c>
      <c r="B1" s="61" t="s">
        <v>56</v>
      </c>
      <c r="C1" s="61" t="s">
        <v>57</v>
      </c>
      <c r="D1" s="61" t="s">
        <v>58</v>
      </c>
    </row>
    <row r="2" spans="1:17" ht="15" thickBot="1" x14ac:dyDescent="0.4">
      <c r="A2" s="62">
        <v>26</v>
      </c>
      <c r="B2" s="24">
        <v>26</v>
      </c>
      <c r="C2" s="63">
        <f>+B2/A2</f>
        <v>1</v>
      </c>
      <c r="D2" s="62">
        <f>+A2-B2</f>
        <v>0</v>
      </c>
      <c r="F2" s="94">
        <v>46265</v>
      </c>
      <c r="G2" s="107" t="s">
        <v>38</v>
      </c>
      <c r="H2" s="108"/>
      <c r="I2" s="108"/>
      <c r="J2" s="104" t="s">
        <v>59</v>
      </c>
      <c r="K2" s="105"/>
      <c r="L2" s="105"/>
      <c r="M2" s="105"/>
      <c r="N2" s="106"/>
      <c r="O2" s="110" t="s">
        <v>39</v>
      </c>
      <c r="P2" s="111"/>
    </row>
    <row r="3" spans="1:17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59" t="s">
        <v>40</v>
      </c>
      <c r="I3" s="27" t="s">
        <v>12</v>
      </c>
      <c r="J3" s="64" t="s">
        <v>41</v>
      </c>
      <c r="K3" s="65" t="s">
        <v>42</v>
      </c>
      <c r="L3" s="65" t="s">
        <v>12</v>
      </c>
      <c r="M3" s="65" t="s">
        <v>60</v>
      </c>
      <c r="N3" s="66" t="s">
        <v>61</v>
      </c>
      <c r="O3" s="67" t="s">
        <v>15</v>
      </c>
      <c r="P3" s="60" t="s">
        <v>16</v>
      </c>
      <c r="Q3" s="28" t="s">
        <v>17</v>
      </c>
    </row>
    <row r="4" spans="1:17" ht="17" thickBot="1" x14ac:dyDescent="0.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600</v>
      </c>
      <c r="H4" s="31">
        <v>296</v>
      </c>
      <c r="I4" s="68">
        <f t="shared" ref="I4:I31" si="0">H4/G4</f>
        <v>0.49333333333333335</v>
      </c>
      <c r="J4" s="30">
        <v>550</v>
      </c>
      <c r="K4" s="8">
        <v>349</v>
      </c>
      <c r="L4" s="87">
        <f t="shared" ref="L4:L29" si="1">K4/J4</f>
        <v>0.63454545454545452</v>
      </c>
      <c r="M4" s="8">
        <f t="shared" ref="M4:M6" si="2">J4-K4</f>
        <v>201</v>
      </c>
      <c r="N4" s="10" t="e">
        <f t="shared" ref="N4:N6" si="3">M4/$D$2</f>
        <v>#DIV/0!</v>
      </c>
      <c r="O4" s="69">
        <f t="shared" ref="O4:P12" si="4">K4/H4</f>
        <v>1.1790540540540539</v>
      </c>
      <c r="P4" s="33">
        <v>3</v>
      </c>
      <c r="Q4" s="34"/>
    </row>
    <row r="5" spans="1:17" ht="17" thickBot="1" x14ac:dyDescent="0.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30">
        <v>600</v>
      </c>
      <c r="H5" s="12">
        <v>201</v>
      </c>
      <c r="I5" s="70">
        <f t="shared" si="0"/>
        <v>0.33500000000000002</v>
      </c>
      <c r="J5" s="11">
        <v>450</v>
      </c>
      <c r="K5" s="12">
        <v>227</v>
      </c>
      <c r="L5" s="71">
        <f t="shared" si="1"/>
        <v>0.50444444444444447</v>
      </c>
      <c r="M5" s="12">
        <f t="shared" si="2"/>
        <v>223</v>
      </c>
      <c r="N5" s="14" t="e">
        <f t="shared" si="3"/>
        <v>#DIV/0!</v>
      </c>
      <c r="O5" s="72">
        <f t="shared" si="4"/>
        <v>1.1293532338308458</v>
      </c>
      <c r="P5" s="14">
        <f t="shared" si="4"/>
        <v>1.5058043117744611</v>
      </c>
      <c r="Q5" s="34"/>
    </row>
    <row r="6" spans="1:17" ht="17" thickBot="1" x14ac:dyDescent="0.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73</v>
      </c>
      <c r="G6" s="30">
        <v>600</v>
      </c>
      <c r="H6" s="12">
        <v>161</v>
      </c>
      <c r="I6" s="70">
        <f t="shared" si="0"/>
        <v>0.26833333333333331</v>
      </c>
      <c r="J6" s="11">
        <v>550</v>
      </c>
      <c r="K6" s="12">
        <v>294</v>
      </c>
      <c r="L6" s="71">
        <f t="shared" si="1"/>
        <v>0.53454545454545455</v>
      </c>
      <c r="M6" s="12">
        <f t="shared" si="2"/>
        <v>256</v>
      </c>
      <c r="N6" s="14" t="e">
        <f t="shared" si="3"/>
        <v>#DIV/0!</v>
      </c>
      <c r="O6" s="72">
        <f t="shared" si="4"/>
        <v>1.826086956521739</v>
      </c>
      <c r="P6" s="14">
        <f t="shared" si="4"/>
        <v>1.9920948616600791</v>
      </c>
      <c r="Q6" s="34"/>
    </row>
    <row r="7" spans="1:17" ht="17" thickBot="1" x14ac:dyDescent="0.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72</v>
      </c>
      <c r="G7" s="30">
        <v>600</v>
      </c>
      <c r="H7" s="12">
        <v>86</v>
      </c>
      <c r="I7" s="70">
        <f t="shared" si="0"/>
        <v>0.14333333333333334</v>
      </c>
      <c r="J7" s="11">
        <v>400</v>
      </c>
      <c r="K7" s="12">
        <v>104</v>
      </c>
      <c r="L7" s="71">
        <f t="shared" si="1"/>
        <v>0.26</v>
      </c>
      <c r="M7" s="12">
        <f t="shared" ref="M7:M31" si="5">J7-K7</f>
        <v>296</v>
      </c>
      <c r="N7" s="14" t="e">
        <f t="shared" ref="N7:N31" si="6">M7/$D$2</f>
        <v>#DIV/0!</v>
      </c>
      <c r="O7" s="72">
        <f t="shared" si="4"/>
        <v>1.2093023255813953</v>
      </c>
      <c r="P7" s="14">
        <f t="shared" si="4"/>
        <v>1.8139534883720929</v>
      </c>
      <c r="Q7" s="34"/>
    </row>
    <row r="8" spans="1:17" ht="17" thickBot="1" x14ac:dyDescent="0.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74</v>
      </c>
      <c r="G8" s="30">
        <v>600</v>
      </c>
      <c r="H8" s="12">
        <f>40+5+5+1+5+10</f>
        <v>66</v>
      </c>
      <c r="I8" s="70">
        <f t="shared" si="0"/>
        <v>0.11</v>
      </c>
      <c r="J8" s="11">
        <v>575</v>
      </c>
      <c r="K8" s="12">
        <v>65</v>
      </c>
      <c r="L8" s="71">
        <f t="shared" si="1"/>
        <v>0.11304347826086956</v>
      </c>
      <c r="M8" s="12">
        <f t="shared" si="5"/>
        <v>510</v>
      </c>
      <c r="N8" s="14" t="e">
        <f t="shared" si="6"/>
        <v>#DIV/0!</v>
      </c>
      <c r="O8" s="72">
        <f t="shared" si="4"/>
        <v>0.98484848484848486</v>
      </c>
      <c r="P8" s="14">
        <f t="shared" si="4"/>
        <v>1.0276679841897234</v>
      </c>
      <c r="Q8" s="34"/>
    </row>
    <row r="9" spans="1:17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26</v>
      </c>
      <c r="G9" s="30">
        <v>600</v>
      </c>
      <c r="H9" s="12"/>
      <c r="I9" s="70">
        <f t="shared" si="0"/>
        <v>0</v>
      </c>
      <c r="J9" s="11">
        <v>550</v>
      </c>
      <c r="K9" s="12"/>
      <c r="L9" s="71">
        <f t="shared" si="1"/>
        <v>0</v>
      </c>
      <c r="M9" s="12">
        <f t="shared" si="5"/>
        <v>550</v>
      </c>
      <c r="N9" s="14" t="e">
        <f t="shared" si="6"/>
        <v>#DIV/0!</v>
      </c>
      <c r="O9" s="72" t="e">
        <f t="shared" si="4"/>
        <v>#DIV/0!</v>
      </c>
      <c r="P9" s="14" t="e">
        <f t="shared" si="4"/>
        <v>#DIV/0!</v>
      </c>
      <c r="Q9" s="34"/>
    </row>
    <row r="10" spans="1:17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27</v>
      </c>
      <c r="G10" s="11">
        <v>200</v>
      </c>
      <c r="H10" s="12">
        <v>82</v>
      </c>
      <c r="I10" s="70">
        <f t="shared" si="0"/>
        <v>0.41</v>
      </c>
      <c r="J10" s="11">
        <v>3000</v>
      </c>
      <c r="K10" s="12">
        <v>1687</v>
      </c>
      <c r="L10" s="71">
        <f t="shared" si="1"/>
        <v>0.56233333333333335</v>
      </c>
      <c r="M10" s="12">
        <f t="shared" si="5"/>
        <v>1313</v>
      </c>
      <c r="N10" s="14" t="e">
        <f t="shared" si="6"/>
        <v>#DIV/0!</v>
      </c>
      <c r="O10" s="72">
        <f t="shared" si="4"/>
        <v>20.573170731707318</v>
      </c>
      <c r="P10" s="14">
        <f t="shared" si="4"/>
        <v>1.3715447154471545</v>
      </c>
      <c r="Q10" s="34"/>
    </row>
    <row r="11" spans="1:17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62</v>
      </c>
      <c r="G11" s="11">
        <v>600</v>
      </c>
      <c r="H11" s="12">
        <f>322+12+10+10+18+12</f>
        <v>384</v>
      </c>
      <c r="I11" s="70">
        <f t="shared" si="0"/>
        <v>0.64</v>
      </c>
      <c r="J11" s="11">
        <v>650</v>
      </c>
      <c r="K11" s="12"/>
      <c r="L11" s="71">
        <f t="shared" si="1"/>
        <v>0</v>
      </c>
      <c r="M11" s="12">
        <f t="shared" si="5"/>
        <v>650</v>
      </c>
      <c r="N11" s="14" t="e">
        <f t="shared" si="6"/>
        <v>#DIV/0!</v>
      </c>
      <c r="O11" s="72">
        <f t="shared" si="4"/>
        <v>0</v>
      </c>
      <c r="P11" s="14">
        <f t="shared" si="4"/>
        <v>0</v>
      </c>
      <c r="Q11" s="34"/>
    </row>
    <row r="12" spans="1:17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63</v>
      </c>
      <c r="G12" s="11">
        <v>600</v>
      </c>
      <c r="H12" s="12">
        <f>182+7+10+10+13+15+5</f>
        <v>242</v>
      </c>
      <c r="I12" s="70">
        <f t="shared" si="0"/>
        <v>0.40333333333333332</v>
      </c>
      <c r="J12" s="11">
        <v>550</v>
      </c>
      <c r="K12" s="12"/>
      <c r="L12" s="71">
        <f t="shared" si="1"/>
        <v>0</v>
      </c>
      <c r="M12" s="12">
        <f t="shared" si="5"/>
        <v>550</v>
      </c>
      <c r="N12" s="14" t="e">
        <f t="shared" si="6"/>
        <v>#DIV/0!</v>
      </c>
      <c r="O12" s="72">
        <f t="shared" si="4"/>
        <v>0</v>
      </c>
      <c r="P12" s="14">
        <f t="shared" si="4"/>
        <v>0</v>
      </c>
      <c r="Q12" s="34"/>
    </row>
    <row r="13" spans="1:17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17" t="s">
        <v>77</v>
      </c>
      <c r="G13" s="11">
        <v>600</v>
      </c>
      <c r="H13" s="12">
        <f>15+8+8+8</f>
        <v>39</v>
      </c>
      <c r="I13" s="70">
        <f t="shared" ref="I13:I15" si="7">H13/G13</f>
        <v>6.5000000000000002E-2</v>
      </c>
      <c r="J13" s="11">
        <v>450</v>
      </c>
      <c r="K13" s="12"/>
      <c r="L13" s="71">
        <f t="shared" ref="L13:L16" si="8">K13/J13</f>
        <v>0</v>
      </c>
      <c r="M13" s="12">
        <f t="shared" si="5"/>
        <v>450</v>
      </c>
      <c r="N13" s="14" t="e">
        <f t="shared" ref="N13:N15" si="9">M13/$D$2</f>
        <v>#DIV/0!</v>
      </c>
      <c r="O13" s="72">
        <f t="shared" ref="O13:O16" si="10">K13/H13</f>
        <v>0</v>
      </c>
      <c r="P13" s="14">
        <f t="shared" ref="P13:P16" si="11">L13/I13</f>
        <v>0</v>
      </c>
      <c r="Q13" s="34"/>
    </row>
    <row r="14" spans="1:17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44</v>
      </c>
      <c r="G14" s="11"/>
      <c r="H14" s="12">
        <v>1</v>
      </c>
      <c r="I14" s="70" t="e">
        <f t="shared" si="7"/>
        <v>#DIV/0!</v>
      </c>
      <c r="J14" s="11"/>
      <c r="K14" s="12">
        <v>100</v>
      </c>
      <c r="L14" s="71" t="e">
        <f t="shared" si="8"/>
        <v>#DIV/0!</v>
      </c>
      <c r="M14" s="12">
        <f t="shared" si="5"/>
        <v>-100</v>
      </c>
      <c r="N14" s="14" t="e">
        <f t="shared" si="9"/>
        <v>#DIV/0!</v>
      </c>
      <c r="O14" s="72">
        <f t="shared" si="10"/>
        <v>100</v>
      </c>
      <c r="P14" s="14" t="e">
        <f t="shared" si="11"/>
        <v>#DIV/0!</v>
      </c>
      <c r="Q14" s="34"/>
    </row>
    <row r="15" spans="1:17" ht="16.5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 t="s">
        <v>65</v>
      </c>
      <c r="G15" s="11"/>
      <c r="H15" s="12"/>
      <c r="I15" s="70" t="e">
        <f t="shared" si="7"/>
        <v>#DIV/0!</v>
      </c>
      <c r="J15" s="11"/>
      <c r="K15" s="12"/>
      <c r="L15" s="71" t="e">
        <f t="shared" si="8"/>
        <v>#DIV/0!</v>
      </c>
      <c r="M15" s="12">
        <f t="shared" si="5"/>
        <v>0</v>
      </c>
      <c r="N15" s="14" t="e">
        <f t="shared" si="9"/>
        <v>#DIV/0!</v>
      </c>
      <c r="O15" s="72" t="e">
        <f t="shared" si="10"/>
        <v>#DIV/0!</v>
      </c>
      <c r="P15" s="14" t="e">
        <f t="shared" si="11"/>
        <v>#DIV/0!</v>
      </c>
      <c r="Q15" s="34"/>
    </row>
    <row r="16" spans="1:17" ht="16.5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 t="s">
        <v>64</v>
      </c>
      <c r="G16" s="11"/>
      <c r="H16" s="12">
        <v>2</v>
      </c>
      <c r="I16" s="70" t="e">
        <f t="shared" ref="I16" si="12">H16/G16</f>
        <v>#DIV/0!</v>
      </c>
      <c r="J16" s="11"/>
      <c r="K16" s="12">
        <v>1000</v>
      </c>
      <c r="L16" s="71" t="e">
        <f t="shared" si="8"/>
        <v>#DIV/0!</v>
      </c>
      <c r="M16" s="12">
        <f t="shared" si="5"/>
        <v>-1000</v>
      </c>
      <c r="N16" s="14" t="e">
        <f t="shared" si="6"/>
        <v>#DIV/0!</v>
      </c>
      <c r="O16" s="72">
        <f t="shared" si="10"/>
        <v>500</v>
      </c>
      <c r="P16" s="14" t="e">
        <f t="shared" si="11"/>
        <v>#DIV/0!</v>
      </c>
      <c r="Q16" s="34"/>
    </row>
    <row r="17" spans="1:17" ht="16.5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 t="s">
        <v>46</v>
      </c>
      <c r="G17" s="11"/>
      <c r="H17" s="12"/>
      <c r="I17" s="70"/>
      <c r="J17" s="11"/>
      <c r="K17" s="12"/>
      <c r="L17" s="71"/>
      <c r="M17" s="12">
        <f t="shared" si="5"/>
        <v>0</v>
      </c>
      <c r="N17" s="14" t="e">
        <f t="shared" si="6"/>
        <v>#DIV/0!</v>
      </c>
      <c r="O17" s="72"/>
      <c r="P17" s="14"/>
      <c r="Q17" s="34"/>
    </row>
    <row r="18" spans="1:17" ht="17" thickBot="1" x14ac:dyDescent="0.5">
      <c r="A18" s="35" t="s">
        <v>20</v>
      </c>
      <c r="B18" s="26" t="s">
        <v>20</v>
      </c>
      <c r="C18" s="16" t="s">
        <v>21</v>
      </c>
      <c r="D18" s="19" t="s">
        <v>19</v>
      </c>
      <c r="E18" s="19" t="s">
        <v>22</v>
      </c>
      <c r="F18" s="50" t="s">
        <v>47</v>
      </c>
      <c r="G18" s="36"/>
      <c r="H18" s="37"/>
      <c r="I18" s="73"/>
      <c r="J18" s="74"/>
      <c r="K18" s="75"/>
      <c r="L18" s="76"/>
      <c r="M18" s="75">
        <f t="shared" si="5"/>
        <v>0</v>
      </c>
      <c r="N18" s="77" t="e">
        <f t="shared" si="6"/>
        <v>#DIV/0!</v>
      </c>
      <c r="O18" s="78"/>
      <c r="P18" s="39"/>
      <c r="Q18" s="34"/>
    </row>
    <row r="19" spans="1:17" ht="15" thickBot="1" x14ac:dyDescent="0.4">
      <c r="A19" s="35" t="s">
        <v>20</v>
      </c>
      <c r="B19" s="26" t="s">
        <v>20</v>
      </c>
      <c r="C19" s="51" t="s">
        <v>21</v>
      </c>
      <c r="D19" s="98" t="s">
        <v>18</v>
      </c>
      <c r="E19" s="99"/>
      <c r="F19" s="100"/>
      <c r="G19" s="40">
        <f>SUM(G4:G18)</f>
        <v>5600</v>
      </c>
      <c r="H19" s="40">
        <f>SUM(H4:H18)</f>
        <v>1560</v>
      </c>
      <c r="I19" s="79">
        <f t="shared" si="0"/>
        <v>0.27857142857142858</v>
      </c>
      <c r="J19" s="80">
        <f>SUM(J4:J18)</f>
        <v>7725</v>
      </c>
      <c r="K19" s="80">
        <f>SUM(K4:K18)</f>
        <v>3826</v>
      </c>
      <c r="L19" s="82">
        <f>K19/J19</f>
        <v>0.49527508090614886</v>
      </c>
      <c r="M19" s="81">
        <f t="shared" si="5"/>
        <v>3899</v>
      </c>
      <c r="N19" s="83" t="e">
        <f t="shared" si="6"/>
        <v>#DIV/0!</v>
      </c>
      <c r="O19" s="84">
        <f>K19/H19</f>
        <v>2.4525641025641027</v>
      </c>
      <c r="P19" s="43" t="e">
        <f>AVERAGE(P4:P12)</f>
        <v>#DIV/0!</v>
      </c>
      <c r="Q19" s="44"/>
    </row>
    <row r="20" spans="1:17" ht="16.5" x14ac:dyDescent="0.45">
      <c r="A20" s="35" t="s">
        <v>20</v>
      </c>
      <c r="B20" s="26" t="s">
        <v>20</v>
      </c>
      <c r="C20" s="16" t="s">
        <v>21</v>
      </c>
      <c r="D20" s="15" t="s">
        <v>29</v>
      </c>
      <c r="E20" s="15" t="s">
        <v>30</v>
      </c>
      <c r="F20" s="52" t="s">
        <v>31</v>
      </c>
      <c r="G20" s="7">
        <v>50</v>
      </c>
      <c r="H20" s="8">
        <v>28</v>
      </c>
      <c r="I20" s="85">
        <f t="shared" si="0"/>
        <v>0.56000000000000005</v>
      </c>
      <c r="J20" s="7">
        <v>500</v>
      </c>
      <c r="K20" s="8">
        <v>35</v>
      </c>
      <c r="L20" s="87">
        <f t="shared" si="1"/>
        <v>7.0000000000000007E-2</v>
      </c>
      <c r="M20" s="8">
        <f t="shared" si="5"/>
        <v>465</v>
      </c>
      <c r="N20" s="10" t="e">
        <f t="shared" si="6"/>
        <v>#DIV/0!</v>
      </c>
      <c r="O20" s="86">
        <f t="shared" ref="O20:O24" si="13">K20/H20</f>
        <v>1.25</v>
      </c>
      <c r="P20" s="10">
        <v>1</v>
      </c>
      <c r="Q20" s="34"/>
    </row>
    <row r="21" spans="1:17" ht="16.5" x14ac:dyDescent="0.45">
      <c r="A21" s="35" t="s">
        <v>20</v>
      </c>
      <c r="B21" s="26" t="s">
        <v>20</v>
      </c>
      <c r="C21" s="16" t="s">
        <v>21</v>
      </c>
      <c r="D21" s="16" t="s">
        <v>29</v>
      </c>
      <c r="E21" s="16" t="s">
        <v>30</v>
      </c>
      <c r="F21" s="18" t="s">
        <v>32</v>
      </c>
      <c r="G21" s="7">
        <v>50</v>
      </c>
      <c r="H21" s="12">
        <v>27</v>
      </c>
      <c r="I21" s="70">
        <f t="shared" si="0"/>
        <v>0.54</v>
      </c>
      <c r="J21" s="11">
        <v>500</v>
      </c>
      <c r="K21" s="12">
        <v>33</v>
      </c>
      <c r="L21" s="71">
        <f t="shared" si="1"/>
        <v>6.6000000000000003E-2</v>
      </c>
      <c r="M21" s="12">
        <f t="shared" si="5"/>
        <v>467</v>
      </c>
      <c r="N21" s="14" t="e">
        <f t="shared" si="6"/>
        <v>#DIV/0!</v>
      </c>
      <c r="O21" s="72">
        <f t="shared" si="13"/>
        <v>1.2222222222222223</v>
      </c>
      <c r="P21" s="14">
        <v>1</v>
      </c>
      <c r="Q21" s="34"/>
    </row>
    <row r="22" spans="1:17" ht="16.5" x14ac:dyDescent="0.45">
      <c r="A22" s="35" t="s">
        <v>20</v>
      </c>
      <c r="B22" s="26" t="s">
        <v>20</v>
      </c>
      <c r="C22" s="16" t="s">
        <v>21</v>
      </c>
      <c r="D22" s="16" t="s">
        <v>29</v>
      </c>
      <c r="E22" s="16" t="s">
        <v>30</v>
      </c>
      <c r="F22" s="18" t="s">
        <v>33</v>
      </c>
      <c r="G22" s="7">
        <v>50</v>
      </c>
      <c r="H22" s="12">
        <v>24</v>
      </c>
      <c r="I22" s="70">
        <f t="shared" si="0"/>
        <v>0.48</v>
      </c>
      <c r="J22" s="11">
        <v>500</v>
      </c>
      <c r="K22" s="12">
        <v>36</v>
      </c>
      <c r="L22" s="71">
        <f t="shared" si="1"/>
        <v>7.1999999999999995E-2</v>
      </c>
      <c r="M22" s="12">
        <f t="shared" si="5"/>
        <v>464</v>
      </c>
      <c r="N22" s="14" t="e">
        <f t="shared" si="6"/>
        <v>#DIV/0!</v>
      </c>
      <c r="O22" s="72">
        <f t="shared" si="13"/>
        <v>1.5</v>
      </c>
      <c r="P22" s="14">
        <v>1</v>
      </c>
      <c r="Q22" s="34"/>
    </row>
    <row r="23" spans="1:17" ht="16.5" x14ac:dyDescent="0.45">
      <c r="A23" s="35" t="s">
        <v>20</v>
      </c>
      <c r="B23" s="26" t="s">
        <v>20</v>
      </c>
      <c r="C23" s="16" t="s">
        <v>21</v>
      </c>
      <c r="D23" s="16" t="s">
        <v>29</v>
      </c>
      <c r="E23" s="16" t="s">
        <v>30</v>
      </c>
      <c r="F23" s="18" t="s">
        <v>34</v>
      </c>
      <c r="G23" s="7">
        <v>50</v>
      </c>
      <c r="H23" s="12">
        <v>25</v>
      </c>
      <c r="I23" s="70">
        <f t="shared" si="0"/>
        <v>0.5</v>
      </c>
      <c r="J23" s="11">
        <v>500</v>
      </c>
      <c r="K23" s="12">
        <v>27</v>
      </c>
      <c r="L23" s="71">
        <f t="shared" si="1"/>
        <v>5.3999999999999999E-2</v>
      </c>
      <c r="M23" s="12">
        <f t="shared" si="5"/>
        <v>473</v>
      </c>
      <c r="N23" s="14" t="e">
        <f t="shared" si="6"/>
        <v>#DIV/0!</v>
      </c>
      <c r="O23" s="72">
        <f t="shared" si="13"/>
        <v>1.08</v>
      </c>
      <c r="P23" s="14">
        <v>1</v>
      </c>
      <c r="Q23" s="34"/>
    </row>
    <row r="24" spans="1:17" ht="17" thickBot="1" x14ac:dyDescent="0.5">
      <c r="A24" s="35" t="s">
        <v>20</v>
      </c>
      <c r="B24" s="26" t="s">
        <v>20</v>
      </c>
      <c r="C24" s="16" t="s">
        <v>21</v>
      </c>
      <c r="D24" s="19" t="s">
        <v>29</v>
      </c>
      <c r="E24" s="19" t="s">
        <v>30</v>
      </c>
      <c r="F24" s="53" t="s">
        <v>48</v>
      </c>
      <c r="G24" s="7">
        <v>50</v>
      </c>
      <c r="H24" s="37">
        <v>14</v>
      </c>
      <c r="I24" s="73">
        <f t="shared" si="0"/>
        <v>0.28000000000000003</v>
      </c>
      <c r="J24" s="74">
        <v>500</v>
      </c>
      <c r="K24" s="75">
        <v>16</v>
      </c>
      <c r="L24" s="76">
        <f t="shared" si="1"/>
        <v>3.2000000000000001E-2</v>
      </c>
      <c r="M24" s="75">
        <f t="shared" si="5"/>
        <v>484</v>
      </c>
      <c r="N24" s="77" t="e">
        <f t="shared" si="6"/>
        <v>#DIV/0!</v>
      </c>
      <c r="O24" s="78">
        <f t="shared" si="13"/>
        <v>1.1428571428571428</v>
      </c>
      <c r="P24" s="39">
        <v>1</v>
      </c>
      <c r="Q24" s="34"/>
    </row>
    <row r="25" spans="1:17" ht="15" thickBot="1" x14ac:dyDescent="0.4">
      <c r="A25" s="35" t="s">
        <v>20</v>
      </c>
      <c r="B25" s="26" t="s">
        <v>20</v>
      </c>
      <c r="C25" s="51" t="s">
        <v>21</v>
      </c>
      <c r="D25" s="98" t="s">
        <v>18</v>
      </c>
      <c r="E25" s="99"/>
      <c r="F25" s="100"/>
      <c r="G25" s="40">
        <f>SUM(G20:G24)</f>
        <v>250</v>
      </c>
      <c r="H25" s="41">
        <f t="shared" ref="H25:K25" si="14">SUM(H20:H24)</f>
        <v>118</v>
      </c>
      <c r="I25" s="79">
        <f t="shared" si="0"/>
        <v>0.47199999999999998</v>
      </c>
      <c r="J25" s="80">
        <f t="shared" si="14"/>
        <v>2500</v>
      </c>
      <c r="K25" s="81">
        <f t="shared" si="14"/>
        <v>147</v>
      </c>
      <c r="L25" s="82">
        <f>K25/J25</f>
        <v>5.8799999999999998E-2</v>
      </c>
      <c r="M25" s="81">
        <f t="shared" si="5"/>
        <v>2353</v>
      </c>
      <c r="N25" s="83" t="e">
        <f t="shared" si="6"/>
        <v>#DIV/0!</v>
      </c>
      <c r="O25" s="84">
        <f>K25/H25</f>
        <v>1.2457627118644068</v>
      </c>
      <c r="P25" s="43">
        <f>AVERAGE(P20:P24)</f>
        <v>1</v>
      </c>
      <c r="Q25" s="44"/>
    </row>
    <row r="26" spans="1:17" ht="16.5" x14ac:dyDescent="0.45">
      <c r="A26" s="35" t="s">
        <v>20</v>
      </c>
      <c r="B26" s="26" t="s">
        <v>20</v>
      </c>
      <c r="C26" s="16" t="s">
        <v>21</v>
      </c>
      <c r="D26" s="15" t="s">
        <v>35</v>
      </c>
      <c r="E26" s="15" t="s">
        <v>36</v>
      </c>
      <c r="F26" s="52" t="s">
        <v>49</v>
      </c>
      <c r="G26" s="7">
        <v>50</v>
      </c>
      <c r="H26" s="8">
        <v>24</v>
      </c>
      <c r="I26" s="85">
        <f t="shared" si="0"/>
        <v>0.48</v>
      </c>
      <c r="J26" s="7">
        <v>650</v>
      </c>
      <c r="K26" s="8">
        <v>34</v>
      </c>
      <c r="L26" s="87">
        <f t="shared" si="1"/>
        <v>5.2307692307692305E-2</v>
      </c>
      <c r="M26" s="8">
        <f t="shared" si="5"/>
        <v>616</v>
      </c>
      <c r="N26" s="10" t="e">
        <f t="shared" si="6"/>
        <v>#DIV/0!</v>
      </c>
      <c r="O26" s="86">
        <f t="shared" ref="O26:O29" si="15">K26/H26</f>
        <v>1.4166666666666667</v>
      </c>
      <c r="P26" s="10">
        <v>1</v>
      </c>
      <c r="Q26" s="34"/>
    </row>
    <row r="27" spans="1:17" ht="16.5" x14ac:dyDescent="0.45">
      <c r="A27" s="35" t="s">
        <v>20</v>
      </c>
      <c r="B27" s="26" t="s">
        <v>20</v>
      </c>
      <c r="C27" s="16" t="s">
        <v>21</v>
      </c>
      <c r="D27" s="16" t="s">
        <v>35</v>
      </c>
      <c r="E27" s="16" t="s">
        <v>36</v>
      </c>
      <c r="F27" s="18" t="s">
        <v>50</v>
      </c>
      <c r="G27" s="11">
        <v>50</v>
      </c>
      <c r="H27" s="12">
        <v>19</v>
      </c>
      <c r="I27" s="70">
        <f t="shared" si="0"/>
        <v>0.38</v>
      </c>
      <c r="J27" s="11">
        <v>600</v>
      </c>
      <c r="K27" s="12">
        <v>34</v>
      </c>
      <c r="L27" s="71">
        <f t="shared" si="1"/>
        <v>5.6666666666666664E-2</v>
      </c>
      <c r="M27" s="12">
        <f t="shared" si="5"/>
        <v>566</v>
      </c>
      <c r="N27" s="14" t="e">
        <f t="shared" si="6"/>
        <v>#DIV/0!</v>
      </c>
      <c r="O27" s="72">
        <f t="shared" si="15"/>
        <v>1.7894736842105263</v>
      </c>
      <c r="P27" s="14">
        <v>1</v>
      </c>
      <c r="Q27" s="34"/>
    </row>
    <row r="28" spans="1:17" ht="16.5" x14ac:dyDescent="0.45">
      <c r="A28" s="35" t="s">
        <v>20</v>
      </c>
      <c r="B28" s="26" t="s">
        <v>20</v>
      </c>
      <c r="C28" s="16" t="s">
        <v>21</v>
      </c>
      <c r="D28" s="16" t="s">
        <v>35</v>
      </c>
      <c r="E28" s="16" t="s">
        <v>36</v>
      </c>
      <c r="F28" s="18" t="s">
        <v>51</v>
      </c>
      <c r="G28" s="11">
        <v>50</v>
      </c>
      <c r="H28" s="12">
        <v>23</v>
      </c>
      <c r="I28" s="70">
        <f t="shared" si="0"/>
        <v>0.46</v>
      </c>
      <c r="J28" s="11">
        <v>600</v>
      </c>
      <c r="K28" s="12">
        <v>26</v>
      </c>
      <c r="L28" s="71">
        <f t="shared" si="1"/>
        <v>4.3333333333333335E-2</v>
      </c>
      <c r="M28" s="12">
        <f t="shared" si="5"/>
        <v>574</v>
      </c>
      <c r="N28" s="14" t="e">
        <f t="shared" si="6"/>
        <v>#DIV/0!</v>
      </c>
      <c r="O28" s="72">
        <f t="shared" si="15"/>
        <v>1.1304347826086956</v>
      </c>
      <c r="P28" s="14">
        <v>1</v>
      </c>
      <c r="Q28" s="34"/>
    </row>
    <row r="29" spans="1:17" ht="17" thickBot="1" x14ac:dyDescent="0.5">
      <c r="A29" s="35" t="s">
        <v>20</v>
      </c>
      <c r="B29" s="26" t="s">
        <v>20</v>
      </c>
      <c r="C29" s="16" t="s">
        <v>21</v>
      </c>
      <c r="D29" s="19" t="s">
        <v>35</v>
      </c>
      <c r="E29" s="19" t="s">
        <v>36</v>
      </c>
      <c r="F29" s="53" t="s">
        <v>26</v>
      </c>
      <c r="G29" s="36">
        <v>50</v>
      </c>
      <c r="H29" s="37">
        <v>17</v>
      </c>
      <c r="I29" s="73">
        <f t="shared" si="0"/>
        <v>0.34</v>
      </c>
      <c r="J29" s="74">
        <v>650</v>
      </c>
      <c r="K29" s="75">
        <v>38</v>
      </c>
      <c r="L29" s="76">
        <f t="shared" si="1"/>
        <v>5.8461538461538461E-2</v>
      </c>
      <c r="M29" s="75">
        <f t="shared" si="5"/>
        <v>612</v>
      </c>
      <c r="N29" s="77" t="e">
        <f t="shared" si="6"/>
        <v>#DIV/0!</v>
      </c>
      <c r="O29" s="78">
        <f t="shared" si="15"/>
        <v>2.2352941176470589</v>
      </c>
      <c r="P29" s="39">
        <v>1</v>
      </c>
      <c r="Q29" s="34"/>
    </row>
    <row r="30" spans="1:17" ht="15" thickBot="1" x14ac:dyDescent="0.4">
      <c r="A30" s="35" t="s">
        <v>20</v>
      </c>
      <c r="B30" s="54" t="s">
        <v>20</v>
      </c>
      <c r="C30" s="55" t="s">
        <v>21</v>
      </c>
      <c r="D30" s="98" t="s">
        <v>18</v>
      </c>
      <c r="E30" s="99"/>
      <c r="F30" s="100"/>
      <c r="G30" s="40">
        <f>SUM(G26:G29)</f>
        <v>200</v>
      </c>
      <c r="H30" s="41">
        <f t="shared" ref="H30:K30" si="16">SUM(H26:H29)</f>
        <v>83</v>
      </c>
      <c r="I30" s="79">
        <f t="shared" si="0"/>
        <v>0.41499999999999998</v>
      </c>
      <c r="J30" s="80">
        <f t="shared" si="16"/>
        <v>2500</v>
      </c>
      <c r="K30" s="81">
        <f t="shared" si="16"/>
        <v>132</v>
      </c>
      <c r="L30" s="82">
        <f>K30/J30</f>
        <v>5.28E-2</v>
      </c>
      <c r="M30" s="81">
        <f t="shared" si="5"/>
        <v>2368</v>
      </c>
      <c r="N30" s="83" t="e">
        <f t="shared" si="6"/>
        <v>#DIV/0!</v>
      </c>
      <c r="O30" s="84">
        <f>K30/H30</f>
        <v>1.5903614457831325</v>
      </c>
      <c r="P30" s="43">
        <f>AVERAGE(P26:P29)</f>
        <v>1</v>
      </c>
      <c r="Q30" s="44"/>
    </row>
    <row r="31" spans="1:17" ht="15" thickBot="1" x14ac:dyDescent="0.4">
      <c r="A31" s="45" t="s">
        <v>20</v>
      </c>
      <c r="B31" s="56" t="s">
        <v>37</v>
      </c>
      <c r="C31" s="57"/>
      <c r="D31" s="57"/>
      <c r="E31" s="57"/>
      <c r="F31" s="57"/>
      <c r="G31" s="20">
        <f>+G30+G25+G19</f>
        <v>6050</v>
      </c>
      <c r="H31" s="21">
        <f t="shared" ref="H31:K31" si="17">+H30+H25+H19</f>
        <v>1761</v>
      </c>
      <c r="I31" s="88">
        <f t="shared" si="0"/>
        <v>0.29107438016528925</v>
      </c>
      <c r="J31" s="89">
        <f t="shared" si="17"/>
        <v>12725</v>
      </c>
      <c r="K31" s="90">
        <f t="shared" si="17"/>
        <v>4105</v>
      </c>
      <c r="L31" s="91">
        <f>K31/J31</f>
        <v>0.32259332023575638</v>
      </c>
      <c r="M31" s="90">
        <f t="shared" si="5"/>
        <v>8620</v>
      </c>
      <c r="N31" s="92" t="e">
        <f t="shared" si="6"/>
        <v>#DIV/0!</v>
      </c>
      <c r="O31" s="93">
        <f>K31/H31</f>
        <v>2.331061896649631</v>
      </c>
      <c r="P31" s="23" t="e">
        <f>AVERAGE(P30,P19,P25)</f>
        <v>#DIV/0!</v>
      </c>
      <c r="Q31" s="34"/>
    </row>
  </sheetData>
  <mergeCells count="6">
    <mergeCell ref="D19:F19"/>
    <mergeCell ref="D25:F25"/>
    <mergeCell ref="D30:F30"/>
    <mergeCell ref="O2:P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 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2026-09-14T05:29:25Z</dcterms:modified>
</cp:coreProperties>
</file>