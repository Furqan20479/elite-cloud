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56F0EDB3-41FC-4ECD-93C1-9211CF31B782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9" i="2"/>
  <c r="H7" i="2"/>
  <c r="H6" i="2"/>
  <c r="H5" i="2"/>
  <c r="H4" i="2"/>
  <c r="H8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<sst xmlns="http://schemas.openxmlformats.org/spreadsheetml/2006/main" count="369" uniqueCount="79">
  <si>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</si>
  <si>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</si>
  <si>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</si>
  <si>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</si>
  <si>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</si>
  <si>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</si>
  <si>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</si>
  <si>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</si>
  <si>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</si>
  <si>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</si>
  <si>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</si>
  <si>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</si>
  <si>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</si>
  <si>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</si>
  <si>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</si>
  <si>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</si>
  <si>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</si>
  <si>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</si>
  <si>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</si>
  <si>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</si>
  <si>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</si>
  <si>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</si>
  <si>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</si>
  <si>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</si>
  <si>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</si>
  <si>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</si>
  <si>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</si>
  <si>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</si>
  <si>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</si>
  <si>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</si>
  <si>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</si>
  <si>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</si>
  <si>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</si>
  <si>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</si>
  <si>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</si>
  <si>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</si>
  <si>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</si>
  <si>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</si>
  <si>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</si>
  <si>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</si>
  <si>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</si>
  <si>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</si>
  <si>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</si>
  <si>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</si>
  <si>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</si>
  <si>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</si>
  <si>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</si>
  <si>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</si>
  <si>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</si>
  <si>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</si>
  <si>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</si>
  <si>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</si>
  <si>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</si>
  <si>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</si>
  <si>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</si>
  <si>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</si>
  <si>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</si>
  <si>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</si>
  <si>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</si>
  <si>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</si>
  <si>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</si>
  <si>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</si>
  <si>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</si>
  <si>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</si>
  <si>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</si>
  <si>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</si>
  <si>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</si>
  <si>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</si>
  <si>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</si>
  <si>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</si>
  <si>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</si>
  <si>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</si>
  <si>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</si>
  <si>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</si>
  <si>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 xml:space="preserve">Jabran Iqbal </t>
  </si>
  <si>
    <t>Furqan</t>
  </si>
  <si>
    <t xml:space="preserve">Hasan </t>
  </si>
  <si>
    <t>Pendings</t>
  </si>
  <si>
    <t xml:space="preserve">Yasir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</si>
</sst>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D1" workbookViewId="0">
      <selection activeCell="M15" sqref="M15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46253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76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75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77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A4" zoomScale="85" zoomScaleNormal="85" workbookViewId="0">
      <selection activeCell="S9" sqref="S9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6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20</v>
      </c>
      <c r="C2" s="63">
        <f>+B2/A2</f>
        <v>0.76923076923076927</v>
      </c>
      <c r="D2" s="62">
        <f>+A2-B2</f>
        <v>6</v>
      </c>
      <c r="F2" s="94">
        <v>46258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92+9+11+10+6+12+6+6+12+6+10+14</f>
        <v>194</v>
      </c>
      <c r="I4" s="68">
        <f t="shared" ref="I4:I31" si="0">H4/G4</f>
        <v>0.32333333333333331</v>
      </c>
      <c r="J4" s="30">
        <v>550</v>
      </c>
      <c r="K4" s="8">
        <v>226</v>
      </c>
      <c r="L4" s="87">
        <f t="shared" ref="L4:L29" si="1">K4/J4</f>
        <v>0.41090909090909089</v>
      </c>
      <c r="M4" s="8">
        <f t="shared" ref="M4:M6" si="2">J4-K4</f>
        <v>324</v>
      </c>
      <c r="N4" s="10">
        <f t="shared" ref="N4:N6" si="3">M4/$D$2</f>
        <v>54</v>
      </c>
      <c r="O4" s="69">
        <f t="shared" ref="O4:P12" si="4">K4/H4</f>
        <v>1.1649484536082475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38+8+5+8+8+8+8+8+7+8+9</f>
        <v>115</v>
      </c>
      <c r="I5" s="70">
        <f t="shared" si="0"/>
        <v>0.19166666666666668</v>
      </c>
      <c r="J5" s="11">
        <v>450</v>
      </c>
      <c r="K5" s="12">
        <v>176</v>
      </c>
      <c r="L5" s="71">
        <f t="shared" si="1"/>
        <v>0.39111111111111113</v>
      </c>
      <c r="M5" s="12">
        <f t="shared" si="2"/>
        <v>274</v>
      </c>
      <c r="N5" s="14">
        <f t="shared" si="3"/>
        <v>45.666666666666664</v>
      </c>
      <c r="O5" s="72">
        <f t="shared" si="4"/>
        <v>1.5304347826086957</v>
      </c>
      <c r="P5" s="14">
        <f t="shared" si="4"/>
        <v>2.0405797101449274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32+7+9+6+8+5+9+7+5+6</f>
        <v>94</v>
      </c>
      <c r="I6" s="70">
        <f t="shared" si="0"/>
        <v>0.15666666666666668</v>
      </c>
      <c r="J6" s="11">
        <v>550</v>
      </c>
      <c r="K6" s="12">
        <v>197</v>
      </c>
      <c r="L6" s="71">
        <f t="shared" si="1"/>
        <v>0.35818181818181816</v>
      </c>
      <c r="M6" s="12">
        <f t="shared" si="2"/>
        <v>353</v>
      </c>
      <c r="N6" s="14">
        <f t="shared" si="3"/>
        <v>58.833333333333336</v>
      </c>
      <c r="O6" s="72">
        <f t="shared" si="4"/>
        <v>2.0957446808510638</v>
      </c>
      <c r="P6" s="14">
        <f t="shared" si="4"/>
        <v>2.2862669245647966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5+5+1+6+5+23+3+1+5+8</f>
        <v>62</v>
      </c>
      <c r="I7" s="70">
        <f t="shared" si="0"/>
        <v>0.10333333333333333</v>
      </c>
      <c r="J7" s="11">
        <v>400</v>
      </c>
      <c r="K7" s="12">
        <v>73</v>
      </c>
      <c r="L7" s="71">
        <f t="shared" si="1"/>
        <v>0.1825</v>
      </c>
      <c r="M7" s="12">
        <f t="shared" ref="M7:M31" si="5">J7-K7</f>
        <v>327</v>
      </c>
      <c r="N7" s="14">
        <f t="shared" ref="N7:N31" si="6">M7/$D$2</f>
        <v>54.5</v>
      </c>
      <c r="O7" s="72">
        <f t="shared" si="4"/>
        <v>1.1774193548387097</v>
      </c>
      <c r="P7" s="14">
        <f t="shared" si="4"/>
        <v>1.7661290322580645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f>4+5</f>
        <v>9</v>
      </c>
      <c r="I8" s="70">
        <f t="shared" si="0"/>
        <v>1.4999999999999999E-2</v>
      </c>
      <c r="J8" s="11">
        <v>575</v>
      </c>
      <c r="K8" s="12">
        <v>11</v>
      </c>
      <c r="L8" s="71">
        <f t="shared" si="1"/>
        <v>1.9130434782608695E-2</v>
      </c>
      <c r="M8" s="12">
        <f t="shared" si="5"/>
        <v>564</v>
      </c>
      <c r="N8" s="14">
        <f t="shared" si="6"/>
        <v>94</v>
      </c>
      <c r="O8" s="72">
        <f t="shared" si="4"/>
        <v>1.2222222222222223</v>
      </c>
      <c r="P8" s="14">
        <f t="shared" si="4"/>
        <v>1.2753623188405796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75</v>
      </c>
      <c r="G9" s="30">
        <v>600</v>
      </c>
      <c r="H9" s="12">
        <f>2+4+4+9+8</f>
        <v>27</v>
      </c>
      <c r="I9" s="70">
        <f t="shared" si="0"/>
        <v>4.4999999999999998E-2</v>
      </c>
      <c r="J9" s="11">
        <v>550</v>
      </c>
      <c r="K9" s="12">
        <v>31</v>
      </c>
      <c r="L9" s="71">
        <f t="shared" si="1"/>
        <v>5.6363636363636366E-2</v>
      </c>
      <c r="M9" s="12">
        <f t="shared" si="5"/>
        <v>519</v>
      </c>
      <c r="N9" s="14">
        <f t="shared" si="6"/>
        <v>86.5</v>
      </c>
      <c r="O9" s="72">
        <f t="shared" si="4"/>
        <v>1.1481481481481481</v>
      </c>
      <c r="P9" s="14">
        <f t="shared" si="4"/>
        <v>1.2525252525252526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22+2+7+3+7+5+6+4+10+5</f>
        <v>71</v>
      </c>
      <c r="I10" s="70">
        <f t="shared" si="0"/>
        <v>0.35499999999999998</v>
      </c>
      <c r="J10" s="11">
        <v>3000</v>
      </c>
      <c r="K10" s="12">
        <v>1333</v>
      </c>
      <c r="L10" s="71">
        <f t="shared" si="1"/>
        <v>0.44433333333333336</v>
      </c>
      <c r="M10" s="12">
        <f t="shared" si="5"/>
        <v>1667</v>
      </c>
      <c r="N10" s="14">
        <f t="shared" si="6"/>
        <v>277.83333333333331</v>
      </c>
      <c r="O10" s="72">
        <f t="shared" si="4"/>
        <v>18.774647887323944</v>
      </c>
      <c r="P10" s="14">
        <f t="shared" si="4"/>
        <v>1.2516431924882629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>
        <v>322</v>
      </c>
      <c r="I11" s="70">
        <f t="shared" si="0"/>
        <v>0.53666666666666663</v>
      </c>
      <c r="J11" s="11">
        <v>650</v>
      </c>
      <c r="K11" s="12">
        <v>370</v>
      </c>
      <c r="L11" s="71">
        <f t="shared" si="1"/>
        <v>0.56923076923076921</v>
      </c>
      <c r="M11" s="12">
        <f t="shared" si="5"/>
        <v>280</v>
      </c>
      <c r="N11" s="14">
        <f t="shared" si="6"/>
        <v>46.666666666666664</v>
      </c>
      <c r="O11" s="72">
        <f t="shared" si="4"/>
        <v>1.1490683229813665</v>
      </c>
      <c r="P11" s="14">
        <f t="shared" si="4"/>
        <v>1.0606784519827999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>
        <v>182</v>
      </c>
      <c r="I12" s="70">
        <f t="shared" si="0"/>
        <v>0.30333333333333334</v>
      </c>
      <c r="J12" s="11">
        <v>550</v>
      </c>
      <c r="K12" s="12">
        <v>185</v>
      </c>
      <c r="L12" s="71">
        <f t="shared" si="1"/>
        <v>0.33636363636363636</v>
      </c>
      <c r="M12" s="12">
        <f t="shared" si="5"/>
        <v>365</v>
      </c>
      <c r="N12" s="14">
        <f t="shared" si="6"/>
        <v>60.833333333333336</v>
      </c>
      <c r="O12" s="72">
        <f t="shared" si="4"/>
        <v>1.0164835164835164</v>
      </c>
      <c r="P12" s="14">
        <f t="shared" si="4"/>
        <v>1.1088911088911089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78</v>
      </c>
      <c r="G13" s="11">
        <v>600</v>
      </c>
      <c r="H13" s="12">
        <v>15</v>
      </c>
      <c r="I13" s="70">
        <f t="shared" ref="I13:I15" si="7">H13/G13</f>
        <v>2.5000000000000001E-2</v>
      </c>
      <c r="J13" s="11">
        <v>450</v>
      </c>
      <c r="K13" s="12">
        <v>14</v>
      </c>
      <c r="L13" s="71">
        <f t="shared" ref="L13:L16" si="8">K13/J13</f>
        <v>3.111111111111111E-2</v>
      </c>
      <c r="M13" s="12">
        <f t="shared" si="5"/>
        <v>436</v>
      </c>
      <c r="N13" s="14">
        <f t="shared" ref="N13:N15" si="9">M13/$D$2</f>
        <v>72.666666666666671</v>
      </c>
      <c r="O13" s="72">
        <f t="shared" ref="O13:O16" si="10">K13/H13</f>
        <v>0.93333333333333335</v>
      </c>
      <c r="P13" s="14">
        <f t="shared" ref="P13:P16" si="11">L13/I13</f>
        <v>1.2444444444444442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/>
      <c r="K14" s="12">
        <v>100</v>
      </c>
      <c r="L14" s="71" t="e">
        <f t="shared" si="8"/>
        <v>#DIV/0!</v>
      </c>
      <c r="M14" s="12">
        <f t="shared" si="5"/>
        <v>-100</v>
      </c>
      <c r="N14" s="14">
        <f t="shared" si="9"/>
        <v>-16.666666666666668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>
        <v>1</v>
      </c>
      <c r="I16" s="70" t="e">
        <f t="shared" ref="I16" si="12">H16/G16</f>
        <v>#DIV/0!</v>
      </c>
      <c r="J16" s="11"/>
      <c r="K16" s="12">
        <v>500</v>
      </c>
      <c r="L16" s="71" t="e">
        <f t="shared" si="8"/>
        <v>#DIV/0!</v>
      </c>
      <c r="M16" s="12">
        <f t="shared" si="5"/>
        <v>-500</v>
      </c>
      <c r="N16" s="14">
        <f t="shared" si="6"/>
        <v>-83.333333333333329</v>
      </c>
      <c r="O16" s="72">
        <f t="shared" si="10"/>
        <v>500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5600</v>
      </c>
      <c r="H19" s="40">
        <f>SUM(H4:H18)</f>
        <v>1093</v>
      </c>
      <c r="I19" s="79">
        <f t="shared" si="0"/>
        <v>0.19517857142857142</v>
      </c>
      <c r="J19" s="80">
        <f>SUM(J4:J18)</f>
        <v>7725</v>
      </c>
      <c r="K19" s="80">
        <f>SUM(K4:K18)</f>
        <v>3216</v>
      </c>
      <c r="L19" s="82">
        <f>K19/J19</f>
        <v>0.41631067961165047</v>
      </c>
      <c r="M19" s="81">
        <f t="shared" si="5"/>
        <v>4509</v>
      </c>
      <c r="N19" s="83">
        <f t="shared" si="6"/>
        <v>751.5</v>
      </c>
      <c r="O19" s="84">
        <f>K19/H19</f>
        <v>2.9423604757548034</v>
      </c>
      <c r="P19" s="43">
        <f>AVERAGE(P4:P12)</f>
        <v>1.6713417768550882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77.5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77.833333333333329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77.333333333333329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78.833333333333329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80.666666666666671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392.16666666666669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102.66666666666667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94.333333333333329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95.666666666666671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102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394.66666666666669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6050</v>
      </c>
      <c r="H31" s="21">
        <f t="shared" ref="H31:K31" si="17">+H30+H25+H19</f>
        <v>1294</v>
      </c>
      <c r="I31" s="88">
        <f t="shared" si="0"/>
        <v>0.21388429752066115</v>
      </c>
      <c r="J31" s="89">
        <f t="shared" si="17"/>
        <v>12725</v>
      </c>
      <c r="K31" s="90">
        <f t="shared" si="17"/>
        <v>3495</v>
      </c>
      <c r="L31" s="91">
        <f>K31/J31</f>
        <v>0.27465618860510804</v>
      </c>
      <c r="M31" s="90">
        <f t="shared" si="5"/>
        <v>9230</v>
      </c>
      <c r="N31" s="92">
        <f t="shared" si="6"/>
        <v>1538.3333333333333</v>
      </c>
      <c r="O31" s="93">
        <f>K31/H31</f>
        <v>2.7009273570324575</v>
      </c>
      <c r="P31" s="23">
        <f>AVERAGE(P30,P19,P25)</f>
        <v>1.2237805922850293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2026-08-25T05:42:07Z</dcterms:modified>
</cp:coreProperties>
</file>