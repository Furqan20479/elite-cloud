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FEBA9ECE-3109-4737-BA85-B1122877684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6" i="2"/>
  <c r="H7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<sst xmlns="http://schemas.openxmlformats.org/spreadsheetml/2006/main" count="370" uniqueCount="77">
  <si>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</si>
  <si>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</si>
  <si>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</si>
  <si>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</si>
  <si>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</si>
  <si>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</si>
  <si>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</si>
  <si>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</si>
  <si>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</si>
  <si>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</si>
  <si>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</si>
  <si>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</si>
  <si>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</si>
  <si>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</si>
  <si>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</si>
  <si>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</si>
  <si>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</si>
  <si>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</si>
  <si>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</si>
  <si>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</si>
  <si>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</si>
  <si>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</si>
  <si>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</si>
  <si>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</si>
  <si>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</si>
  <si>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</si>
  <si>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</si>
  <si>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</si>
  <si>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</si>
  <si>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</si>
  <si>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</si>
  <si>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</si>
  <si>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</si>
  <si>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</si>
  <si>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</si>
  <si>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</si>
  <si>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</si>
  <si>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</si>
  <si>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</si>
  <si>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</si>
  <si>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</si>
  <si>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</si>
  <si>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</si>
  <si>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</si>
  <si>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</si>
  <si>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</si>
  <si>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</si>
  <si>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</si>
  <si>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</si>
  <si>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</si>
  <si>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</si>
  <si>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</si>
  <si>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</si>
  <si>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</si>
  <si>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</si>
  <si>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</si>
  <si>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</si>
  <si>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</si>
  <si>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</si>
  <si>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</si>
  <si>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</si>
  <si>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</si>
  <si>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</si>
  <si>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</si>
  <si>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</si>
  <si>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</si>
  <si>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</si>
  <si>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</si>
  <si>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</si>
  <si>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</si>
  <si>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</si>
  <si>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</si>
  <si>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</si>
  <si>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</si>
  <si>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</si>
  <si>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Pending Supply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</si>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</sst>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I4" workbookViewId="0">
      <selection activeCell="Y8" sqref="Y8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46249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24</v>
      </c>
      <c r="L4" s="32">
        <f t="shared" ref="L4:L12" si="1">K4/J4</f>
        <v>0.6</v>
      </c>
      <c r="M4" s="30">
        <f t="shared" ref="M4:N12" si="2">K4/H4</f>
        <v>2.6666666666666665</v>
      </c>
      <c r="N4" s="33">
        <f t="shared" si="2"/>
        <v>3.3333333333333335</v>
      </c>
      <c r="O4" s="30"/>
      <c r="P4" s="96"/>
      <c r="Q4" s="32" t="e">
        <f t="shared" ref="Q4:Q12" si="3">P4/O4</f>
        <v>#DIV/0!</v>
      </c>
      <c r="R4" s="30"/>
      <c r="S4" s="96"/>
      <c r="T4" s="32" t="e">
        <f t="shared" ref="T4:T12" si="4">S4/R4</f>
        <v>#DIV/0!</v>
      </c>
      <c r="U4" s="30" t="e">
        <f t="shared" ref="U4:V12" si="5">S4/P4</f>
        <v>#DIV/0!</v>
      </c>
      <c r="V4" s="33" t="e">
        <f t="shared" si="5"/>
        <v>#DIV/0!</v>
      </c>
      <c r="W4" s="34" t="s">
        <v>75</v>
      </c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9</v>
      </c>
      <c r="I5" s="13">
        <f t="shared" si="0"/>
        <v>0.18</v>
      </c>
      <c r="J5" s="30">
        <v>30</v>
      </c>
      <c r="K5" s="12">
        <v>8</v>
      </c>
      <c r="L5" s="13">
        <f t="shared" si="1"/>
        <v>0.26666666666666666</v>
      </c>
      <c r="M5" s="11">
        <f t="shared" si="2"/>
        <v>0.88888888888888884</v>
      </c>
      <c r="N5" s="14">
        <f t="shared" si="2"/>
        <v>1.4814814814814816</v>
      </c>
      <c r="O5" s="30">
        <v>13</v>
      </c>
      <c r="P5" s="97">
        <v>5</v>
      </c>
      <c r="Q5" s="13">
        <f t="shared" si="3"/>
        <v>0.38461538461538464</v>
      </c>
      <c r="R5" s="30">
        <v>14</v>
      </c>
      <c r="S5" s="97">
        <v>11</v>
      </c>
      <c r="T5" s="13">
        <f t="shared" si="4"/>
        <v>0.7857142857142857</v>
      </c>
      <c r="U5" s="11">
        <f t="shared" si="5"/>
        <v>2.2000000000000002</v>
      </c>
      <c r="V5" s="14">
        <f t="shared" si="5"/>
        <v>2.0428571428571427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5</v>
      </c>
      <c r="I6" s="13">
        <f t="shared" si="0"/>
        <v>0.1</v>
      </c>
      <c r="J6" s="30">
        <v>25</v>
      </c>
      <c r="K6" s="12">
        <v>11</v>
      </c>
      <c r="L6" s="13">
        <f t="shared" si="1"/>
        <v>0.44</v>
      </c>
      <c r="M6" s="11">
        <f t="shared" si="2"/>
        <v>2.2000000000000002</v>
      </c>
      <c r="N6" s="14">
        <f t="shared" si="2"/>
        <v>4.3999999999999995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75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4</v>
      </c>
      <c r="I7" s="13">
        <f t="shared" si="0"/>
        <v>0.08</v>
      </c>
      <c r="J7" s="30">
        <v>30</v>
      </c>
      <c r="K7" s="12">
        <v>10</v>
      </c>
      <c r="L7" s="13">
        <f t="shared" si="1"/>
        <v>0.33333333333333331</v>
      </c>
      <c r="M7" s="11">
        <f t="shared" si="2"/>
        <v>2.5</v>
      </c>
      <c r="N7" s="14">
        <f t="shared" si="2"/>
        <v>4.1666666666666661</v>
      </c>
      <c r="O7" s="30">
        <v>3</v>
      </c>
      <c r="P7" s="97">
        <v>3</v>
      </c>
      <c r="Q7" s="13">
        <f t="shared" si="3"/>
        <v>1</v>
      </c>
      <c r="R7" s="30">
        <v>4</v>
      </c>
      <c r="S7" s="97">
        <v>4</v>
      </c>
      <c r="T7" s="13">
        <f t="shared" si="4"/>
        <v>1</v>
      </c>
      <c r="U7" s="11">
        <f t="shared" si="5"/>
        <v>1.3333333333333333</v>
      </c>
      <c r="V7" s="14">
        <f t="shared" si="5"/>
        <v>1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>
        <v>8</v>
      </c>
      <c r="P8" s="97">
        <v>4</v>
      </c>
      <c r="Q8" s="13">
        <f t="shared" si="3"/>
        <v>0.5</v>
      </c>
      <c r="R8" s="30">
        <v>8</v>
      </c>
      <c r="S8" s="97">
        <v>6</v>
      </c>
      <c r="T8" s="13">
        <f t="shared" si="4"/>
        <v>0.75</v>
      </c>
      <c r="U8" s="11">
        <f t="shared" si="5"/>
        <v>1.5</v>
      </c>
      <c r="V8" s="14">
        <f t="shared" si="5"/>
        <v>1.5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76</v>
      </c>
      <c r="G9" s="30">
        <v>0</v>
      </c>
      <c r="H9" s="12">
        <v>5</v>
      </c>
      <c r="I9" s="13" t="e">
        <f t="shared" si="0"/>
        <v>#DIV/0!</v>
      </c>
      <c r="J9" s="30">
        <v>20</v>
      </c>
      <c r="K9" s="12">
        <v>2</v>
      </c>
      <c r="L9" s="13">
        <f t="shared" si="1"/>
        <v>0.1</v>
      </c>
      <c r="M9" s="11">
        <f t="shared" si="2"/>
        <v>0.4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/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 t="s">
        <v>75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32</v>
      </c>
      <c r="I19" s="42">
        <f t="shared" si="0"/>
        <v>8.533333333333333E-2</v>
      </c>
      <c r="J19" s="40">
        <f>SUM(J4:J18)</f>
        <v>385</v>
      </c>
      <c r="K19" s="41">
        <f>SUM(K4:K18)</f>
        <v>55</v>
      </c>
      <c r="L19" s="42">
        <f t="shared" ref="L19" si="6">K19/J19</f>
        <v>0.14285714285714285</v>
      </c>
      <c r="M19" s="40">
        <f>K19/H19</f>
        <v>1.71875</v>
      </c>
      <c r="N19" s="43" t="e">
        <f>AVERAGE(N4:N18)</f>
        <v>#DIV/0!</v>
      </c>
      <c r="O19" s="40">
        <f>SUM(O4:O18)</f>
        <v>24</v>
      </c>
      <c r="P19" s="41">
        <f>SUM(P4:P18)</f>
        <v>12</v>
      </c>
      <c r="Q19" s="42">
        <f t="shared" ref="Q19" si="7">P19/O19</f>
        <v>0.5</v>
      </c>
      <c r="R19" s="40">
        <f>SUM(R4:R18)</f>
        <v>26</v>
      </c>
      <c r="S19" s="41">
        <f>SUM(S4:S18)</f>
        <v>21</v>
      </c>
      <c r="T19" s="42">
        <f t="shared" ref="T19" si="8">S19/R19</f>
        <v>0.80769230769230771</v>
      </c>
      <c r="U19" s="40">
        <f>S19/P19</f>
        <v>1.75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170</v>
      </c>
      <c r="I31" s="22">
        <f t="shared" si="0"/>
        <v>5.6198347107438019E-2</v>
      </c>
      <c r="J31" s="20">
        <f>+J30+J25+J19</f>
        <v>2585</v>
      </c>
      <c r="K31" s="21">
        <f t="shared" ref="K31" si="25">+K30+K25+K19</f>
        <v>222</v>
      </c>
      <c r="L31" s="22">
        <f t="shared" si="9"/>
        <v>8.5880077369439076E-2</v>
      </c>
      <c r="M31" s="20">
        <f>K31/H31</f>
        <v>1.3058823529411765</v>
      </c>
      <c r="N31" s="23" t="e">
        <f>AVERAGE(N30,N19,N25)</f>
        <v>#DIV/0!</v>
      </c>
      <c r="O31" s="20">
        <f>+O30+O25+O19</f>
        <v>173</v>
      </c>
      <c r="P31" s="21">
        <f t="shared" ref="P31" si="26">+P30+P25+P19</f>
        <v>125</v>
      </c>
      <c r="Q31" s="22">
        <f t="shared" si="11"/>
        <v>0.7225433526011561</v>
      </c>
      <c r="R31" s="20">
        <f>+R30+R25+R19</f>
        <v>265</v>
      </c>
      <c r="S31" s="21">
        <f t="shared" ref="S31" si="27">+S30+S25+S19</f>
        <v>151</v>
      </c>
      <c r="T31" s="22">
        <f t="shared" si="12"/>
        <v>0.56981132075471697</v>
      </c>
      <c r="U31" s="20">
        <f>S31/P31</f>
        <v>1.208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S6" sqref="S6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15</v>
      </c>
      <c r="C2" s="63">
        <f>+B2/A2</f>
        <v>0.57692307692307687</v>
      </c>
      <c r="D2" s="62">
        <f>+A2-B2</f>
        <v>11</v>
      </c>
      <c r="F2" s="94">
        <v>46249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</f>
        <v>128</v>
      </c>
      <c r="I4" s="68">
        <f t="shared" ref="I4:I31" si="0">H4/G4</f>
        <v>0.21333333333333335</v>
      </c>
      <c r="J4" s="30">
        <v>550</v>
      </c>
      <c r="K4" s="8">
        <v>141</v>
      </c>
      <c r="L4" s="87">
        <f t="shared" ref="L4:L29" si="1">K4/J4</f>
        <v>0.25636363636363635</v>
      </c>
      <c r="M4" s="8">
        <f t="shared" ref="M4:M6" si="2">J4-K4</f>
        <v>409</v>
      </c>
      <c r="N4" s="10">
        <f t="shared" ref="N4:N6" si="3">M4/$D$2</f>
        <v>37.18181818181818</v>
      </c>
      <c r="O4" s="69">
        <f t="shared" ref="O4:P12" si="4">K4/H4</f>
        <v>1.1015625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</f>
        <v>67</v>
      </c>
      <c r="I5" s="70">
        <f t="shared" si="0"/>
        <v>0.11166666666666666</v>
      </c>
      <c r="J5" s="11">
        <v>450</v>
      </c>
      <c r="K5" s="12">
        <v>108</v>
      </c>
      <c r="L5" s="71">
        <f t="shared" si="1"/>
        <v>0.24</v>
      </c>
      <c r="M5" s="12">
        <f t="shared" si="2"/>
        <v>342</v>
      </c>
      <c r="N5" s="14">
        <f t="shared" si="3"/>
        <v>31.09090909090909</v>
      </c>
      <c r="O5" s="72">
        <f t="shared" si="4"/>
        <v>1.6119402985074627</v>
      </c>
      <c r="P5" s="14">
        <f t="shared" si="4"/>
        <v>2.1492537313432836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</f>
        <v>54</v>
      </c>
      <c r="I6" s="70">
        <f t="shared" si="0"/>
        <v>0.09</v>
      </c>
      <c r="J6" s="11">
        <v>550</v>
      </c>
      <c r="K6" s="12">
        <v>124</v>
      </c>
      <c r="L6" s="71">
        <f t="shared" si="1"/>
        <v>0.22545454545454546</v>
      </c>
      <c r="M6" s="12">
        <f t="shared" si="2"/>
        <v>426</v>
      </c>
      <c r="N6" s="14">
        <f t="shared" si="3"/>
        <v>38.727272727272727</v>
      </c>
      <c r="O6" s="72">
        <f t="shared" si="4"/>
        <v>2.2962962962962963</v>
      </c>
      <c r="P6" s="14">
        <f t="shared" si="4"/>
        <v>2.5050505050505052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</f>
        <v>22</v>
      </c>
      <c r="I7" s="70">
        <f t="shared" si="0"/>
        <v>3.6666666666666667E-2</v>
      </c>
      <c r="J7" s="11">
        <v>400</v>
      </c>
      <c r="K7" s="12">
        <v>28</v>
      </c>
      <c r="L7" s="71">
        <f t="shared" si="1"/>
        <v>7.0000000000000007E-2</v>
      </c>
      <c r="M7" s="12">
        <f t="shared" ref="M7:M31" si="5">J7-K7</f>
        <v>372</v>
      </c>
      <c r="N7" s="14">
        <f t="shared" ref="N7:N31" si="6">M7/$D$2</f>
        <v>33.81818181818182</v>
      </c>
      <c r="O7" s="72">
        <f t="shared" si="4"/>
        <v>1.2727272727272727</v>
      </c>
      <c r="P7" s="14">
        <f t="shared" si="4"/>
        <v>1.9090909090909092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51.272727272727273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50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</f>
        <v>41</v>
      </c>
      <c r="I10" s="70">
        <f t="shared" si="0"/>
        <v>0.20499999999999999</v>
      </c>
      <c r="J10" s="11">
        <v>3000</v>
      </c>
      <c r="K10" s="12">
        <v>724</v>
      </c>
      <c r="L10" s="71">
        <f t="shared" si="1"/>
        <v>0.24133333333333334</v>
      </c>
      <c r="M10" s="12">
        <f t="shared" si="5"/>
        <v>2276</v>
      </c>
      <c r="N10" s="14">
        <f t="shared" si="6"/>
        <v>206.90909090909091</v>
      </c>
      <c r="O10" s="72">
        <f t="shared" si="4"/>
        <v>17.658536585365855</v>
      </c>
      <c r="P10" s="14">
        <f t="shared" si="4"/>
        <v>1.1772357723577238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59.090909090909093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50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-9.0909090909090917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-45.454545454545453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318</v>
      </c>
      <c r="I19" s="79">
        <f t="shared" si="0"/>
        <v>6.3600000000000004E-2</v>
      </c>
      <c r="J19" s="80">
        <f>SUM(J4:J18)</f>
        <v>7275</v>
      </c>
      <c r="K19" s="80">
        <f>SUM(K4:K18)</f>
        <v>1736</v>
      </c>
      <c r="L19" s="82">
        <f>K19/J19</f>
        <v>0.2386254295532646</v>
      </c>
      <c r="M19" s="81">
        <f t="shared" si="5"/>
        <v>5539</v>
      </c>
      <c r="N19" s="83">
        <f t="shared" si="6"/>
        <v>503.54545454545456</v>
      </c>
      <c r="O19" s="84">
        <f>K19/H19</f>
        <v>5.4591194968553456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42.272727272727273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42.454545454545453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42.18181818181818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213.90909090909091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56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51.454545454545453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52.18181818181818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55.636363636363633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215.27272727272728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519</v>
      </c>
      <c r="I31" s="88">
        <f t="shared" si="0"/>
        <v>9.5229357798165132E-2</v>
      </c>
      <c r="J31" s="89">
        <f t="shared" si="17"/>
        <v>12275</v>
      </c>
      <c r="K31" s="90">
        <f t="shared" si="17"/>
        <v>2015</v>
      </c>
      <c r="L31" s="91">
        <f>K31/J31</f>
        <v>0.16415478615071283</v>
      </c>
      <c r="M31" s="90">
        <f t="shared" si="5"/>
        <v>10260</v>
      </c>
      <c r="N31" s="92">
        <f t="shared" si="6"/>
        <v>932.72727272727275</v>
      </c>
      <c r="O31" s="93">
        <f>K31/H31</f>
        <v>3.882466281310212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2026-08-17T05:42:39Z</dcterms:modified>
</cp:coreProperties>
</file>