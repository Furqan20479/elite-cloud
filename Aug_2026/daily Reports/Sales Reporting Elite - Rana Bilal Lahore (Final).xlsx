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23BF768-6C9B-44AD-8945-0A1ABCE7886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" i="2" l="1"/>
  <c r="H11" i="2"/>
  <c r="H12" i="2"/>
  <c r="K12" i="2"/>
  <c r="H10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<sst xmlns="http://schemas.openxmlformats.org/spreadsheetml/2006/main" count="369" uniqueCount="78">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</sst>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5" zoomScale="85" zoomScaleNormal="85" workbookViewId="0">
      <selection activeCell="S15" sqref="S15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22</v>
      </c>
      <c r="C2" s="63">
        <f>+B2/A2</f>
        <v>0.84615384615384615</v>
      </c>
      <c r="D2" s="62">
        <f>+A2-B2</f>
        <v>4</v>
      </c>
      <c r="F2" s="94">
        <v>46259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92+9+11+10+6+12+6+6+12+6+10+14+9</f>
        <v>203</v>
      </c>
      <c r="I4" s="68">
        <f t="shared" ref="I4:I31" si="0">H4/G4</f>
        <v>0.33833333333333332</v>
      </c>
      <c r="J4" s="30">
        <v>550</v>
      </c>
      <c r="K4" s="8">
        <v>235</v>
      </c>
      <c r="L4" s="87">
        <f t="shared" ref="L4:L29" si="1">K4/J4</f>
        <v>0.42727272727272725</v>
      </c>
      <c r="M4" s="8">
        <f t="shared" ref="M4:M6" si="2">J4-K4</f>
        <v>315</v>
      </c>
      <c r="N4" s="10">
        <f t="shared" ref="N4:N6" si="3">M4/$D$2</f>
        <v>78.75</v>
      </c>
      <c r="O4" s="69">
        <f t="shared" ref="O4:P12" si="4">K4/H4</f>
        <v>1.1576354679802956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38+8+5+8+8+8+8+8+7+8+9+15</f>
        <v>130</v>
      </c>
      <c r="I5" s="70">
        <f t="shared" si="0"/>
        <v>0.21666666666666667</v>
      </c>
      <c r="J5" s="11">
        <v>450</v>
      </c>
      <c r="K5" s="12">
        <v>189</v>
      </c>
      <c r="L5" s="71">
        <f t="shared" si="1"/>
        <v>0.42</v>
      </c>
      <c r="M5" s="12">
        <f t="shared" si="2"/>
        <v>261</v>
      </c>
      <c r="N5" s="14">
        <f t="shared" si="3"/>
        <v>65.25</v>
      </c>
      <c r="O5" s="72">
        <f t="shared" si="4"/>
        <v>1.4538461538461538</v>
      </c>
      <c r="P5" s="14">
        <f t="shared" si="4"/>
        <v>1.9384615384615382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32+7+9+6+8+5+9+7+5+6+8</f>
        <v>102</v>
      </c>
      <c r="I6" s="70">
        <f t="shared" si="0"/>
        <v>0.17</v>
      </c>
      <c r="J6" s="11">
        <v>550</v>
      </c>
      <c r="K6" s="12">
        <v>203</v>
      </c>
      <c r="L6" s="71">
        <f t="shared" si="1"/>
        <v>0.36909090909090908</v>
      </c>
      <c r="M6" s="12">
        <f t="shared" si="2"/>
        <v>347</v>
      </c>
      <c r="N6" s="14">
        <f t="shared" si="3"/>
        <v>86.75</v>
      </c>
      <c r="O6" s="72">
        <f t="shared" si="4"/>
        <v>1.9901960784313726</v>
      </c>
      <c r="P6" s="14">
        <f t="shared" si="4"/>
        <v>2.1711229946524062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5+5+1+6+5+23+3+1+5+8+7</f>
        <v>69</v>
      </c>
      <c r="I7" s="70">
        <f t="shared" si="0"/>
        <v>0.115</v>
      </c>
      <c r="J7" s="11">
        <v>400</v>
      </c>
      <c r="K7" s="12">
        <v>77</v>
      </c>
      <c r="L7" s="71">
        <f t="shared" si="1"/>
        <v>0.1925</v>
      </c>
      <c r="M7" s="12">
        <f t="shared" ref="M7:M31" si="5">J7-K7</f>
        <v>323</v>
      </c>
      <c r="N7" s="14">
        <f t="shared" ref="N7:N31" si="6">M7/$D$2</f>
        <v>80.75</v>
      </c>
      <c r="O7" s="72">
        <f t="shared" si="4"/>
        <v>1.1159420289855073</v>
      </c>
      <c r="P7" s="14">
        <f t="shared" si="4"/>
        <v>1.6739130434782608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40</v>
      </c>
      <c r="I8" s="70">
        <f t="shared" si="0"/>
        <v>6.6666666666666666E-2</v>
      </c>
      <c r="J8" s="11">
        <v>575</v>
      </c>
      <c r="K8" s="12">
        <v>44</v>
      </c>
      <c r="L8" s="71">
        <f t="shared" si="1"/>
        <v>7.6521739130434779E-2</v>
      </c>
      <c r="M8" s="12">
        <f t="shared" si="5"/>
        <v>531</v>
      </c>
      <c r="N8" s="14">
        <f t="shared" si="6"/>
        <v>132.75</v>
      </c>
      <c r="O8" s="72">
        <f t="shared" si="4"/>
        <v>1.1000000000000001</v>
      </c>
      <c r="P8" s="14">
        <f t="shared" si="4"/>
        <v>1.1478260869565218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137.5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22+2+7+3+7+5+6+4+10+5+5</f>
        <v>76</v>
      </c>
      <c r="I10" s="70">
        <f t="shared" si="0"/>
        <v>0.38</v>
      </c>
      <c r="J10" s="11">
        <v>3000</v>
      </c>
      <c r="K10" s="12">
        <v>1374</v>
      </c>
      <c r="L10" s="71">
        <f t="shared" si="1"/>
        <v>0.45800000000000002</v>
      </c>
      <c r="M10" s="12">
        <f t="shared" si="5"/>
        <v>1626</v>
      </c>
      <c r="N10" s="14">
        <f t="shared" si="6"/>
        <v>406.5</v>
      </c>
      <c r="O10" s="72">
        <f t="shared" si="4"/>
        <v>18.078947368421051</v>
      </c>
      <c r="P10" s="14">
        <f t="shared" si="4"/>
        <v>1.2052631578947368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f>322+12</f>
        <v>334</v>
      </c>
      <c r="I11" s="70">
        <f t="shared" si="0"/>
        <v>0.55666666666666664</v>
      </c>
      <c r="J11" s="11">
        <v>650</v>
      </c>
      <c r="K11" s="12">
        <f>370+19</f>
        <v>389</v>
      </c>
      <c r="L11" s="71">
        <f t="shared" si="1"/>
        <v>0.59846153846153849</v>
      </c>
      <c r="M11" s="12">
        <f t="shared" si="5"/>
        <v>261</v>
      </c>
      <c r="N11" s="14">
        <f t="shared" si="6"/>
        <v>65.25</v>
      </c>
      <c r="O11" s="72">
        <f t="shared" si="4"/>
        <v>1.1646706586826348</v>
      </c>
      <c r="P11" s="14">
        <f t="shared" si="4"/>
        <v>1.0750806080147399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f>182+7</f>
        <v>189</v>
      </c>
      <c r="I12" s="70">
        <f t="shared" si="0"/>
        <v>0.315</v>
      </c>
      <c r="J12" s="11">
        <v>550</v>
      </c>
      <c r="K12" s="12">
        <f>185+12</f>
        <v>197</v>
      </c>
      <c r="L12" s="71">
        <f t="shared" si="1"/>
        <v>0.35818181818181816</v>
      </c>
      <c r="M12" s="12">
        <f t="shared" si="5"/>
        <v>353</v>
      </c>
      <c r="N12" s="14">
        <f t="shared" si="6"/>
        <v>88.25</v>
      </c>
      <c r="O12" s="72">
        <f t="shared" si="4"/>
        <v>1.0423280423280423</v>
      </c>
      <c r="P12" s="14">
        <f t="shared" si="4"/>
        <v>1.1370851370851369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>
        <v>15</v>
      </c>
      <c r="I13" s="70">
        <f t="shared" ref="I13:I15" si="7">H13/G13</f>
        <v>2.5000000000000001E-2</v>
      </c>
      <c r="J13" s="11">
        <v>450</v>
      </c>
      <c r="K13" s="12">
        <v>14</v>
      </c>
      <c r="L13" s="71">
        <f t="shared" ref="L13:L16" si="8">K13/J13</f>
        <v>3.111111111111111E-2</v>
      </c>
      <c r="M13" s="12">
        <f t="shared" si="5"/>
        <v>436</v>
      </c>
      <c r="N13" s="14">
        <f t="shared" ref="N13:N15" si="9">M13/$D$2</f>
        <v>109</v>
      </c>
      <c r="O13" s="72">
        <f t="shared" ref="O13:O16" si="10">K13/H13</f>
        <v>0.93333333333333335</v>
      </c>
      <c r="P13" s="14">
        <f t="shared" ref="P13:P16" si="11">L13/I13</f>
        <v>1.2444444444444442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-25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-125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1160</v>
      </c>
      <c r="I19" s="79">
        <f t="shared" si="0"/>
        <v>0.20714285714285716</v>
      </c>
      <c r="J19" s="80">
        <f>SUM(J4:J18)</f>
        <v>7725</v>
      </c>
      <c r="K19" s="80">
        <f>SUM(K4:K18)</f>
        <v>3322</v>
      </c>
      <c r="L19" s="82">
        <f>K19/J19</f>
        <v>0.4300323624595469</v>
      </c>
      <c r="M19" s="81">
        <f t="shared" si="5"/>
        <v>4403</v>
      </c>
      <c r="N19" s="83">
        <f t="shared" si="6"/>
        <v>1100.75</v>
      </c>
      <c r="O19" s="84">
        <f>K19/H19</f>
        <v>2.863793103448276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116.25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116.75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116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118.25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121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588.25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154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141.5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143.5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153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592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1361</v>
      </c>
      <c r="I31" s="88">
        <f t="shared" si="0"/>
        <v>0.2249586776859504</v>
      </c>
      <c r="J31" s="89">
        <f t="shared" si="17"/>
        <v>12725</v>
      </c>
      <c r="K31" s="90">
        <f t="shared" si="17"/>
        <v>3601</v>
      </c>
      <c r="L31" s="91">
        <f>K31/J31</f>
        <v>0.28298624754420432</v>
      </c>
      <c r="M31" s="90">
        <f t="shared" si="5"/>
        <v>9124</v>
      </c>
      <c r="N31" s="92">
        <f t="shared" si="6"/>
        <v>2281</v>
      </c>
      <c r="O31" s="93">
        <f>K31/H31</f>
        <v>2.6458486407053639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2026-08-27T04:42:34Z</dcterms:modified>
</cp:coreProperties>
</file>