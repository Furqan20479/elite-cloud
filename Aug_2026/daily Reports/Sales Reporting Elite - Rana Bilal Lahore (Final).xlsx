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28BF3AA-4CC2-4D14-A3CD-EE918072810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9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<sst xmlns="http://schemas.openxmlformats.org/spreadsheetml/2006/main" count="368" uniqueCount="78">
  <si>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</si>
  <si>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</si>
  <si>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</si>
  <si>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</si>
  <si>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</si>
  <si>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</si>
  <si>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</si>
  <si>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</si>
  <si>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</si>
  <si>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</si>
  <si>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</si>
  <si>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</si>
  <si>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</si>
  <si>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</si>
  <si>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</si>
  <si>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</si>
  <si>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</si>
  <si>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</si>
  <si>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</si>
  <si>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</si>
  <si>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</si>
  <si>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</si>
  <si>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</si>
  <si>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</si>
  <si>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</si>
  <si>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</si>
  <si>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</si>
  <si>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</si>
  <si>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</si>
  <si>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</si>
  <si>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</si>
  <si>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</si>
  <si>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</si>
  <si>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</si>
  <si>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</si>
  <si>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</si>
  <si>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</si>
  <si>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</si>
  <si>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</si>
  <si>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</si>
  <si>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</si>
  <si>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</si>
  <si>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</si>
  <si>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</si>
  <si>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</si>
  <si>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</si>
  <si>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</si>
  <si>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</si>
  <si>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</si>
  <si>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</si>
  <si>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</si>
  <si>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</si>
  <si>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</si>
  <si>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</si>
  <si>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</si>
  <si>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</si>
  <si>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</si>
  <si>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</si>
  <si>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</si>
  <si>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</si>
  <si>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</si>
  <si>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</si>
  <si>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</si>
  <si>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</si>
  <si>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</si>
  <si>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</si>
  <si>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</si>
  <si>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</si>
  <si>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</si>
  <si>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</si>
  <si>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</si>
  <si>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</si>
  <si>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</si>
  <si>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</si>
  <si>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</si>
  <si>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Furqan</t>
  </si>
  <si>
    <t xml:space="preserve">Hasan </t>
  </si>
  <si>
    <t>Pendings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</si>
</sst>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sqref="A1:W19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76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75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S8" sqref="S8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18</v>
      </c>
      <c r="C2" s="63">
        <f>+B2/A2</f>
        <v>0.69230769230769229</v>
      </c>
      <c r="D2" s="62">
        <f>+A2-B2</f>
        <v>8</v>
      </c>
      <c r="F2" s="94">
        <v>46253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</f>
        <v>164</v>
      </c>
      <c r="I4" s="68">
        <f t="shared" ref="I4:I31" si="0">H4/G4</f>
        <v>0.27333333333333332</v>
      </c>
      <c r="J4" s="30">
        <v>550</v>
      </c>
      <c r="K4" s="8">
        <v>185</v>
      </c>
      <c r="L4" s="87">
        <f t="shared" ref="L4:L29" si="1">K4/J4</f>
        <v>0.33636363636363636</v>
      </c>
      <c r="M4" s="8">
        <f t="shared" ref="M4:M6" si="2">J4-K4</f>
        <v>365</v>
      </c>
      <c r="N4" s="10">
        <f t="shared" ref="N4:N6" si="3">M4/$D$2</f>
        <v>45.625</v>
      </c>
      <c r="O4" s="69">
        <f t="shared" ref="O4:P12" si="4">K4/H4</f>
        <v>1.1280487804878048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</f>
        <v>91</v>
      </c>
      <c r="I5" s="70">
        <f t="shared" si="0"/>
        <v>0.15166666666666667</v>
      </c>
      <c r="J5" s="11">
        <v>450</v>
      </c>
      <c r="K5" s="12">
        <v>138</v>
      </c>
      <c r="L5" s="71">
        <f t="shared" si="1"/>
        <v>0.30666666666666664</v>
      </c>
      <c r="M5" s="12">
        <f t="shared" si="2"/>
        <v>312</v>
      </c>
      <c r="N5" s="14">
        <f t="shared" si="3"/>
        <v>39</v>
      </c>
      <c r="O5" s="72">
        <f t="shared" si="4"/>
        <v>1.5164835164835164</v>
      </c>
      <c r="P5" s="14">
        <f t="shared" si="4"/>
        <v>2.0219780219780219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</f>
        <v>76</v>
      </c>
      <c r="I6" s="70">
        <f t="shared" si="0"/>
        <v>0.12666666666666668</v>
      </c>
      <c r="J6" s="11">
        <v>550</v>
      </c>
      <c r="K6" s="12">
        <v>168</v>
      </c>
      <c r="L6" s="71">
        <f t="shared" si="1"/>
        <v>0.30545454545454548</v>
      </c>
      <c r="M6" s="12">
        <f t="shared" si="2"/>
        <v>382</v>
      </c>
      <c r="N6" s="14">
        <f t="shared" si="3"/>
        <v>47.75</v>
      </c>
      <c r="O6" s="72">
        <f t="shared" si="4"/>
        <v>2.2105263157894739</v>
      </c>
      <c r="P6" s="14">
        <f t="shared" si="4"/>
        <v>2.4114832535885169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</f>
        <v>48</v>
      </c>
      <c r="I7" s="70">
        <f t="shared" si="0"/>
        <v>0.08</v>
      </c>
      <c r="J7" s="11">
        <v>400</v>
      </c>
      <c r="K7" s="12">
        <v>45</v>
      </c>
      <c r="L7" s="71">
        <f t="shared" si="1"/>
        <v>0.1125</v>
      </c>
      <c r="M7" s="12">
        <f t="shared" ref="M7:M31" si="5">J7-K7</f>
        <v>355</v>
      </c>
      <c r="N7" s="14">
        <f t="shared" ref="N7:N31" si="6">M7/$D$2</f>
        <v>44.375</v>
      </c>
      <c r="O7" s="72">
        <f t="shared" si="4"/>
        <v>0.9375</v>
      </c>
      <c r="P7" s="14">
        <f t="shared" si="4"/>
        <v>1.40625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70.5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75</v>
      </c>
      <c r="G9" s="30">
        <v>600</v>
      </c>
      <c r="H9" s="12">
        <f>2+4</f>
        <v>6</v>
      </c>
      <c r="I9" s="70">
        <f t="shared" si="0"/>
        <v>0.01</v>
      </c>
      <c r="J9" s="11">
        <v>550</v>
      </c>
      <c r="K9" s="12">
        <v>1</v>
      </c>
      <c r="L9" s="71">
        <f t="shared" si="1"/>
        <v>1.8181818181818182E-3</v>
      </c>
      <c r="M9" s="12">
        <f t="shared" si="5"/>
        <v>549</v>
      </c>
      <c r="N9" s="14">
        <f t="shared" si="6"/>
        <v>68.625</v>
      </c>
      <c r="O9" s="72">
        <f t="shared" si="4"/>
        <v>0.16666666666666666</v>
      </c>
      <c r="P9" s="14">
        <f t="shared" si="4"/>
        <v>0.18181818181818182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</f>
        <v>52</v>
      </c>
      <c r="I10" s="70">
        <f t="shared" si="0"/>
        <v>0.26</v>
      </c>
      <c r="J10" s="11">
        <v>3000</v>
      </c>
      <c r="K10" s="12">
        <v>1058</v>
      </c>
      <c r="L10" s="71">
        <f t="shared" si="1"/>
        <v>0.35266666666666668</v>
      </c>
      <c r="M10" s="12">
        <f t="shared" si="5"/>
        <v>1942</v>
      </c>
      <c r="N10" s="14">
        <f t="shared" si="6"/>
        <v>242.75</v>
      </c>
      <c r="O10" s="72">
        <f t="shared" si="4"/>
        <v>20.346153846153847</v>
      </c>
      <c r="P10" s="14">
        <f t="shared" si="4"/>
        <v>1.3564102564102565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81.25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68.75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-12.5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-62.5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443</v>
      </c>
      <c r="I19" s="79">
        <f t="shared" si="0"/>
        <v>8.8599999999999998E-2</v>
      </c>
      <c r="J19" s="80">
        <f>SUM(J4:J18)</f>
        <v>7275</v>
      </c>
      <c r="K19" s="80">
        <f>SUM(K4:K18)</f>
        <v>2206</v>
      </c>
      <c r="L19" s="82">
        <f>K19/J19</f>
        <v>0.30323024054982817</v>
      </c>
      <c r="M19" s="81">
        <f t="shared" si="5"/>
        <v>5069</v>
      </c>
      <c r="N19" s="83">
        <f t="shared" si="6"/>
        <v>633.625</v>
      </c>
      <c r="O19" s="84">
        <f>K19/H19</f>
        <v>4.979683972911964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58.125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58.375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58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59.125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60.5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294.125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77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70.75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71.75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76.5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296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644</v>
      </c>
      <c r="I31" s="88">
        <f t="shared" si="0"/>
        <v>0.11816513761467889</v>
      </c>
      <c r="J31" s="89">
        <f t="shared" si="17"/>
        <v>12275</v>
      </c>
      <c r="K31" s="90">
        <f t="shared" si="17"/>
        <v>2485</v>
      </c>
      <c r="L31" s="91">
        <f>K31/J31</f>
        <v>0.20244399185336048</v>
      </c>
      <c r="M31" s="90">
        <f t="shared" si="5"/>
        <v>9790</v>
      </c>
      <c r="N31" s="92">
        <f t="shared" si="6"/>
        <v>1223.75</v>
      </c>
      <c r="O31" s="93">
        <f>K31/H31</f>
        <v>3.8586956521739131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2026-08-20T05:37:53Z</dcterms:modified>
</cp:coreProperties>
</file>