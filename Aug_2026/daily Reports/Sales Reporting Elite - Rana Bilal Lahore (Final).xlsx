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87022A4B-14DD-4682-9BC7-775868870F3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2" l="1"/>
  <c r="K12" i="2"/>
  <c r="K11" i="2"/>
  <c r="H13" i="2"/>
  <c r="H12" i="2"/>
  <c r="H11" i="2"/>
  <c r="K8" i="2" l="1"/>
  <c r="H10" i="2"/>
  <c r="H8" i="2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<sst xmlns="http://schemas.openxmlformats.org/spreadsheetml/2006/main" count="369" uniqueCount="78">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</sst>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sqref="A1:Q19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24</v>
      </c>
      <c r="C2" s="63">
        <f>+B2/A2</f>
        <v>0.92307692307692313</v>
      </c>
      <c r="D2" s="62">
        <f>+A2-B2</f>
        <v>2</v>
      </c>
      <c r="F2" s="94">
        <v>46261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92+9+11+10+6+12+6+6+12+6+10+14+9+10</f>
        <v>213</v>
      </c>
      <c r="I4" s="68">
        <f t="shared" ref="I4:I31" si="0">H4/G4</f>
        <v>0.35499999999999998</v>
      </c>
      <c r="J4" s="30">
        <v>550</v>
      </c>
      <c r="K4" s="8">
        <v>242</v>
      </c>
      <c r="L4" s="87">
        <f t="shared" ref="L4:L29" si="1">K4/J4</f>
        <v>0.44</v>
      </c>
      <c r="M4" s="8">
        <f t="shared" ref="M4:M6" si="2">J4-K4</f>
        <v>308</v>
      </c>
      <c r="N4" s="10">
        <f t="shared" ref="N4:N6" si="3">M4/$D$2</f>
        <v>154</v>
      </c>
      <c r="O4" s="69">
        <f t="shared" ref="O4:P12" si="4">K4/H4</f>
        <v>1.136150234741784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38+8+5+8+8+8+8+8+7+8+9+15+3</f>
        <v>133</v>
      </c>
      <c r="I5" s="70">
        <f t="shared" si="0"/>
        <v>0.22166666666666668</v>
      </c>
      <c r="J5" s="11">
        <v>450</v>
      </c>
      <c r="K5" s="12">
        <v>195</v>
      </c>
      <c r="L5" s="71">
        <f t="shared" si="1"/>
        <v>0.43333333333333335</v>
      </c>
      <c r="M5" s="12">
        <f t="shared" si="2"/>
        <v>255</v>
      </c>
      <c r="N5" s="14">
        <f t="shared" si="3"/>
        <v>127.5</v>
      </c>
      <c r="O5" s="72">
        <f t="shared" si="4"/>
        <v>1.4661654135338347</v>
      </c>
      <c r="P5" s="14">
        <f t="shared" si="4"/>
        <v>1.9548872180451127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32+7+9+6+8+5+9+7+5+6+8+6</f>
        <v>108</v>
      </c>
      <c r="I6" s="70">
        <f t="shared" si="0"/>
        <v>0.18</v>
      </c>
      <c r="J6" s="11">
        <v>550</v>
      </c>
      <c r="K6" s="12">
        <v>211</v>
      </c>
      <c r="L6" s="71">
        <f t="shared" si="1"/>
        <v>0.38363636363636361</v>
      </c>
      <c r="M6" s="12">
        <f t="shared" si="2"/>
        <v>339</v>
      </c>
      <c r="N6" s="14">
        <f t="shared" si="3"/>
        <v>169.5</v>
      </c>
      <c r="O6" s="72">
        <f t="shared" si="4"/>
        <v>1.9537037037037037</v>
      </c>
      <c r="P6" s="14">
        <f t="shared" si="4"/>
        <v>2.131313131313131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5+5+1+6+5+23+3+1+5+8+7+5</f>
        <v>74</v>
      </c>
      <c r="I7" s="70">
        <f t="shared" si="0"/>
        <v>0.12333333333333334</v>
      </c>
      <c r="J7" s="11">
        <v>400</v>
      </c>
      <c r="K7" s="12">
        <v>82</v>
      </c>
      <c r="L7" s="71">
        <f t="shared" si="1"/>
        <v>0.20499999999999999</v>
      </c>
      <c r="M7" s="12">
        <f t="shared" ref="M7:M31" si="5">J7-K7</f>
        <v>318</v>
      </c>
      <c r="N7" s="14">
        <f t="shared" ref="N7:N31" si="6">M7/$D$2</f>
        <v>159</v>
      </c>
      <c r="O7" s="72">
        <f t="shared" si="4"/>
        <v>1.1081081081081081</v>
      </c>
      <c r="P7" s="14">
        <f t="shared" si="4"/>
        <v>1.6621621621621621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40+5</f>
        <v>45</v>
      </c>
      <c r="I8" s="70">
        <f t="shared" si="0"/>
        <v>7.4999999999999997E-2</v>
      </c>
      <c r="J8" s="11">
        <v>575</v>
      </c>
      <c r="K8" s="12">
        <f>44+7</f>
        <v>51</v>
      </c>
      <c r="L8" s="71">
        <f t="shared" si="1"/>
        <v>8.8695652173913037E-2</v>
      </c>
      <c r="M8" s="12">
        <f t="shared" si="5"/>
        <v>524</v>
      </c>
      <c r="N8" s="14">
        <f t="shared" si="6"/>
        <v>262</v>
      </c>
      <c r="O8" s="72">
        <f t="shared" si="4"/>
        <v>1.1333333333333333</v>
      </c>
      <c r="P8" s="14">
        <f t="shared" si="4"/>
        <v>1.182608695652174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275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22+2+7+3+7+5+6+4+10+5+5+7</f>
        <v>83</v>
      </c>
      <c r="I10" s="70">
        <f t="shared" si="0"/>
        <v>0.41499999999999998</v>
      </c>
      <c r="J10" s="11">
        <v>3000</v>
      </c>
      <c r="K10" s="12">
        <v>1589</v>
      </c>
      <c r="L10" s="71">
        <f t="shared" si="1"/>
        <v>0.52966666666666662</v>
      </c>
      <c r="M10" s="12">
        <f t="shared" si="5"/>
        <v>1411</v>
      </c>
      <c r="N10" s="14">
        <f t="shared" si="6"/>
        <v>705.5</v>
      </c>
      <c r="O10" s="72">
        <f t="shared" si="4"/>
        <v>19.14457831325301</v>
      </c>
      <c r="P10" s="14">
        <f t="shared" si="4"/>
        <v>1.2763052208835342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>
        <f>322+12+10</f>
        <v>344</v>
      </c>
      <c r="I11" s="70">
        <f t="shared" si="0"/>
        <v>0.57333333333333336</v>
      </c>
      <c r="J11" s="11">
        <v>650</v>
      </c>
      <c r="K11" s="12">
        <f>370+19+12</f>
        <v>401</v>
      </c>
      <c r="L11" s="71">
        <f t="shared" si="1"/>
        <v>0.61692307692307691</v>
      </c>
      <c r="M11" s="12">
        <f t="shared" si="5"/>
        <v>249</v>
      </c>
      <c r="N11" s="14">
        <f t="shared" si="6"/>
        <v>124.5</v>
      </c>
      <c r="O11" s="72">
        <f t="shared" si="4"/>
        <v>1.1656976744186047</v>
      </c>
      <c r="P11" s="14">
        <f t="shared" si="4"/>
        <v>1.0760286225402504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>
        <f>182+7+10+10</f>
        <v>209</v>
      </c>
      <c r="I12" s="70">
        <f t="shared" si="0"/>
        <v>0.34833333333333333</v>
      </c>
      <c r="J12" s="11">
        <v>550</v>
      </c>
      <c r="K12" s="12">
        <f>185+12+13</f>
        <v>210</v>
      </c>
      <c r="L12" s="71">
        <f t="shared" si="1"/>
        <v>0.38181818181818183</v>
      </c>
      <c r="M12" s="12">
        <f t="shared" si="5"/>
        <v>340</v>
      </c>
      <c r="N12" s="14">
        <f t="shared" si="6"/>
        <v>170</v>
      </c>
      <c r="O12" s="72">
        <f t="shared" si="4"/>
        <v>1.0047846889952152</v>
      </c>
      <c r="P12" s="14">
        <f t="shared" si="4"/>
        <v>1.096128751631144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>
        <f>15+8</f>
        <v>23</v>
      </c>
      <c r="I13" s="70">
        <f t="shared" ref="I13:I15" si="7">H13/G13</f>
        <v>3.833333333333333E-2</v>
      </c>
      <c r="J13" s="11">
        <v>450</v>
      </c>
      <c r="K13" s="12">
        <f>14+9</f>
        <v>23</v>
      </c>
      <c r="L13" s="71">
        <f t="shared" ref="L13:L16" si="8">K13/J13</f>
        <v>5.1111111111111114E-2</v>
      </c>
      <c r="M13" s="12">
        <f t="shared" si="5"/>
        <v>427</v>
      </c>
      <c r="N13" s="14">
        <f t="shared" ref="N13:N15" si="9">M13/$D$2</f>
        <v>213.5</v>
      </c>
      <c r="O13" s="72">
        <f t="shared" ref="O13:O16" si="10">K13/H13</f>
        <v>1</v>
      </c>
      <c r="P13" s="14">
        <f t="shared" ref="P13:P16" si="11">L13/I13</f>
        <v>1.3333333333333335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-50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-250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5600</v>
      </c>
      <c r="H19" s="40">
        <f>SUM(H4:H18)</f>
        <v>1234</v>
      </c>
      <c r="I19" s="79">
        <f t="shared" si="0"/>
        <v>0.22035714285714286</v>
      </c>
      <c r="J19" s="80">
        <f>SUM(J4:J18)</f>
        <v>7725</v>
      </c>
      <c r="K19" s="80">
        <f>SUM(K4:K18)</f>
        <v>3604</v>
      </c>
      <c r="L19" s="82">
        <f>K19/J19</f>
        <v>0.46653721682847898</v>
      </c>
      <c r="M19" s="81">
        <f t="shared" si="5"/>
        <v>4121</v>
      </c>
      <c r="N19" s="83">
        <f t="shared" si="6"/>
        <v>2060.5</v>
      </c>
      <c r="O19" s="84">
        <f>K19/H19</f>
        <v>2.9205834683954621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232.5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233.5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232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236.5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242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1176.5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308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283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287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306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1184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1435</v>
      </c>
      <c r="I31" s="88">
        <f t="shared" si="0"/>
        <v>0.2371900826446281</v>
      </c>
      <c r="J31" s="89">
        <f t="shared" si="17"/>
        <v>12725</v>
      </c>
      <c r="K31" s="90">
        <f t="shared" si="17"/>
        <v>3883</v>
      </c>
      <c r="L31" s="91">
        <f>K31/J31</f>
        <v>0.30514734774066798</v>
      </c>
      <c r="M31" s="90">
        <f t="shared" si="5"/>
        <v>8842</v>
      </c>
      <c r="N31" s="92">
        <f t="shared" si="6"/>
        <v>4421</v>
      </c>
      <c r="O31" s="93">
        <f>K31/H31</f>
        <v>2.7059233449477351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2026-08-28T04:57:20Z</dcterms:modified>
</cp:coreProperties>
</file>