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32E3393-C39A-4147-A935-E77158C1EDA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<sst xmlns="http://schemas.openxmlformats.org/spreadsheetml/2006/main" count="373" uniqueCount="79">
  <si>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</si>
  <si>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</si>
  <si>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</si>
  <si>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</si>
  <si>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</si>
  <si>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</si>
  <si>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</si>
  <si>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</si>
  <si>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</si>
  <si>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</si>
  <si>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</si>
  <si>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</si>
  <si>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</si>
  <si>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</si>
  <si>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</si>
  <si>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</si>
  <si>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</si>
  <si>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</si>
  <si>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</si>
  <si>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</si>
  <si>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</si>
  <si>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</si>
  <si>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</si>
  <si>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</si>
  <si>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</si>
  <si>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</si>
  <si>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</si>
  <si>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</si>
  <si>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</si>
  <si>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</si>
  <si>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</si>
  <si>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</si>
  <si>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</si>
  <si>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</si>
  <si>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</si>
  <si>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</si>
  <si>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</si>
  <si>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</si>
  <si>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</si>
  <si>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</si>
  <si>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</si>
  <si>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</si>
  <si>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</si>
  <si>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</si>
  <si>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</si>
  <si>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</si>
  <si>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</si>
  <si>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</si>
  <si>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</si>
  <si>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</si>
  <si>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</si>
  <si>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</si>
  <si>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</si>
  <si>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</si>
  <si>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</si>
  <si>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</si>
  <si>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</si>
  <si>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</si>
  <si>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</si>
  <si>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</si>
  <si>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</si>
  <si>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</si>
  <si>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</si>
  <si>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</si>
  <si>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</si>
  <si>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</si>
  <si>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</si>
  <si>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</si>
  <si>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</si>
  <si>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</si>
  <si>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</si>
  <si>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</si>
  <si>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</si>
  <si>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</si>
  <si>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</si>
  <si>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Pending Supply</t>
  </si>
  <si>
    <t>Furqan</t>
  </si>
  <si>
    <t xml:space="preserve">Both delivered </t>
  </si>
  <si>
    <t>Pending Delivered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</si>
</sst>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G1" workbookViewId="0">
      <selection sqref="A1:W19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16</v>
      </c>
      <c r="I4" s="32">
        <f t="shared" ref="I4:I31" si="0">H4/G4</f>
        <v>0.32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0.75</v>
      </c>
      <c r="N4" s="33">
        <f t="shared" si="2"/>
        <v>0.9375</v>
      </c>
      <c r="O4" s="30">
        <v>15</v>
      </c>
      <c r="P4" s="96">
        <v>9</v>
      </c>
      <c r="Q4" s="32">
        <f t="shared" ref="Q4:Q12" si="3">P4/O4</f>
        <v>0.6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1.4444444444444444</v>
      </c>
      <c r="V4" s="33">
        <f t="shared" si="5"/>
        <v>1.3541666666666667</v>
      </c>
      <c r="W4" s="34" t="s">
        <v>77</v>
      </c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1.1000000000000001</v>
      </c>
      <c r="N5" s="14">
        <f t="shared" si="2"/>
        <v>1.833333333333333</v>
      </c>
      <c r="O5" s="30">
        <v>13</v>
      </c>
      <c r="P5" s="97">
        <v>9</v>
      </c>
      <c r="Q5" s="13">
        <f t="shared" si="3"/>
        <v>0.69230769230769229</v>
      </c>
      <c r="R5" s="30">
        <v>16</v>
      </c>
      <c r="S5" s="97">
        <v>8</v>
      </c>
      <c r="T5" s="13">
        <f t="shared" si="4"/>
        <v>0.5</v>
      </c>
      <c r="U5" s="11">
        <f t="shared" si="5"/>
        <v>0.88888888888888884</v>
      </c>
      <c r="V5" s="14">
        <f t="shared" si="5"/>
        <v>0.72222222222222221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10</v>
      </c>
      <c r="I6" s="13">
        <f t="shared" si="0"/>
        <v>0.2</v>
      </c>
      <c r="J6" s="30">
        <v>25</v>
      </c>
      <c r="K6" s="12">
        <v>17</v>
      </c>
      <c r="L6" s="13">
        <f t="shared" si="1"/>
        <v>0.68</v>
      </c>
      <c r="M6" s="11">
        <f t="shared" si="2"/>
        <v>1.7</v>
      </c>
      <c r="N6" s="14">
        <f t="shared" si="2"/>
        <v>3.4</v>
      </c>
      <c r="O6" s="30">
        <v>5</v>
      </c>
      <c r="P6" s="97">
        <v>3</v>
      </c>
      <c r="Q6" s="13">
        <f t="shared" si="3"/>
        <v>0.6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2.3333333333333335</v>
      </c>
      <c r="V6" s="14">
        <f t="shared" si="5"/>
        <v>1.0606060606060606</v>
      </c>
      <c r="W6" s="34" t="s">
        <v>77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12</v>
      </c>
      <c r="P7" s="97">
        <v>10</v>
      </c>
      <c r="Q7" s="13">
        <f t="shared" si="3"/>
        <v>0.83333333333333337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</v>
      </c>
      <c r="V7" s="14">
        <f t="shared" si="5"/>
        <v>0.92307692307692313</v>
      </c>
      <c r="W7" s="34" t="s">
        <v>77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>
        <v>4</v>
      </c>
      <c r="P8" s="97">
        <v>4</v>
      </c>
      <c r="Q8" s="13">
        <f t="shared" si="3"/>
        <v>1</v>
      </c>
      <c r="R8" s="30">
        <v>6</v>
      </c>
      <c r="S8" s="97">
        <v>6</v>
      </c>
      <c r="T8" s="13">
        <f t="shared" si="4"/>
        <v>1</v>
      </c>
      <c r="U8" s="11">
        <f t="shared" si="5"/>
        <v>1.5</v>
      </c>
      <c r="V8" s="14">
        <f t="shared" si="5"/>
        <v>1</v>
      </c>
      <c r="W8" s="34" t="s">
        <v>78</v>
      </c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v>5</v>
      </c>
      <c r="P9" s="97">
        <v>3</v>
      </c>
      <c r="Q9" s="13">
        <f t="shared" si="3"/>
        <v>0.6</v>
      </c>
      <c r="R9" s="30">
        <v>2</v>
      </c>
      <c r="S9" s="97">
        <v>1</v>
      </c>
      <c r="T9" s="13">
        <f t="shared" si="4"/>
        <v>0.5</v>
      </c>
      <c r="U9" s="11">
        <f t="shared" si="5"/>
        <v>0.33333333333333331</v>
      </c>
      <c r="V9" s="14">
        <f t="shared" si="5"/>
        <v>0.83333333333333337</v>
      </c>
      <c r="W9" s="34" t="s">
        <v>78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12</v>
      </c>
      <c r="I10" s="13">
        <f t="shared" si="0"/>
        <v>0.48</v>
      </c>
      <c r="J10" s="30">
        <v>0</v>
      </c>
      <c r="K10" s="12">
        <v>309</v>
      </c>
      <c r="L10" s="13" t="e">
        <f t="shared" si="1"/>
        <v>#DIV/0!</v>
      </c>
      <c r="M10" s="11">
        <f t="shared" si="2"/>
        <v>25.75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47</v>
      </c>
      <c r="S10" s="97">
        <v>47</v>
      </c>
      <c r="T10" s="13">
        <f t="shared" si="4"/>
        <v>1</v>
      </c>
      <c r="U10" s="11">
        <f t="shared" si="5"/>
        <v>11.75</v>
      </c>
      <c r="V10" s="14">
        <f t="shared" si="5"/>
        <v>1</v>
      </c>
      <c r="W10" s="34" t="s">
        <v>75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50</v>
      </c>
      <c r="I19" s="42">
        <f t="shared" si="0"/>
        <v>0.13333333333333333</v>
      </c>
      <c r="J19" s="40">
        <f>SUM(J4:J18)</f>
        <v>385</v>
      </c>
      <c r="K19" s="41">
        <f>SUM(K4:K18)</f>
        <v>350</v>
      </c>
      <c r="L19" s="42">
        <f t="shared" ref="L19" si="6">K19/J19</f>
        <v>0.90909090909090906</v>
      </c>
      <c r="M19" s="40">
        <f>K19/H19</f>
        <v>7</v>
      </c>
      <c r="N19" s="43" t="e">
        <f>AVERAGE(N4:N18)</f>
        <v>#DIV/0!</v>
      </c>
      <c r="O19" s="40">
        <f>SUM(O4:O18)</f>
        <v>58</v>
      </c>
      <c r="P19" s="41">
        <f>SUM(P4:P18)</f>
        <v>42</v>
      </c>
      <c r="Q19" s="42">
        <f t="shared" ref="Q19" si="7">P19/O19</f>
        <v>0.72413793103448276</v>
      </c>
      <c r="R19" s="40">
        <f>SUM(R4:R18)</f>
        <v>111</v>
      </c>
      <c r="S19" s="41">
        <f>SUM(S4:S18)</f>
        <v>92</v>
      </c>
      <c r="T19" s="42">
        <f t="shared" ref="T19" si="8">S19/R19</f>
        <v>0.8288288288288288</v>
      </c>
      <c r="U19" s="40">
        <f>S19/P19</f>
        <v>2.1904761904761907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188</v>
      </c>
      <c r="I31" s="22">
        <f t="shared" si="0"/>
        <v>6.2148760330578513E-2</v>
      </c>
      <c r="J31" s="20">
        <f>+J30+J25+J19</f>
        <v>2585</v>
      </c>
      <c r="K31" s="21">
        <f t="shared" ref="K31" si="25">+K30+K25+K19</f>
        <v>517</v>
      </c>
      <c r="L31" s="22">
        <f t="shared" si="9"/>
        <v>0.2</v>
      </c>
      <c r="M31" s="20">
        <f>K31/H31</f>
        <v>2.75</v>
      </c>
      <c r="N31" s="23" t="e">
        <f>AVERAGE(N30,N19,N25)</f>
        <v>#DIV/0!</v>
      </c>
      <c r="O31" s="20">
        <f>+O30+O25+O19</f>
        <v>207</v>
      </c>
      <c r="P31" s="21">
        <f t="shared" ref="P31" si="26">+P30+P25+P19</f>
        <v>155</v>
      </c>
      <c r="Q31" s="22">
        <f t="shared" si="11"/>
        <v>0.74879227053140096</v>
      </c>
      <c r="R31" s="20">
        <f>+R30+R25+R19</f>
        <v>350</v>
      </c>
      <c r="S31" s="21">
        <f t="shared" ref="S31" si="27">+S30+S25+S19</f>
        <v>222</v>
      </c>
      <c r="T31" s="22">
        <f t="shared" si="12"/>
        <v>0.63428571428571423</v>
      </c>
      <c r="U31" s="20">
        <f>S31/P31</f>
        <v>1.4322580645161291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zoomScale="85" zoomScaleNormal="85" workbookViewId="0">
      <selection activeCell="J13" sqref="J13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16</v>
      </c>
      <c r="C2" s="63">
        <f>+B2/A2</f>
        <v>0.61538461538461542</v>
      </c>
      <c r="D2" s="62">
        <f>+A2-B2</f>
        <v>10</v>
      </c>
      <c r="F2" s="94">
        <v>46251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</f>
        <v>140</v>
      </c>
      <c r="I4" s="68">
        <f t="shared" ref="I4:I31" si="0">H4/G4</f>
        <v>0.23333333333333334</v>
      </c>
      <c r="J4" s="30">
        <v>550</v>
      </c>
      <c r="K4" s="8">
        <v>164</v>
      </c>
      <c r="L4" s="87">
        <f t="shared" ref="L4:L29" si="1">K4/J4</f>
        <v>0.29818181818181816</v>
      </c>
      <c r="M4" s="8">
        <f t="shared" ref="M4:M6" si="2">J4-K4</f>
        <v>386</v>
      </c>
      <c r="N4" s="10">
        <f t="shared" ref="N4:N6" si="3">M4/$D$2</f>
        <v>38.6</v>
      </c>
      <c r="O4" s="69">
        <f t="shared" ref="O4:P12" si="4">K4/H4</f>
        <v>1.1714285714285715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</f>
        <v>75</v>
      </c>
      <c r="I5" s="70">
        <f t="shared" si="0"/>
        <v>0.125</v>
      </c>
      <c r="J5" s="11">
        <v>450</v>
      </c>
      <c r="K5" s="12">
        <v>113</v>
      </c>
      <c r="L5" s="71">
        <f t="shared" si="1"/>
        <v>0.25111111111111112</v>
      </c>
      <c r="M5" s="12">
        <f t="shared" si="2"/>
        <v>337</v>
      </c>
      <c r="N5" s="14">
        <f t="shared" si="3"/>
        <v>33.700000000000003</v>
      </c>
      <c r="O5" s="72">
        <f t="shared" si="4"/>
        <v>1.5066666666666666</v>
      </c>
      <c r="P5" s="14">
        <f t="shared" si="4"/>
        <v>2.0088888888888889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</f>
        <v>62</v>
      </c>
      <c r="I6" s="70">
        <f t="shared" si="0"/>
        <v>0.10333333333333333</v>
      </c>
      <c r="J6" s="11">
        <v>550</v>
      </c>
      <c r="K6" s="12">
        <v>145</v>
      </c>
      <c r="L6" s="71">
        <f t="shared" si="1"/>
        <v>0.26363636363636361</v>
      </c>
      <c r="M6" s="12">
        <f t="shared" si="2"/>
        <v>405</v>
      </c>
      <c r="N6" s="14">
        <f t="shared" si="3"/>
        <v>40.5</v>
      </c>
      <c r="O6" s="72">
        <f t="shared" si="4"/>
        <v>2.338709677419355</v>
      </c>
      <c r="P6" s="14">
        <f t="shared" si="4"/>
        <v>2.5513196480938416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</f>
        <v>45</v>
      </c>
      <c r="I7" s="70">
        <f t="shared" si="0"/>
        <v>7.4999999999999997E-2</v>
      </c>
      <c r="J7" s="11">
        <v>400</v>
      </c>
      <c r="K7" s="12">
        <v>37</v>
      </c>
      <c r="L7" s="71">
        <f t="shared" si="1"/>
        <v>9.2499999999999999E-2</v>
      </c>
      <c r="M7" s="12">
        <f t="shared" ref="M7:M31" si="5">J7-K7</f>
        <v>363</v>
      </c>
      <c r="N7" s="14">
        <f t="shared" ref="N7:N31" si="6">M7/$D$2</f>
        <v>36.299999999999997</v>
      </c>
      <c r="O7" s="72">
        <f t="shared" si="4"/>
        <v>0.82222222222222219</v>
      </c>
      <c r="P7" s="14">
        <f t="shared" si="4"/>
        <v>1.2333333333333334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56.4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76</v>
      </c>
      <c r="G9" s="30">
        <v>600</v>
      </c>
      <c r="H9" s="12">
        <v>2</v>
      </c>
      <c r="I9" s="70">
        <f t="shared" si="0"/>
        <v>3.3333333333333335E-3</v>
      </c>
      <c r="J9" s="11">
        <v>550</v>
      </c>
      <c r="K9" s="12">
        <v>1</v>
      </c>
      <c r="L9" s="71">
        <f t="shared" si="1"/>
        <v>1.8181818181818182E-3</v>
      </c>
      <c r="M9" s="12">
        <f t="shared" si="5"/>
        <v>549</v>
      </c>
      <c r="N9" s="14">
        <f t="shared" si="6"/>
        <v>54.9</v>
      </c>
      <c r="O9" s="72">
        <f t="shared" si="4"/>
        <v>0.5</v>
      </c>
      <c r="P9" s="14">
        <f t="shared" si="4"/>
        <v>0.54545454545454541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</f>
        <v>46</v>
      </c>
      <c r="I10" s="70">
        <f t="shared" si="0"/>
        <v>0.23</v>
      </c>
      <c r="J10" s="11">
        <v>3000</v>
      </c>
      <c r="K10" s="12">
        <v>771</v>
      </c>
      <c r="L10" s="71">
        <f t="shared" si="1"/>
        <v>0.25700000000000001</v>
      </c>
      <c r="M10" s="12">
        <f t="shared" si="5"/>
        <v>2229</v>
      </c>
      <c r="N10" s="14">
        <f t="shared" si="6"/>
        <v>222.9</v>
      </c>
      <c r="O10" s="72">
        <f t="shared" si="4"/>
        <v>16.760869565217391</v>
      </c>
      <c r="P10" s="14">
        <f t="shared" si="4"/>
        <v>1.1173913043478261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65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55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-50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376</v>
      </c>
      <c r="I19" s="79">
        <f t="shared" si="0"/>
        <v>7.5200000000000003E-2</v>
      </c>
      <c r="J19" s="80">
        <f>SUM(J4:J18)</f>
        <v>7275</v>
      </c>
      <c r="K19" s="80">
        <f>SUM(K4:K18)</f>
        <v>1842</v>
      </c>
      <c r="L19" s="82">
        <f>K19/J19</f>
        <v>0.2531958762886598</v>
      </c>
      <c r="M19" s="81">
        <f t="shared" si="5"/>
        <v>5433</v>
      </c>
      <c r="N19" s="83">
        <f t="shared" si="6"/>
        <v>543.29999999999995</v>
      </c>
      <c r="O19" s="84">
        <f>K19/H19</f>
        <v>4.8989361702127656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46.5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46.7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46.4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47.3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48.4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235.3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61.6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56.6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57.4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61.2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236.8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577</v>
      </c>
      <c r="I31" s="88">
        <f t="shared" si="0"/>
        <v>0.10587155963302752</v>
      </c>
      <c r="J31" s="89">
        <f t="shared" si="17"/>
        <v>12275</v>
      </c>
      <c r="K31" s="90">
        <f t="shared" si="17"/>
        <v>2121</v>
      </c>
      <c r="L31" s="91">
        <f>K31/J31</f>
        <v>0.17279022403258656</v>
      </c>
      <c r="M31" s="90">
        <f t="shared" si="5"/>
        <v>10154</v>
      </c>
      <c r="N31" s="92">
        <f t="shared" si="6"/>
        <v>1015.4</v>
      </c>
      <c r="O31" s="93">
        <f>K31/H31</f>
        <v>3.6759098786828424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2026-08-18T04:35:50Z</dcterms:modified>
</cp:coreProperties>
</file>