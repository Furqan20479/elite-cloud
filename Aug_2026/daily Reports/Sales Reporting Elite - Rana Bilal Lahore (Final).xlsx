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1E5D0E2-451E-443B-A72A-84EEEA54D54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<sst xmlns="http://schemas.openxmlformats.org/spreadsheetml/2006/main" count="372" uniqueCount="79">
  <si>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</si>
  <si>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</si>
  <si>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</si>
  <si>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</si>
  <si>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</si>
  <si>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</si>
  <si>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</si>
  <si>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</si>
  <si>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</si>
  <si>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</si>
  <si>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</si>
  <si>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</si>
  <si>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</si>
  <si>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</si>
  <si>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</si>
  <si>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</si>
  <si>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</si>
  <si>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</si>
  <si>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</si>
  <si>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</si>
  <si>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</si>
  <si>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</si>
  <si>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</si>
  <si>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</si>
  <si>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</si>
  <si>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</si>
  <si>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</si>
  <si>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</si>
  <si>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</si>
  <si>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</si>
  <si>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</si>
  <si>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</si>
  <si>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</si>
  <si>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</si>
  <si>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</si>
  <si>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</si>
  <si>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</si>
  <si>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</si>
  <si>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</si>
  <si>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</si>
  <si>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</si>
  <si>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</si>
  <si>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</si>
  <si>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</si>
  <si>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</si>
  <si>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</si>
  <si>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</si>
  <si>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</si>
  <si>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</si>
  <si>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</si>
  <si>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</si>
  <si>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</si>
  <si>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</si>
  <si>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</si>
  <si>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</si>
  <si>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</si>
  <si>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</si>
  <si>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</si>
  <si>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</si>
  <si>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</si>
  <si>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</si>
  <si>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</si>
  <si>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</si>
  <si>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</si>
  <si>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</si>
  <si>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</si>
  <si>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</si>
  <si>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</si>
  <si>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</si>
  <si>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</si>
  <si>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</si>
  <si>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</si>
  <si>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</si>
  <si>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</si>
  <si>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</si>
  <si>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</si>
  <si>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</si>
  <si>
    <t>Waqar</t>
  </si>
  <si>
    <t>Jabar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</si>
</sst>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C1" workbookViewId="0">
      <selection activeCell="H14" sqref="H14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/>
      <c r="I4" s="32">
        <f t="shared" ref="I4:I31" si="0">H4/G4</f>
        <v>0</v>
      </c>
      <c r="J4" s="30">
        <v>40</v>
      </c>
      <c r="K4" s="31"/>
      <c r="L4" s="32">
        <f t="shared" ref="L4:L12" si="1">K4/J4</f>
        <v>0</v>
      </c>
      <c r="M4" s="30" t="e">
        <f t="shared" ref="M4:N12" si="2">K4/H4</f>
        <v>#DIV/0!</v>
      </c>
      <c r="N4" s="33" t="e">
        <f t="shared" si="2"/>
        <v>#DIV/0!</v>
      </c>
      <c r="O4" s="30"/>
      <c r="P4" s="96"/>
      <c r="Q4" s="32" t="e">
        <f t="shared" ref="Q4:Q12" si="3">P4/O4</f>
        <v>#DIV/0!</v>
      </c>
      <c r="R4" s="30"/>
      <c r="S4" s="96"/>
      <c r="T4" s="32" t="e">
        <f t="shared" ref="T4:T12" si="4">S4/R4</f>
        <v>#DIV/0!</v>
      </c>
      <c r="U4" s="30" t="e">
        <f t="shared" ref="U4:V12" si="5">S4/P4</f>
        <v>#DIV/0!</v>
      </c>
      <c r="V4" s="33" t="e">
        <f t="shared" si="5"/>
        <v>#DIV/0!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/>
      <c r="I5" s="13">
        <f t="shared" si="0"/>
        <v>0</v>
      </c>
      <c r="J5" s="30">
        <v>30</v>
      </c>
      <c r="K5" s="12"/>
      <c r="L5" s="13">
        <f t="shared" si="1"/>
        <v>0</v>
      </c>
      <c r="M5" s="11" t="e">
        <f t="shared" si="2"/>
        <v>#DIV/0!</v>
      </c>
      <c r="N5" s="14" t="e">
        <f t="shared" si="2"/>
        <v>#DIV/0!</v>
      </c>
      <c r="O5" s="30"/>
      <c r="P5" s="97"/>
      <c r="Q5" s="13" t="e">
        <f t="shared" si="3"/>
        <v>#DIV/0!</v>
      </c>
      <c r="R5" s="30"/>
      <c r="S5" s="97"/>
      <c r="T5" s="13" t="e">
        <f t="shared" si="4"/>
        <v>#DIV/0!</v>
      </c>
      <c r="U5" s="11" t="e">
        <f t="shared" si="5"/>
        <v>#DIV/0!</v>
      </c>
      <c r="V5" s="14" t="e">
        <f t="shared" si="5"/>
        <v>#DIV/0!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27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77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78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/>
      <c r="P8" s="97"/>
      <c r="Q8" s="13" t="e">
        <f t="shared" si="3"/>
        <v>#DIV/0!</v>
      </c>
      <c r="R8" s="30"/>
      <c r="S8" s="97"/>
      <c r="T8" s="13" t="e">
        <f t="shared" si="4"/>
        <v>#DIV/0!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/>
      <c r="P10" s="97"/>
      <c r="Q10" s="13" t="e">
        <f t="shared" si="3"/>
        <v>#DIV/0!</v>
      </c>
      <c r="R10" s="30"/>
      <c r="S10" s="97"/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0</v>
      </c>
      <c r="I19" s="42">
        <f t="shared" si="0"/>
        <v>0</v>
      </c>
      <c r="J19" s="40">
        <f>SUM(J4:J18)</f>
        <v>385</v>
      </c>
      <c r="K19" s="41">
        <f>SUM(K4:K18)</f>
        <v>0</v>
      </c>
      <c r="L19" s="42">
        <f t="shared" ref="L19" si="6">K19/J19</f>
        <v>0</v>
      </c>
      <c r="M19" s="40" t="e">
        <f>K19/H19</f>
        <v>#DIV/0!</v>
      </c>
      <c r="N19" s="43" t="e">
        <f>AVERAGE(N4:N18)</f>
        <v>#DIV/0!</v>
      </c>
      <c r="O19" s="40">
        <f>SUM(O4:O18)</f>
        <v>0</v>
      </c>
      <c r="P19" s="41">
        <f>SUM(P4:P18)</f>
        <v>0</v>
      </c>
      <c r="Q19" s="42" t="e">
        <f t="shared" ref="Q19" si="7">P19/O19</f>
        <v>#DIV/0!</v>
      </c>
      <c r="R19" s="40">
        <f>SUM(R4:R18)</f>
        <v>0</v>
      </c>
      <c r="S19" s="41">
        <f>SUM(S4:S18)</f>
        <v>0</v>
      </c>
      <c r="T19" s="42" t="e">
        <f t="shared" ref="T19" si="8">S19/R19</f>
        <v>#DIV/0!</v>
      </c>
      <c r="U19" s="40" t="e">
        <f>S19/P19</f>
        <v>#DIV/0!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138</v>
      </c>
      <c r="I31" s="22">
        <f t="shared" si="0"/>
        <v>4.5619834710743802E-2</v>
      </c>
      <c r="J31" s="20">
        <f>+J30+J25+J19</f>
        <v>2585</v>
      </c>
      <c r="K31" s="21">
        <f t="shared" ref="K31" si="25">+K30+K25+K19</f>
        <v>167</v>
      </c>
      <c r="L31" s="22">
        <f t="shared" si="9"/>
        <v>6.4603481624758222E-2</v>
      </c>
      <c r="M31" s="20">
        <f>K31/H31</f>
        <v>1.2101449275362319</v>
      </c>
      <c r="N31" s="23" t="e">
        <f>AVERAGE(N30,N19,N25)</f>
        <v>#DIV/0!</v>
      </c>
      <c r="O31" s="20">
        <f>+O30+O25+O19</f>
        <v>149</v>
      </c>
      <c r="P31" s="21">
        <f t="shared" ref="P31" si="26">+P30+P25+P19</f>
        <v>113</v>
      </c>
      <c r="Q31" s="22">
        <f t="shared" si="11"/>
        <v>0.75838926174496646</v>
      </c>
      <c r="R31" s="20">
        <f>+R30+R25+R19</f>
        <v>239</v>
      </c>
      <c r="S31" s="21">
        <f t="shared" ref="S31" si="27">+S30+S25+S19</f>
        <v>130</v>
      </c>
      <c r="T31" s="22">
        <f t="shared" si="12"/>
        <v>0.54393305439330542</v>
      </c>
      <c r="U31" s="20">
        <f>S31/P31</f>
        <v>1.1504424778761062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2" workbookViewId="0">
      <selection activeCell="H7" sqref="H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26</v>
      </c>
      <c r="B2" s="24">
        <v>1</v>
      </c>
      <c r="C2" s="63">
        <f>+B2/A2</f>
        <v>3.8461538461538464E-2</v>
      </c>
      <c r="D2" s="62">
        <f>+A2-B2</f>
        <v>25</v>
      </c>
      <c r="F2" s="94">
        <v>46235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/>
      <c r="I4" s="68">
        <f t="shared" ref="I4:I31" si="0">H4/G4</f>
        <v>0</v>
      </c>
      <c r="J4" s="30">
        <v>575</v>
      </c>
      <c r="K4" s="8"/>
      <c r="L4" s="87">
        <f t="shared" ref="L4:L29" si="1">K4/J4</f>
        <v>0</v>
      </c>
      <c r="M4" s="8">
        <f t="shared" ref="M4:M6" si="2">J4-K4</f>
        <v>575</v>
      </c>
      <c r="N4" s="10">
        <f t="shared" ref="N4:N6" si="3">M4/$D$2</f>
        <v>23</v>
      </c>
      <c r="O4" s="69" t="e">
        <f t="shared" ref="O4:P12" si="4">K4/H4</f>
        <v>#DIV/0!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/>
      <c r="I5" s="70">
        <f t="shared" si="0"/>
        <v>0</v>
      </c>
      <c r="J5" s="11">
        <v>550</v>
      </c>
      <c r="K5" s="12"/>
      <c r="L5" s="71">
        <f t="shared" si="1"/>
        <v>0</v>
      </c>
      <c r="M5" s="12">
        <f t="shared" si="2"/>
        <v>550</v>
      </c>
      <c r="N5" s="14">
        <f t="shared" si="3"/>
        <v>22</v>
      </c>
      <c r="O5" s="72" t="e">
        <f t="shared" si="4"/>
        <v>#DIV/0!</v>
      </c>
      <c r="P5" s="14" t="e">
        <f t="shared" si="4"/>
        <v>#DIV/0!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/>
      <c r="I6" s="70">
        <f t="shared" si="0"/>
        <v>0</v>
      </c>
      <c r="J6" s="11">
        <v>550</v>
      </c>
      <c r="K6" s="12"/>
      <c r="L6" s="71">
        <f t="shared" si="1"/>
        <v>0</v>
      </c>
      <c r="M6" s="12">
        <f t="shared" si="2"/>
        <v>550</v>
      </c>
      <c r="N6" s="14">
        <f t="shared" si="3"/>
        <v>22</v>
      </c>
      <c r="O6" s="72" t="e">
        <f t="shared" si="4"/>
        <v>#DIV/0!</v>
      </c>
      <c r="P6" s="14" t="e">
        <f t="shared" si="4"/>
        <v>#DIV/0!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/>
      <c r="I7" s="70">
        <f t="shared" si="0"/>
        <v>0</v>
      </c>
      <c r="J7" s="11">
        <v>550</v>
      </c>
      <c r="K7" s="12"/>
      <c r="L7" s="71">
        <f t="shared" si="1"/>
        <v>0</v>
      </c>
      <c r="M7" s="12">
        <f t="shared" ref="M7:M31" si="5">J7-K7</f>
        <v>550</v>
      </c>
      <c r="N7" s="14">
        <f t="shared" ref="N7:N31" si="6">M7/$D$2</f>
        <v>22</v>
      </c>
      <c r="O7" s="72" t="e">
        <f t="shared" si="4"/>
        <v>#DIV/0!</v>
      </c>
      <c r="P7" s="14" t="e">
        <f t="shared" si="4"/>
        <v>#DIV/0!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/>
      <c r="I8" s="70">
        <f t="shared" si="0"/>
        <v>0</v>
      </c>
      <c r="J8" s="11">
        <v>575</v>
      </c>
      <c r="K8" s="12"/>
      <c r="L8" s="71">
        <f t="shared" si="1"/>
        <v>0</v>
      </c>
      <c r="M8" s="12">
        <f t="shared" si="5"/>
        <v>575</v>
      </c>
      <c r="N8" s="14">
        <f t="shared" si="6"/>
        <v>23</v>
      </c>
      <c r="O8" s="72" t="e">
        <f t="shared" si="4"/>
        <v>#DIV/0!</v>
      </c>
      <c r="P8" s="14" t="e">
        <f t="shared" si="4"/>
        <v>#DIV/0!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22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/>
      <c r="I10" s="70">
        <f t="shared" si="0"/>
        <v>0</v>
      </c>
      <c r="J10" s="11">
        <v>4620</v>
      </c>
      <c r="K10" s="12"/>
      <c r="L10" s="71">
        <f t="shared" si="1"/>
        <v>0</v>
      </c>
      <c r="M10" s="12">
        <f t="shared" si="5"/>
        <v>4620</v>
      </c>
      <c r="N10" s="14">
        <f t="shared" si="6"/>
        <v>184.8</v>
      </c>
      <c r="O10" s="72" t="e">
        <f t="shared" si="4"/>
        <v>#DIV/0!</v>
      </c>
      <c r="P10" s="14" t="e">
        <f t="shared" si="4"/>
        <v>#DIV/0!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26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22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60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0</v>
      </c>
      <c r="I19" s="79">
        <f t="shared" si="0"/>
        <v>0</v>
      </c>
      <c r="J19" s="80">
        <f>SUM(J4:J18)</f>
        <v>10670</v>
      </c>
      <c r="K19" s="80">
        <f>SUM(K4:K18)</f>
        <v>0</v>
      </c>
      <c r="L19" s="82">
        <f>K19/J19</f>
        <v>0</v>
      </c>
      <c r="M19" s="81">
        <f t="shared" si="5"/>
        <v>10670</v>
      </c>
      <c r="N19" s="83">
        <f t="shared" si="6"/>
        <v>426.8</v>
      </c>
      <c r="O19" s="84" t="e">
        <f>K19/H19</f>
        <v>#DIV/0!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18.600000000000001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18.68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18.559999999999999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18.920000000000002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19.36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94.12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24.64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22.64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22.96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24.48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94.72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201</v>
      </c>
      <c r="I31" s="88">
        <f t="shared" si="0"/>
        <v>3.6880733944954128E-2</v>
      </c>
      <c r="J31" s="89">
        <f t="shared" si="17"/>
        <v>15670</v>
      </c>
      <c r="K31" s="90">
        <f t="shared" si="17"/>
        <v>279</v>
      </c>
      <c r="L31" s="91">
        <f>K31/J31</f>
        <v>1.7804722399489471E-2</v>
      </c>
      <c r="M31" s="90">
        <f t="shared" si="5"/>
        <v>15391</v>
      </c>
      <c r="N31" s="92">
        <f t="shared" si="6"/>
        <v>615.64</v>
      </c>
      <c r="O31" s="93">
        <f>K31/H31</f>
        <v>1.3880597014925373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2026-08-03T12:17:12Z</dcterms:modified>
</cp:coreProperties>
</file>