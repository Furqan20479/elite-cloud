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ADDF78DA-196F-443F-9ABF-2D4B7627234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2" l="1"/>
  <c r="H10" i="2"/>
  <c r="K6" i="2"/>
  <c r="H6" i="2"/>
  <c r="K5" i="2"/>
  <c r="H5" i="2"/>
  <c r="K4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<sst xmlns="http://schemas.openxmlformats.org/spreadsheetml/2006/main" count="367" uniqueCount="74">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</sst>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A11" sqref="A11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4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46240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14</v>
      </c>
      <c r="I4" s="32">
        <f t="shared" ref="I4:I31" si="0">H4/G4</f>
        <v>0.28000000000000003</v>
      </c>
      <c r="J4" s="30">
        <v>40</v>
      </c>
      <c r="K4" s="31">
        <v>19</v>
      </c>
      <c r="L4" s="32">
        <f t="shared" ref="L4:L12" si="1">K4/J4</f>
        <v>0.47499999999999998</v>
      </c>
      <c r="M4" s="30">
        <f t="shared" ref="M4:N12" si="2">K4/H4</f>
        <v>1.3571428571428572</v>
      </c>
      <c r="N4" s="33">
        <f t="shared" si="2"/>
        <v>1.6964285714285712</v>
      </c>
      <c r="O4" s="30">
        <v>16</v>
      </c>
      <c r="P4" s="96">
        <v>13</v>
      </c>
      <c r="Q4" s="32">
        <f t="shared" ref="Q4:Q12" si="3">P4/O4</f>
        <v>0.8125</v>
      </c>
      <c r="R4" s="30">
        <v>12</v>
      </c>
      <c r="S4" s="96">
        <v>7</v>
      </c>
      <c r="T4" s="32">
        <f t="shared" ref="T4:T12" si="4">S4/R4</f>
        <v>0.58333333333333337</v>
      </c>
      <c r="U4" s="30">
        <f t="shared" ref="U4:V12" si="5">S4/P4</f>
        <v>0.53846153846153844</v>
      </c>
      <c r="V4" s="33">
        <f t="shared" si="5"/>
        <v>0.71794871794871795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11</v>
      </c>
      <c r="I5" s="13">
        <f t="shared" si="0"/>
        <v>0.22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1</v>
      </c>
      <c r="N5" s="14">
        <f t="shared" si="2"/>
        <v>1.6666666666666665</v>
      </c>
      <c r="O5" s="30">
        <v>7</v>
      </c>
      <c r="P5" s="97">
        <v>6</v>
      </c>
      <c r="Q5" s="13">
        <f t="shared" si="3"/>
        <v>0.8571428571428571</v>
      </c>
      <c r="R5" s="30">
        <v>14</v>
      </c>
      <c r="S5" s="97">
        <v>13</v>
      </c>
      <c r="T5" s="13">
        <f t="shared" si="4"/>
        <v>0.9285714285714286</v>
      </c>
      <c r="U5" s="11">
        <f t="shared" si="5"/>
        <v>2.1666666666666665</v>
      </c>
      <c r="V5" s="14">
        <f t="shared" si="5"/>
        <v>1.0833333333333335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5</v>
      </c>
      <c r="I6" s="13">
        <f t="shared" si="0"/>
        <v>0.1</v>
      </c>
      <c r="J6" s="30">
        <v>25</v>
      </c>
      <c r="K6" s="12">
        <v>5</v>
      </c>
      <c r="L6" s="13">
        <f t="shared" si="1"/>
        <v>0.2</v>
      </c>
      <c r="M6" s="11">
        <f t="shared" si="2"/>
        <v>1</v>
      </c>
      <c r="N6" s="14">
        <f t="shared" si="2"/>
        <v>2</v>
      </c>
      <c r="O6" s="30">
        <v>7</v>
      </c>
      <c r="P6" s="97">
        <v>7</v>
      </c>
      <c r="Q6" s="13">
        <f t="shared" si="3"/>
        <v>1</v>
      </c>
      <c r="R6" s="30">
        <v>8</v>
      </c>
      <c r="S6" s="97">
        <v>8</v>
      </c>
      <c r="T6" s="13">
        <f t="shared" si="4"/>
        <v>1</v>
      </c>
      <c r="U6" s="11">
        <f t="shared" si="5"/>
        <v>1.1428571428571428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7</v>
      </c>
      <c r="L7" s="13">
        <f t="shared" si="1"/>
        <v>0.23333333333333334</v>
      </c>
      <c r="M7" s="11">
        <f t="shared" si="2"/>
        <v>1.1666666666666667</v>
      </c>
      <c r="N7" s="14">
        <f t="shared" si="2"/>
        <v>1.9444444444444446</v>
      </c>
      <c r="O7" s="30">
        <v>5</v>
      </c>
      <c r="P7" s="97">
        <v>1</v>
      </c>
      <c r="Q7" s="13">
        <f t="shared" si="3"/>
        <v>0.2</v>
      </c>
      <c r="R7" s="30">
        <v>3</v>
      </c>
      <c r="S7" s="97">
        <v>0.3</v>
      </c>
      <c r="T7" s="13">
        <f t="shared" si="4"/>
        <v>9.9999999999999992E-2</v>
      </c>
      <c r="U7" s="11">
        <f t="shared" si="5"/>
        <v>0.3</v>
      </c>
      <c r="V7" s="14">
        <f t="shared" si="5"/>
        <v>0.49999999999999994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3</v>
      </c>
      <c r="I10" s="13">
        <f t="shared" si="0"/>
        <v>0.12</v>
      </c>
      <c r="J10" s="30">
        <v>0</v>
      </c>
      <c r="K10" s="12">
        <v>81</v>
      </c>
      <c r="L10" s="13" t="e">
        <f t="shared" si="1"/>
        <v>#DIV/0!</v>
      </c>
      <c r="M10" s="11">
        <f t="shared" si="2"/>
        <v>27</v>
      </c>
      <c r="N10" s="14" t="e">
        <f t="shared" si="2"/>
        <v>#DIV/0!</v>
      </c>
      <c r="O10" s="30">
        <v>5</v>
      </c>
      <c r="P10" s="97">
        <v>5</v>
      </c>
      <c r="Q10" s="13">
        <f t="shared" si="3"/>
        <v>1</v>
      </c>
      <c r="R10" s="30">
        <v>115</v>
      </c>
      <c r="S10" s="97">
        <v>114</v>
      </c>
      <c r="T10" s="13">
        <f t="shared" si="4"/>
        <v>0.99130434782608701</v>
      </c>
      <c r="U10" s="11">
        <f t="shared" si="5"/>
        <v>22.8</v>
      </c>
      <c r="V10" s="14">
        <f t="shared" si="5"/>
        <v>0.99130434782608701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39</v>
      </c>
      <c r="I19" s="42">
        <f t="shared" si="0"/>
        <v>0.104</v>
      </c>
      <c r="J19" s="40">
        <f>SUM(J4:J18)</f>
        <v>385</v>
      </c>
      <c r="K19" s="41">
        <f>SUM(K4:K18)</f>
        <v>123</v>
      </c>
      <c r="L19" s="42">
        <f t="shared" ref="L19" si="6">K19/J19</f>
        <v>0.31948051948051948</v>
      </c>
      <c r="M19" s="40">
        <f>K19/H19</f>
        <v>3.1538461538461537</v>
      </c>
      <c r="N19" s="43" t="e">
        <f>AVERAGE(N4:N18)</f>
        <v>#DIV/0!</v>
      </c>
      <c r="O19" s="40">
        <f>SUM(O4:O18)</f>
        <v>40</v>
      </c>
      <c r="P19" s="41">
        <f>SUM(P4:P18)</f>
        <v>32</v>
      </c>
      <c r="Q19" s="42">
        <f t="shared" ref="Q19" si="7">P19/O19</f>
        <v>0.8</v>
      </c>
      <c r="R19" s="40">
        <f>SUM(R4:R18)</f>
        <v>152</v>
      </c>
      <c r="S19" s="41">
        <f>SUM(S4:S18)</f>
        <v>142.30000000000001</v>
      </c>
      <c r="T19" s="42">
        <f t="shared" ref="T19" si="8">S19/R19</f>
        <v>0.93618421052631584</v>
      </c>
      <c r="U19" s="40">
        <f>S19/P19</f>
        <v>4.4468750000000004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177</v>
      </c>
      <c r="I31" s="22">
        <f t="shared" si="0"/>
        <v>5.8512396694214874E-2</v>
      </c>
      <c r="J31" s="20">
        <f>+J30+J25+J19</f>
        <v>2585</v>
      </c>
      <c r="K31" s="21">
        <f t="shared" ref="K31" si="25">+K30+K25+K19</f>
        <v>290</v>
      </c>
      <c r="L31" s="22">
        <f t="shared" si="9"/>
        <v>0.11218568665377177</v>
      </c>
      <c r="M31" s="20">
        <f>K31/H31</f>
        <v>1.6384180790960452</v>
      </c>
      <c r="N31" s="23" t="e">
        <f>AVERAGE(N30,N19,N25)</f>
        <v>#DIV/0!</v>
      </c>
      <c r="O31" s="20">
        <f>+O30+O25+O19</f>
        <v>189</v>
      </c>
      <c r="P31" s="21">
        <f t="shared" ref="P31" si="26">+P30+P25+P19</f>
        <v>145</v>
      </c>
      <c r="Q31" s="22">
        <f t="shared" si="11"/>
        <v>0.76719576719576721</v>
      </c>
      <c r="R31" s="20">
        <f>+R30+R25+R19</f>
        <v>391</v>
      </c>
      <c r="S31" s="21">
        <f t="shared" ref="S31" si="27">+S30+S25+S19</f>
        <v>272.3</v>
      </c>
      <c r="T31" s="22">
        <f t="shared" si="12"/>
        <v>0.69641943734015344</v>
      </c>
      <c r="U31" s="20">
        <f>S31/P31</f>
        <v>1.8779310344827587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Q10" sqref="Q10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4.17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6</v>
      </c>
      <c r="C2" s="63">
        <f>+B2/A2</f>
        <v>0.23076923076923078</v>
      </c>
      <c r="D2" s="62">
        <f>+A2-B2</f>
        <v>20</v>
      </c>
      <c r="F2" s="94">
        <v>46240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14+19+21+13</f>
        <v>67</v>
      </c>
      <c r="I4" s="68">
        <f t="shared" ref="I4:I31" si="0">H4/G4</f>
        <v>0.11166666666666666</v>
      </c>
      <c r="J4" s="30">
        <v>575</v>
      </c>
      <c r="K4" s="8">
        <f>21+22.7+22.5+7.4</f>
        <v>73.600000000000009</v>
      </c>
      <c r="L4" s="87">
        <f t="shared" ref="L4:L29" si="1">K4/J4</f>
        <v>0.128</v>
      </c>
      <c r="M4" s="8">
        <f t="shared" ref="M4:M6" si="2">J4-K4</f>
        <v>501.4</v>
      </c>
      <c r="N4" s="10">
        <f t="shared" ref="N4:N6" si="3">M4/$D$2</f>
        <v>25.07</v>
      </c>
      <c r="O4" s="69">
        <f t="shared" ref="O4:P12" si="4">K4/H4</f>
        <v>1.0985074626865672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11+3+11+6</f>
        <v>31</v>
      </c>
      <c r="I5" s="70">
        <f t="shared" si="0"/>
        <v>5.1666666666666666E-2</v>
      </c>
      <c r="J5" s="11">
        <v>550</v>
      </c>
      <c r="K5" s="12">
        <f>20+5+19.9+13.1</f>
        <v>58</v>
      </c>
      <c r="L5" s="71">
        <f t="shared" si="1"/>
        <v>0.10545454545454545</v>
      </c>
      <c r="M5" s="12">
        <f t="shared" si="2"/>
        <v>492</v>
      </c>
      <c r="N5" s="14">
        <f t="shared" si="3"/>
        <v>24.6</v>
      </c>
      <c r="O5" s="72">
        <f t="shared" si="4"/>
        <v>1.8709677419354838</v>
      </c>
      <c r="P5" s="14">
        <f t="shared" si="4"/>
        <v>2.0410557184750733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10+5+7</f>
        <v>22</v>
      </c>
      <c r="I6" s="70">
        <f t="shared" si="0"/>
        <v>3.6666666666666667E-2</v>
      </c>
      <c r="J6" s="11">
        <v>550</v>
      </c>
      <c r="K6" s="12">
        <f>12+12.1+8.4</f>
        <v>32.5</v>
      </c>
      <c r="L6" s="71">
        <f t="shared" si="1"/>
        <v>5.909090909090909E-2</v>
      </c>
      <c r="M6" s="12">
        <f t="shared" si="2"/>
        <v>517.5</v>
      </c>
      <c r="N6" s="14">
        <f t="shared" si="3"/>
        <v>25.875</v>
      </c>
      <c r="O6" s="72">
        <f t="shared" si="4"/>
        <v>1.4772727272727273</v>
      </c>
      <c r="P6" s="14">
        <f t="shared" si="4"/>
        <v>1.6115702479338843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/>
      <c r="I7" s="70">
        <f t="shared" si="0"/>
        <v>0</v>
      </c>
      <c r="J7" s="11">
        <v>550</v>
      </c>
      <c r="K7" s="12"/>
      <c r="L7" s="71">
        <f t="shared" si="1"/>
        <v>0</v>
      </c>
      <c r="M7" s="12">
        <f t="shared" ref="M7:M31" si="5">J7-K7</f>
        <v>550</v>
      </c>
      <c r="N7" s="14">
        <f t="shared" ref="N7:N31" si="6">M7/$D$2</f>
        <v>27.5</v>
      </c>
      <c r="O7" s="72" t="e">
        <f t="shared" si="4"/>
        <v>#DIV/0!</v>
      </c>
      <c r="P7" s="14" t="e">
        <f t="shared" si="4"/>
        <v>#DIV/0!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28.75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27.5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2+5</f>
        <v>7</v>
      </c>
      <c r="I10" s="70">
        <f t="shared" si="0"/>
        <v>3.5000000000000003E-2</v>
      </c>
      <c r="J10" s="11">
        <v>4620</v>
      </c>
      <c r="K10" s="12">
        <f>29+113.8</f>
        <v>142.80000000000001</v>
      </c>
      <c r="L10" s="71">
        <f t="shared" si="1"/>
        <v>3.090909090909091E-2</v>
      </c>
      <c r="M10" s="12">
        <f t="shared" si="5"/>
        <v>4477.2</v>
      </c>
      <c r="N10" s="14">
        <f t="shared" si="6"/>
        <v>223.85999999999999</v>
      </c>
      <c r="O10" s="72">
        <f t="shared" si="4"/>
        <v>20.400000000000002</v>
      </c>
      <c r="P10" s="14">
        <f t="shared" si="4"/>
        <v>0.88311688311688308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32.5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27.5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75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128</v>
      </c>
      <c r="I19" s="79">
        <f t="shared" si="0"/>
        <v>2.5600000000000001E-2</v>
      </c>
      <c r="J19" s="80">
        <f>SUM(J4:J18)</f>
        <v>10770</v>
      </c>
      <c r="K19" s="80">
        <f>SUM(K4:K18)</f>
        <v>406.90000000000003</v>
      </c>
      <c r="L19" s="82">
        <f>K19/J19</f>
        <v>3.7780872794800371E-2</v>
      </c>
      <c r="M19" s="81">
        <f t="shared" si="5"/>
        <v>10363.1</v>
      </c>
      <c r="N19" s="83">
        <f t="shared" si="6"/>
        <v>518.15499999999997</v>
      </c>
      <c r="O19" s="84">
        <f>K19/H19</f>
        <v>3.1789062500000003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23.25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23.35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23.2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23.65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24.2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117.65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30.8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28.3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28.7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30.6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118.4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329</v>
      </c>
      <c r="I31" s="88">
        <f t="shared" si="0"/>
        <v>6.0366972477064219E-2</v>
      </c>
      <c r="J31" s="89">
        <f t="shared" si="17"/>
        <v>15770</v>
      </c>
      <c r="K31" s="90">
        <f t="shared" si="17"/>
        <v>685.90000000000009</v>
      </c>
      <c r="L31" s="91">
        <f>K31/J31</f>
        <v>4.3493975903614465E-2</v>
      </c>
      <c r="M31" s="90">
        <f t="shared" si="5"/>
        <v>15084.1</v>
      </c>
      <c r="N31" s="92">
        <f t="shared" si="6"/>
        <v>754.20500000000004</v>
      </c>
      <c r="O31" s="93">
        <f>K31/H31</f>
        <v>2.0848024316109424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2026-08-07T09:32:02Z</dcterms:modified>
</cp:coreProperties>
</file>