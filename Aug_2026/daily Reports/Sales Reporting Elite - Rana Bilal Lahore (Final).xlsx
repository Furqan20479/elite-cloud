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67271442-2984-4565-9FF2-61E0EBF89012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6" i="2" l="1"/>
  <c r="H6" i="2"/>
  <c r="K5" i="2"/>
  <c r="H5" i="2"/>
  <c r="K4" i="2"/>
  <c r="H4" i="2"/>
  <c r="J19" i="2" l="1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<sst xmlns="http://schemas.openxmlformats.org/spreadsheetml/2006/main" count="367" uniqueCount="74">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</sst>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workbookViewId="0">
      <selection sqref="A1:W19"/>
    </sheetView>
  </sheetViews>
  <sheetFormatPr defaultRowHeight="14.5" x14ac:dyDescent="0.35"/>
  <cols>
    <col min="1" max="1" width="13.54296875" bestFit="1" customWidth="1"/>
    <col min="2" max="2" width="11.26953125" bestFit="1" customWidth="1"/>
    <col min="3" max="3" width="10" bestFit="1" customWidth="1"/>
    <col min="4" max="4" width="9.453125" bestFit="1" customWidth="1"/>
    <col min="5" max="5" width="17.453125" bestFit="1" customWidth="1"/>
    <col min="6" max="6" width="24.179687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46239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16</v>
      </c>
      <c r="I4" s="32">
        <f t="shared" ref="I4:I31" si="0">H4/G4</f>
        <v>0.32</v>
      </c>
      <c r="J4" s="30">
        <v>40</v>
      </c>
      <c r="K4" s="31">
        <v>12</v>
      </c>
      <c r="L4" s="32">
        <f t="shared" ref="L4:L12" si="1">K4/J4</f>
        <v>0.3</v>
      </c>
      <c r="M4" s="30">
        <f t="shared" ref="M4:N12" si="2">K4/H4</f>
        <v>0.75</v>
      </c>
      <c r="N4" s="33">
        <f t="shared" si="2"/>
        <v>0.9375</v>
      </c>
      <c r="O4" s="30">
        <v>23</v>
      </c>
      <c r="P4" s="96">
        <v>21</v>
      </c>
      <c r="Q4" s="32">
        <f t="shared" ref="Q4:Q12" si="3">P4/O4</f>
        <v>0.91304347826086951</v>
      </c>
      <c r="R4" s="30">
        <v>33</v>
      </c>
      <c r="S4" s="96">
        <v>23</v>
      </c>
      <c r="T4" s="32">
        <f t="shared" ref="T4:T12" si="4">S4/R4</f>
        <v>0.69696969696969702</v>
      </c>
      <c r="U4" s="30">
        <f t="shared" ref="U4:V12" si="5">S4/P4</f>
        <v>1.0952380952380953</v>
      </c>
      <c r="V4" s="33">
        <f t="shared" si="5"/>
        <v>0.76334776334776344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7</v>
      </c>
      <c r="I5" s="13">
        <f t="shared" si="0"/>
        <v>0.14000000000000001</v>
      </c>
      <c r="J5" s="30">
        <v>30</v>
      </c>
      <c r="K5" s="12">
        <v>14</v>
      </c>
      <c r="L5" s="13">
        <f t="shared" si="1"/>
        <v>0.46666666666666667</v>
      </c>
      <c r="M5" s="11">
        <f t="shared" si="2"/>
        <v>2</v>
      </c>
      <c r="N5" s="14">
        <f t="shared" si="2"/>
        <v>3.333333333333333</v>
      </c>
      <c r="O5" s="30">
        <v>11</v>
      </c>
      <c r="P5" s="97">
        <v>11</v>
      </c>
      <c r="Q5" s="13">
        <f t="shared" si="3"/>
        <v>1</v>
      </c>
      <c r="R5" s="30">
        <v>20</v>
      </c>
      <c r="S5" s="97">
        <v>20</v>
      </c>
      <c r="T5" s="13">
        <f t="shared" si="4"/>
        <v>1</v>
      </c>
      <c r="U5" s="11">
        <f t="shared" si="5"/>
        <v>1.8181818181818181</v>
      </c>
      <c r="V5" s="14">
        <f t="shared" si="5"/>
        <v>1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7</v>
      </c>
      <c r="I6" s="13">
        <f t="shared" si="0"/>
        <v>0.14000000000000001</v>
      </c>
      <c r="J6" s="30">
        <v>25</v>
      </c>
      <c r="K6" s="12">
        <v>8</v>
      </c>
      <c r="L6" s="13">
        <f t="shared" si="1"/>
        <v>0.32</v>
      </c>
      <c r="M6" s="11">
        <f t="shared" si="2"/>
        <v>1.1428571428571428</v>
      </c>
      <c r="N6" s="14">
        <f t="shared" si="2"/>
        <v>2.2857142857142856</v>
      </c>
      <c r="O6" s="30">
        <v>8</v>
      </c>
      <c r="P6" s="97">
        <v>5</v>
      </c>
      <c r="Q6" s="13">
        <f t="shared" si="3"/>
        <v>0.625</v>
      </c>
      <c r="R6" s="30">
        <v>15</v>
      </c>
      <c r="S6" s="97">
        <v>12</v>
      </c>
      <c r="T6" s="13">
        <f t="shared" si="4"/>
        <v>0.8</v>
      </c>
      <c r="U6" s="11">
        <f t="shared" si="5"/>
        <v>2.4</v>
      </c>
      <c r="V6" s="14">
        <f t="shared" si="5"/>
        <v>1.28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5</v>
      </c>
      <c r="I7" s="13">
        <f t="shared" si="0"/>
        <v>0.1</v>
      </c>
      <c r="J7" s="30">
        <v>30</v>
      </c>
      <c r="K7" s="12">
        <v>4</v>
      </c>
      <c r="L7" s="13">
        <f t="shared" si="1"/>
        <v>0.13333333333333333</v>
      </c>
      <c r="M7" s="11">
        <f t="shared" si="2"/>
        <v>0.8</v>
      </c>
      <c r="N7" s="14">
        <f t="shared" si="2"/>
        <v>1.3333333333333333</v>
      </c>
      <c r="O7" s="30">
        <v>0</v>
      </c>
      <c r="P7" s="97"/>
      <c r="Q7" s="13" t="e">
        <f t="shared" si="3"/>
        <v>#DIV/0!</v>
      </c>
      <c r="R7" s="30"/>
      <c r="S7" s="97"/>
      <c r="T7" s="13" t="e">
        <f t="shared" si="4"/>
        <v>#DIV/0!</v>
      </c>
      <c r="U7" s="11" t="e">
        <f t="shared" si="5"/>
        <v>#DIV/0!</v>
      </c>
      <c r="V7" s="14" t="e">
        <f t="shared" si="5"/>
        <v>#DIV/0!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26</v>
      </c>
      <c r="G8" s="30">
        <v>50</v>
      </c>
      <c r="H8" s="12"/>
      <c r="I8" s="13">
        <f t="shared" si="0"/>
        <v>0</v>
      </c>
      <c r="J8" s="30">
        <v>20</v>
      </c>
      <c r="K8" s="12"/>
      <c r="L8" s="13">
        <f t="shared" si="1"/>
        <v>0</v>
      </c>
      <c r="M8" s="11" t="e">
        <f t="shared" si="2"/>
        <v>#DIV/0!</v>
      </c>
      <c r="N8" s="14" t="e">
        <f t="shared" si="2"/>
        <v>#DIV/0!</v>
      </c>
      <c r="O8" s="30"/>
      <c r="P8" s="97"/>
      <c r="Q8" s="13" t="e">
        <f t="shared" si="3"/>
        <v>#DIV/0!</v>
      </c>
      <c r="R8" s="30"/>
      <c r="S8" s="97"/>
      <c r="T8" s="13" t="e">
        <f t="shared" si="4"/>
        <v>#DIV/0!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26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3</v>
      </c>
      <c r="I10" s="13">
        <f t="shared" si="0"/>
        <v>0.12</v>
      </c>
      <c r="J10" s="30">
        <v>0</v>
      </c>
      <c r="K10" s="12">
        <v>50</v>
      </c>
      <c r="L10" s="13" t="e">
        <f t="shared" si="1"/>
        <v>#DIV/0!</v>
      </c>
      <c r="M10" s="11">
        <f t="shared" si="2"/>
        <v>16.666666666666668</v>
      </c>
      <c r="N10" s="14" t="e">
        <f t="shared" si="2"/>
        <v>#DIV/0!</v>
      </c>
      <c r="O10" s="30">
        <v>2</v>
      </c>
      <c r="P10" s="97">
        <v>2</v>
      </c>
      <c r="Q10" s="13">
        <f t="shared" si="3"/>
        <v>1</v>
      </c>
      <c r="R10" s="30">
        <v>29</v>
      </c>
      <c r="S10" s="97">
        <v>29</v>
      </c>
      <c r="T10" s="13">
        <f t="shared" si="4"/>
        <v>1</v>
      </c>
      <c r="U10" s="11">
        <f t="shared" si="5"/>
        <v>14.5</v>
      </c>
      <c r="V10" s="14">
        <f t="shared" si="5"/>
        <v>1</v>
      </c>
      <c r="W10" s="34"/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38</v>
      </c>
      <c r="I19" s="42">
        <f t="shared" si="0"/>
        <v>0.10133333333333333</v>
      </c>
      <c r="J19" s="40">
        <f>SUM(J4:J18)</f>
        <v>385</v>
      </c>
      <c r="K19" s="41">
        <f>SUM(K4:K18)</f>
        <v>88</v>
      </c>
      <c r="L19" s="42">
        <f t="shared" ref="L19" si="6">K19/J19</f>
        <v>0.22857142857142856</v>
      </c>
      <c r="M19" s="40">
        <f>K19/H19</f>
        <v>2.3157894736842106</v>
      </c>
      <c r="N19" s="43" t="e">
        <f>AVERAGE(N4:N18)</f>
        <v>#DIV/0!</v>
      </c>
      <c r="O19" s="40">
        <f>SUM(O4:O18)</f>
        <v>44</v>
      </c>
      <c r="P19" s="41">
        <f>SUM(P4:P18)</f>
        <v>39</v>
      </c>
      <c r="Q19" s="42">
        <f t="shared" ref="Q19" si="7">P19/O19</f>
        <v>0.88636363636363635</v>
      </c>
      <c r="R19" s="40">
        <f>SUM(R4:R18)</f>
        <v>97</v>
      </c>
      <c r="S19" s="41">
        <f>SUM(S4:S18)</f>
        <v>84</v>
      </c>
      <c r="T19" s="42">
        <f t="shared" ref="T19" si="8">S19/R19</f>
        <v>0.865979381443299</v>
      </c>
      <c r="U19" s="40">
        <f>S19/P19</f>
        <v>2.1538461538461537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176</v>
      </c>
      <c r="I31" s="22">
        <f t="shared" si="0"/>
        <v>5.8181818181818182E-2</v>
      </c>
      <c r="J31" s="20">
        <f>+J30+J25+J19</f>
        <v>2585</v>
      </c>
      <c r="K31" s="21">
        <f t="shared" ref="K31" si="25">+K30+K25+K19</f>
        <v>255</v>
      </c>
      <c r="L31" s="22">
        <f t="shared" si="9"/>
        <v>9.8646034816247577E-2</v>
      </c>
      <c r="M31" s="20">
        <f>K31/H31</f>
        <v>1.4488636363636365</v>
      </c>
      <c r="N31" s="23" t="e">
        <f>AVERAGE(N30,N19,N25)</f>
        <v>#DIV/0!</v>
      </c>
      <c r="O31" s="20">
        <f>+O30+O25+O19</f>
        <v>193</v>
      </c>
      <c r="P31" s="21">
        <f t="shared" ref="P31" si="26">+P30+P25+P19</f>
        <v>152</v>
      </c>
      <c r="Q31" s="22">
        <f t="shared" si="11"/>
        <v>0.78756476683937826</v>
      </c>
      <c r="R31" s="20">
        <f>+R30+R25+R19</f>
        <v>336</v>
      </c>
      <c r="S31" s="21">
        <f t="shared" ref="S31" si="27">+S30+S25+S19</f>
        <v>214</v>
      </c>
      <c r="T31" s="22">
        <f t="shared" si="12"/>
        <v>0.63690476190476186</v>
      </c>
      <c r="U31" s="20">
        <f>S31/P31</f>
        <v>1.4078947368421053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workbookViewId="0">
      <selection activeCell="H14" sqref="H14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4.179687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5</v>
      </c>
      <c r="C2" s="63">
        <f>+B2/A2</f>
        <v>0.19230769230769232</v>
      </c>
      <c r="D2" s="62">
        <f>+A2-B2</f>
        <v>21</v>
      </c>
      <c r="F2" s="94">
        <v>46239</v>
      </c>
      <c r="G2" s="107" t="s">
        <v>38</v>
      </c>
      <c r="H2" s="108"/>
      <c r="I2" s="108"/>
      <c r="J2" s="104" t="s">
        <v>59</v>
      </c>
      <c r="K2" s="105"/>
      <c r="L2" s="105"/>
      <c r="M2" s="105"/>
      <c r="N2" s="106"/>
      <c r="O2" s="110" t="s">
        <v>39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14+19+21</f>
        <v>54</v>
      </c>
      <c r="I4" s="68">
        <f t="shared" ref="I4:I31" si="0">H4/G4</f>
        <v>0.09</v>
      </c>
      <c r="J4" s="30">
        <v>575</v>
      </c>
      <c r="K4" s="8">
        <f>21+22.7+22.5</f>
        <v>66.2</v>
      </c>
      <c r="L4" s="87">
        <f t="shared" ref="L4:L29" si="1">K4/J4</f>
        <v>0.1151304347826087</v>
      </c>
      <c r="M4" s="8">
        <f t="shared" ref="M4:M6" si="2">J4-K4</f>
        <v>508.8</v>
      </c>
      <c r="N4" s="10">
        <f t="shared" ref="N4:N6" si="3">M4/$D$2</f>
        <v>24.228571428571428</v>
      </c>
      <c r="O4" s="69">
        <f t="shared" ref="O4:P12" si="4">K4/H4</f>
        <v>1.2259259259259261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11+3+11</f>
        <v>25</v>
      </c>
      <c r="I5" s="70">
        <f t="shared" si="0"/>
        <v>4.1666666666666664E-2</v>
      </c>
      <c r="J5" s="11">
        <v>550</v>
      </c>
      <c r="K5" s="12">
        <f>20+5+19.9</f>
        <v>44.9</v>
      </c>
      <c r="L5" s="71">
        <f t="shared" si="1"/>
        <v>8.1636363636363632E-2</v>
      </c>
      <c r="M5" s="12">
        <f t="shared" si="2"/>
        <v>505.1</v>
      </c>
      <c r="N5" s="14">
        <f t="shared" si="3"/>
        <v>24.052380952380954</v>
      </c>
      <c r="O5" s="72">
        <f t="shared" si="4"/>
        <v>1.796</v>
      </c>
      <c r="P5" s="14">
        <f t="shared" si="4"/>
        <v>1.9592727272727273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10+5</f>
        <v>15</v>
      </c>
      <c r="I6" s="70">
        <f t="shared" si="0"/>
        <v>2.5000000000000001E-2</v>
      </c>
      <c r="J6" s="11">
        <v>550</v>
      </c>
      <c r="K6" s="12">
        <f>12+12.1</f>
        <v>24.1</v>
      </c>
      <c r="L6" s="71">
        <f t="shared" si="1"/>
        <v>4.3818181818181819E-2</v>
      </c>
      <c r="M6" s="12">
        <f t="shared" si="2"/>
        <v>525.9</v>
      </c>
      <c r="N6" s="14">
        <f t="shared" si="3"/>
        <v>25.042857142857141</v>
      </c>
      <c r="O6" s="72">
        <f t="shared" si="4"/>
        <v>1.6066666666666667</v>
      </c>
      <c r="P6" s="14">
        <f t="shared" si="4"/>
        <v>1.7527272727272727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/>
      <c r="I7" s="70">
        <f t="shared" si="0"/>
        <v>0</v>
      </c>
      <c r="J7" s="11">
        <v>550</v>
      </c>
      <c r="K7" s="12"/>
      <c r="L7" s="71">
        <f t="shared" si="1"/>
        <v>0</v>
      </c>
      <c r="M7" s="12">
        <f t="shared" ref="M7:M31" si="5">J7-K7</f>
        <v>550</v>
      </c>
      <c r="N7" s="14">
        <f t="shared" ref="N7:N31" si="6">M7/$D$2</f>
        <v>26.19047619047619</v>
      </c>
      <c r="O7" s="72" t="e">
        <f t="shared" si="4"/>
        <v>#DIV/0!</v>
      </c>
      <c r="P7" s="14" t="e">
        <f t="shared" si="4"/>
        <v>#DIV/0!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26</v>
      </c>
      <c r="G8" s="30">
        <v>600</v>
      </c>
      <c r="H8" s="12"/>
      <c r="I8" s="70">
        <f t="shared" si="0"/>
        <v>0</v>
      </c>
      <c r="J8" s="11">
        <v>575</v>
      </c>
      <c r="K8" s="12"/>
      <c r="L8" s="71">
        <f t="shared" si="1"/>
        <v>0</v>
      </c>
      <c r="M8" s="12">
        <f t="shared" si="5"/>
        <v>575</v>
      </c>
      <c r="N8" s="14">
        <f t="shared" si="6"/>
        <v>27.38095238095238</v>
      </c>
      <c r="O8" s="72" t="e">
        <f t="shared" si="4"/>
        <v>#DIV/0!</v>
      </c>
      <c r="P8" s="14" t="e">
        <f t="shared" si="4"/>
        <v>#DIV/0!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26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26.19047619047619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v>2</v>
      </c>
      <c r="I10" s="70">
        <f t="shared" si="0"/>
        <v>0.01</v>
      </c>
      <c r="J10" s="11">
        <v>4620</v>
      </c>
      <c r="K10" s="12">
        <v>29</v>
      </c>
      <c r="L10" s="71">
        <f t="shared" si="1"/>
        <v>6.2770562770562768E-3</v>
      </c>
      <c r="M10" s="12">
        <f t="shared" si="5"/>
        <v>4591</v>
      </c>
      <c r="N10" s="14">
        <f t="shared" si="6"/>
        <v>218.61904761904762</v>
      </c>
      <c r="O10" s="72">
        <f t="shared" si="4"/>
        <v>14.5</v>
      </c>
      <c r="P10" s="14">
        <f t="shared" si="4"/>
        <v>0.62770562770562766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30.952380952380953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26.19047619047619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>
        <f t="shared" si="9"/>
        <v>0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/>
      <c r="I16" s="70" t="e">
        <f t="shared" ref="I16" si="12">H16/G16</f>
        <v>#DIV/0!</v>
      </c>
      <c r="J16" s="11">
        <v>1500</v>
      </c>
      <c r="K16" s="12"/>
      <c r="L16" s="71">
        <f t="shared" si="8"/>
        <v>0</v>
      </c>
      <c r="M16" s="12">
        <f t="shared" si="5"/>
        <v>1500</v>
      </c>
      <c r="N16" s="14">
        <f t="shared" si="6"/>
        <v>71.428571428571431</v>
      </c>
      <c r="O16" s="72" t="e">
        <f t="shared" si="10"/>
        <v>#DIV/0!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96</v>
      </c>
      <c r="I19" s="79">
        <f t="shared" si="0"/>
        <v>1.9199999999999998E-2</v>
      </c>
      <c r="J19" s="80">
        <f>SUM(J4:J18)</f>
        <v>10670</v>
      </c>
      <c r="K19" s="80">
        <f>SUM(K4:K18)</f>
        <v>164.2</v>
      </c>
      <c r="L19" s="82">
        <f>K19/J19</f>
        <v>1.5388940955951265E-2</v>
      </c>
      <c r="M19" s="81">
        <f t="shared" si="5"/>
        <v>10505.8</v>
      </c>
      <c r="N19" s="83">
        <f t="shared" si="6"/>
        <v>500.27619047619044</v>
      </c>
      <c r="O19" s="84">
        <f>K19/H19</f>
        <v>1.7104166666666665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22.142857142857142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22.238095238095237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22.095238095238095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22.523809523809526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23.047619047619047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112.04761904761905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29.333333333333332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26.952380952380953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27.333333333333332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29.142857142857142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112.76190476190476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297</v>
      </c>
      <c r="I31" s="88">
        <f t="shared" si="0"/>
        <v>5.4495412844036695E-2</v>
      </c>
      <c r="J31" s="89">
        <f t="shared" si="17"/>
        <v>15670</v>
      </c>
      <c r="K31" s="90">
        <f t="shared" si="17"/>
        <v>443.2</v>
      </c>
      <c r="L31" s="91">
        <f>K31/J31</f>
        <v>2.828334396936822E-2</v>
      </c>
      <c r="M31" s="90">
        <f t="shared" si="5"/>
        <v>15226.8</v>
      </c>
      <c r="N31" s="92">
        <f t="shared" si="6"/>
        <v>725.08571428571429</v>
      </c>
      <c r="O31" s="93">
        <f>K31/H31</f>
        <v>1.4922558922558922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2026-08-06T06:06:58Z</dcterms:modified>
</cp:coreProperties>
</file>