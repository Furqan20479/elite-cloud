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A7D609A-98DC-4067-B714-28E8CC9BB07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Y88" i="2" s="1"/>
  <c r="W88" i="2"/>
  <c r="X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G29" i="3" l="1"/>
  <c r="M78" i="2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<sst xmlns="http://schemas.openxmlformats.org/spreadsheetml/2006/main" count="156" uniqueCount="106">
  <si>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</si>
  <si>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</si>
  <si>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</si>
  <si>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</si>
  <si>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</si>
  <si>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</si>
  <si>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</si>
  <si>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</si>
  <si>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</si>
  <si>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</si>
  <si>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</si>
  <si>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</si>
  <si>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</si>
  <si>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</si>
  <si>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</si>
  <si>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</si>
  <si>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</si>
  <si>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</si>
  <si>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</si>
  <si>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</si>
  <si>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</si>
  <si>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</si>
  <si>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</si>
  <si>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</si>
  <si>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</si>
  <si>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</si>
  <si>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</si>
  <si>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</si>
  <si>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</si>
  <si>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</si>
  <si>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</si>
  <si>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</si>
  <si>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</si>
  <si>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</si>
  <si>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</si>
  <si>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</si>
  <si>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</si>
  <si>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</si>
  <si>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</si>
  <si>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</si>
  <si>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</si>
  <si>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</si>
  <si>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</si>
  <si>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</si>
  <si>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</si>
  <si>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</si>
  <si>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</si>
  <si>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</si>
  <si>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</si>
  <si>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Elite Secondary MTD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</si>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</sst>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61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62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54</v>
      </c>
      <c r="C19" s="124" t="s">
        <v>55</v>
      </c>
      <c r="D19" s="124"/>
      <c r="E19" s="124"/>
    </row>
    <row r="20" spans="2:5" x14ac:dyDescent="0.35">
      <c r="B20" s="125" t="s">
        <v>56</v>
      </c>
      <c r="C20" s="124"/>
      <c r="D20" s="124"/>
      <c r="E20" s="124"/>
    </row>
    <row r="21" spans="2:5" x14ac:dyDescent="0.35">
      <c r="B21" s="125" t="s">
        <v>57</v>
      </c>
      <c r="C21" s="124"/>
      <c r="D21" s="124"/>
      <c r="E21" s="124"/>
    </row>
    <row r="22" spans="2:5" x14ac:dyDescent="0.35">
      <c r="B22" s="125" t="s">
        <v>58</v>
      </c>
      <c r="C22" s="124"/>
      <c r="D22" s="124"/>
      <c r="E22" s="124"/>
    </row>
    <row r="23" spans="2:5" x14ac:dyDescent="0.35">
      <c r="B23" s="125" t="s">
        <v>65</v>
      </c>
      <c r="C23" s="124" t="s">
        <v>66</v>
      </c>
      <c r="D23" s="126">
        <v>3277876231301</v>
      </c>
      <c r="E23" s="124"/>
    </row>
    <row r="24" spans="2:5" x14ac:dyDescent="0.35">
      <c r="B24" s="125" t="s">
        <v>77</v>
      </c>
      <c r="C24" s="124" t="s">
        <v>78</v>
      </c>
      <c r="D24" s="124"/>
      <c r="E24" s="124" t="s">
        <v>79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zoomScaleNormal="100" workbookViewId="0"/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53">
        <f ca="1">TODAY()</f>
        <v>46244</v>
      </c>
      <c r="C1" s="153"/>
      <c r="D1" s="153"/>
      <c r="E1" s="153"/>
      <c r="F1" s="15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50" t="s">
        <v>37</v>
      </c>
      <c r="B2" s="154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42"/>
      <c r="N2" s="143"/>
      <c r="O2" s="144"/>
      <c r="P2" s="145" t="s">
        <v>14</v>
      </c>
      <c r="Q2" s="146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50"/>
      <c r="B3" s="155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47" t="s">
        <v>11</v>
      </c>
      <c r="N3" s="148"/>
      <c r="O3" s="149"/>
      <c r="P3" s="71"/>
      <c r="Q3" s="72"/>
      <c r="R3" s="157" t="s">
        <v>16</v>
      </c>
      <c r="S3" s="158"/>
      <c r="T3" s="158"/>
      <c r="U3" s="159"/>
      <c r="V3" s="160" t="s">
        <v>17</v>
      </c>
      <c r="W3" s="161"/>
      <c r="X3" s="161"/>
      <c r="Y3" s="162"/>
    </row>
    <row r="4" spans="1:25" ht="15" thickBot="1" x14ac:dyDescent="0.4">
      <c r="A4" s="150"/>
      <c r="B4" s="156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96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97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7" si="0">SUM(D6:L6)/40</f>
        <v>24</v>
      </c>
      <c r="N6" s="39">
        <f>SUMPRODUCT($D$4:$L$4,$D$6:$L$6)</f>
        <v>0</v>
      </c>
      <c r="O6" s="49">
        <f t="shared" ref="O6:O136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91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92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6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93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94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95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70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104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105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46242</v>
      </c>
      <c r="B16" s="47">
        <v>12</v>
      </c>
      <c r="C16" s="57" t="s">
        <v>103</v>
      </c>
      <c r="D16" s="74">
        <v>120</v>
      </c>
      <c r="E16" s="75"/>
      <c r="F16" s="76"/>
      <c r="G16" s="50">
        <v>120</v>
      </c>
      <c r="H16" s="75">
        <v>120</v>
      </c>
      <c r="I16" s="49">
        <v>120</v>
      </c>
      <c r="J16" s="50">
        <v>120</v>
      </c>
      <c r="K16" s="75">
        <v>120</v>
      </c>
      <c r="L16" s="76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46242</v>
      </c>
      <c r="B17" s="47">
        <v>13</v>
      </c>
      <c r="C17" s="57" t="s">
        <v>98</v>
      </c>
      <c r="D17" s="74"/>
      <c r="E17" s="75"/>
      <c r="F17" s="76"/>
      <c r="G17" s="50">
        <v>24</v>
      </c>
      <c r="H17" s="75">
        <v>4</v>
      </c>
      <c r="I17" s="49">
        <v>39</v>
      </c>
      <c r="J17" s="50">
        <v>38</v>
      </c>
      <c r="K17" s="75">
        <v>77</v>
      </c>
      <c r="L17" s="76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46242</v>
      </c>
      <c r="B18" s="47">
        <v>14</v>
      </c>
      <c r="C18" s="57" t="s">
        <v>99</v>
      </c>
      <c r="D18" s="74"/>
      <c r="E18" s="75"/>
      <c r="F18" s="76"/>
      <c r="G18" s="50">
        <v>80</v>
      </c>
      <c r="H18" s="75">
        <v>120</v>
      </c>
      <c r="I18" s="49">
        <v>200</v>
      </c>
      <c r="J18" s="50">
        <v>160</v>
      </c>
      <c r="K18" s="75">
        <v>39</v>
      </c>
      <c r="L18" s="76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46242</v>
      </c>
      <c r="B19" s="47">
        <v>15</v>
      </c>
      <c r="C19" s="57" t="s">
        <v>100</v>
      </c>
      <c r="D19" s="74"/>
      <c r="E19" s="75"/>
      <c r="F19" s="76"/>
      <c r="G19" s="50">
        <v>40</v>
      </c>
      <c r="H19" s="75">
        <v>40</v>
      </c>
      <c r="I19" s="49">
        <v>120</v>
      </c>
      <c r="J19" s="50">
        <v>120</v>
      </c>
      <c r="K19" s="75">
        <v>80</v>
      </c>
      <c r="L19" s="76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46242</v>
      </c>
      <c r="B20" s="47">
        <v>16</v>
      </c>
      <c r="C20" s="57" t="s">
        <v>101</v>
      </c>
      <c r="D20" s="74"/>
      <c r="E20" s="75"/>
      <c r="F20" s="76"/>
      <c r="G20" s="50"/>
      <c r="H20" s="75">
        <v>120</v>
      </c>
      <c r="I20" s="49">
        <v>120</v>
      </c>
      <c r="J20" s="50">
        <v>120</v>
      </c>
      <c r="K20" s="75">
        <v>120</v>
      </c>
      <c r="L20" s="76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46242</v>
      </c>
      <c r="B21" s="47">
        <v>17</v>
      </c>
      <c r="C21" s="57" t="s">
        <v>102</v>
      </c>
      <c r="D21" s="74"/>
      <c r="E21" s="75"/>
      <c r="F21" s="76"/>
      <c r="G21" s="50">
        <v>600</v>
      </c>
      <c r="H21" s="75">
        <v>600</v>
      </c>
      <c r="I21" s="49">
        <v>2800</v>
      </c>
      <c r="J21" s="50">
        <v>600</v>
      </c>
      <c r="K21" s="75">
        <v>1000</v>
      </c>
      <c r="L21" s="76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/>
      <c r="D22" s="74"/>
      <c r="E22" s="75"/>
      <c r="F22" s="76"/>
      <c r="G22" s="50"/>
      <c r="H22" s="75"/>
      <c r="I22" s="49"/>
      <c r="J22" s="50"/>
      <c r="K22" s="75"/>
      <c r="L22" s="76"/>
      <c r="M22" s="48">
        <f t="shared" si="37"/>
        <v>0</v>
      </c>
      <c r="N22" s="39">
        <f t="shared" si="18"/>
        <v>0</v>
      </c>
      <c r="O22" s="49">
        <f t="shared" si="1"/>
        <v>62.470500000000001</v>
      </c>
      <c r="P22" s="73">
        <f t="shared" si="38"/>
        <v>0</v>
      </c>
      <c r="Q22" s="40">
        <f t="shared" si="39"/>
        <v>0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/>
      <c r="D23" s="74"/>
      <c r="E23" s="75"/>
      <c r="F23" s="76"/>
      <c r="G23" s="50"/>
      <c r="H23" s="75"/>
      <c r="I23" s="49"/>
      <c r="J23" s="50"/>
      <c r="K23" s="75"/>
      <c r="L23" s="76"/>
      <c r="M23" s="48">
        <f t="shared" si="37"/>
        <v>0</v>
      </c>
      <c r="N23" s="39">
        <f t="shared" si="18"/>
        <v>0</v>
      </c>
      <c r="O23" s="49">
        <f t="shared" si="1"/>
        <v>62.470500000000001</v>
      </c>
      <c r="P23" s="73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/>
      <c r="D24" s="74"/>
      <c r="E24" s="75"/>
      <c r="F24" s="76"/>
      <c r="G24" s="50"/>
      <c r="H24" s="75"/>
      <c r="I24" s="49"/>
      <c r="J24" s="50"/>
      <c r="K24" s="75"/>
      <c r="L24" s="76"/>
      <c r="M24" s="48">
        <f t="shared" ref="M24:M27" si="47">SUM(D24:L24)/40</f>
        <v>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0</v>
      </c>
      <c r="Q24" s="40">
        <f t="shared" ref="Q24:Q27" si="49">SUM(J24:L24)/20</f>
        <v>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62.470500000000001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62.470500000000001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62.470500000000001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62.470500000000001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62.470500000000001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62.470500000000001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62.470500000000001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62.470500000000001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62.470500000000001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62.470500000000001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62.470500000000001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62.470500000000001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62.470500000000001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62.470500000000001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62.470500000000001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62.470500000000001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62.470500000000001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62.470500000000001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62.470500000000001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62.470500000000001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62.470500000000001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62.470500000000001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62.470500000000001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62.470500000000001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62.470500000000001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62.470500000000001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62.470500000000001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62.470500000000001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62.470500000000001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62.470500000000001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62.470500000000001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27"/>
      <c r="J57" s="75"/>
      <c r="K57" s="75"/>
      <c r="L57" s="75"/>
      <c r="M57" s="129">
        <f t="shared" si="76"/>
        <v>0</v>
      </c>
      <c r="N57" s="39">
        <f t="shared" si="18"/>
        <v>0</v>
      </c>
      <c r="O57" s="49">
        <f t="shared" si="1"/>
        <v>62.470500000000001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76"/>
        <v>0</v>
      </c>
      <c r="N58" s="39">
        <f t="shared" si="18"/>
        <v>0</v>
      </c>
      <c r="O58" s="49">
        <f t="shared" si="1"/>
        <v>62.470500000000001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76"/>
        <v>0</v>
      </c>
      <c r="N59" s="39">
        <f t="shared" si="18"/>
        <v>0</v>
      </c>
      <c r="O59" s="49">
        <f t="shared" si="1"/>
        <v>62.470500000000001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52"/>
        <v>0</v>
      </c>
      <c r="N60" s="39">
        <f t="shared" si="18"/>
        <v>0</v>
      </c>
      <c r="O60" s="49">
        <f t="shared" si="1"/>
        <v>62.470500000000001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28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ref="M61:M83" si="81">SUM(D61:L61)/40</f>
        <v>0</v>
      </c>
      <c r="N61" s="39">
        <f t="shared" si="18"/>
        <v>0</v>
      </c>
      <c r="O61" s="49">
        <f t="shared" si="1"/>
        <v>62.470500000000001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si="81"/>
        <v>0</v>
      </c>
      <c r="N62" s="39">
        <f t="shared" si="18"/>
        <v>0</v>
      </c>
      <c r="O62" s="49">
        <f t="shared" si="1"/>
        <v>62.470500000000001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1"/>
        <v>0</v>
      </c>
      <c r="N63" s="39">
        <f t="shared" si="18"/>
        <v>0</v>
      </c>
      <c r="O63" s="49">
        <f t="shared" si="1"/>
        <v>62.470500000000001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1"/>
        <v>0</v>
      </c>
      <c r="N64" s="39">
        <f t="shared" si="18"/>
        <v>0</v>
      </c>
      <c r="O64" s="49">
        <f t="shared" si="1"/>
        <v>62.470500000000001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1"/>
        <v>0</v>
      </c>
      <c r="N65" s="39">
        <f t="shared" si="18"/>
        <v>0</v>
      </c>
      <c r="O65" s="49">
        <f t="shared" si="1"/>
        <v>62.470500000000001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1"/>
        <v>0</v>
      </c>
      <c r="N66" s="39">
        <f t="shared" si="18"/>
        <v>0</v>
      </c>
      <c r="O66" s="49">
        <f t="shared" si="1"/>
        <v>62.470500000000001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1"/>
        <v>0</v>
      </c>
      <c r="N67" s="39">
        <f t="shared" si="18"/>
        <v>0</v>
      </c>
      <c r="O67" s="49">
        <f t="shared" si="1"/>
        <v>62.470500000000001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1"/>
        <v>0</v>
      </c>
      <c r="N68" s="39">
        <f t="shared" si="18"/>
        <v>0</v>
      </c>
      <c r="O68" s="49">
        <f t="shared" si="1"/>
        <v>62.470500000000001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1"/>
        <v>0</v>
      </c>
      <c r="N69" s="39">
        <f t="shared" si="18"/>
        <v>0</v>
      </c>
      <c r="O69" s="49">
        <f t="shared" si="1"/>
        <v>62.470500000000001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1"/>
        <v>0</v>
      </c>
      <c r="N70" s="39">
        <f t="shared" si="18"/>
        <v>0</v>
      </c>
      <c r="O70" s="49">
        <f t="shared" si="1"/>
        <v>62.470500000000001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1"/>
        <v>0</v>
      </c>
      <c r="N71" s="39">
        <f t="shared" si="18"/>
        <v>0</v>
      </c>
      <c r="O71" s="49">
        <f t="shared" si="1"/>
        <v>62.470500000000001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1"/>
        <v>0</v>
      </c>
      <c r="N72" s="39">
        <f t="shared" si="18"/>
        <v>0</v>
      </c>
      <c r="O72" s="49">
        <f t="shared" si="1"/>
        <v>62.470500000000001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1"/>
        <v>0</v>
      </c>
      <c r="N73" s="39">
        <f t="shared" si="18"/>
        <v>0</v>
      </c>
      <c r="O73" s="49">
        <f t="shared" si="1"/>
        <v>62.470500000000001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9"/>
      <c r="D74" s="75"/>
      <c r="E74" s="75"/>
      <c r="F74" s="50"/>
      <c r="G74" s="75"/>
      <c r="H74" s="75"/>
      <c r="I74" s="127"/>
      <c r="J74" s="75"/>
      <c r="K74" s="75"/>
      <c r="L74" s="75"/>
      <c r="M74" s="129">
        <f t="shared" si="81"/>
        <v>0</v>
      </c>
      <c r="N74" s="39">
        <f t="shared" si="18"/>
        <v>0</v>
      </c>
      <c r="O74" s="49">
        <f t="shared" si="1"/>
        <v>62.470500000000001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9"/>
      <c r="D75" s="75"/>
      <c r="E75" s="50"/>
      <c r="F75" s="50"/>
      <c r="G75" s="75"/>
      <c r="H75" s="75"/>
      <c r="I75" s="127"/>
      <c r="J75" s="75"/>
      <c r="K75" s="75"/>
      <c r="L75" s="75"/>
      <c r="M75" s="129">
        <f t="shared" si="81"/>
        <v>0</v>
      </c>
      <c r="N75" s="39">
        <f t="shared" si="18"/>
        <v>0</v>
      </c>
      <c r="O75" s="49">
        <f t="shared" si="1"/>
        <v>62.470500000000001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1"/>
        <v>0</v>
      </c>
      <c r="N76" s="39">
        <f t="shared" si="18"/>
        <v>0</v>
      </c>
      <c r="O76" s="49">
        <f t="shared" si="1"/>
        <v>62.470500000000001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50"/>
      <c r="H77" s="50"/>
      <c r="I77" s="129"/>
      <c r="J77" s="50"/>
      <c r="K77" s="50"/>
      <c r="L77" s="50"/>
      <c r="M77" s="129">
        <f t="shared" si="81"/>
        <v>0</v>
      </c>
      <c r="N77" s="39">
        <f t="shared" si="18"/>
        <v>0</v>
      </c>
      <c r="O77" s="49">
        <f t="shared" si="1"/>
        <v>62.470500000000001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1"/>
        <v>0</v>
      </c>
      <c r="N78" s="39">
        <f t="shared" si="18"/>
        <v>0</v>
      </c>
      <c r="O78" s="49">
        <f t="shared" si="1"/>
        <v>62.470500000000001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28"/>
      <c r="D79" s="50"/>
      <c r="E79" s="50"/>
      <c r="F79" s="50"/>
      <c r="G79" s="50"/>
      <c r="H79" s="50"/>
      <c r="I79" s="129"/>
      <c r="J79" s="50"/>
      <c r="K79" s="50"/>
      <c r="L79" s="50"/>
      <c r="M79" s="129">
        <f t="shared" si="81"/>
        <v>0</v>
      </c>
      <c r="N79" s="39">
        <f t="shared" si="18"/>
        <v>0</v>
      </c>
      <c r="O79" s="49">
        <f t="shared" si="1"/>
        <v>62.470500000000001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1"/>
        <v>0</v>
      </c>
      <c r="N80" s="39">
        <f t="shared" si="18"/>
        <v>0</v>
      </c>
      <c r="O80" s="49">
        <f t="shared" si="1"/>
        <v>62.470500000000001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1"/>
        <v>0</v>
      </c>
      <c r="N81" s="39">
        <f t="shared" si="18"/>
        <v>0</v>
      </c>
      <c r="O81" s="49">
        <f t="shared" si="1"/>
        <v>62.470500000000001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1"/>
        <v>0</v>
      </c>
      <c r="N82" s="39">
        <f t="shared" si="18"/>
        <v>0</v>
      </c>
      <c r="O82" s="49">
        <f t="shared" si="1"/>
        <v>62.470500000000001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1"/>
        <v>0</v>
      </c>
      <c r="N83" s="39">
        <f t="shared" si="18"/>
        <v>0</v>
      </c>
      <c r="O83" s="49">
        <f t="shared" si="1"/>
        <v>62.470500000000001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ref="M84:M131" si="96">SUM(D84:L84)/40</f>
        <v>0</v>
      </c>
      <c r="N84" s="39">
        <f t="shared" si="18"/>
        <v>0</v>
      </c>
      <c r="O84" s="49">
        <f t="shared" si="1"/>
        <v>62.470500000000001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si="96"/>
        <v>0</v>
      </c>
      <c r="N85" s="39">
        <f t="shared" si="18"/>
        <v>0</v>
      </c>
      <c r="O85" s="49">
        <f t="shared" si="1"/>
        <v>62.470500000000001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96"/>
        <v>0</v>
      </c>
      <c r="N86" s="39">
        <f t="shared" si="18"/>
        <v>0</v>
      </c>
      <c r="O86" s="49">
        <f t="shared" si="1"/>
        <v>62.470500000000001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96"/>
        <v>0</v>
      </c>
      <c r="N87" s="39">
        <f t="shared" si="18"/>
        <v>0</v>
      </c>
      <c r="O87" s="49">
        <f t="shared" si="1"/>
        <v>62.470500000000001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96"/>
        <v>0</v>
      </c>
      <c r="N88" s="39">
        <f t="shared" si="18"/>
        <v>0</v>
      </c>
      <c r="O88" s="49">
        <f t="shared" si="1"/>
        <v>62.470500000000001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96"/>
        <v>0</v>
      </c>
      <c r="N89" s="39">
        <f t="shared" si="18"/>
        <v>0</v>
      </c>
      <c r="O89" s="49">
        <f t="shared" si="1"/>
        <v>62.470500000000001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96"/>
        <v>0</v>
      </c>
      <c r="N90" s="39">
        <f t="shared" si="18"/>
        <v>0</v>
      </c>
      <c r="O90" s="49">
        <f t="shared" si="1"/>
        <v>62.470500000000001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96"/>
        <v>0</v>
      </c>
      <c r="N91" s="39">
        <f t="shared" si="18"/>
        <v>0</v>
      </c>
      <c r="O91" s="49">
        <f t="shared" si="1"/>
        <v>62.470500000000001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96"/>
        <v>0</v>
      </c>
      <c r="N92" s="39">
        <f t="shared" si="18"/>
        <v>0</v>
      </c>
      <c r="O92" s="49">
        <f t="shared" si="1"/>
        <v>62.470500000000001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96"/>
        <v>0</v>
      </c>
      <c r="N93" s="39">
        <f t="shared" si="18"/>
        <v>0</v>
      </c>
      <c r="O93" s="49">
        <f t="shared" si="1"/>
        <v>62.470500000000001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96"/>
        <v>0</v>
      </c>
      <c r="N94" s="39">
        <f t="shared" si="18"/>
        <v>0</v>
      </c>
      <c r="O94" s="49">
        <f t="shared" si="1"/>
        <v>62.470500000000001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96"/>
        <v>0</v>
      </c>
      <c r="N95" s="39">
        <f t="shared" si="18"/>
        <v>0</v>
      </c>
      <c r="O95" s="49">
        <f t="shared" si="1"/>
        <v>62.470500000000001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96"/>
        <v>0</v>
      </c>
      <c r="N96" s="39">
        <f t="shared" si="18"/>
        <v>0</v>
      </c>
      <c r="O96" s="49">
        <f t="shared" si="1"/>
        <v>62.470500000000001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96"/>
        <v>0</v>
      </c>
      <c r="N97" s="39">
        <f t="shared" si="18"/>
        <v>0</v>
      </c>
      <c r="O97" s="49">
        <f t="shared" si="1"/>
        <v>62.470500000000001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96"/>
        <v>0</v>
      </c>
      <c r="N98" s="39">
        <f t="shared" si="18"/>
        <v>0</v>
      </c>
      <c r="O98" s="49">
        <f t="shared" si="1"/>
        <v>62.470500000000001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96"/>
        <v>0</v>
      </c>
      <c r="N99" s="39">
        <f t="shared" si="18"/>
        <v>0</v>
      </c>
      <c r="O99" s="49">
        <f t="shared" si="1"/>
        <v>62.470500000000001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96"/>
        <v>0</v>
      </c>
      <c r="N100" s="39">
        <f t="shared" si="18"/>
        <v>0</v>
      </c>
      <c r="O100" s="49">
        <f t="shared" si="1"/>
        <v>62.470500000000001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96"/>
        <v>0</v>
      </c>
      <c r="N101" s="39">
        <f t="shared" si="18"/>
        <v>0</v>
      </c>
      <c r="O101" s="49">
        <f t="shared" si="1"/>
        <v>62.470500000000001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96"/>
        <v>0</v>
      </c>
      <c r="N102" s="39">
        <f t="shared" si="18"/>
        <v>0</v>
      </c>
      <c r="O102" s="49">
        <f t="shared" si="1"/>
        <v>62.470500000000001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96"/>
        <v>0</v>
      </c>
      <c r="N103" s="39">
        <f t="shared" si="18"/>
        <v>0</v>
      </c>
      <c r="O103" s="49">
        <f t="shared" si="1"/>
        <v>62.470500000000001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96"/>
        <v>0</v>
      </c>
      <c r="N104" s="39">
        <f t="shared" si="18"/>
        <v>0</v>
      </c>
      <c r="O104" s="49">
        <f t="shared" si="1"/>
        <v>62.470500000000001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96"/>
        <v>0</v>
      </c>
      <c r="N105" s="39">
        <f t="shared" si="18"/>
        <v>0</v>
      </c>
      <c r="O105" s="49">
        <f t="shared" si="1"/>
        <v>62.470500000000001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96"/>
        <v>0</v>
      </c>
      <c r="N106" s="39">
        <f t="shared" si="18"/>
        <v>0</v>
      </c>
      <c r="O106" s="49">
        <f t="shared" si="1"/>
        <v>62.470500000000001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96"/>
        <v>0</v>
      </c>
      <c r="N107" s="39">
        <f t="shared" si="18"/>
        <v>0</v>
      </c>
      <c r="O107" s="49">
        <f t="shared" si="1"/>
        <v>62.470500000000001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96"/>
        <v>0</v>
      </c>
      <c r="N108" s="39">
        <f t="shared" si="18"/>
        <v>0</v>
      </c>
      <c r="O108" s="49">
        <f t="shared" si="1"/>
        <v>62.470500000000001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96"/>
        <v>0</v>
      </c>
      <c r="N109" s="39">
        <f t="shared" si="18"/>
        <v>0</v>
      </c>
      <c r="O109" s="49">
        <f t="shared" si="1"/>
        <v>62.470500000000001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96"/>
        <v>0</v>
      </c>
      <c r="N110" s="39">
        <f t="shared" si="18"/>
        <v>0</v>
      </c>
      <c r="O110" s="49">
        <f t="shared" si="1"/>
        <v>62.470500000000001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96"/>
        <v>0</v>
      </c>
      <c r="N111" s="39">
        <f t="shared" si="18"/>
        <v>0</v>
      </c>
      <c r="O111" s="49">
        <f t="shared" si="1"/>
        <v>62.470500000000001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96"/>
        <v>0</v>
      </c>
      <c r="N112" s="39">
        <f t="shared" si="18"/>
        <v>0</v>
      </c>
      <c r="O112" s="49">
        <f t="shared" si="1"/>
        <v>62.470500000000001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96"/>
        <v>0</v>
      </c>
      <c r="N113" s="39">
        <f t="shared" si="18"/>
        <v>0</v>
      </c>
      <c r="O113" s="49">
        <f t="shared" si="1"/>
        <v>62.470500000000001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96"/>
        <v>0</v>
      </c>
      <c r="N114" s="39">
        <f t="shared" si="18"/>
        <v>0</v>
      </c>
      <c r="O114" s="49">
        <f t="shared" si="1"/>
        <v>62.470500000000001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96"/>
        <v>0</v>
      </c>
      <c r="N115" s="39">
        <f t="shared" si="18"/>
        <v>0</v>
      </c>
      <c r="O115" s="49">
        <f t="shared" si="1"/>
        <v>62.470500000000001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96"/>
        <v>0</v>
      </c>
      <c r="N116" s="39">
        <f t="shared" si="18"/>
        <v>0</v>
      </c>
      <c r="O116" s="49">
        <f t="shared" si="1"/>
        <v>62.470500000000001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96"/>
        <v>0</v>
      </c>
      <c r="N117" s="39">
        <f t="shared" si="18"/>
        <v>0</v>
      </c>
      <c r="O117" s="49">
        <f t="shared" si="1"/>
        <v>62.470500000000001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96"/>
        <v>0</v>
      </c>
      <c r="N118" s="39">
        <f t="shared" si="18"/>
        <v>0</v>
      </c>
      <c r="O118" s="49">
        <f t="shared" si="1"/>
        <v>62.470500000000001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96"/>
        <v>0</v>
      </c>
      <c r="N119" s="39">
        <f t="shared" si="18"/>
        <v>0</v>
      </c>
      <c r="O119" s="49">
        <f t="shared" si="1"/>
        <v>62.470500000000001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96"/>
        <v>0</v>
      </c>
      <c r="N120" s="39">
        <f t="shared" si="18"/>
        <v>0</v>
      </c>
      <c r="O120" s="49">
        <f t="shared" si="1"/>
        <v>62.470500000000001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96"/>
        <v>0</v>
      </c>
      <c r="N121" s="39">
        <f t="shared" si="18"/>
        <v>0</v>
      </c>
      <c r="O121" s="49">
        <f t="shared" si="1"/>
        <v>62.470500000000001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96"/>
        <v>0</v>
      </c>
      <c r="N122" s="39">
        <f t="shared" si="18"/>
        <v>0</v>
      </c>
      <c r="O122" s="49">
        <f t="shared" si="1"/>
        <v>62.470500000000001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96"/>
        <v>0</v>
      </c>
      <c r="N123" s="39">
        <f t="shared" si="18"/>
        <v>0</v>
      </c>
      <c r="O123" s="49">
        <f t="shared" si="1"/>
        <v>62.470500000000001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07"/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96"/>
        <v>0</v>
      </c>
      <c r="N124" s="39">
        <f t="shared" si="18"/>
        <v>0</v>
      </c>
      <c r="O124" s="49">
        <f t="shared" si="1"/>
        <v>62.470500000000001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96"/>
        <v>0</v>
      </c>
      <c r="N125" s="39">
        <f t="shared" si="18"/>
        <v>0</v>
      </c>
      <c r="O125" s="49">
        <f t="shared" si="1"/>
        <v>62.470500000000001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96"/>
        <v>0</v>
      </c>
      <c r="N126" s="39">
        <f t="shared" si="18"/>
        <v>0</v>
      </c>
      <c r="O126" s="49">
        <f t="shared" si="1"/>
        <v>62.470500000000001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96"/>
        <v>0</v>
      </c>
      <c r="N127" s="39">
        <f t="shared" si="18"/>
        <v>0</v>
      </c>
      <c r="O127" s="49">
        <f t="shared" si="1"/>
        <v>62.470500000000001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96"/>
        <v>0</v>
      </c>
      <c r="N128" s="39">
        <f t="shared" si="18"/>
        <v>0</v>
      </c>
      <c r="O128" s="49">
        <f t="shared" si="1"/>
        <v>62.470500000000001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96"/>
        <v>0</v>
      </c>
      <c r="N129" s="39">
        <f t="shared" si="18"/>
        <v>0</v>
      </c>
      <c r="O129" s="49">
        <f t="shared" si="1"/>
        <v>62.470500000000001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96"/>
        <v>0</v>
      </c>
      <c r="N130" s="39">
        <f t="shared" si="18"/>
        <v>0</v>
      </c>
      <c r="O130" s="49">
        <f t="shared" si="1"/>
        <v>62.470500000000001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96"/>
        <v>0</v>
      </c>
      <c r="N131" s="39">
        <f t="shared" si="18"/>
        <v>0</v>
      </c>
      <c r="O131" s="49">
        <f t="shared" si="1"/>
        <v>62.470500000000001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3" t="s">
        <v>11</v>
      </c>
      <c r="C132" s="164"/>
      <c r="D132" s="84">
        <f t="shared" ref="D132:L132" si="104">SUM(D6:D60)</f>
        <v>2003</v>
      </c>
      <c r="E132" s="84">
        <f t="shared" si="104"/>
        <v>0</v>
      </c>
      <c r="F132" s="84">
        <f t="shared" si="104"/>
        <v>0</v>
      </c>
      <c r="G132" s="84">
        <f t="shared" si="104"/>
        <v>1903</v>
      </c>
      <c r="H132" s="84">
        <f t="shared" si="104"/>
        <v>2007</v>
      </c>
      <c r="I132" s="84">
        <f t="shared" si="104"/>
        <v>4359</v>
      </c>
      <c r="J132" s="84">
        <f t="shared" si="104"/>
        <v>3101</v>
      </c>
      <c r="K132" s="84">
        <f t="shared" si="104"/>
        <v>3357</v>
      </c>
      <c r="L132" s="84">
        <f t="shared" si="104"/>
        <v>5559</v>
      </c>
      <c r="M132" s="48">
        <f t="shared" ref="M132:M135" si="105">SUM(D132:L132)/40</f>
        <v>557.22500000000002</v>
      </c>
      <c r="N132" s="39">
        <f t="shared" si="18"/>
        <v>0</v>
      </c>
      <c r="O132" s="49">
        <f t="shared" si="1"/>
        <v>62.470500000000001</v>
      </c>
      <c r="P132" s="73">
        <f t="shared" ref="P132:P136" si="106">SUM(G132:I132)/20</f>
        <v>413.45</v>
      </c>
      <c r="Q132" s="40">
        <f t="shared" ref="Q132:Q136" si="107">SUM(J132:L132)/20</f>
        <v>600.85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07">
        <v>0</v>
      </c>
      <c r="C133" s="57" t="s">
        <v>70</v>
      </c>
      <c r="D133" s="108"/>
      <c r="E133" s="109"/>
      <c r="F133" s="110"/>
      <c r="G133" s="109"/>
      <c r="H133" s="109"/>
      <c r="I133" s="110"/>
      <c r="J133" s="109"/>
      <c r="K133" s="109"/>
      <c r="L133" s="110"/>
      <c r="M133" s="111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62.470500000000001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62.470500000000001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51" t="s">
        <v>71</v>
      </c>
      <c r="C136" s="152"/>
      <c r="D136" s="83">
        <f>SUM(D134:D135)</f>
        <v>0</v>
      </c>
      <c r="E136" s="83">
        <f t="shared" ref="E136:L136" si="111">SUM(E134:E135)</f>
        <v>0</v>
      </c>
      <c r="F136" s="83">
        <f t="shared" si="111"/>
        <v>0</v>
      </c>
      <c r="G136" s="83">
        <f t="shared" si="111"/>
        <v>0</v>
      </c>
      <c r="H136" s="83">
        <f t="shared" si="111"/>
        <v>0</v>
      </c>
      <c r="I136" s="83">
        <f t="shared" si="111"/>
        <v>0</v>
      </c>
      <c r="J136" s="83">
        <f t="shared" si="111"/>
        <v>0</v>
      </c>
      <c r="K136" s="83">
        <f t="shared" si="111"/>
        <v>0</v>
      </c>
      <c r="L136" s="83">
        <f t="shared" si="111"/>
        <v>0</v>
      </c>
      <c r="M136" s="112">
        <f>SUM(M133:M135)</f>
        <v>0</v>
      </c>
      <c r="N136" s="59">
        <f t="shared" si="18"/>
        <v>0</v>
      </c>
      <c r="O136" s="58">
        <f t="shared" si="1"/>
        <v>62.470500000000001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40" t="s">
        <v>11</v>
      </c>
      <c r="C137" s="141"/>
      <c r="D137" s="85">
        <f>SUM(D132,D136)</f>
        <v>2003</v>
      </c>
      <c r="E137" s="85">
        <f t="shared" ref="E137:L137" si="112">SUM(E132,E136)</f>
        <v>0</v>
      </c>
      <c r="F137" s="85">
        <f t="shared" si="112"/>
        <v>0</v>
      </c>
      <c r="G137" s="85">
        <f t="shared" si="112"/>
        <v>1903</v>
      </c>
      <c r="H137" s="85">
        <f t="shared" si="112"/>
        <v>2007</v>
      </c>
      <c r="I137" s="85">
        <f t="shared" si="112"/>
        <v>4359</v>
      </c>
      <c r="J137" s="85">
        <f t="shared" si="112"/>
        <v>3101</v>
      </c>
      <c r="K137" s="85">
        <f t="shared" si="112"/>
        <v>3357</v>
      </c>
      <c r="L137" s="85">
        <f t="shared" si="112"/>
        <v>5559</v>
      </c>
      <c r="M137" s="60">
        <f t="shared" si="0"/>
        <v>557.22500000000002</v>
      </c>
      <c r="N137" s="63">
        <f>SUM(N5:N136)</f>
        <v>0</v>
      </c>
      <c r="O137" s="61">
        <f t="shared" ref="O137:Y137" si="113">SUM(O5:O136)</f>
        <v>8183.6355000000185</v>
      </c>
      <c r="P137" s="62">
        <f t="shared" si="113"/>
        <v>832.9</v>
      </c>
      <c r="Q137" s="64">
        <f t="shared" si="113"/>
        <v>1205.6999999999998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opLeftCell="A7" zoomScale="85" zoomScaleNormal="85" workbookViewId="0">
      <selection activeCell="G9" sqref="G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7" t="s">
        <v>49</v>
      </c>
      <c r="D3" s="168"/>
      <c r="E3" s="168"/>
      <c r="F3" s="168"/>
      <c r="G3" s="169"/>
      <c r="H3" s="171" t="s">
        <v>63</v>
      </c>
      <c r="I3" s="172"/>
      <c r="K3" s="173" t="s">
        <v>67</v>
      </c>
      <c r="L3" s="173"/>
      <c r="M3" s="173"/>
      <c r="N3" s="173"/>
      <c r="O3" s="173"/>
      <c r="P3" s="173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59</v>
      </c>
      <c r="G4" s="100" t="s">
        <v>48</v>
      </c>
      <c r="H4" s="93" t="s">
        <v>63</v>
      </c>
      <c r="I4" s="94" t="s">
        <v>64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68</v>
      </c>
      <c r="P4" s="138" t="s">
        <v>89</v>
      </c>
    </row>
    <row r="5" spans="3:26" ht="32" customHeight="1" x14ac:dyDescent="0.55000000000000004">
      <c r="C5" s="101" t="s">
        <v>50</v>
      </c>
      <c r="D5" s="88">
        <v>165</v>
      </c>
      <c r="E5" s="79">
        <v>143</v>
      </c>
      <c r="F5" s="79">
        <v>100</v>
      </c>
      <c r="G5" s="102">
        <f>SUM(D5:F5)</f>
        <v>408</v>
      </c>
      <c r="H5" s="95">
        <v>10000</v>
      </c>
      <c r="I5" s="96">
        <f>G5-H5</f>
        <v>-9592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26" ht="32" customHeight="1" thickBot="1" x14ac:dyDescent="0.6">
      <c r="C6" s="103" t="s">
        <v>51</v>
      </c>
      <c r="D6" s="104">
        <f>D5*40</f>
        <v>6600</v>
      </c>
      <c r="E6" s="104">
        <f t="shared" ref="E6:F6" si="1">E5*40</f>
        <v>5720</v>
      </c>
      <c r="F6" s="104">
        <f t="shared" si="1"/>
        <v>4000</v>
      </c>
      <c r="G6" s="105">
        <f>SUM(D6:F6)</f>
        <v>16320</v>
      </c>
      <c r="H6" s="97">
        <f>H5*40</f>
        <v>400000</v>
      </c>
      <c r="I6" s="98">
        <f>G6-H6</f>
        <v>-383680</v>
      </c>
      <c r="K6" s="1" t="s">
        <v>2</v>
      </c>
      <c r="L6" s="7">
        <v>70</v>
      </c>
      <c r="M6" s="5"/>
      <c r="N6" s="6">
        <f t="shared" si="0"/>
        <v>0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/>
      <c r="N7" s="6">
        <f t="shared" si="0"/>
        <v>0</v>
      </c>
      <c r="O7" s="81"/>
      <c r="S7" s="136" t="s">
        <v>88</v>
      </c>
      <c r="T7" s="136" t="s">
        <v>87</v>
      </c>
      <c r="U7" s="77" t="s">
        <v>81</v>
      </c>
      <c r="V7" s="136" t="s">
        <v>85</v>
      </c>
      <c r="W7" s="136" t="s">
        <v>84</v>
      </c>
      <c r="X7" s="136" t="s">
        <v>84</v>
      </c>
      <c r="Y7" s="136" t="s">
        <v>84</v>
      </c>
      <c r="Z7" s="136" t="s">
        <v>86</v>
      </c>
    </row>
    <row r="8" spans="3:26" ht="23.5" x14ac:dyDescent="0.55000000000000004">
      <c r="C8" s="82" t="s">
        <v>52</v>
      </c>
      <c r="K8" s="1" t="s">
        <v>4</v>
      </c>
      <c r="L8" s="7">
        <v>120</v>
      </c>
      <c r="M8" s="5"/>
      <c r="N8" s="6">
        <f t="shared" si="0"/>
        <v>0</v>
      </c>
      <c r="O8" s="81"/>
      <c r="S8" s="79">
        <v>120</v>
      </c>
      <c r="T8" s="79" t="s">
        <v>80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53</v>
      </c>
      <c r="D9" s="106">
        <f>D8-D5</f>
        <v>-165</v>
      </c>
      <c r="E9" s="106">
        <f>E8-E5</f>
        <v>-143</v>
      </c>
      <c r="K9" s="1" t="s">
        <v>5</v>
      </c>
      <c r="L9" s="7">
        <v>120</v>
      </c>
      <c r="M9" s="5"/>
      <c r="N9" s="6">
        <f t="shared" si="0"/>
        <v>0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  <c r="S10" s="79">
        <v>120</v>
      </c>
      <c r="T10" s="79" t="s">
        <v>82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0" t="s">
        <v>60</v>
      </c>
      <c r="D11" s="170"/>
      <c r="F11" s="170" t="s">
        <v>69</v>
      </c>
      <c r="G11" s="170"/>
      <c r="K11" s="1" t="s">
        <v>7</v>
      </c>
      <c r="L11" s="7">
        <v>60</v>
      </c>
      <c r="M11" s="5"/>
      <c r="N11" s="6">
        <f t="shared" si="0"/>
        <v>0</v>
      </c>
      <c r="O11" s="81"/>
      <c r="S11" s="79">
        <v>70</v>
      </c>
      <c r="T11" s="79" t="s">
        <v>80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50</v>
      </c>
      <c r="D12" s="87">
        <v>4200</v>
      </c>
      <c r="F12" s="89" t="s">
        <v>50</v>
      </c>
      <c r="G12" s="91">
        <f>D12+G5</f>
        <v>4608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  <c r="S12" s="79">
        <v>70</v>
      </c>
      <c r="T12" s="79" t="s">
        <v>83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51</v>
      </c>
      <c r="D13" s="91">
        <f>D12*40</f>
        <v>168000</v>
      </c>
      <c r="F13" s="90" t="s">
        <v>51</v>
      </c>
      <c r="G13" s="91">
        <f>G12*40</f>
        <v>184320</v>
      </c>
      <c r="S13" s="165" t="s">
        <v>86</v>
      </c>
      <c r="T13" s="165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75</v>
      </c>
      <c r="L16" s="117" t="s">
        <v>8</v>
      </c>
      <c r="M16" s="117" t="s">
        <v>62</v>
      </c>
      <c r="N16" s="117" t="s">
        <v>74</v>
      </c>
      <c r="O16" s="117" t="s">
        <v>76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0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0</v>
      </c>
    </row>
    <row r="19" spans="4:15" ht="23.5" x14ac:dyDescent="0.55000000000000004">
      <c r="F19" t="s">
        <v>90</v>
      </c>
      <c r="K19" s="1" t="s">
        <v>3</v>
      </c>
      <c r="L19" s="116">
        <v>70</v>
      </c>
      <c r="M19" s="5"/>
      <c r="N19" s="5"/>
      <c r="O19" s="122">
        <f t="shared" ref="O19:O23" si="4">N19-M7</f>
        <v>0</v>
      </c>
    </row>
    <row r="20" spans="4:15" ht="24" thickBot="1" x14ac:dyDescent="0.6">
      <c r="D20" s="166" t="s">
        <v>67</v>
      </c>
      <c r="E20" s="166"/>
      <c r="F20" s="166"/>
      <c r="G20" s="166"/>
      <c r="H20" s="166"/>
      <c r="K20" s="1" t="s">
        <v>4</v>
      </c>
      <c r="L20" s="116">
        <v>120</v>
      </c>
      <c r="M20" s="5"/>
      <c r="N20" s="5"/>
      <c r="O20" s="122">
        <f t="shared" si="4"/>
        <v>0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68</v>
      </c>
      <c r="K21" s="1" t="s">
        <v>5</v>
      </c>
      <c r="L21" s="116">
        <v>120</v>
      </c>
      <c r="M21" s="5"/>
      <c r="N21" s="5"/>
      <c r="O21" s="122">
        <f t="shared" si="4"/>
        <v>0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0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72</v>
      </c>
      <c r="L24" s="119"/>
      <c r="M24" s="120">
        <f>SUM(M17:M23)</f>
        <v>0</v>
      </c>
      <c r="N24" s="120">
        <f>SUM(N17:N23)</f>
        <v>0</v>
      </c>
      <c r="O24" s="117">
        <f>SUM(O17:O23)</f>
        <v>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73</v>
      </c>
      <c r="L25" s="119"/>
      <c r="M25" s="120">
        <f>M24/40</f>
        <v>0</v>
      </c>
      <c r="N25" s="120">
        <f>N24/40</f>
        <v>0</v>
      </c>
      <c r="O25" s="117">
        <f>O24/40</f>
        <v>0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2026-08-10T06:02:51Z</dcterms:modified>
</cp:coreProperties>
</file>