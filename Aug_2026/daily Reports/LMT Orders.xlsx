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D18CF405-BAF1-4A28-9561-56926831009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R35" i="2"/>
  <c r="U35" i="2" s="1"/>
  <c r="S35" i="2"/>
  <c r="T35" i="2"/>
  <c r="V35" i="2"/>
  <c r="W35" i="2"/>
  <c r="X35" i="2"/>
  <c r="Y35" i="2"/>
  <c r="M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<sst xmlns="http://schemas.openxmlformats.org/spreadsheetml/2006/main" count="247" uniqueCount="176">
  <si>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</si>
  <si>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</si>
  <si>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</si>
  <si>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</si>
  <si>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</si>
  <si>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</si>
  <si>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</si>
  <si>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</si>
  <si>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</si>
  <si>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</si>
  <si>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</si>
  <si>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</si>
  <si>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</si>
  <si>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</si>
  <si>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</si>
  <si>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</si>
  <si>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</si>
  <si>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</si>
  <si>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</si>
  <si>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</si>
  <si>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</si>
  <si>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</si>
  <si>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</si>
  <si>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</si>
  <si>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</si>
  <si>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</si>
  <si>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</si>
  <si>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</si>
  <si>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</si>
  <si>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</si>
  <si>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</si>
  <si>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</si>
  <si>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</si>
  <si>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</si>
  <si>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</si>
  <si>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</si>
  <si>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</si>
  <si>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</si>
  <si>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</si>
  <si>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</si>
  <si>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</si>
  <si>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</si>
  <si>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</si>
  <si>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</si>
  <si>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</si>
  <si>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</si>
  <si>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</si>
  <si>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</si>
  <si>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</si>
  <si>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</si>
  <si>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</si>
  <si>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</si>
  <si>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</si>
  <si>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</si>
  <si>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</si>
  <si>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</si>
  <si>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</si>
  <si>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</si>
  <si>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</si>
  <si>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</si>
  <si>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</si>
  <si>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</si>
  <si>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</si>
  <si>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</si>
  <si>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</si>
  <si>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</si>
  <si>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</si>
  <si>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</si>
  <si>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</si>
  <si>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</si>
  <si>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</si>
  <si>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</si>
  <si>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</si>
  <si>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</si>
  <si>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</si>
  <si>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</si>
  <si>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</si>
  <si>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</si>
  <si>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</si>
  <si>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</si>
  <si>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</si>
  <si>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</si>
  <si>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</si>
  <si>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</si>
  <si>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</si>
  <si>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</si>
  <si>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</si>
  <si>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</si>
  <si>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</si>
  <si>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</si>
  <si>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</si>
  <si>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</si>
  <si>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</si>
  <si>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</si>
  <si>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</si>
  <si>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</si>
  <si>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</si>
  <si>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</si>
  <si>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</si>
  <si>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</si>
  <si>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</si>
  <si>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</si>
  <si>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</si>
  <si>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</si>
  <si>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</si>
  <si>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</si>
  <si>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</si>
  <si>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</si>
  <si>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</si>
  <si>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</si>
  <si>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</si>
  <si>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</si>
  <si>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</si>
  <si>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</si>
  <si>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</si>
  <si>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</si>
  <si>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</si>
  <si>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</si>
  <si>
    <t xml:space="preserve">Arshad Sons </t>
  </si>
  <si>
    <t xml:space="preserve">Euro Model Town </t>
  </si>
  <si>
    <t xml:space="preserve">4 Season </t>
  </si>
  <si>
    <t xml:space="preserve">Raja Saab Wapda Town </t>
  </si>
  <si>
    <t>Jalal sons  Main Market</t>
  </si>
  <si>
    <t>Crown Market Singh pura</t>
  </si>
  <si>
    <t xml:space="preserve">Mb/SB Traders  Shadbagh </t>
  </si>
  <si>
    <t>Sweera GT Road</t>
  </si>
  <si>
    <t xml:space="preserve">Zubaida Traders </t>
  </si>
  <si>
    <t>Vip</t>
  </si>
  <si>
    <t xml:space="preserve">Al Rehmat </t>
  </si>
  <si>
    <t xml:space="preserve">Jala Sons Behria </t>
  </si>
  <si>
    <t>Clinic</t>
  </si>
  <si>
    <t>Jalal Sons Izmir</t>
  </si>
  <si>
    <t xml:space="preserve">Prime </t>
  </si>
  <si>
    <t xml:space="preserve">RI Mart </t>
  </si>
  <si>
    <t xml:space="preserve">Rainbow C NC </t>
  </si>
  <si>
    <t>Jalal Sons Behria Orchard</t>
  </si>
  <si>
    <t>Rainbow CNC DHA</t>
  </si>
  <si>
    <t>LGS</t>
  </si>
  <si>
    <t xml:space="preserve">RI Mart Jore Pull </t>
  </si>
  <si>
    <t xml:space="preserve">Risen Manawan </t>
  </si>
  <si>
    <t>Rainbow Sheikhupura</t>
  </si>
  <si>
    <t xml:space="preserve">Pak Madina </t>
  </si>
  <si>
    <t xml:space="preserve">Askari Punjab Society </t>
  </si>
  <si>
    <t xml:space="preserve">Risen Shadbagh </t>
  </si>
  <si>
    <t>Risen Sabzazaar</t>
  </si>
  <si>
    <t xml:space="preserve">Risen Thoker </t>
  </si>
  <si>
    <t>Risen Askari 11</t>
  </si>
  <si>
    <t>Gourmet Food</t>
  </si>
  <si>
    <t>Clinix Werehouse</t>
  </si>
  <si>
    <t xml:space="preserve">Raheem Wapda </t>
  </si>
  <si>
    <t xml:space="preserve">Cario Mart </t>
  </si>
  <si>
    <t xml:space="preserve">Risen Fateh Gher </t>
  </si>
  <si>
    <t xml:space="preserve">Gourmet Food Johar Town </t>
  </si>
  <si>
    <t xml:space="preserve">Gourmet Food 12G Johar Town </t>
  </si>
  <si>
    <t>Gourmet Food Naseer Abad</t>
  </si>
  <si>
    <t>Gourmet Food Multan Road Fwara Chowk</t>
  </si>
  <si>
    <t xml:space="preserve">Gourmet Food Faisal Town </t>
  </si>
  <si>
    <t xml:space="preserve">Gourmet Food 18G Iqbal Town </t>
  </si>
  <si>
    <t>Gourmet Food Samnabad Lhr</t>
  </si>
  <si>
    <t>Gourmet Food Ghalib Market</t>
  </si>
  <si>
    <t>Gourmet Food Islam Pura</t>
  </si>
  <si>
    <t xml:space="preserve">Gourmet Food Jinnah Hospital </t>
  </si>
  <si>
    <t xml:space="preserve">Gourmet Food Shama Cenima </t>
  </si>
  <si>
    <t xml:space="preserve">Gourmet Food Muslim Town Ayubia </t>
  </si>
  <si>
    <t>Gourmet Food Walton</t>
  </si>
  <si>
    <t xml:space="preserve">Gourmet Food C Block Model Town </t>
  </si>
  <si>
    <t xml:space="preserve">Gourmet Food Liyaqat Chowk </t>
  </si>
  <si>
    <t>Gourmet Food Krishan Nagar</t>
  </si>
  <si>
    <t>Gourmet Food Poonch Road</t>
  </si>
  <si>
    <t xml:space="preserve">Gourmet Food Nadeem Shaheed </t>
  </si>
  <si>
    <t xml:space="preserve">Gourmet Food Gulshan Ravi </t>
  </si>
  <si>
    <t xml:space="preserve">Gourmet Food Link Road Model Town </t>
  </si>
  <si>
    <t xml:space="preserve">Gourmet Food Jauray Pull </t>
  </si>
  <si>
    <t xml:space="preserve">Gourmet Food Bhatta Chowk </t>
  </si>
  <si>
    <t xml:space="preserve">Gourmet Food EME Society </t>
  </si>
  <si>
    <t xml:space="preserve">Gourmet Food  DHA XX- Block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</si>
</sst>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7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" fontId="0" fillId="5" borderId="0" xfId="0" applyNumberFormat="1" applyFill="1"/>
    <xf numFmtId="0" fontId="6" fillId="5" borderId="1" xfId="0" applyFont="1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16" fontId="0" fillId="2" borderId="0" xfId="0" applyNumberFormat="1" applyFill="1"/>
    <xf numFmtId="0" fontId="6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0" fontId="5" fillId="2" borderId="1" xfId="0" applyFont="1" applyFill="1" applyBorder="1"/>
    <xf numFmtId="0" fontId="5" fillId="2" borderId="33" xfId="0" applyFont="1" applyFill="1" applyBorder="1"/>
    <xf numFmtId="0" fontId="5" fillId="2" borderId="1" xfId="0" applyFont="1" applyFill="1" applyBorder="1" applyAlignment="1">
      <alignment horizontal="center"/>
    </xf>
    <xf numFmtId="0" fontId="5" fillId="2" borderId="33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left"/>
    </xf>
    <xf numFmtId="0" fontId="6" fillId="3" borderId="57" xfId="0" applyFont="1" applyFill="1" applyBorder="1" applyAlignment="1">
      <alignment horizontal="left"/>
    </xf>
    <xf numFmtId="0" fontId="5" fillId="3" borderId="33" xfId="0" applyFont="1" applyFill="1" applyBorder="1" applyAlignment="1">
      <alignment horizontal="center"/>
    </xf>
    <xf numFmtId="0" fontId="5" fillId="5" borderId="33" xfId="0" applyFont="1" applyFill="1" applyBorder="1"/>
    <xf numFmtId="0" fontId="5" fillId="5" borderId="33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abSelected="1" topLeftCell="A106" zoomScaleNormal="100" workbookViewId="0">
      <selection activeCell="I119" sqref="I119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76">
        <f ca="1">TODAY()</f>
        <v>46268</v>
      </c>
      <c r="C1" s="176"/>
      <c r="D1" s="176"/>
      <c r="E1" s="176"/>
      <c r="F1" s="176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3" t="s">
        <v>37</v>
      </c>
      <c r="B2" s="177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5"/>
      <c r="N2" s="166"/>
      <c r="O2" s="167"/>
      <c r="P2" s="168" t="s">
        <v>14</v>
      </c>
      <c r="Q2" s="169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3"/>
      <c r="B3" s="178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0" t="s">
        <v>11</v>
      </c>
      <c r="N3" s="171"/>
      <c r="O3" s="172"/>
      <c r="P3" s="71"/>
      <c r="Q3" s="72"/>
      <c r="R3" s="180" t="s">
        <v>16</v>
      </c>
      <c r="S3" s="181"/>
      <c r="T3" s="181"/>
      <c r="U3" s="182"/>
      <c r="V3" s="183" t="s">
        <v>17</v>
      </c>
      <c r="W3" s="184"/>
      <c r="X3" s="184"/>
      <c r="Y3" s="185"/>
    </row>
    <row r="4" spans="1:25" ht="15" thickBot="1" x14ac:dyDescent="0.4">
      <c r="A4" s="173"/>
      <c r="B4" s="179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39">
        <v>46241</v>
      </c>
      <c r="B16" s="140">
        <v>12</v>
      </c>
      <c r="C16" s="141" t="s">
        <v>102</v>
      </c>
      <c r="D16" s="142">
        <v>120</v>
      </c>
      <c r="E16" s="143"/>
      <c r="F16" s="144"/>
      <c r="G16" s="145">
        <v>120</v>
      </c>
      <c r="H16" s="143">
        <v>120</v>
      </c>
      <c r="I16" s="56">
        <v>120</v>
      </c>
      <c r="J16" s="145">
        <v>120</v>
      </c>
      <c r="K16" s="143">
        <v>120</v>
      </c>
      <c r="L16" s="144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39">
        <v>46242</v>
      </c>
      <c r="B17" s="140">
        <v>13</v>
      </c>
      <c r="C17" s="141" t="s">
        <v>97</v>
      </c>
      <c r="D17" s="142"/>
      <c r="E17" s="143"/>
      <c r="F17" s="144"/>
      <c r="G17" s="145">
        <v>24</v>
      </c>
      <c r="H17" s="143">
        <v>4</v>
      </c>
      <c r="I17" s="56">
        <v>39</v>
      </c>
      <c r="J17" s="145">
        <v>38</v>
      </c>
      <c r="K17" s="143">
        <v>77</v>
      </c>
      <c r="L17" s="144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39">
        <v>46242</v>
      </c>
      <c r="B18" s="140">
        <v>14</v>
      </c>
      <c r="C18" s="141" t="s">
        <v>98</v>
      </c>
      <c r="D18" s="142"/>
      <c r="E18" s="143"/>
      <c r="F18" s="144"/>
      <c r="G18" s="145">
        <v>80</v>
      </c>
      <c r="H18" s="143">
        <v>120</v>
      </c>
      <c r="I18" s="56">
        <v>200</v>
      </c>
      <c r="J18" s="145">
        <v>160</v>
      </c>
      <c r="K18" s="143">
        <v>39</v>
      </c>
      <c r="L18" s="144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39">
        <v>46242</v>
      </c>
      <c r="B19" s="140">
        <v>15</v>
      </c>
      <c r="C19" s="141" t="s">
        <v>99</v>
      </c>
      <c r="D19" s="142"/>
      <c r="E19" s="143"/>
      <c r="F19" s="144"/>
      <c r="G19" s="145">
        <v>40</v>
      </c>
      <c r="H19" s="143">
        <v>40</v>
      </c>
      <c r="I19" s="56">
        <v>120</v>
      </c>
      <c r="J19" s="145">
        <v>120</v>
      </c>
      <c r="K19" s="143">
        <v>80</v>
      </c>
      <c r="L19" s="144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39">
        <v>46242</v>
      </c>
      <c r="B20" s="140">
        <v>16</v>
      </c>
      <c r="C20" s="141" t="s">
        <v>100</v>
      </c>
      <c r="D20" s="142"/>
      <c r="E20" s="143"/>
      <c r="F20" s="144"/>
      <c r="G20" s="145"/>
      <c r="H20" s="143">
        <v>120</v>
      </c>
      <c r="I20" s="56">
        <v>120</v>
      </c>
      <c r="J20" s="145">
        <v>120</v>
      </c>
      <c r="K20" s="143">
        <v>120</v>
      </c>
      <c r="L20" s="144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39">
        <v>46242</v>
      </c>
      <c r="B21" s="140">
        <v>17</v>
      </c>
      <c r="C21" s="141" t="s">
        <v>101</v>
      </c>
      <c r="D21" s="142"/>
      <c r="E21" s="143"/>
      <c r="F21" s="144"/>
      <c r="G21" s="145">
        <v>600</v>
      </c>
      <c r="H21" s="143">
        <v>600</v>
      </c>
      <c r="I21" s="56">
        <v>2800</v>
      </c>
      <c r="J21" s="145">
        <v>600</v>
      </c>
      <c r="K21" s="143">
        <v>1000</v>
      </c>
      <c r="L21" s="144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78">
        <v>46246</v>
      </c>
      <c r="B29" s="47">
        <v>25</v>
      </c>
      <c r="C29" s="57" t="s">
        <v>53</v>
      </c>
      <c r="D29" s="74">
        <v>40</v>
      </c>
      <c r="E29" s="75"/>
      <c r="F29" s="76"/>
      <c r="G29" s="50">
        <v>40</v>
      </c>
      <c r="H29" s="75">
        <v>40</v>
      </c>
      <c r="I29" s="49">
        <v>40</v>
      </c>
      <c r="J29" s="50">
        <v>20</v>
      </c>
      <c r="K29" s="75">
        <v>20</v>
      </c>
      <c r="L29" s="7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46246</v>
      </c>
      <c r="B30" s="47">
        <v>26</v>
      </c>
      <c r="C30" s="57" t="s">
        <v>111</v>
      </c>
      <c r="D30" s="74"/>
      <c r="E30" s="75"/>
      <c r="F30" s="76"/>
      <c r="G30" s="50">
        <v>200</v>
      </c>
      <c r="H30" s="75">
        <v>200</v>
      </c>
      <c r="I30" s="49">
        <v>200</v>
      </c>
      <c r="J30" s="50">
        <v>200</v>
      </c>
      <c r="K30" s="75">
        <v>200</v>
      </c>
      <c r="L30" s="7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46246</v>
      </c>
      <c r="B31" s="47">
        <v>27</v>
      </c>
      <c r="C31" s="57" t="s">
        <v>112</v>
      </c>
      <c r="D31" s="74"/>
      <c r="E31" s="75"/>
      <c r="F31" s="76"/>
      <c r="G31" s="50">
        <v>40</v>
      </c>
      <c r="H31" s="75">
        <v>40</v>
      </c>
      <c r="I31" s="49">
        <v>40</v>
      </c>
      <c r="J31" s="50">
        <v>40</v>
      </c>
      <c r="K31" s="75">
        <v>40</v>
      </c>
      <c r="L31" s="7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46246</v>
      </c>
      <c r="B32" s="47">
        <v>28</v>
      </c>
      <c r="C32" s="57" t="s">
        <v>91</v>
      </c>
      <c r="D32" s="74"/>
      <c r="E32" s="75"/>
      <c r="F32" s="76"/>
      <c r="G32" s="50">
        <v>200</v>
      </c>
      <c r="H32" s="75"/>
      <c r="I32" s="49">
        <v>160</v>
      </c>
      <c r="J32" s="50">
        <v>120</v>
      </c>
      <c r="K32" s="75"/>
      <c r="L32" s="76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46246</v>
      </c>
      <c r="B33" s="47">
        <v>29</v>
      </c>
      <c r="C33" s="57" t="s">
        <v>103</v>
      </c>
      <c r="D33" s="74"/>
      <c r="E33" s="75"/>
      <c r="F33" s="76"/>
      <c r="G33" s="50">
        <v>120</v>
      </c>
      <c r="H33" s="75">
        <v>80</v>
      </c>
      <c r="I33" s="49">
        <v>40</v>
      </c>
      <c r="J33" s="50">
        <v>140</v>
      </c>
      <c r="K33" s="75">
        <v>120</v>
      </c>
      <c r="L33" s="76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78">
        <v>46246</v>
      </c>
      <c r="B35" s="47">
        <v>31</v>
      </c>
      <c r="C35" s="57" t="s">
        <v>116</v>
      </c>
      <c r="D35" s="74"/>
      <c r="E35" s="75"/>
      <c r="F35" s="76"/>
      <c r="G35" s="50"/>
      <c r="H35" s="75"/>
      <c r="I35" s="49"/>
      <c r="J35" s="50">
        <v>880</v>
      </c>
      <c r="K35" s="75">
        <v>640</v>
      </c>
      <c r="L35" s="76">
        <v>880</v>
      </c>
      <c r="M35" s="48">
        <f t="shared" si="68"/>
        <v>60</v>
      </c>
      <c r="N35" s="39">
        <f t="shared" si="18"/>
        <v>0</v>
      </c>
      <c r="O35" s="49">
        <f t="shared" si="1"/>
        <v>62.470500000000001</v>
      </c>
      <c r="P35" s="73">
        <f t="shared" ref="P35" si="76">SUM(G35:I35)/20</f>
        <v>0</v>
      </c>
      <c r="Q35" s="40">
        <f t="shared" ref="Q35" si="77">SUM(J35:L35)/20</f>
        <v>120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ref="U35" si="78">SUM(R35:T35)</f>
        <v>#VALUE!</v>
      </c>
      <c r="V35" s="54" t="e">
        <f t="shared" ref="V35" si="79">SUM(D35:F35)*$V$3</f>
        <v>#VALUE!</v>
      </c>
      <c r="W35" s="55">
        <f t="shared" ref="W35" si="80">SUM(G35:I35)*$W$3</f>
        <v>0</v>
      </c>
      <c r="X35" s="55">
        <f t="shared" ref="X35" si="81">SUM(J35:L35)*$X$3</f>
        <v>0</v>
      </c>
      <c r="Y35" s="56" t="e">
        <f t="shared" ref="Y35" si="82">SUM(V35:X35)</f>
        <v>#VALUE!</v>
      </c>
    </row>
    <row r="36" spans="1:25" x14ac:dyDescent="0.35">
      <c r="A36" s="78">
        <v>46247</v>
      </c>
      <c r="B36" s="47">
        <v>32</v>
      </c>
      <c r="C36" s="57" t="s">
        <v>113</v>
      </c>
      <c r="D36" s="74"/>
      <c r="E36" s="75"/>
      <c r="F36" s="76"/>
      <c r="G36" s="50"/>
      <c r="H36" s="75"/>
      <c r="I36" s="49">
        <v>200</v>
      </c>
      <c r="J36" s="50">
        <v>40</v>
      </c>
      <c r="K36" s="75">
        <v>40</v>
      </c>
      <c r="L36" s="7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34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46249</v>
      </c>
      <c r="B39" s="47">
        <v>35</v>
      </c>
      <c r="C39" s="57" t="s">
        <v>118</v>
      </c>
      <c r="D39" s="74">
        <v>40</v>
      </c>
      <c r="E39" s="75"/>
      <c r="F39" s="76"/>
      <c r="G39" s="50">
        <v>20</v>
      </c>
      <c r="H39" s="75">
        <v>20</v>
      </c>
      <c r="I39" s="49">
        <v>40</v>
      </c>
      <c r="J39" s="50">
        <v>40</v>
      </c>
      <c r="K39" s="75">
        <v>20</v>
      </c>
      <c r="L39" s="76">
        <v>20</v>
      </c>
      <c r="M39" s="48">
        <f t="shared" si="68"/>
        <v>5</v>
      </c>
      <c r="N39" s="39">
        <f t="shared" si="18"/>
        <v>0</v>
      </c>
      <c r="O39" s="49">
        <f t="shared" si="1"/>
        <v>62.470500000000001</v>
      </c>
      <c r="P39" s="73">
        <f t="shared" si="69"/>
        <v>4</v>
      </c>
      <c r="Q39" s="40">
        <f t="shared" si="70"/>
        <v>4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46249</v>
      </c>
      <c r="B40" s="47">
        <v>36</v>
      </c>
      <c r="C40" s="57" t="s">
        <v>119</v>
      </c>
      <c r="D40" s="74">
        <v>80</v>
      </c>
      <c r="E40" s="75"/>
      <c r="F40" s="76"/>
      <c r="G40" s="50">
        <v>103</v>
      </c>
      <c r="H40" s="75">
        <v>104</v>
      </c>
      <c r="I40" s="49">
        <v>38</v>
      </c>
      <c r="J40" s="50">
        <v>68</v>
      </c>
      <c r="K40" s="75">
        <v>93</v>
      </c>
      <c r="L40" s="76">
        <v>33</v>
      </c>
      <c r="M40" s="48">
        <f t="shared" si="68"/>
        <v>12.975</v>
      </c>
      <c r="N40" s="39">
        <f t="shared" si="18"/>
        <v>0</v>
      </c>
      <c r="O40" s="49">
        <f t="shared" si="1"/>
        <v>62.470500000000001</v>
      </c>
      <c r="P40" s="73">
        <f t="shared" si="69"/>
        <v>12.25</v>
      </c>
      <c r="Q40" s="40">
        <f t="shared" si="70"/>
        <v>9.6999999999999993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46249</v>
      </c>
      <c r="B41" s="47">
        <v>37</v>
      </c>
      <c r="C41" s="57" t="s">
        <v>120</v>
      </c>
      <c r="D41" s="74"/>
      <c r="E41" s="75"/>
      <c r="F41" s="76"/>
      <c r="G41" s="50">
        <v>120</v>
      </c>
      <c r="H41" s="75">
        <v>200</v>
      </c>
      <c r="I41" s="49">
        <v>200</v>
      </c>
      <c r="J41" s="50"/>
      <c r="K41" s="75">
        <v>200</v>
      </c>
      <c r="L41" s="76">
        <v>200</v>
      </c>
      <c r="M41" s="48">
        <f t="shared" si="68"/>
        <v>23</v>
      </c>
      <c r="N41" s="39">
        <f t="shared" si="18"/>
        <v>0</v>
      </c>
      <c r="O41" s="49">
        <f t="shared" si="1"/>
        <v>62.470500000000001</v>
      </c>
      <c r="P41" s="73">
        <f t="shared" si="69"/>
        <v>26</v>
      </c>
      <c r="Q41" s="40">
        <f t="shared" si="70"/>
        <v>20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46251</v>
      </c>
      <c r="B42" s="47">
        <v>38</v>
      </c>
      <c r="C42" s="57" t="s">
        <v>115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62.470500000000001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46252</v>
      </c>
      <c r="B43" s="47">
        <v>39</v>
      </c>
      <c r="C43" s="57" t="s">
        <v>123</v>
      </c>
      <c r="D43" s="74"/>
      <c r="E43" s="75"/>
      <c r="F43" s="76"/>
      <c r="G43" s="50"/>
      <c r="H43" s="75"/>
      <c r="I43" s="49">
        <v>80</v>
      </c>
      <c r="J43" s="50"/>
      <c r="K43" s="75">
        <v>39</v>
      </c>
      <c r="L43" s="76">
        <v>80</v>
      </c>
      <c r="M43" s="48">
        <f t="shared" si="68"/>
        <v>4.9749999999999996</v>
      </c>
      <c r="N43" s="39">
        <f t="shared" si="18"/>
        <v>0</v>
      </c>
      <c r="O43" s="49">
        <f t="shared" si="1"/>
        <v>62.470500000000001</v>
      </c>
      <c r="P43" s="73">
        <f t="shared" si="69"/>
        <v>4</v>
      </c>
      <c r="Q43" s="40">
        <f t="shared" si="70"/>
        <v>5.95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46252</v>
      </c>
      <c r="B44" s="47">
        <v>40</v>
      </c>
      <c r="C44" s="57" t="s">
        <v>122</v>
      </c>
      <c r="D44" s="74"/>
      <c r="E44" s="75"/>
      <c r="F44" s="76"/>
      <c r="G44" s="50"/>
      <c r="H44" s="75">
        <v>48</v>
      </c>
      <c r="I44" s="49">
        <v>80</v>
      </c>
      <c r="J44" s="50">
        <v>80</v>
      </c>
      <c r="K44" s="75">
        <v>80</v>
      </c>
      <c r="L44" s="76">
        <v>120</v>
      </c>
      <c r="M44" s="48">
        <f t="shared" si="68"/>
        <v>10.199999999999999</v>
      </c>
      <c r="N44" s="39">
        <f t="shared" si="18"/>
        <v>0</v>
      </c>
      <c r="O44" s="49">
        <f t="shared" si="1"/>
        <v>62.470500000000001</v>
      </c>
      <c r="P44" s="73">
        <f t="shared" si="69"/>
        <v>6.4</v>
      </c>
      <c r="Q44" s="40">
        <f t="shared" si="70"/>
        <v>14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46252</v>
      </c>
      <c r="B45" s="47">
        <v>41</v>
      </c>
      <c r="C45" s="57" t="s">
        <v>121</v>
      </c>
      <c r="D45" s="74"/>
      <c r="E45" s="75"/>
      <c r="F45" s="76"/>
      <c r="G45" s="50"/>
      <c r="H45" s="75"/>
      <c r="I45" s="49">
        <v>200</v>
      </c>
      <c r="J45" s="50">
        <v>120</v>
      </c>
      <c r="K45" s="75">
        <v>200</v>
      </c>
      <c r="L45" s="76">
        <v>80</v>
      </c>
      <c r="M45" s="48">
        <f t="shared" si="68"/>
        <v>15</v>
      </c>
      <c r="N45" s="39">
        <f t="shared" si="18"/>
        <v>0</v>
      </c>
      <c r="O45" s="49">
        <f t="shared" si="1"/>
        <v>62.470500000000001</v>
      </c>
      <c r="P45" s="73">
        <f t="shared" si="69"/>
        <v>10</v>
      </c>
      <c r="Q45" s="40">
        <f t="shared" si="70"/>
        <v>20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46252</v>
      </c>
      <c r="B46" s="47">
        <v>42</v>
      </c>
      <c r="C46" s="57" t="s">
        <v>124</v>
      </c>
      <c r="D46" s="74"/>
      <c r="E46" s="75"/>
      <c r="F46" s="76"/>
      <c r="G46" s="50">
        <v>80</v>
      </c>
      <c r="H46" s="75">
        <v>40</v>
      </c>
      <c r="I46" s="49">
        <v>120</v>
      </c>
      <c r="J46" s="50">
        <v>40</v>
      </c>
      <c r="K46" s="75">
        <v>80</v>
      </c>
      <c r="L46" s="76">
        <v>120</v>
      </c>
      <c r="M46" s="48">
        <f t="shared" si="68"/>
        <v>12</v>
      </c>
      <c r="N46" s="39">
        <f t="shared" si="18"/>
        <v>0</v>
      </c>
      <c r="O46" s="49">
        <f t="shared" si="1"/>
        <v>62.470500000000001</v>
      </c>
      <c r="P46" s="73">
        <f t="shared" si="69"/>
        <v>12</v>
      </c>
      <c r="Q46" s="40">
        <f t="shared" si="70"/>
        <v>12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78">
        <v>46252</v>
      </c>
      <c r="B47" s="47">
        <v>43</v>
      </c>
      <c r="C47" s="57" t="s">
        <v>125</v>
      </c>
      <c r="D47" s="74"/>
      <c r="E47" s="75"/>
      <c r="F47" s="76"/>
      <c r="G47" s="50">
        <v>200</v>
      </c>
      <c r="H47" s="75">
        <v>200</v>
      </c>
      <c r="I47" s="49">
        <v>200</v>
      </c>
      <c r="J47" s="50">
        <v>200</v>
      </c>
      <c r="K47" s="75">
        <v>200</v>
      </c>
      <c r="L47" s="76">
        <v>200</v>
      </c>
      <c r="M47" s="48">
        <f t="shared" si="68"/>
        <v>30</v>
      </c>
      <c r="N47" s="39">
        <f t="shared" si="18"/>
        <v>0</v>
      </c>
      <c r="O47" s="49">
        <f t="shared" si="1"/>
        <v>62.470500000000001</v>
      </c>
      <c r="P47" s="73">
        <f t="shared" si="69"/>
        <v>30</v>
      </c>
      <c r="Q47" s="40">
        <f t="shared" si="70"/>
        <v>30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78">
        <v>46253</v>
      </c>
      <c r="B48" s="47">
        <v>44</v>
      </c>
      <c r="C48" s="57" t="s">
        <v>115</v>
      </c>
      <c r="D48" s="74"/>
      <c r="E48" s="75"/>
      <c r="F48" s="76"/>
      <c r="G48" s="50">
        <v>599</v>
      </c>
      <c r="H48" s="75">
        <v>600</v>
      </c>
      <c r="I48" s="49">
        <v>600</v>
      </c>
      <c r="J48" s="50">
        <v>599</v>
      </c>
      <c r="K48" s="75">
        <v>592</v>
      </c>
      <c r="L48" s="76">
        <v>596</v>
      </c>
      <c r="M48" s="48">
        <f t="shared" ref="M48:M60" si="83">SUM(D48:L48)/40</f>
        <v>89.65</v>
      </c>
      <c r="N48" s="39">
        <f t="shared" si="18"/>
        <v>0</v>
      </c>
      <c r="O48" s="49">
        <f t="shared" si="1"/>
        <v>62.470500000000001</v>
      </c>
      <c r="P48" s="73">
        <f t="shared" ref="P48:P60" si="84">SUM(G48:I48)/20</f>
        <v>89.95</v>
      </c>
      <c r="Q48" s="40">
        <f t="shared" ref="Q48:Q60" si="85">SUM(J48:L48)/20</f>
        <v>89.35</v>
      </c>
      <c r="R48" s="51"/>
      <c r="S48" s="52"/>
      <c r="T48" s="52"/>
      <c r="U48" s="53"/>
      <c r="V48" s="54"/>
      <c r="W48" s="55">
        <f t="shared" ref="W48:W60" si="86">SUM(G48:I48)*$W$3</f>
        <v>0</v>
      </c>
      <c r="X48" s="55">
        <f t="shared" ref="X48:X60" si="87">SUM(J48:L48)*$X$3</f>
        <v>0</v>
      </c>
      <c r="Y48" s="56"/>
    </row>
    <row r="49" spans="1:25" x14ac:dyDescent="0.35">
      <c r="A49" s="78">
        <v>46253</v>
      </c>
      <c r="B49" s="47">
        <v>45</v>
      </c>
      <c r="C49" s="57" t="s">
        <v>126</v>
      </c>
      <c r="D49" s="74"/>
      <c r="E49" s="75"/>
      <c r="F49" s="76"/>
      <c r="G49" s="50">
        <v>400</v>
      </c>
      <c r="H49" s="75">
        <v>400</v>
      </c>
      <c r="I49" s="49">
        <v>1200</v>
      </c>
      <c r="J49" s="50">
        <v>400</v>
      </c>
      <c r="K49" s="75">
        <v>600</v>
      </c>
      <c r="L49" s="76">
        <v>2000</v>
      </c>
      <c r="M49" s="48">
        <f t="shared" si="83"/>
        <v>125</v>
      </c>
      <c r="N49" s="39">
        <f t="shared" si="18"/>
        <v>0</v>
      </c>
      <c r="O49" s="49">
        <f t="shared" si="1"/>
        <v>62.470500000000001</v>
      </c>
      <c r="P49" s="73">
        <f t="shared" si="84"/>
        <v>100</v>
      </c>
      <c r="Q49" s="40">
        <f t="shared" si="85"/>
        <v>150</v>
      </c>
      <c r="R49" s="51"/>
      <c r="S49" s="52"/>
      <c r="T49" s="52"/>
      <c r="U49" s="53"/>
      <c r="V49" s="54"/>
      <c r="W49" s="55">
        <f t="shared" si="86"/>
        <v>0</v>
      </c>
      <c r="X49" s="55">
        <f t="shared" si="87"/>
        <v>0</v>
      </c>
      <c r="Y49" s="56"/>
    </row>
    <row r="50" spans="1:25" x14ac:dyDescent="0.35">
      <c r="A50" s="78">
        <v>46254</v>
      </c>
      <c r="B50" s="47">
        <v>46</v>
      </c>
      <c r="C50" s="57" t="s">
        <v>64</v>
      </c>
      <c r="D50" s="74"/>
      <c r="E50" s="75"/>
      <c r="F50" s="76"/>
      <c r="G50" s="50">
        <v>120</v>
      </c>
      <c r="H50" s="75">
        <v>40</v>
      </c>
      <c r="I50" s="49">
        <v>520</v>
      </c>
      <c r="J50" s="50">
        <v>279</v>
      </c>
      <c r="K50" s="75">
        <v>120</v>
      </c>
      <c r="L50" s="76">
        <v>240</v>
      </c>
      <c r="M50" s="48">
        <f t="shared" si="83"/>
        <v>32.975000000000001</v>
      </c>
      <c r="N50" s="39">
        <f t="shared" si="18"/>
        <v>0</v>
      </c>
      <c r="O50" s="49">
        <f t="shared" si="1"/>
        <v>62.470500000000001</v>
      </c>
      <c r="P50" s="73">
        <f t="shared" si="84"/>
        <v>34</v>
      </c>
      <c r="Q50" s="40">
        <f t="shared" si="85"/>
        <v>31.95</v>
      </c>
      <c r="R50" s="51"/>
      <c r="S50" s="52"/>
      <c r="T50" s="52"/>
      <c r="U50" s="53"/>
      <c r="V50" s="54"/>
      <c r="W50" s="55">
        <f t="shared" si="86"/>
        <v>0</v>
      </c>
      <c r="X50" s="55">
        <f t="shared" si="87"/>
        <v>0</v>
      </c>
      <c r="Y50" s="56"/>
    </row>
    <row r="51" spans="1:25" x14ac:dyDescent="0.35">
      <c r="A51" s="78">
        <v>46254</v>
      </c>
      <c r="B51" s="47">
        <v>47</v>
      </c>
      <c r="C51" s="57" t="s">
        <v>97</v>
      </c>
      <c r="D51" s="74"/>
      <c r="E51" s="75"/>
      <c r="F51" s="76"/>
      <c r="G51" s="50">
        <v>40</v>
      </c>
      <c r="H51" s="75">
        <v>80</v>
      </c>
      <c r="I51" s="49">
        <v>80</v>
      </c>
      <c r="J51" s="50">
        <v>40</v>
      </c>
      <c r="K51" s="75">
        <v>40</v>
      </c>
      <c r="L51" s="76">
        <v>80</v>
      </c>
      <c r="M51" s="48">
        <f t="shared" si="83"/>
        <v>9</v>
      </c>
      <c r="N51" s="39">
        <f t="shared" si="18"/>
        <v>0</v>
      </c>
      <c r="O51" s="49">
        <f t="shared" si="1"/>
        <v>62.470500000000001</v>
      </c>
      <c r="P51" s="73">
        <f t="shared" si="84"/>
        <v>10</v>
      </c>
      <c r="Q51" s="40">
        <f t="shared" si="85"/>
        <v>8</v>
      </c>
      <c r="R51" s="51"/>
      <c r="S51" s="52"/>
      <c r="T51" s="52"/>
      <c r="U51" s="53"/>
      <c r="V51" s="54"/>
      <c r="W51" s="55">
        <f t="shared" si="86"/>
        <v>0</v>
      </c>
      <c r="X51" s="55">
        <f t="shared" si="87"/>
        <v>0</v>
      </c>
      <c r="Y51" s="56"/>
    </row>
    <row r="52" spans="1:25" x14ac:dyDescent="0.35">
      <c r="A52" s="78">
        <v>46254</v>
      </c>
      <c r="B52" s="47">
        <v>48</v>
      </c>
      <c r="C52" s="57" t="s">
        <v>92</v>
      </c>
      <c r="D52" s="74"/>
      <c r="E52" s="75"/>
      <c r="F52" s="76"/>
      <c r="G52" s="50"/>
      <c r="H52" s="75"/>
      <c r="I52" s="49">
        <v>240</v>
      </c>
      <c r="J52" s="50"/>
      <c r="K52" s="75"/>
      <c r="L52" s="76">
        <v>360</v>
      </c>
      <c r="M52" s="48">
        <f t="shared" si="83"/>
        <v>15</v>
      </c>
      <c r="N52" s="39">
        <f t="shared" si="18"/>
        <v>0</v>
      </c>
      <c r="O52" s="49">
        <f t="shared" si="1"/>
        <v>62.470500000000001</v>
      </c>
      <c r="P52" s="73">
        <f t="shared" si="84"/>
        <v>12</v>
      </c>
      <c r="Q52" s="40">
        <f t="shared" si="85"/>
        <v>18</v>
      </c>
      <c r="R52" s="51"/>
      <c r="S52" s="52"/>
      <c r="T52" s="52"/>
      <c r="U52" s="53"/>
      <c r="V52" s="54"/>
      <c r="W52" s="55">
        <f t="shared" si="86"/>
        <v>0</v>
      </c>
      <c r="X52" s="55">
        <f t="shared" si="87"/>
        <v>0</v>
      </c>
      <c r="Y52" s="56"/>
    </row>
    <row r="53" spans="1:25" x14ac:dyDescent="0.35">
      <c r="A53" s="78">
        <v>46254</v>
      </c>
      <c r="B53" s="47">
        <v>49</v>
      </c>
      <c r="C53" s="57" t="s">
        <v>96</v>
      </c>
      <c r="D53" s="74"/>
      <c r="E53" s="75"/>
      <c r="F53" s="76"/>
      <c r="G53" s="50">
        <v>200</v>
      </c>
      <c r="H53" s="75"/>
      <c r="I53" s="49">
        <v>194</v>
      </c>
      <c r="J53" s="50">
        <v>200</v>
      </c>
      <c r="K53" s="75"/>
      <c r="L53" s="76">
        <v>180</v>
      </c>
      <c r="M53" s="48">
        <f t="shared" si="83"/>
        <v>19.350000000000001</v>
      </c>
      <c r="N53" s="39">
        <f t="shared" si="18"/>
        <v>0</v>
      </c>
      <c r="O53" s="49">
        <f t="shared" si="1"/>
        <v>62.470500000000001</v>
      </c>
      <c r="P53" s="73">
        <f t="shared" si="84"/>
        <v>19.7</v>
      </c>
      <c r="Q53" s="40">
        <f t="shared" si="85"/>
        <v>19</v>
      </c>
      <c r="R53" s="51"/>
      <c r="S53" s="52"/>
      <c r="T53" s="52"/>
      <c r="U53" s="53"/>
      <c r="V53" s="54"/>
      <c r="W53" s="55">
        <f t="shared" si="86"/>
        <v>0</v>
      </c>
      <c r="X53" s="55">
        <f t="shared" si="87"/>
        <v>0</v>
      </c>
      <c r="Y53" s="56"/>
    </row>
    <row r="54" spans="1:25" x14ac:dyDescent="0.35">
      <c r="A54" s="78">
        <v>46254</v>
      </c>
      <c r="B54" s="47">
        <v>50</v>
      </c>
      <c r="C54" s="57" t="s">
        <v>127</v>
      </c>
      <c r="D54" s="74"/>
      <c r="E54" s="75"/>
      <c r="F54" s="76"/>
      <c r="G54" s="50"/>
      <c r="H54" s="75"/>
      <c r="I54" s="49"/>
      <c r="J54" s="50">
        <v>400</v>
      </c>
      <c r="K54" s="75">
        <v>400</v>
      </c>
      <c r="L54" s="76">
        <v>400</v>
      </c>
      <c r="M54" s="48">
        <f t="shared" si="83"/>
        <v>30</v>
      </c>
      <c r="N54" s="39">
        <f t="shared" si="18"/>
        <v>0</v>
      </c>
      <c r="O54" s="49">
        <f t="shared" si="1"/>
        <v>62.470500000000001</v>
      </c>
      <c r="P54" s="73">
        <f t="shared" si="84"/>
        <v>0</v>
      </c>
      <c r="Q54" s="40">
        <f t="shared" si="85"/>
        <v>60</v>
      </c>
      <c r="R54" s="51"/>
      <c r="S54" s="52"/>
      <c r="T54" s="52"/>
      <c r="U54" s="53"/>
      <c r="V54" s="54"/>
      <c r="W54" s="55">
        <f t="shared" si="86"/>
        <v>0</v>
      </c>
      <c r="X54" s="55">
        <f t="shared" si="87"/>
        <v>0</v>
      </c>
      <c r="Y54" s="56"/>
    </row>
    <row r="55" spans="1:25" x14ac:dyDescent="0.35">
      <c r="A55" s="78">
        <v>46255</v>
      </c>
      <c r="B55" s="47">
        <v>51</v>
      </c>
      <c r="C55" s="57" t="s">
        <v>128</v>
      </c>
      <c r="D55" s="74"/>
      <c r="E55" s="75"/>
      <c r="F55" s="76"/>
      <c r="G55" s="50"/>
      <c r="H55" s="75"/>
      <c r="I55" s="49">
        <v>42</v>
      </c>
      <c r="J55" s="50">
        <v>80</v>
      </c>
      <c r="K55" s="75">
        <v>80</v>
      </c>
      <c r="L55" s="76">
        <v>80</v>
      </c>
      <c r="M55" s="48">
        <f t="shared" si="83"/>
        <v>7.05</v>
      </c>
      <c r="N55" s="39">
        <f t="shared" si="18"/>
        <v>0</v>
      </c>
      <c r="O55" s="49">
        <f t="shared" si="1"/>
        <v>62.470500000000001</v>
      </c>
      <c r="P55" s="73">
        <f t="shared" si="84"/>
        <v>2.1</v>
      </c>
      <c r="Q55" s="40">
        <f t="shared" si="85"/>
        <v>12</v>
      </c>
      <c r="R55" s="51"/>
      <c r="S55" s="52"/>
      <c r="T55" s="52"/>
      <c r="U55" s="53"/>
      <c r="V55" s="54"/>
      <c r="W55" s="55">
        <f t="shared" si="86"/>
        <v>0</v>
      </c>
      <c r="X55" s="55">
        <f t="shared" si="87"/>
        <v>0</v>
      </c>
      <c r="Y55" s="56"/>
    </row>
    <row r="56" spans="1:25" x14ac:dyDescent="0.35">
      <c r="A56" s="78">
        <v>46255</v>
      </c>
      <c r="B56" s="47">
        <v>52</v>
      </c>
      <c r="C56" s="57" t="s">
        <v>130</v>
      </c>
      <c r="D56" s="74"/>
      <c r="E56" s="75"/>
      <c r="F56" s="76"/>
      <c r="G56" s="50">
        <v>160</v>
      </c>
      <c r="H56" s="75">
        <v>200</v>
      </c>
      <c r="I56" s="49">
        <v>80</v>
      </c>
      <c r="J56" s="50">
        <v>400</v>
      </c>
      <c r="K56" s="75">
        <v>280</v>
      </c>
      <c r="L56" s="76">
        <v>640</v>
      </c>
      <c r="M56" s="48">
        <f t="shared" si="83"/>
        <v>44</v>
      </c>
      <c r="N56" s="39">
        <f t="shared" si="18"/>
        <v>0</v>
      </c>
      <c r="O56" s="49">
        <f t="shared" si="1"/>
        <v>62.470500000000001</v>
      </c>
      <c r="P56" s="73">
        <f t="shared" si="84"/>
        <v>22</v>
      </c>
      <c r="Q56" s="40">
        <f t="shared" si="85"/>
        <v>66</v>
      </c>
      <c r="R56" s="51"/>
      <c r="S56" s="52"/>
      <c r="T56" s="52"/>
      <c r="U56" s="53"/>
      <c r="V56" s="54"/>
      <c r="W56" s="55">
        <f t="shared" si="86"/>
        <v>0</v>
      </c>
      <c r="X56" s="55">
        <f t="shared" si="87"/>
        <v>0</v>
      </c>
      <c r="Y56" s="56"/>
    </row>
    <row r="57" spans="1:25" x14ac:dyDescent="0.35">
      <c r="A57" s="78">
        <v>46255</v>
      </c>
      <c r="B57" s="47">
        <v>53</v>
      </c>
      <c r="C57" s="57" t="s">
        <v>129</v>
      </c>
      <c r="D57" s="74"/>
      <c r="E57" s="75"/>
      <c r="F57" s="76"/>
      <c r="G57" s="50">
        <v>40</v>
      </c>
      <c r="H57" s="75">
        <v>40</v>
      </c>
      <c r="I57" s="49">
        <v>40</v>
      </c>
      <c r="J57" s="50">
        <v>80</v>
      </c>
      <c r="K57" s="75">
        <v>80</v>
      </c>
      <c r="L57" s="76">
        <v>80</v>
      </c>
      <c r="M57" s="48">
        <f t="shared" si="83"/>
        <v>9</v>
      </c>
      <c r="N57" s="39">
        <f t="shared" si="18"/>
        <v>0</v>
      </c>
      <c r="O57" s="49">
        <f t="shared" si="1"/>
        <v>62.470500000000001</v>
      </c>
      <c r="P57" s="73">
        <f t="shared" si="84"/>
        <v>6</v>
      </c>
      <c r="Q57" s="40">
        <f t="shared" si="85"/>
        <v>12</v>
      </c>
      <c r="R57" s="51"/>
      <c r="S57" s="52"/>
      <c r="T57" s="52"/>
      <c r="U57" s="53"/>
      <c r="V57" s="54"/>
      <c r="W57" s="55">
        <f t="shared" si="86"/>
        <v>0</v>
      </c>
      <c r="X57" s="55">
        <f t="shared" si="87"/>
        <v>0</v>
      </c>
      <c r="Y57" s="56"/>
    </row>
    <row r="58" spans="1:25" x14ac:dyDescent="0.35">
      <c r="A58" s="78">
        <v>46255</v>
      </c>
      <c r="B58" s="47">
        <v>54</v>
      </c>
      <c r="C58" s="57" t="s">
        <v>131</v>
      </c>
      <c r="D58" s="75"/>
      <c r="E58" s="75"/>
      <c r="F58" s="75"/>
      <c r="G58" s="75"/>
      <c r="H58" s="75"/>
      <c r="I58" s="127">
        <v>80</v>
      </c>
      <c r="J58" s="75"/>
      <c r="K58" s="75">
        <v>40</v>
      </c>
      <c r="L58" s="75">
        <v>40</v>
      </c>
      <c r="M58" s="129">
        <f t="shared" si="83"/>
        <v>4</v>
      </c>
      <c r="N58" s="39">
        <f t="shared" si="18"/>
        <v>0</v>
      </c>
      <c r="O58" s="49">
        <f t="shared" si="1"/>
        <v>62.470500000000001</v>
      </c>
      <c r="P58" s="73">
        <f t="shared" si="84"/>
        <v>4</v>
      </c>
      <c r="Q58" s="40">
        <f t="shared" si="85"/>
        <v>4</v>
      </c>
      <c r="R58" s="51"/>
      <c r="S58" s="52"/>
      <c r="T58" s="52"/>
      <c r="U58" s="53"/>
      <c r="V58" s="54"/>
      <c r="W58" s="55">
        <f t="shared" si="86"/>
        <v>0</v>
      </c>
      <c r="X58" s="55">
        <f t="shared" si="87"/>
        <v>0</v>
      </c>
      <c r="Y58" s="56"/>
    </row>
    <row r="59" spans="1:25" x14ac:dyDescent="0.35">
      <c r="A59" s="78">
        <v>46255</v>
      </c>
      <c r="B59" s="47">
        <v>55</v>
      </c>
      <c r="C59" s="57" t="s">
        <v>132</v>
      </c>
      <c r="D59" s="75">
        <v>80</v>
      </c>
      <c r="E59" s="75"/>
      <c r="F59" s="75"/>
      <c r="G59" s="75"/>
      <c r="H59" s="75"/>
      <c r="I59" s="127"/>
      <c r="J59" s="75"/>
      <c r="K59" s="75"/>
      <c r="L59" s="75"/>
      <c r="M59" s="129">
        <f t="shared" si="83"/>
        <v>2</v>
      </c>
      <c r="N59" s="39">
        <f t="shared" si="18"/>
        <v>0</v>
      </c>
      <c r="O59" s="49">
        <f t="shared" si="1"/>
        <v>62.470500000000001</v>
      </c>
      <c r="P59" s="73">
        <f t="shared" si="84"/>
        <v>0</v>
      </c>
      <c r="Q59" s="40">
        <f t="shared" si="85"/>
        <v>0</v>
      </c>
      <c r="R59" s="51"/>
      <c r="S59" s="52"/>
      <c r="T59" s="52"/>
      <c r="U59" s="53"/>
      <c r="V59" s="54"/>
      <c r="W59" s="55">
        <f t="shared" si="86"/>
        <v>0</v>
      </c>
      <c r="X59" s="55">
        <f t="shared" si="87"/>
        <v>0</v>
      </c>
      <c r="Y59" s="56"/>
    </row>
    <row r="60" spans="1:25" x14ac:dyDescent="0.35">
      <c r="A60" s="78">
        <v>46255</v>
      </c>
      <c r="B60" s="47">
        <v>56</v>
      </c>
      <c r="C60" s="57" t="s">
        <v>133</v>
      </c>
      <c r="D60" s="75">
        <v>80</v>
      </c>
      <c r="E60" s="75"/>
      <c r="F60" s="75"/>
      <c r="G60" s="75">
        <v>160</v>
      </c>
      <c r="H60" s="75">
        <v>80</v>
      </c>
      <c r="I60" s="127">
        <v>160</v>
      </c>
      <c r="J60" s="75">
        <v>160</v>
      </c>
      <c r="K60" s="75">
        <v>80</v>
      </c>
      <c r="L60" s="75">
        <v>160</v>
      </c>
      <c r="M60" s="129">
        <f t="shared" si="83"/>
        <v>22</v>
      </c>
      <c r="N60" s="39">
        <f t="shared" si="18"/>
        <v>0</v>
      </c>
      <c r="O60" s="49">
        <f t="shared" si="1"/>
        <v>62.470500000000001</v>
      </c>
      <c r="P60" s="73">
        <f t="shared" si="84"/>
        <v>20</v>
      </c>
      <c r="Q60" s="40">
        <f t="shared" si="85"/>
        <v>20</v>
      </c>
      <c r="R60" s="51"/>
      <c r="S60" s="52"/>
      <c r="T60" s="52"/>
      <c r="U60" s="53"/>
      <c r="V60" s="54"/>
      <c r="W60" s="55">
        <f t="shared" si="86"/>
        <v>0</v>
      </c>
      <c r="X60" s="55">
        <f t="shared" si="87"/>
        <v>0</v>
      </c>
      <c r="Y60" s="56"/>
    </row>
    <row r="61" spans="1:25" x14ac:dyDescent="0.35">
      <c r="A61" s="78">
        <v>46256</v>
      </c>
      <c r="B61" s="47">
        <v>57</v>
      </c>
      <c r="C61" s="57" t="s">
        <v>134</v>
      </c>
      <c r="D61" s="75"/>
      <c r="E61" s="75"/>
      <c r="F61" s="75"/>
      <c r="G61" s="75">
        <v>40</v>
      </c>
      <c r="H61" s="75">
        <v>200</v>
      </c>
      <c r="I61" s="127"/>
      <c r="J61" s="75">
        <v>120</v>
      </c>
      <c r="K61" s="75">
        <v>40</v>
      </c>
      <c r="L61" s="75">
        <v>160</v>
      </c>
      <c r="M61" s="129">
        <f t="shared" si="52"/>
        <v>14</v>
      </c>
      <c r="N61" s="39">
        <f t="shared" si="18"/>
        <v>0</v>
      </c>
      <c r="O61" s="49">
        <f t="shared" si="1"/>
        <v>62.470500000000001</v>
      </c>
      <c r="P61" s="73">
        <f t="shared" si="53"/>
        <v>12</v>
      </c>
      <c r="Q61" s="40">
        <f t="shared" si="54"/>
        <v>16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78">
        <v>46256</v>
      </c>
      <c r="B62" s="47">
        <v>58</v>
      </c>
      <c r="C62" s="128" t="s">
        <v>135</v>
      </c>
      <c r="D62" s="75"/>
      <c r="E62" s="75"/>
      <c r="F62" s="75"/>
      <c r="G62" s="75">
        <v>40</v>
      </c>
      <c r="H62" s="75">
        <v>40</v>
      </c>
      <c r="I62" s="127">
        <v>120</v>
      </c>
      <c r="J62" s="75">
        <v>80</v>
      </c>
      <c r="K62" s="75">
        <v>80</v>
      </c>
      <c r="L62" s="75">
        <v>80</v>
      </c>
      <c r="M62" s="129">
        <f t="shared" ref="M62:M84" si="88">SUM(D62:L62)/40</f>
        <v>11</v>
      </c>
      <c r="N62" s="39">
        <f t="shared" si="18"/>
        <v>0</v>
      </c>
      <c r="O62" s="49">
        <f t="shared" si="1"/>
        <v>62.470500000000001</v>
      </c>
      <c r="P62" s="73">
        <f t="shared" ref="P62:P79" si="89">SUM(G62:I62)/20</f>
        <v>10</v>
      </c>
      <c r="Q62" s="40">
        <f t="shared" ref="Q62:Q79" si="90">SUM(J62:L62)/20</f>
        <v>12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91">SUM(R62:T62)</f>
        <v>#VALUE!</v>
      </c>
      <c r="V62" s="54" t="e">
        <f t="shared" ref="V62:V79" si="92">SUM(D62:F62)*$V$3</f>
        <v>#VALUE!</v>
      </c>
      <c r="W62" s="55">
        <f t="shared" ref="W62:W79" si="93">SUM(G62:I62)*$W$3</f>
        <v>0</v>
      </c>
      <c r="X62" s="55">
        <f t="shared" ref="X62:X79" si="94">SUM(J62:L62)*$X$3</f>
        <v>0</v>
      </c>
      <c r="Y62" s="56" t="e">
        <f t="shared" ref="Y62:Y79" si="95">SUM(V62:X62)</f>
        <v>#VALUE!</v>
      </c>
    </row>
    <row r="63" spans="1:25" x14ac:dyDescent="0.35">
      <c r="A63" s="78">
        <v>46256</v>
      </c>
      <c r="B63" s="47">
        <v>59</v>
      </c>
      <c r="C63" s="128" t="s">
        <v>136</v>
      </c>
      <c r="D63" s="75"/>
      <c r="E63" s="75"/>
      <c r="F63" s="75"/>
      <c r="G63" s="75">
        <v>80</v>
      </c>
      <c r="H63" s="75">
        <v>40</v>
      </c>
      <c r="I63" s="127"/>
      <c r="J63" s="75">
        <v>80</v>
      </c>
      <c r="K63" s="75">
        <v>120</v>
      </c>
      <c r="L63" s="75">
        <v>240</v>
      </c>
      <c r="M63" s="129">
        <f t="shared" si="88"/>
        <v>14</v>
      </c>
      <c r="N63" s="39">
        <f t="shared" si="18"/>
        <v>0</v>
      </c>
      <c r="O63" s="49">
        <f t="shared" si="1"/>
        <v>62.470500000000001</v>
      </c>
      <c r="P63" s="73">
        <f t="shared" si="89"/>
        <v>6</v>
      </c>
      <c r="Q63" s="40">
        <f t="shared" si="90"/>
        <v>22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91"/>
        <v>#VALUE!</v>
      </c>
      <c r="V63" s="54" t="e">
        <f t="shared" si="92"/>
        <v>#VALUE!</v>
      </c>
      <c r="W63" s="55">
        <f t="shared" si="93"/>
        <v>0</v>
      </c>
      <c r="X63" s="55">
        <f t="shared" si="94"/>
        <v>0</v>
      </c>
      <c r="Y63" s="56" t="e">
        <f t="shared" si="95"/>
        <v>#VALUE!</v>
      </c>
    </row>
    <row r="64" spans="1:25" x14ac:dyDescent="0.35">
      <c r="A64" s="146">
        <v>46258</v>
      </c>
      <c r="B64" s="147">
        <v>60</v>
      </c>
      <c r="C64" s="148" t="s">
        <v>64</v>
      </c>
      <c r="D64" s="149"/>
      <c r="E64" s="149"/>
      <c r="F64" s="149"/>
      <c r="G64" s="149">
        <v>80</v>
      </c>
      <c r="H64" s="149">
        <v>80</v>
      </c>
      <c r="I64" s="150">
        <v>240</v>
      </c>
      <c r="J64" s="149">
        <v>80</v>
      </c>
      <c r="K64" s="149">
        <v>80</v>
      </c>
      <c r="L64" s="149">
        <v>100</v>
      </c>
      <c r="M64" s="129">
        <f t="shared" si="88"/>
        <v>16.5</v>
      </c>
      <c r="N64" s="39">
        <f t="shared" si="18"/>
        <v>0</v>
      </c>
      <c r="O64" s="49">
        <f t="shared" si="1"/>
        <v>62.470500000000001</v>
      </c>
      <c r="P64" s="73">
        <f t="shared" si="89"/>
        <v>20</v>
      </c>
      <c r="Q64" s="40">
        <f t="shared" si="90"/>
        <v>13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91"/>
        <v>#VALUE!</v>
      </c>
      <c r="V64" s="54" t="e">
        <f t="shared" si="92"/>
        <v>#VALUE!</v>
      </c>
      <c r="W64" s="55">
        <f t="shared" si="93"/>
        <v>0</v>
      </c>
      <c r="X64" s="55">
        <f t="shared" si="94"/>
        <v>0</v>
      </c>
      <c r="Y64" s="56" t="e">
        <f t="shared" si="95"/>
        <v>#VALUE!</v>
      </c>
    </row>
    <row r="65" spans="1:25" x14ac:dyDescent="0.35">
      <c r="A65" s="146">
        <v>46258</v>
      </c>
      <c r="B65" s="147">
        <v>61</v>
      </c>
      <c r="C65" s="148" t="s">
        <v>137</v>
      </c>
      <c r="D65" s="149"/>
      <c r="E65" s="149"/>
      <c r="F65" s="149"/>
      <c r="G65" s="149"/>
      <c r="H65" s="149"/>
      <c r="I65" s="150"/>
      <c r="J65" s="149">
        <v>40</v>
      </c>
      <c r="K65" s="149">
        <v>40</v>
      </c>
      <c r="L65" s="149">
        <v>40</v>
      </c>
      <c r="M65" s="129">
        <f t="shared" si="88"/>
        <v>3</v>
      </c>
      <c r="N65" s="39">
        <f t="shared" si="18"/>
        <v>0</v>
      </c>
      <c r="O65" s="49">
        <f t="shared" si="1"/>
        <v>62.470500000000001</v>
      </c>
      <c r="P65" s="73">
        <f t="shared" si="89"/>
        <v>0</v>
      </c>
      <c r="Q65" s="40">
        <f t="shared" si="90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91"/>
        <v>#VALUE!</v>
      </c>
      <c r="V65" s="54" t="e">
        <f t="shared" si="92"/>
        <v>#VALUE!</v>
      </c>
      <c r="W65" s="55">
        <f t="shared" si="93"/>
        <v>0</v>
      </c>
      <c r="X65" s="55">
        <f t="shared" si="94"/>
        <v>0</v>
      </c>
      <c r="Y65" s="56" t="e">
        <f t="shared" si="95"/>
        <v>#VALUE!</v>
      </c>
    </row>
    <row r="66" spans="1:25" x14ac:dyDescent="0.35">
      <c r="A66" s="146">
        <v>46258</v>
      </c>
      <c r="B66" s="147">
        <v>62</v>
      </c>
      <c r="C66" s="148" t="s">
        <v>109</v>
      </c>
      <c r="D66" s="149"/>
      <c r="E66" s="149"/>
      <c r="F66" s="149"/>
      <c r="G66" s="149">
        <v>39</v>
      </c>
      <c r="H66" s="149">
        <v>40</v>
      </c>
      <c r="I66" s="150"/>
      <c r="J66" s="149"/>
      <c r="K66" s="149">
        <v>40</v>
      </c>
      <c r="L66" s="149">
        <v>40</v>
      </c>
      <c r="M66" s="129">
        <f t="shared" si="88"/>
        <v>3.9750000000000001</v>
      </c>
      <c r="N66" s="39">
        <f t="shared" si="18"/>
        <v>0</v>
      </c>
      <c r="O66" s="49">
        <f t="shared" si="1"/>
        <v>62.470500000000001</v>
      </c>
      <c r="P66" s="73">
        <f t="shared" si="89"/>
        <v>3.95</v>
      </c>
      <c r="Q66" s="40">
        <f t="shared" si="90"/>
        <v>4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91"/>
        <v>#VALUE!</v>
      </c>
      <c r="V66" s="54" t="e">
        <f t="shared" si="92"/>
        <v>#VALUE!</v>
      </c>
      <c r="W66" s="55">
        <f t="shared" si="93"/>
        <v>0</v>
      </c>
      <c r="X66" s="55">
        <f t="shared" si="94"/>
        <v>0</v>
      </c>
      <c r="Y66" s="56" t="e">
        <f t="shared" si="95"/>
        <v>#VALUE!</v>
      </c>
    </row>
    <row r="67" spans="1:25" x14ac:dyDescent="0.35">
      <c r="A67" s="146">
        <v>46258</v>
      </c>
      <c r="B67" s="147">
        <v>63</v>
      </c>
      <c r="C67" s="148" t="s">
        <v>107</v>
      </c>
      <c r="D67" s="149"/>
      <c r="E67" s="149"/>
      <c r="F67" s="149"/>
      <c r="G67" s="149"/>
      <c r="H67" s="149"/>
      <c r="I67" s="150"/>
      <c r="J67" s="149">
        <v>80</v>
      </c>
      <c r="K67" s="149">
        <v>40</v>
      </c>
      <c r="L67" s="149">
        <v>40</v>
      </c>
      <c r="M67" s="129">
        <f t="shared" si="88"/>
        <v>4</v>
      </c>
      <c r="N67" s="39">
        <f t="shared" si="18"/>
        <v>0</v>
      </c>
      <c r="O67" s="49">
        <f t="shared" si="1"/>
        <v>62.470500000000001</v>
      </c>
      <c r="P67" s="73">
        <f t="shared" si="89"/>
        <v>0</v>
      </c>
      <c r="Q67" s="40">
        <f t="shared" si="90"/>
        <v>8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91"/>
        <v>#VALUE!</v>
      </c>
      <c r="V67" s="54" t="e">
        <f t="shared" si="92"/>
        <v>#VALUE!</v>
      </c>
      <c r="W67" s="55">
        <f t="shared" si="93"/>
        <v>0</v>
      </c>
      <c r="X67" s="55">
        <f t="shared" si="94"/>
        <v>0</v>
      </c>
      <c r="Y67" s="56" t="e">
        <f t="shared" si="95"/>
        <v>#VALUE!</v>
      </c>
    </row>
    <row r="68" spans="1:25" x14ac:dyDescent="0.35">
      <c r="A68" s="146">
        <v>46258</v>
      </c>
      <c r="B68" s="147">
        <v>64</v>
      </c>
      <c r="C68" s="148" t="s">
        <v>138</v>
      </c>
      <c r="D68" s="149">
        <v>40</v>
      </c>
      <c r="E68" s="149"/>
      <c r="F68" s="149"/>
      <c r="G68" s="149">
        <v>80</v>
      </c>
      <c r="H68" s="149">
        <v>80</v>
      </c>
      <c r="I68" s="150">
        <v>80</v>
      </c>
      <c r="J68" s="149">
        <v>80</v>
      </c>
      <c r="K68" s="149">
        <v>80</v>
      </c>
      <c r="L68" s="149">
        <v>80</v>
      </c>
      <c r="M68" s="129">
        <f t="shared" si="88"/>
        <v>13</v>
      </c>
      <c r="N68" s="39">
        <f t="shared" si="18"/>
        <v>0</v>
      </c>
      <c r="O68" s="49">
        <f t="shared" si="1"/>
        <v>62.470500000000001</v>
      </c>
      <c r="P68" s="73">
        <f t="shared" si="89"/>
        <v>12</v>
      </c>
      <c r="Q68" s="40">
        <f t="shared" si="90"/>
        <v>12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91"/>
        <v>#VALUE!</v>
      </c>
      <c r="V68" s="54" t="e">
        <f t="shared" si="92"/>
        <v>#VALUE!</v>
      </c>
      <c r="W68" s="55">
        <f t="shared" si="93"/>
        <v>0</v>
      </c>
      <c r="X68" s="55">
        <f t="shared" si="94"/>
        <v>0</v>
      </c>
      <c r="Y68" s="56" t="e">
        <f t="shared" si="95"/>
        <v>#VALUE!</v>
      </c>
    </row>
    <row r="69" spans="1:25" x14ac:dyDescent="0.35">
      <c r="A69" s="78">
        <v>46259</v>
      </c>
      <c r="B69" s="47">
        <v>65</v>
      </c>
      <c r="C69" s="128" t="s">
        <v>139</v>
      </c>
      <c r="D69" s="75"/>
      <c r="E69" s="75"/>
      <c r="F69" s="75"/>
      <c r="G69" s="75"/>
      <c r="H69" s="75"/>
      <c r="I69" s="127">
        <v>80</v>
      </c>
      <c r="J69" s="75"/>
      <c r="K69" s="75"/>
      <c r="L69" s="75">
        <v>80</v>
      </c>
      <c r="M69" s="129">
        <f t="shared" si="88"/>
        <v>4</v>
      </c>
      <c r="N69" s="39">
        <f t="shared" si="18"/>
        <v>0</v>
      </c>
      <c r="O69" s="49">
        <f t="shared" si="1"/>
        <v>62.470500000000001</v>
      </c>
      <c r="P69" s="73">
        <f t="shared" si="89"/>
        <v>4</v>
      </c>
      <c r="Q69" s="40">
        <f t="shared" si="90"/>
        <v>4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91"/>
        <v>#VALUE!</v>
      </c>
      <c r="V69" s="54" t="e">
        <f t="shared" si="92"/>
        <v>#VALUE!</v>
      </c>
      <c r="W69" s="55">
        <f t="shared" si="93"/>
        <v>0</v>
      </c>
      <c r="X69" s="55">
        <f t="shared" si="94"/>
        <v>0</v>
      </c>
      <c r="Y69" s="56" t="e">
        <f t="shared" si="95"/>
        <v>#VALUE!</v>
      </c>
    </row>
    <row r="70" spans="1:25" x14ac:dyDescent="0.35">
      <c r="A70" s="78">
        <v>46259</v>
      </c>
      <c r="B70" s="47">
        <v>66</v>
      </c>
      <c r="C70" s="128" t="s">
        <v>100</v>
      </c>
      <c r="D70" s="75"/>
      <c r="E70" s="75"/>
      <c r="F70" s="75"/>
      <c r="G70" s="75">
        <v>40</v>
      </c>
      <c r="H70" s="75">
        <v>40</v>
      </c>
      <c r="I70" s="127"/>
      <c r="J70" s="75"/>
      <c r="K70" s="75"/>
      <c r="L70" s="75">
        <v>80</v>
      </c>
      <c r="M70" s="129">
        <f t="shared" si="88"/>
        <v>4</v>
      </c>
      <c r="N70" s="39">
        <f t="shared" si="18"/>
        <v>0</v>
      </c>
      <c r="O70" s="49">
        <f t="shared" si="1"/>
        <v>62.470500000000001</v>
      </c>
      <c r="P70" s="73">
        <f t="shared" si="89"/>
        <v>4</v>
      </c>
      <c r="Q70" s="40">
        <f t="shared" si="90"/>
        <v>4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91"/>
        <v>#VALUE!</v>
      </c>
      <c r="V70" s="54" t="e">
        <f t="shared" si="92"/>
        <v>#VALUE!</v>
      </c>
      <c r="W70" s="55">
        <f t="shared" si="93"/>
        <v>0</v>
      </c>
      <c r="X70" s="55">
        <f t="shared" si="94"/>
        <v>0</v>
      </c>
      <c r="Y70" s="56" t="e">
        <f t="shared" si="95"/>
        <v>#VALUE!</v>
      </c>
    </row>
    <row r="71" spans="1:25" x14ac:dyDescent="0.35">
      <c r="A71" s="78">
        <v>46259</v>
      </c>
      <c r="B71" s="47">
        <v>67</v>
      </c>
      <c r="C71" s="128" t="s">
        <v>98</v>
      </c>
      <c r="D71" s="75"/>
      <c r="E71" s="75"/>
      <c r="F71" s="75"/>
      <c r="G71" s="75"/>
      <c r="H71" s="75"/>
      <c r="I71" s="127"/>
      <c r="J71" s="75"/>
      <c r="K71" s="75">
        <v>80</v>
      </c>
      <c r="L71" s="75">
        <v>160</v>
      </c>
      <c r="M71" s="129">
        <f t="shared" si="88"/>
        <v>6</v>
      </c>
      <c r="N71" s="39">
        <f t="shared" si="18"/>
        <v>0</v>
      </c>
      <c r="O71" s="49">
        <f t="shared" si="1"/>
        <v>62.470500000000001</v>
      </c>
      <c r="P71" s="73">
        <f t="shared" si="89"/>
        <v>0</v>
      </c>
      <c r="Q71" s="40">
        <f t="shared" si="90"/>
        <v>12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91"/>
        <v>#VALUE!</v>
      </c>
      <c r="V71" s="54" t="e">
        <f t="shared" si="92"/>
        <v>#VALUE!</v>
      </c>
      <c r="W71" s="55">
        <f t="shared" si="93"/>
        <v>0</v>
      </c>
      <c r="X71" s="55">
        <f t="shared" si="94"/>
        <v>0</v>
      </c>
      <c r="Y71" s="56" t="e">
        <f t="shared" si="95"/>
        <v>#VALUE!</v>
      </c>
    </row>
    <row r="72" spans="1:25" x14ac:dyDescent="0.35">
      <c r="A72" s="78">
        <v>46259</v>
      </c>
      <c r="B72" s="47">
        <v>68</v>
      </c>
      <c r="C72" s="128" t="s">
        <v>140</v>
      </c>
      <c r="D72" s="75"/>
      <c r="E72" s="75"/>
      <c r="F72" s="75"/>
      <c r="G72" s="75"/>
      <c r="H72" s="75"/>
      <c r="I72" s="127"/>
      <c r="J72" s="75">
        <v>160</v>
      </c>
      <c r="K72" s="75"/>
      <c r="L72" s="75">
        <v>40</v>
      </c>
      <c r="M72" s="129">
        <f t="shared" si="88"/>
        <v>5</v>
      </c>
      <c r="N72" s="39">
        <f t="shared" si="18"/>
        <v>0</v>
      </c>
      <c r="O72" s="49">
        <f t="shared" si="1"/>
        <v>62.470500000000001</v>
      </c>
      <c r="P72" s="73">
        <f t="shared" si="89"/>
        <v>0</v>
      </c>
      <c r="Q72" s="40">
        <f t="shared" si="90"/>
        <v>10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91"/>
        <v>#VALUE!</v>
      </c>
      <c r="V72" s="54" t="e">
        <f t="shared" si="92"/>
        <v>#VALUE!</v>
      </c>
      <c r="W72" s="55">
        <f t="shared" si="93"/>
        <v>0</v>
      </c>
      <c r="X72" s="55">
        <f t="shared" si="94"/>
        <v>0</v>
      </c>
      <c r="Y72" s="56" t="e">
        <f t="shared" si="95"/>
        <v>#VALUE!</v>
      </c>
    </row>
    <row r="73" spans="1:25" x14ac:dyDescent="0.35">
      <c r="A73" s="78">
        <v>46259</v>
      </c>
      <c r="B73" s="47">
        <v>69</v>
      </c>
      <c r="C73" s="128" t="s">
        <v>141</v>
      </c>
      <c r="D73" s="75">
        <v>160</v>
      </c>
      <c r="E73" s="75"/>
      <c r="F73" s="75"/>
      <c r="G73" s="75">
        <v>160</v>
      </c>
      <c r="H73" s="75"/>
      <c r="I73" s="127"/>
      <c r="J73" s="75"/>
      <c r="K73" s="75">
        <v>40</v>
      </c>
      <c r="L73" s="75">
        <v>160</v>
      </c>
      <c r="M73" s="129">
        <f t="shared" si="88"/>
        <v>13</v>
      </c>
      <c r="N73" s="39">
        <f t="shared" si="18"/>
        <v>0</v>
      </c>
      <c r="O73" s="49">
        <f t="shared" si="1"/>
        <v>62.470500000000001</v>
      </c>
      <c r="P73" s="73">
        <f t="shared" si="89"/>
        <v>8</v>
      </c>
      <c r="Q73" s="40">
        <f t="shared" si="90"/>
        <v>10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91"/>
        <v>#VALUE!</v>
      </c>
      <c r="V73" s="54" t="e">
        <f t="shared" si="92"/>
        <v>#VALUE!</v>
      </c>
      <c r="W73" s="55">
        <f t="shared" si="93"/>
        <v>0</v>
      </c>
      <c r="X73" s="55">
        <f t="shared" si="94"/>
        <v>0</v>
      </c>
      <c r="Y73" s="56" t="e">
        <f t="shared" si="95"/>
        <v>#VALUE!</v>
      </c>
    </row>
    <row r="74" spans="1:25" x14ac:dyDescent="0.35">
      <c r="A74" s="78">
        <v>46259</v>
      </c>
      <c r="B74" s="47">
        <v>70</v>
      </c>
      <c r="C74" s="128" t="s">
        <v>64</v>
      </c>
      <c r="D74" s="75"/>
      <c r="E74" s="75"/>
      <c r="F74" s="75"/>
      <c r="G74" s="75">
        <v>0</v>
      </c>
      <c r="H74" s="75">
        <v>80</v>
      </c>
      <c r="I74" s="127">
        <v>360</v>
      </c>
      <c r="J74" s="75">
        <v>20</v>
      </c>
      <c r="K74" s="75">
        <v>20</v>
      </c>
      <c r="L74" s="75">
        <v>40</v>
      </c>
      <c r="M74" s="129">
        <f t="shared" si="88"/>
        <v>13</v>
      </c>
      <c r="N74" s="39">
        <f t="shared" si="18"/>
        <v>0</v>
      </c>
      <c r="O74" s="49">
        <f t="shared" si="1"/>
        <v>62.470500000000001</v>
      </c>
      <c r="P74" s="73">
        <f t="shared" si="89"/>
        <v>22</v>
      </c>
      <c r="Q74" s="40">
        <f t="shared" si="90"/>
        <v>4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91"/>
        <v>#VALUE!</v>
      </c>
      <c r="V74" s="54" t="e">
        <f t="shared" si="92"/>
        <v>#VALUE!</v>
      </c>
      <c r="W74" s="55">
        <f t="shared" si="93"/>
        <v>0</v>
      </c>
      <c r="X74" s="55">
        <f t="shared" si="94"/>
        <v>0</v>
      </c>
      <c r="Y74" s="56" t="e">
        <f t="shared" si="95"/>
        <v>#VALUE!</v>
      </c>
    </row>
    <row r="75" spans="1:25" x14ac:dyDescent="0.35">
      <c r="A75" s="151">
        <v>46261</v>
      </c>
      <c r="B75" s="152">
        <v>71</v>
      </c>
      <c r="C75" s="153" t="s">
        <v>142</v>
      </c>
      <c r="D75" s="154">
        <v>80</v>
      </c>
      <c r="E75" s="154"/>
      <c r="F75" s="155"/>
      <c r="G75" s="154">
        <v>120</v>
      </c>
      <c r="H75" s="154">
        <v>80</v>
      </c>
      <c r="I75" s="156">
        <v>120</v>
      </c>
      <c r="J75" s="154">
        <v>120</v>
      </c>
      <c r="K75" s="154">
        <v>80</v>
      </c>
      <c r="L75" s="154">
        <v>120</v>
      </c>
      <c r="M75" s="129">
        <f t="shared" si="88"/>
        <v>18</v>
      </c>
      <c r="N75" s="39">
        <f t="shared" si="18"/>
        <v>0</v>
      </c>
      <c r="O75" s="49">
        <f t="shared" si="1"/>
        <v>62.470500000000001</v>
      </c>
      <c r="P75" s="73">
        <f t="shared" si="89"/>
        <v>16</v>
      </c>
      <c r="Q75" s="40">
        <f t="shared" si="90"/>
        <v>16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91"/>
        <v>#VALUE!</v>
      </c>
      <c r="V75" s="54" t="e">
        <f t="shared" si="92"/>
        <v>#VALUE!</v>
      </c>
      <c r="W75" s="55">
        <f t="shared" si="93"/>
        <v>0</v>
      </c>
      <c r="X75" s="55">
        <f t="shared" si="94"/>
        <v>0</v>
      </c>
      <c r="Y75" s="56" t="e">
        <f t="shared" si="95"/>
        <v>#VALUE!</v>
      </c>
    </row>
    <row r="76" spans="1:25" x14ac:dyDescent="0.35">
      <c r="A76" s="151">
        <v>46261</v>
      </c>
      <c r="B76" s="152">
        <v>72</v>
      </c>
      <c r="C76" s="153" t="s">
        <v>92</v>
      </c>
      <c r="D76" s="154">
        <v>200</v>
      </c>
      <c r="E76" s="155"/>
      <c r="F76" s="155"/>
      <c r="G76" s="154"/>
      <c r="H76" s="154"/>
      <c r="I76" s="156">
        <v>199</v>
      </c>
      <c r="J76" s="154"/>
      <c r="K76" s="154">
        <v>199</v>
      </c>
      <c r="L76" s="154">
        <v>200</v>
      </c>
      <c r="M76" s="129">
        <f t="shared" si="88"/>
        <v>19.95</v>
      </c>
      <c r="N76" s="39">
        <f t="shared" si="18"/>
        <v>0</v>
      </c>
      <c r="O76" s="49">
        <f t="shared" si="1"/>
        <v>62.470500000000001</v>
      </c>
      <c r="P76" s="73">
        <f t="shared" si="89"/>
        <v>9.9499999999999993</v>
      </c>
      <c r="Q76" s="40">
        <f t="shared" si="90"/>
        <v>19.95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91"/>
        <v>#VALUE!</v>
      </c>
      <c r="V76" s="54" t="e">
        <f t="shared" si="92"/>
        <v>#VALUE!</v>
      </c>
      <c r="W76" s="55">
        <f t="shared" si="93"/>
        <v>0</v>
      </c>
      <c r="X76" s="55">
        <f t="shared" si="94"/>
        <v>0</v>
      </c>
      <c r="Y76" s="56" t="e">
        <f t="shared" si="95"/>
        <v>#VALUE!</v>
      </c>
    </row>
    <row r="77" spans="1:25" x14ac:dyDescent="0.35">
      <c r="A77" s="151">
        <v>46261</v>
      </c>
      <c r="B77" s="152">
        <v>73</v>
      </c>
      <c r="C77" s="153" t="s">
        <v>143</v>
      </c>
      <c r="D77" s="154"/>
      <c r="E77" s="155"/>
      <c r="F77" s="155"/>
      <c r="G77" s="154">
        <v>80</v>
      </c>
      <c r="H77" s="154">
        <v>80</v>
      </c>
      <c r="I77" s="156"/>
      <c r="J77" s="154">
        <v>120</v>
      </c>
      <c r="K77" s="154">
        <v>120</v>
      </c>
      <c r="L77" s="154">
        <v>120</v>
      </c>
      <c r="M77" s="129">
        <f t="shared" si="88"/>
        <v>13</v>
      </c>
      <c r="N77" s="39">
        <f t="shared" si="18"/>
        <v>0</v>
      </c>
      <c r="O77" s="49">
        <f t="shared" si="1"/>
        <v>62.470500000000001</v>
      </c>
      <c r="P77" s="73">
        <f t="shared" si="89"/>
        <v>8</v>
      </c>
      <c r="Q77" s="40">
        <f t="shared" si="90"/>
        <v>18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91"/>
        <v>#VALUE!</v>
      </c>
      <c r="V77" s="54" t="e">
        <f t="shared" si="92"/>
        <v>#VALUE!</v>
      </c>
      <c r="W77" s="55">
        <f t="shared" si="93"/>
        <v>0</v>
      </c>
      <c r="X77" s="55">
        <f t="shared" si="94"/>
        <v>0</v>
      </c>
      <c r="Y77" s="56" t="e">
        <f t="shared" si="95"/>
        <v>#VALUE!</v>
      </c>
    </row>
    <row r="78" spans="1:25" x14ac:dyDescent="0.35">
      <c r="A78" s="151">
        <v>46261</v>
      </c>
      <c r="B78" s="152">
        <v>74</v>
      </c>
      <c r="C78" s="153" t="s">
        <v>144</v>
      </c>
      <c r="D78" s="154"/>
      <c r="E78" s="155"/>
      <c r="F78" s="155"/>
      <c r="G78" s="155">
        <v>40</v>
      </c>
      <c r="H78" s="155">
        <v>80</v>
      </c>
      <c r="I78" s="157">
        <v>80</v>
      </c>
      <c r="J78" s="155">
        <v>80</v>
      </c>
      <c r="K78" s="155">
        <v>80</v>
      </c>
      <c r="L78" s="155">
        <v>80</v>
      </c>
      <c r="M78" s="129">
        <f t="shared" si="88"/>
        <v>11</v>
      </c>
      <c r="N78" s="39">
        <f t="shared" si="18"/>
        <v>0</v>
      </c>
      <c r="O78" s="49">
        <f t="shared" si="1"/>
        <v>62.470500000000001</v>
      </c>
      <c r="P78" s="73">
        <f t="shared" si="89"/>
        <v>10</v>
      </c>
      <c r="Q78" s="40">
        <f t="shared" si="90"/>
        <v>12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91"/>
        <v>#VALUE!</v>
      </c>
      <c r="V78" s="54" t="e">
        <f t="shared" si="92"/>
        <v>#VALUE!</v>
      </c>
      <c r="W78" s="55">
        <f t="shared" si="93"/>
        <v>0</v>
      </c>
      <c r="X78" s="55">
        <f t="shared" si="94"/>
        <v>0</v>
      </c>
      <c r="Y78" s="56" t="e">
        <f t="shared" si="95"/>
        <v>#VALUE!</v>
      </c>
    </row>
    <row r="79" spans="1:25" x14ac:dyDescent="0.35">
      <c r="A79" s="151">
        <v>46261</v>
      </c>
      <c r="B79" s="152">
        <v>75</v>
      </c>
      <c r="C79" s="153" t="s">
        <v>145</v>
      </c>
      <c r="D79" s="154"/>
      <c r="E79" s="155"/>
      <c r="F79" s="155"/>
      <c r="G79" s="155">
        <v>40</v>
      </c>
      <c r="H79" s="155"/>
      <c r="I79" s="157">
        <v>40</v>
      </c>
      <c r="J79" s="155">
        <v>40</v>
      </c>
      <c r="K79" s="155">
        <v>39</v>
      </c>
      <c r="L79" s="155">
        <v>80</v>
      </c>
      <c r="M79" s="129">
        <f t="shared" si="88"/>
        <v>5.9749999999999996</v>
      </c>
      <c r="N79" s="39">
        <f t="shared" si="18"/>
        <v>0</v>
      </c>
      <c r="O79" s="49">
        <f t="shared" si="1"/>
        <v>62.470500000000001</v>
      </c>
      <c r="P79" s="73">
        <f t="shared" si="89"/>
        <v>4</v>
      </c>
      <c r="Q79" s="40">
        <f t="shared" si="90"/>
        <v>7.95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91"/>
        <v>#VALUE!</v>
      </c>
      <c r="V79" s="54" t="e">
        <f t="shared" si="92"/>
        <v>#VALUE!</v>
      </c>
      <c r="W79" s="55">
        <f t="shared" si="93"/>
        <v>0</v>
      </c>
      <c r="X79" s="55">
        <f t="shared" si="94"/>
        <v>0</v>
      </c>
      <c r="Y79" s="56" t="e">
        <f t="shared" si="95"/>
        <v>#VALUE!</v>
      </c>
    </row>
    <row r="80" spans="1:25" x14ac:dyDescent="0.35">
      <c r="A80" s="151">
        <v>46261</v>
      </c>
      <c r="B80" s="152">
        <v>76</v>
      </c>
      <c r="C80" s="158" t="s">
        <v>146</v>
      </c>
      <c r="D80" s="155"/>
      <c r="E80" s="155"/>
      <c r="F80" s="155"/>
      <c r="G80" s="155">
        <v>40</v>
      </c>
      <c r="H80" s="155">
        <v>40</v>
      </c>
      <c r="I80" s="157">
        <v>40</v>
      </c>
      <c r="J80" s="155">
        <v>40</v>
      </c>
      <c r="K80" s="155">
        <v>39</v>
      </c>
      <c r="L80" s="155">
        <v>80</v>
      </c>
      <c r="M80" s="129">
        <f t="shared" si="88"/>
        <v>6.9749999999999996</v>
      </c>
      <c r="N80" s="39">
        <f t="shared" si="18"/>
        <v>0</v>
      </c>
      <c r="O80" s="49">
        <f t="shared" si="1"/>
        <v>62.470500000000001</v>
      </c>
      <c r="P80" s="73">
        <f t="shared" ref="P80:P84" si="96">SUM(G80:I80)/20</f>
        <v>6</v>
      </c>
      <c r="Q80" s="40">
        <f t="shared" ref="Q80:Q84" si="97">SUM(J80:L80)/20</f>
        <v>7.95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8">SUM(R80:T80)</f>
        <v>#VALUE!</v>
      </c>
      <c r="V80" s="54" t="e">
        <f t="shared" ref="V80:V84" si="99">SUM(D80:F80)*$V$3</f>
        <v>#VALUE!</v>
      </c>
      <c r="W80" s="55">
        <f t="shared" ref="W80:W84" si="100">SUM(G80:I80)*$W$3</f>
        <v>0</v>
      </c>
      <c r="X80" s="55">
        <f t="shared" ref="X80:X84" si="101">SUM(J80:L80)*$X$3</f>
        <v>0</v>
      </c>
      <c r="Y80" s="56" t="e">
        <f t="shared" ref="Y80:Y84" si="102">SUM(V80:X80)</f>
        <v>#VALUE!</v>
      </c>
    </row>
    <row r="81" spans="1:25" x14ac:dyDescent="0.35">
      <c r="A81" s="151">
        <v>46261</v>
      </c>
      <c r="B81" s="152">
        <v>77</v>
      </c>
      <c r="C81" s="158" t="s">
        <v>126</v>
      </c>
      <c r="D81" s="155"/>
      <c r="E81" s="155"/>
      <c r="F81" s="155"/>
      <c r="G81" s="155">
        <v>400</v>
      </c>
      <c r="H81" s="155">
        <v>800</v>
      </c>
      <c r="I81" s="157">
        <v>800</v>
      </c>
      <c r="J81" s="155">
        <v>800</v>
      </c>
      <c r="K81" s="155">
        <v>800</v>
      </c>
      <c r="L81" s="155">
        <v>2000</v>
      </c>
      <c r="M81" s="129">
        <f t="shared" si="88"/>
        <v>140</v>
      </c>
      <c r="N81" s="39">
        <f t="shared" si="18"/>
        <v>0</v>
      </c>
      <c r="O81" s="49">
        <f t="shared" si="1"/>
        <v>62.470500000000001</v>
      </c>
      <c r="P81" s="73">
        <f t="shared" si="96"/>
        <v>100</v>
      </c>
      <c r="Q81" s="40">
        <f t="shared" si="97"/>
        <v>180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8"/>
        <v>#VALUE!</v>
      </c>
      <c r="V81" s="54" t="e">
        <f t="shared" si="99"/>
        <v>#VALUE!</v>
      </c>
      <c r="W81" s="55">
        <f t="shared" si="100"/>
        <v>0</v>
      </c>
      <c r="X81" s="55">
        <f t="shared" si="101"/>
        <v>0</v>
      </c>
      <c r="Y81" s="56" t="e">
        <f t="shared" si="102"/>
        <v>#VALUE!</v>
      </c>
    </row>
    <row r="82" spans="1:25" x14ac:dyDescent="0.35">
      <c r="A82" s="139">
        <v>46262</v>
      </c>
      <c r="B82" s="47">
        <v>78</v>
      </c>
      <c r="C82" s="128" t="s">
        <v>147</v>
      </c>
      <c r="D82" s="50"/>
      <c r="E82" s="50"/>
      <c r="F82" s="50"/>
      <c r="G82" s="50">
        <v>40</v>
      </c>
      <c r="H82" s="50">
        <v>80</v>
      </c>
      <c r="I82" s="129">
        <v>480</v>
      </c>
      <c r="J82" s="50">
        <v>80</v>
      </c>
      <c r="K82" s="50">
        <v>60</v>
      </c>
      <c r="L82" s="50">
        <v>80</v>
      </c>
      <c r="M82" s="129">
        <f t="shared" si="88"/>
        <v>20.5</v>
      </c>
      <c r="N82" s="39">
        <f t="shared" si="18"/>
        <v>0</v>
      </c>
      <c r="O82" s="49">
        <f t="shared" si="1"/>
        <v>62.470500000000001</v>
      </c>
      <c r="P82" s="73">
        <f t="shared" si="96"/>
        <v>30</v>
      </c>
      <c r="Q82" s="40">
        <f t="shared" si="97"/>
        <v>11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8"/>
        <v>#VALUE!</v>
      </c>
      <c r="V82" s="54" t="e">
        <f t="shared" si="99"/>
        <v>#VALUE!</v>
      </c>
      <c r="W82" s="55">
        <f t="shared" si="100"/>
        <v>0</v>
      </c>
      <c r="X82" s="55">
        <f t="shared" si="101"/>
        <v>0</v>
      </c>
      <c r="Y82" s="56" t="e">
        <f t="shared" si="102"/>
        <v>#VALUE!</v>
      </c>
    </row>
    <row r="83" spans="1:25" x14ac:dyDescent="0.35">
      <c r="A83" s="139">
        <v>46262</v>
      </c>
      <c r="B83" s="47">
        <v>79</v>
      </c>
      <c r="C83" s="128" t="s">
        <v>148</v>
      </c>
      <c r="D83" s="50"/>
      <c r="E83" s="50"/>
      <c r="F83" s="50"/>
      <c r="G83" s="50">
        <v>80</v>
      </c>
      <c r="H83" s="50">
        <v>80</v>
      </c>
      <c r="I83" s="129">
        <v>120</v>
      </c>
      <c r="J83" s="50">
        <v>160</v>
      </c>
      <c r="K83" s="50">
        <v>40</v>
      </c>
      <c r="L83" s="50">
        <v>240</v>
      </c>
      <c r="M83" s="129">
        <f t="shared" si="88"/>
        <v>18</v>
      </c>
      <c r="N83" s="39">
        <f t="shared" si="18"/>
        <v>0</v>
      </c>
      <c r="O83" s="49">
        <f t="shared" si="1"/>
        <v>62.470500000000001</v>
      </c>
      <c r="P83" s="73">
        <f t="shared" si="96"/>
        <v>14</v>
      </c>
      <c r="Q83" s="40">
        <f t="shared" si="97"/>
        <v>22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8"/>
        <v>#VALUE!</v>
      </c>
      <c r="V83" s="54" t="e">
        <f t="shared" si="99"/>
        <v>#VALUE!</v>
      </c>
      <c r="W83" s="55">
        <f t="shared" si="100"/>
        <v>0</v>
      </c>
      <c r="X83" s="55">
        <f t="shared" si="101"/>
        <v>0</v>
      </c>
      <c r="Y83" s="56" t="e">
        <f t="shared" si="102"/>
        <v>#VALUE!</v>
      </c>
    </row>
    <row r="84" spans="1:25" x14ac:dyDescent="0.35">
      <c r="A84" s="139">
        <v>46263</v>
      </c>
      <c r="B84" s="140">
        <v>80</v>
      </c>
      <c r="C84" s="159" t="s">
        <v>33</v>
      </c>
      <c r="D84" s="145">
        <v>2000</v>
      </c>
      <c r="E84" s="145"/>
      <c r="F84" s="145"/>
      <c r="G84" s="145">
        <v>1200</v>
      </c>
      <c r="H84" s="145">
        <v>1200</v>
      </c>
      <c r="I84" s="160">
        <v>1600</v>
      </c>
      <c r="J84" s="145">
        <v>4800</v>
      </c>
      <c r="K84" s="145">
        <v>4400</v>
      </c>
      <c r="L84" s="145">
        <v>4800</v>
      </c>
      <c r="M84" s="129">
        <f t="shared" si="88"/>
        <v>500</v>
      </c>
      <c r="N84" s="39">
        <f t="shared" si="18"/>
        <v>0</v>
      </c>
      <c r="O84" s="49">
        <f t="shared" si="1"/>
        <v>62.470500000000001</v>
      </c>
      <c r="P84" s="73">
        <f t="shared" si="96"/>
        <v>200</v>
      </c>
      <c r="Q84" s="40">
        <f t="shared" si="97"/>
        <v>700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8"/>
        <v>#VALUE!</v>
      </c>
      <c r="V84" s="54" t="e">
        <f t="shared" si="99"/>
        <v>#VALUE!</v>
      </c>
      <c r="W84" s="55">
        <f t="shared" si="100"/>
        <v>0</v>
      </c>
      <c r="X84" s="55">
        <f t="shared" si="101"/>
        <v>0</v>
      </c>
      <c r="Y84" s="56" t="e">
        <f t="shared" si="102"/>
        <v>#VALUE!</v>
      </c>
    </row>
    <row r="85" spans="1:25" x14ac:dyDescent="0.35">
      <c r="A85" s="139">
        <v>46263</v>
      </c>
      <c r="B85" s="140">
        <v>81</v>
      </c>
      <c r="C85" s="159" t="s">
        <v>149</v>
      </c>
      <c r="D85" s="145"/>
      <c r="E85" s="145"/>
      <c r="F85" s="145"/>
      <c r="G85" s="145">
        <v>200</v>
      </c>
      <c r="H85" s="145">
        <v>120</v>
      </c>
      <c r="I85" s="160">
        <v>120</v>
      </c>
      <c r="J85" s="145">
        <v>200</v>
      </c>
      <c r="K85" s="145">
        <v>200</v>
      </c>
      <c r="L85" s="145">
        <v>200</v>
      </c>
      <c r="M85" s="129">
        <f t="shared" ref="M85:M132" si="103">SUM(D85:L85)/40</f>
        <v>26</v>
      </c>
      <c r="N85" s="39">
        <f t="shared" si="18"/>
        <v>0</v>
      </c>
      <c r="O85" s="49">
        <f t="shared" si="1"/>
        <v>62.470500000000001</v>
      </c>
      <c r="P85" s="73">
        <f t="shared" ref="P85:P132" si="104">SUM(G85:I85)/20</f>
        <v>22</v>
      </c>
      <c r="Q85" s="40">
        <f t="shared" ref="Q85:Q132" si="105">SUM(J85:L85)/20</f>
        <v>30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106">SUM(R85:T85)</f>
        <v>#VALUE!</v>
      </c>
      <c r="V85" s="54" t="e">
        <f t="shared" ref="V85:V132" si="107">SUM(D85:F85)*$V$3</f>
        <v>#VALUE!</v>
      </c>
      <c r="W85" s="55">
        <f t="shared" ref="W85:W132" si="108">SUM(G85:I85)*$W$3</f>
        <v>0</v>
      </c>
      <c r="X85" s="55">
        <f t="shared" ref="X85:X132" si="109">SUM(J85:L85)*$X$3</f>
        <v>0</v>
      </c>
      <c r="Y85" s="56" t="e">
        <f t="shared" ref="Y85:Y132" si="110">SUM(V85:X85)</f>
        <v>#VALUE!</v>
      </c>
    </row>
    <row r="86" spans="1:25" x14ac:dyDescent="0.35">
      <c r="A86" s="139">
        <v>46265</v>
      </c>
      <c r="B86" s="47">
        <v>82</v>
      </c>
      <c r="C86" s="128" t="s">
        <v>150</v>
      </c>
      <c r="D86" s="50">
        <v>80</v>
      </c>
      <c r="E86" s="50"/>
      <c r="F86" s="50"/>
      <c r="G86" s="50">
        <v>80</v>
      </c>
      <c r="H86" s="50">
        <v>80</v>
      </c>
      <c r="I86" s="129">
        <v>40</v>
      </c>
      <c r="J86" s="50">
        <v>80</v>
      </c>
      <c r="K86" s="50">
        <v>40</v>
      </c>
      <c r="L86" s="50">
        <v>80</v>
      </c>
      <c r="M86" s="129">
        <f t="shared" si="103"/>
        <v>12</v>
      </c>
      <c r="N86" s="39">
        <f t="shared" si="18"/>
        <v>0</v>
      </c>
      <c r="O86" s="49">
        <f t="shared" si="1"/>
        <v>62.470500000000001</v>
      </c>
      <c r="P86" s="73">
        <f t="shared" si="104"/>
        <v>10</v>
      </c>
      <c r="Q86" s="40">
        <f t="shared" si="105"/>
        <v>10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106"/>
        <v>#VALUE!</v>
      </c>
      <c r="V86" s="54" t="e">
        <f t="shared" si="107"/>
        <v>#VALUE!</v>
      </c>
      <c r="W86" s="55">
        <f t="shared" si="108"/>
        <v>0</v>
      </c>
      <c r="X86" s="55">
        <f t="shared" si="109"/>
        <v>0</v>
      </c>
      <c r="Y86" s="56" t="e">
        <f t="shared" si="110"/>
        <v>#VALUE!</v>
      </c>
    </row>
    <row r="87" spans="1:25" x14ac:dyDescent="0.35">
      <c r="A87" s="146">
        <v>46265</v>
      </c>
      <c r="B87" s="147">
        <v>83</v>
      </c>
      <c r="C87" s="148" t="s">
        <v>151</v>
      </c>
      <c r="D87" s="161"/>
      <c r="E87" s="161"/>
      <c r="F87" s="161"/>
      <c r="G87" s="161"/>
      <c r="H87" s="161">
        <v>119</v>
      </c>
      <c r="I87" s="162">
        <v>200</v>
      </c>
      <c r="J87" s="161"/>
      <c r="K87" s="161">
        <v>79</v>
      </c>
      <c r="L87" s="161">
        <v>118</v>
      </c>
      <c r="M87" s="129">
        <f t="shared" si="103"/>
        <v>12.9</v>
      </c>
      <c r="N87" s="39">
        <f t="shared" si="18"/>
        <v>0</v>
      </c>
      <c r="O87" s="49">
        <f t="shared" si="1"/>
        <v>62.470500000000001</v>
      </c>
      <c r="P87" s="73">
        <f t="shared" si="104"/>
        <v>15.95</v>
      </c>
      <c r="Q87" s="40">
        <f t="shared" si="105"/>
        <v>9.85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06"/>
        <v>#VALUE!</v>
      </c>
      <c r="V87" s="54" t="e">
        <f t="shared" si="107"/>
        <v>#VALUE!</v>
      </c>
      <c r="W87" s="55">
        <f t="shared" si="108"/>
        <v>0</v>
      </c>
      <c r="X87" s="55">
        <f t="shared" si="109"/>
        <v>0</v>
      </c>
      <c r="Y87" s="56" t="e">
        <f t="shared" si="110"/>
        <v>#VALUE!</v>
      </c>
    </row>
    <row r="88" spans="1:25" x14ac:dyDescent="0.35">
      <c r="A88" s="146">
        <v>46265</v>
      </c>
      <c r="B88" s="147">
        <v>84</v>
      </c>
      <c r="C88" s="148" t="s">
        <v>90</v>
      </c>
      <c r="D88" s="161"/>
      <c r="E88" s="161"/>
      <c r="F88" s="161"/>
      <c r="G88" s="161"/>
      <c r="H88" s="161"/>
      <c r="I88" s="162"/>
      <c r="J88" s="161"/>
      <c r="K88" s="161"/>
      <c r="L88" s="161">
        <v>200</v>
      </c>
      <c r="M88" s="129">
        <f t="shared" si="103"/>
        <v>5</v>
      </c>
      <c r="N88" s="39">
        <f t="shared" si="18"/>
        <v>0</v>
      </c>
      <c r="O88" s="49">
        <f t="shared" si="1"/>
        <v>62.470500000000001</v>
      </c>
      <c r="P88" s="73">
        <f t="shared" si="104"/>
        <v>0</v>
      </c>
      <c r="Q88" s="40">
        <f t="shared" si="105"/>
        <v>10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06"/>
        <v>#VALUE!</v>
      </c>
      <c r="V88" s="54" t="e">
        <f t="shared" si="107"/>
        <v>#VALUE!</v>
      </c>
      <c r="W88" s="55">
        <f t="shared" si="108"/>
        <v>0</v>
      </c>
      <c r="X88" s="55">
        <f t="shared" si="109"/>
        <v>0</v>
      </c>
      <c r="Y88" s="56" t="e">
        <f t="shared" si="110"/>
        <v>#VALUE!</v>
      </c>
    </row>
    <row r="89" spans="1:25" x14ac:dyDescent="0.35">
      <c r="A89" s="78"/>
      <c r="B89" s="47">
        <v>85</v>
      </c>
      <c r="C89" s="128" t="s">
        <v>152</v>
      </c>
      <c r="D89" s="50"/>
      <c r="E89" s="50"/>
      <c r="F89" s="50"/>
      <c r="G89" s="50">
        <v>40</v>
      </c>
      <c r="H89" s="50">
        <v>40</v>
      </c>
      <c r="I89" s="129"/>
      <c r="J89" s="50">
        <v>20</v>
      </c>
      <c r="K89" s="50">
        <v>40</v>
      </c>
      <c r="L89" s="50"/>
      <c r="M89" s="129">
        <f t="shared" si="103"/>
        <v>3.5</v>
      </c>
      <c r="N89" s="39">
        <f t="shared" si="18"/>
        <v>0</v>
      </c>
      <c r="O89" s="49">
        <f t="shared" si="1"/>
        <v>62.470500000000001</v>
      </c>
      <c r="P89" s="73">
        <f t="shared" si="104"/>
        <v>4</v>
      </c>
      <c r="Q89" s="40">
        <f t="shared" si="105"/>
        <v>3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06"/>
        <v>#VALUE!</v>
      </c>
      <c r="V89" s="54" t="e">
        <f t="shared" si="107"/>
        <v>#VALUE!</v>
      </c>
      <c r="W89" s="55">
        <f t="shared" si="108"/>
        <v>0</v>
      </c>
      <c r="X89" s="55">
        <f t="shared" si="109"/>
        <v>0</v>
      </c>
      <c r="Y89" s="56" t="e">
        <f t="shared" si="110"/>
        <v>#VALUE!</v>
      </c>
    </row>
    <row r="90" spans="1:25" x14ac:dyDescent="0.35">
      <c r="A90" s="78"/>
      <c r="B90" s="47">
        <v>86</v>
      </c>
      <c r="C90" s="128" t="s">
        <v>153</v>
      </c>
      <c r="D90" s="50"/>
      <c r="E90" s="50"/>
      <c r="F90" s="50"/>
      <c r="G90" s="50"/>
      <c r="H90" s="50"/>
      <c r="I90" s="129"/>
      <c r="J90" s="50"/>
      <c r="K90" s="50"/>
      <c r="L90" s="50">
        <v>40</v>
      </c>
      <c r="M90" s="129">
        <f t="shared" si="103"/>
        <v>1</v>
      </c>
      <c r="N90" s="39">
        <f t="shared" si="18"/>
        <v>0</v>
      </c>
      <c r="O90" s="49">
        <f t="shared" si="1"/>
        <v>62.470500000000001</v>
      </c>
      <c r="P90" s="73">
        <f t="shared" si="104"/>
        <v>0</v>
      </c>
      <c r="Q90" s="40">
        <f t="shared" si="105"/>
        <v>2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106"/>
        <v>#VALUE!</v>
      </c>
      <c r="V90" s="54" t="e">
        <f t="shared" si="107"/>
        <v>#VALUE!</v>
      </c>
      <c r="W90" s="55">
        <f t="shared" si="108"/>
        <v>0</v>
      </c>
      <c r="X90" s="55">
        <f t="shared" si="109"/>
        <v>0</v>
      </c>
      <c r="Y90" s="56" t="e">
        <f t="shared" si="110"/>
        <v>#VALUE!</v>
      </c>
    </row>
    <row r="91" spans="1:25" x14ac:dyDescent="0.35">
      <c r="A91" s="78"/>
      <c r="B91" s="47">
        <v>87</v>
      </c>
      <c r="C91" s="128" t="s">
        <v>154</v>
      </c>
      <c r="D91" s="50"/>
      <c r="E91" s="50"/>
      <c r="F91" s="50"/>
      <c r="G91" s="50">
        <v>200</v>
      </c>
      <c r="H91" s="50">
        <v>200</v>
      </c>
      <c r="I91" s="129">
        <v>200</v>
      </c>
      <c r="J91" s="50">
        <v>200</v>
      </c>
      <c r="K91" s="50">
        <v>200</v>
      </c>
      <c r="L91" s="50">
        <v>200</v>
      </c>
      <c r="M91" s="129">
        <f t="shared" si="103"/>
        <v>30</v>
      </c>
      <c r="N91" s="39">
        <f t="shared" si="18"/>
        <v>0</v>
      </c>
      <c r="O91" s="49">
        <f t="shared" si="1"/>
        <v>62.470500000000001</v>
      </c>
      <c r="P91" s="73">
        <f t="shared" si="104"/>
        <v>30</v>
      </c>
      <c r="Q91" s="40">
        <f t="shared" si="105"/>
        <v>30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106"/>
        <v>#VALUE!</v>
      </c>
      <c r="V91" s="54" t="e">
        <f t="shared" si="107"/>
        <v>#VALUE!</v>
      </c>
      <c r="W91" s="55">
        <f t="shared" si="108"/>
        <v>0</v>
      </c>
      <c r="X91" s="55">
        <f t="shared" si="109"/>
        <v>0</v>
      </c>
      <c r="Y91" s="56" t="e">
        <f t="shared" si="110"/>
        <v>#VALUE!</v>
      </c>
    </row>
    <row r="92" spans="1:25" x14ac:dyDescent="0.35">
      <c r="A92" s="78"/>
      <c r="B92" s="47">
        <v>88</v>
      </c>
      <c r="C92" s="128" t="s">
        <v>155</v>
      </c>
      <c r="D92" s="50"/>
      <c r="E92" s="50"/>
      <c r="F92" s="50"/>
      <c r="G92" s="50"/>
      <c r="H92" s="50"/>
      <c r="I92" s="129"/>
      <c r="J92" s="50"/>
      <c r="K92" s="50"/>
      <c r="L92" s="50">
        <v>40</v>
      </c>
      <c r="M92" s="129">
        <f t="shared" si="103"/>
        <v>1</v>
      </c>
      <c r="N92" s="39">
        <f t="shared" si="18"/>
        <v>0</v>
      </c>
      <c r="O92" s="49">
        <f t="shared" si="1"/>
        <v>62.470500000000001</v>
      </c>
      <c r="P92" s="73">
        <f t="shared" si="104"/>
        <v>0</v>
      </c>
      <c r="Q92" s="40">
        <f t="shared" si="105"/>
        <v>2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106"/>
        <v>#VALUE!</v>
      </c>
      <c r="V92" s="54" t="e">
        <f t="shared" si="107"/>
        <v>#VALUE!</v>
      </c>
      <c r="W92" s="55">
        <f t="shared" si="108"/>
        <v>0</v>
      </c>
      <c r="X92" s="55">
        <f t="shared" si="109"/>
        <v>0</v>
      </c>
      <c r="Y92" s="56" t="e">
        <f t="shared" si="110"/>
        <v>#VALUE!</v>
      </c>
    </row>
    <row r="93" spans="1:25" x14ac:dyDescent="0.35">
      <c r="A93" s="78"/>
      <c r="B93" s="47">
        <v>89</v>
      </c>
      <c r="C93" s="128" t="s">
        <v>156</v>
      </c>
      <c r="D93" s="50"/>
      <c r="E93" s="50"/>
      <c r="F93" s="50"/>
      <c r="G93" s="50"/>
      <c r="H93" s="50"/>
      <c r="I93" s="129">
        <v>30</v>
      </c>
      <c r="J93" s="50"/>
      <c r="K93" s="50"/>
      <c r="L93" s="50"/>
      <c r="M93" s="129">
        <f t="shared" si="103"/>
        <v>0.75</v>
      </c>
      <c r="N93" s="39">
        <f t="shared" si="18"/>
        <v>0</v>
      </c>
      <c r="O93" s="49">
        <f t="shared" si="1"/>
        <v>62.470500000000001</v>
      </c>
      <c r="P93" s="73">
        <f t="shared" si="104"/>
        <v>1.5</v>
      </c>
      <c r="Q93" s="40">
        <f t="shared" si="105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106"/>
        <v>#VALUE!</v>
      </c>
      <c r="V93" s="54" t="e">
        <f t="shared" si="107"/>
        <v>#VALUE!</v>
      </c>
      <c r="W93" s="55">
        <f t="shared" si="108"/>
        <v>0</v>
      </c>
      <c r="X93" s="55">
        <f t="shared" si="109"/>
        <v>0</v>
      </c>
      <c r="Y93" s="56" t="e">
        <f t="shared" si="110"/>
        <v>#VALUE!</v>
      </c>
    </row>
    <row r="94" spans="1:25" x14ac:dyDescent="0.35">
      <c r="A94" s="78"/>
      <c r="B94" s="47">
        <v>90</v>
      </c>
      <c r="C94" s="128" t="s">
        <v>157</v>
      </c>
      <c r="D94" s="50"/>
      <c r="E94" s="50"/>
      <c r="F94" s="50"/>
      <c r="G94" s="50"/>
      <c r="H94" s="50"/>
      <c r="I94" s="129">
        <v>40</v>
      </c>
      <c r="J94" s="50"/>
      <c r="K94" s="50"/>
      <c r="L94" s="50"/>
      <c r="M94" s="129">
        <f t="shared" si="103"/>
        <v>1</v>
      </c>
      <c r="N94" s="39">
        <f t="shared" si="18"/>
        <v>0</v>
      </c>
      <c r="O94" s="49">
        <f t="shared" si="1"/>
        <v>62.470500000000001</v>
      </c>
      <c r="P94" s="73">
        <f t="shared" si="104"/>
        <v>2</v>
      </c>
      <c r="Q94" s="40">
        <f t="shared" si="105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06"/>
        <v>#VALUE!</v>
      </c>
      <c r="V94" s="54" t="e">
        <f t="shared" si="107"/>
        <v>#VALUE!</v>
      </c>
      <c r="W94" s="55">
        <f t="shared" si="108"/>
        <v>0</v>
      </c>
      <c r="X94" s="55">
        <f t="shared" si="109"/>
        <v>0</v>
      </c>
      <c r="Y94" s="56" t="e">
        <f t="shared" si="110"/>
        <v>#VALUE!</v>
      </c>
    </row>
    <row r="95" spans="1:25" x14ac:dyDescent="0.35">
      <c r="A95" s="78"/>
      <c r="B95" s="47">
        <v>91</v>
      </c>
      <c r="C95" s="128" t="s">
        <v>158</v>
      </c>
      <c r="D95" s="50"/>
      <c r="E95" s="50"/>
      <c r="F95" s="50"/>
      <c r="G95" s="50"/>
      <c r="H95" s="50"/>
      <c r="I95" s="129">
        <v>40</v>
      </c>
      <c r="J95" s="50"/>
      <c r="K95" s="50"/>
      <c r="L95" s="50"/>
      <c r="M95" s="129">
        <f t="shared" si="103"/>
        <v>1</v>
      </c>
      <c r="N95" s="39">
        <f t="shared" si="18"/>
        <v>0</v>
      </c>
      <c r="O95" s="49">
        <f t="shared" si="1"/>
        <v>62.470500000000001</v>
      </c>
      <c r="P95" s="73">
        <f t="shared" si="104"/>
        <v>2</v>
      </c>
      <c r="Q95" s="40">
        <f t="shared" si="105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106"/>
        <v>#VALUE!</v>
      </c>
      <c r="V95" s="54" t="e">
        <f t="shared" si="107"/>
        <v>#VALUE!</v>
      </c>
      <c r="W95" s="55">
        <f t="shared" si="108"/>
        <v>0</v>
      </c>
      <c r="X95" s="55">
        <f t="shared" si="109"/>
        <v>0</v>
      </c>
      <c r="Y95" s="56" t="e">
        <f t="shared" si="110"/>
        <v>#VALUE!</v>
      </c>
    </row>
    <row r="96" spans="1:25" x14ac:dyDescent="0.35">
      <c r="A96" s="78"/>
      <c r="B96" s="47">
        <v>92</v>
      </c>
      <c r="C96" s="128" t="s">
        <v>159</v>
      </c>
      <c r="D96" s="50"/>
      <c r="E96" s="50"/>
      <c r="F96" s="50"/>
      <c r="G96" s="50"/>
      <c r="H96" s="50"/>
      <c r="I96" s="129"/>
      <c r="J96" s="50"/>
      <c r="K96" s="50"/>
      <c r="L96" s="50">
        <v>20</v>
      </c>
      <c r="M96" s="129">
        <f t="shared" si="103"/>
        <v>0.5</v>
      </c>
      <c r="N96" s="39">
        <f t="shared" si="18"/>
        <v>0</v>
      </c>
      <c r="O96" s="49">
        <f t="shared" si="1"/>
        <v>62.470500000000001</v>
      </c>
      <c r="P96" s="73">
        <f t="shared" si="104"/>
        <v>0</v>
      </c>
      <c r="Q96" s="40">
        <f t="shared" si="105"/>
        <v>1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06"/>
        <v>#VALUE!</v>
      </c>
      <c r="V96" s="54" t="e">
        <f t="shared" si="107"/>
        <v>#VALUE!</v>
      </c>
      <c r="W96" s="55">
        <f t="shared" si="108"/>
        <v>0</v>
      </c>
      <c r="X96" s="55">
        <f t="shared" si="109"/>
        <v>0</v>
      </c>
      <c r="Y96" s="56" t="e">
        <f t="shared" si="110"/>
        <v>#VALUE!</v>
      </c>
    </row>
    <row r="97" spans="1:25" x14ac:dyDescent="0.35">
      <c r="A97" s="78"/>
      <c r="B97" s="47">
        <v>93</v>
      </c>
      <c r="C97" s="128" t="s">
        <v>160</v>
      </c>
      <c r="D97" s="50"/>
      <c r="E97" s="50"/>
      <c r="F97" s="50"/>
      <c r="G97" s="50"/>
      <c r="H97" s="50">
        <v>30</v>
      </c>
      <c r="I97" s="129">
        <v>40</v>
      </c>
      <c r="J97" s="50"/>
      <c r="K97" s="50"/>
      <c r="L97" s="50"/>
      <c r="M97" s="129">
        <f t="shared" si="103"/>
        <v>1.75</v>
      </c>
      <c r="N97" s="39">
        <f t="shared" si="18"/>
        <v>0</v>
      </c>
      <c r="O97" s="49">
        <f t="shared" si="1"/>
        <v>62.470500000000001</v>
      </c>
      <c r="P97" s="73">
        <f t="shared" si="104"/>
        <v>3.5</v>
      </c>
      <c r="Q97" s="40">
        <f t="shared" si="105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06"/>
        <v>#VALUE!</v>
      </c>
      <c r="V97" s="54" t="e">
        <f t="shared" si="107"/>
        <v>#VALUE!</v>
      </c>
      <c r="W97" s="55">
        <f t="shared" si="108"/>
        <v>0</v>
      </c>
      <c r="X97" s="55">
        <f t="shared" si="109"/>
        <v>0</v>
      </c>
      <c r="Y97" s="56" t="e">
        <f t="shared" si="110"/>
        <v>#VALUE!</v>
      </c>
    </row>
    <row r="98" spans="1:25" x14ac:dyDescent="0.35">
      <c r="A98" s="78"/>
      <c r="B98" s="47">
        <v>94</v>
      </c>
      <c r="C98" s="128" t="s">
        <v>161</v>
      </c>
      <c r="D98" s="50"/>
      <c r="E98" s="50"/>
      <c r="F98" s="50"/>
      <c r="G98" s="50"/>
      <c r="H98" s="50">
        <v>30</v>
      </c>
      <c r="I98" s="129"/>
      <c r="J98" s="50"/>
      <c r="K98" s="50"/>
      <c r="L98" s="50"/>
      <c r="M98" s="129">
        <f t="shared" si="103"/>
        <v>0.75</v>
      </c>
      <c r="N98" s="39">
        <f t="shared" si="18"/>
        <v>0</v>
      </c>
      <c r="O98" s="49">
        <f t="shared" si="1"/>
        <v>62.470500000000001</v>
      </c>
      <c r="P98" s="73">
        <f t="shared" si="104"/>
        <v>1.5</v>
      </c>
      <c r="Q98" s="40">
        <f t="shared" si="105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06"/>
        <v>#VALUE!</v>
      </c>
      <c r="V98" s="54" t="e">
        <f t="shared" si="107"/>
        <v>#VALUE!</v>
      </c>
      <c r="W98" s="55">
        <f t="shared" si="108"/>
        <v>0</v>
      </c>
      <c r="X98" s="55">
        <f t="shared" si="109"/>
        <v>0</v>
      </c>
      <c r="Y98" s="56" t="e">
        <f t="shared" si="110"/>
        <v>#VALUE!</v>
      </c>
    </row>
    <row r="99" spans="1:25" x14ac:dyDescent="0.35">
      <c r="A99" s="78"/>
      <c r="B99" s="47">
        <v>95</v>
      </c>
      <c r="C99" s="128" t="s">
        <v>162</v>
      </c>
      <c r="D99" s="50"/>
      <c r="E99" s="50"/>
      <c r="F99" s="50"/>
      <c r="G99" s="50"/>
      <c r="H99" s="50"/>
      <c r="I99" s="129"/>
      <c r="J99" s="50">
        <v>40</v>
      </c>
      <c r="K99" s="50"/>
      <c r="L99" s="50"/>
      <c r="M99" s="129">
        <f t="shared" si="103"/>
        <v>1</v>
      </c>
      <c r="N99" s="39">
        <f t="shared" si="18"/>
        <v>0</v>
      </c>
      <c r="O99" s="49">
        <f t="shared" si="1"/>
        <v>62.470500000000001</v>
      </c>
      <c r="P99" s="73">
        <f t="shared" si="104"/>
        <v>0</v>
      </c>
      <c r="Q99" s="40">
        <f t="shared" si="105"/>
        <v>2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106"/>
        <v>#VALUE!</v>
      </c>
      <c r="V99" s="54" t="e">
        <f t="shared" si="107"/>
        <v>#VALUE!</v>
      </c>
      <c r="W99" s="55">
        <f t="shared" si="108"/>
        <v>0</v>
      </c>
      <c r="X99" s="55">
        <f t="shared" si="109"/>
        <v>0</v>
      </c>
      <c r="Y99" s="56" t="e">
        <f t="shared" si="110"/>
        <v>#VALUE!</v>
      </c>
    </row>
    <row r="100" spans="1:25" x14ac:dyDescent="0.35">
      <c r="A100" s="78"/>
      <c r="B100" s="47">
        <v>96</v>
      </c>
      <c r="C100" s="128" t="s">
        <v>163</v>
      </c>
      <c r="D100" s="50"/>
      <c r="E100" s="50"/>
      <c r="F100" s="50"/>
      <c r="G100" s="50">
        <v>30</v>
      </c>
      <c r="H100" s="50"/>
      <c r="I100" s="129"/>
      <c r="J100" s="50"/>
      <c r="K100" s="50"/>
      <c r="L100" s="50"/>
      <c r="M100" s="129">
        <f t="shared" si="103"/>
        <v>0.75</v>
      </c>
      <c r="N100" s="39">
        <f t="shared" si="18"/>
        <v>0</v>
      </c>
      <c r="O100" s="49">
        <f t="shared" si="1"/>
        <v>62.470500000000001</v>
      </c>
      <c r="P100" s="73">
        <f t="shared" si="104"/>
        <v>1.5</v>
      </c>
      <c r="Q100" s="40">
        <f t="shared" si="105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106"/>
        <v>#VALUE!</v>
      </c>
      <c r="V100" s="54" t="e">
        <f t="shared" si="107"/>
        <v>#VALUE!</v>
      </c>
      <c r="W100" s="55">
        <f t="shared" si="108"/>
        <v>0</v>
      </c>
      <c r="X100" s="55">
        <f t="shared" si="109"/>
        <v>0</v>
      </c>
      <c r="Y100" s="56" t="e">
        <f t="shared" si="110"/>
        <v>#VALUE!</v>
      </c>
    </row>
    <row r="101" spans="1:25" x14ac:dyDescent="0.35">
      <c r="A101" s="78"/>
      <c r="B101" s="47">
        <v>97</v>
      </c>
      <c r="C101" s="128" t="s">
        <v>164</v>
      </c>
      <c r="D101" s="50"/>
      <c r="E101" s="50"/>
      <c r="F101" s="50"/>
      <c r="G101" s="50"/>
      <c r="H101" s="50"/>
      <c r="I101" s="129"/>
      <c r="J101" s="50"/>
      <c r="K101" s="50">
        <v>20</v>
      </c>
      <c r="L101" s="50"/>
      <c r="M101" s="129">
        <f t="shared" si="103"/>
        <v>0.5</v>
      </c>
      <c r="N101" s="39">
        <f t="shared" si="18"/>
        <v>0</v>
      </c>
      <c r="O101" s="49">
        <f t="shared" si="1"/>
        <v>62.470500000000001</v>
      </c>
      <c r="P101" s="73">
        <f t="shared" si="104"/>
        <v>0</v>
      </c>
      <c r="Q101" s="40">
        <f t="shared" si="105"/>
        <v>1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06"/>
        <v>#VALUE!</v>
      </c>
      <c r="V101" s="54" t="e">
        <f t="shared" si="107"/>
        <v>#VALUE!</v>
      </c>
      <c r="W101" s="55">
        <f t="shared" si="108"/>
        <v>0</v>
      </c>
      <c r="X101" s="55">
        <f t="shared" si="109"/>
        <v>0</v>
      </c>
      <c r="Y101" s="56" t="e">
        <f t="shared" si="110"/>
        <v>#VALUE!</v>
      </c>
    </row>
    <row r="102" spans="1:25" x14ac:dyDescent="0.35">
      <c r="A102" s="78"/>
      <c r="B102" s="47">
        <v>98</v>
      </c>
      <c r="C102" s="128" t="s">
        <v>165</v>
      </c>
      <c r="D102" s="50"/>
      <c r="E102" s="50"/>
      <c r="F102" s="50"/>
      <c r="G102" s="50"/>
      <c r="H102" s="50"/>
      <c r="I102" s="129"/>
      <c r="J102" s="50"/>
      <c r="K102" s="50">
        <v>20</v>
      </c>
      <c r="L102" s="50"/>
      <c r="M102" s="129">
        <f t="shared" si="103"/>
        <v>0.5</v>
      </c>
      <c r="N102" s="39">
        <f t="shared" si="18"/>
        <v>0</v>
      </c>
      <c r="O102" s="49">
        <f t="shared" si="1"/>
        <v>62.470500000000001</v>
      </c>
      <c r="P102" s="73">
        <f t="shared" si="104"/>
        <v>0</v>
      </c>
      <c r="Q102" s="40">
        <f t="shared" si="105"/>
        <v>1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106"/>
        <v>#VALUE!</v>
      </c>
      <c r="V102" s="54" t="e">
        <f t="shared" si="107"/>
        <v>#VALUE!</v>
      </c>
      <c r="W102" s="55">
        <f t="shared" si="108"/>
        <v>0</v>
      </c>
      <c r="X102" s="55">
        <f t="shared" si="109"/>
        <v>0</v>
      </c>
      <c r="Y102" s="56" t="e">
        <f t="shared" si="110"/>
        <v>#VALUE!</v>
      </c>
    </row>
    <row r="103" spans="1:25" x14ac:dyDescent="0.35">
      <c r="A103" s="78"/>
      <c r="B103" s="47">
        <v>99</v>
      </c>
      <c r="C103" s="128" t="s">
        <v>166</v>
      </c>
      <c r="D103" s="50"/>
      <c r="E103" s="50"/>
      <c r="F103" s="50"/>
      <c r="G103" s="50"/>
      <c r="H103" s="50"/>
      <c r="I103" s="129">
        <v>40</v>
      </c>
      <c r="J103" s="50"/>
      <c r="K103" s="50"/>
      <c r="L103" s="50"/>
      <c r="M103" s="129">
        <f t="shared" si="103"/>
        <v>1</v>
      </c>
      <c r="N103" s="39">
        <f t="shared" si="18"/>
        <v>0</v>
      </c>
      <c r="O103" s="49">
        <f t="shared" si="1"/>
        <v>62.470500000000001</v>
      </c>
      <c r="P103" s="73">
        <f t="shared" si="104"/>
        <v>2</v>
      </c>
      <c r="Q103" s="40">
        <f t="shared" si="105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06"/>
        <v>#VALUE!</v>
      </c>
      <c r="V103" s="54" t="e">
        <f t="shared" si="107"/>
        <v>#VALUE!</v>
      </c>
      <c r="W103" s="55">
        <f t="shared" si="108"/>
        <v>0</v>
      </c>
      <c r="X103" s="55">
        <f t="shared" si="109"/>
        <v>0</v>
      </c>
      <c r="Y103" s="56" t="e">
        <f t="shared" si="110"/>
        <v>#VALUE!</v>
      </c>
    </row>
    <row r="104" spans="1:25" x14ac:dyDescent="0.35">
      <c r="A104" s="78"/>
      <c r="B104" s="47">
        <v>100</v>
      </c>
      <c r="C104" s="128" t="s">
        <v>167</v>
      </c>
      <c r="D104" s="50"/>
      <c r="E104" s="50"/>
      <c r="F104" s="50"/>
      <c r="G104" s="50"/>
      <c r="H104" s="50">
        <v>30</v>
      </c>
      <c r="I104" s="129"/>
      <c r="J104" s="50"/>
      <c r="K104" s="50"/>
      <c r="L104" s="50">
        <v>20</v>
      </c>
      <c r="M104" s="129">
        <f t="shared" si="103"/>
        <v>1.25</v>
      </c>
      <c r="N104" s="39">
        <f t="shared" si="18"/>
        <v>0</v>
      </c>
      <c r="O104" s="49">
        <f t="shared" si="1"/>
        <v>62.470500000000001</v>
      </c>
      <c r="P104" s="73">
        <f t="shared" si="104"/>
        <v>1.5</v>
      </c>
      <c r="Q104" s="40">
        <f t="shared" si="105"/>
        <v>1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06"/>
        <v>#VALUE!</v>
      </c>
      <c r="V104" s="54" t="e">
        <f t="shared" si="107"/>
        <v>#VALUE!</v>
      </c>
      <c r="W104" s="55">
        <f t="shared" si="108"/>
        <v>0</v>
      </c>
      <c r="X104" s="55">
        <f t="shared" si="109"/>
        <v>0</v>
      </c>
      <c r="Y104" s="56" t="e">
        <f t="shared" si="110"/>
        <v>#VALUE!</v>
      </c>
    </row>
    <row r="105" spans="1:25" x14ac:dyDescent="0.35">
      <c r="A105" s="78"/>
      <c r="B105" s="47">
        <v>101</v>
      </c>
      <c r="C105" s="128" t="s">
        <v>168</v>
      </c>
      <c r="D105" s="50"/>
      <c r="E105" s="50"/>
      <c r="F105" s="50"/>
      <c r="G105" s="50"/>
      <c r="H105" s="50"/>
      <c r="I105" s="129"/>
      <c r="J105" s="50">
        <v>20</v>
      </c>
      <c r="K105" s="50"/>
      <c r="L105" s="50"/>
      <c r="M105" s="129">
        <f t="shared" si="103"/>
        <v>0.5</v>
      </c>
      <c r="N105" s="39">
        <f t="shared" si="18"/>
        <v>0</v>
      </c>
      <c r="O105" s="49">
        <f t="shared" si="1"/>
        <v>62.470500000000001</v>
      </c>
      <c r="P105" s="73">
        <f t="shared" si="104"/>
        <v>0</v>
      </c>
      <c r="Q105" s="40">
        <f t="shared" si="105"/>
        <v>1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06"/>
        <v>#VALUE!</v>
      </c>
      <c r="V105" s="54" t="e">
        <f t="shared" si="107"/>
        <v>#VALUE!</v>
      </c>
      <c r="W105" s="55">
        <f t="shared" si="108"/>
        <v>0</v>
      </c>
      <c r="X105" s="55">
        <f t="shared" si="109"/>
        <v>0</v>
      </c>
      <c r="Y105" s="56" t="e">
        <f t="shared" si="110"/>
        <v>#VALUE!</v>
      </c>
    </row>
    <row r="106" spans="1:25" x14ac:dyDescent="0.35">
      <c r="A106" s="78"/>
      <c r="B106" s="47">
        <v>102</v>
      </c>
      <c r="C106" s="128" t="s">
        <v>169</v>
      </c>
      <c r="D106" s="50"/>
      <c r="E106" s="50"/>
      <c r="F106" s="50"/>
      <c r="G106" s="50"/>
      <c r="H106" s="50"/>
      <c r="I106" s="129"/>
      <c r="J106" s="50">
        <v>40</v>
      </c>
      <c r="K106" s="50"/>
      <c r="L106" s="50">
        <v>40</v>
      </c>
      <c r="M106" s="129">
        <f t="shared" si="103"/>
        <v>2</v>
      </c>
      <c r="N106" s="39">
        <f t="shared" si="18"/>
        <v>0</v>
      </c>
      <c r="O106" s="49">
        <f t="shared" si="1"/>
        <v>62.470500000000001</v>
      </c>
      <c r="P106" s="73">
        <f t="shared" si="104"/>
        <v>0</v>
      </c>
      <c r="Q106" s="40">
        <f t="shared" si="105"/>
        <v>4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106"/>
        <v>#VALUE!</v>
      </c>
      <c r="V106" s="54" t="e">
        <f t="shared" si="107"/>
        <v>#VALUE!</v>
      </c>
      <c r="W106" s="55">
        <f t="shared" si="108"/>
        <v>0</v>
      </c>
      <c r="X106" s="55">
        <f t="shared" si="109"/>
        <v>0</v>
      </c>
      <c r="Y106" s="56" t="e">
        <f t="shared" si="110"/>
        <v>#VALUE!</v>
      </c>
    </row>
    <row r="107" spans="1:25" x14ac:dyDescent="0.35">
      <c r="A107" s="78"/>
      <c r="B107" s="47">
        <v>103</v>
      </c>
      <c r="C107" s="128" t="s">
        <v>170</v>
      </c>
      <c r="D107" s="50"/>
      <c r="E107" s="50"/>
      <c r="F107" s="50"/>
      <c r="G107" s="50"/>
      <c r="H107" s="50"/>
      <c r="I107" s="129"/>
      <c r="J107" s="50"/>
      <c r="K107" s="50"/>
      <c r="L107" s="50">
        <v>20</v>
      </c>
      <c r="M107" s="129">
        <f t="shared" si="103"/>
        <v>0.5</v>
      </c>
      <c r="N107" s="39">
        <f t="shared" si="18"/>
        <v>0</v>
      </c>
      <c r="O107" s="49">
        <f t="shared" si="1"/>
        <v>62.470500000000001</v>
      </c>
      <c r="P107" s="73">
        <f t="shared" si="104"/>
        <v>0</v>
      </c>
      <c r="Q107" s="40">
        <f t="shared" si="105"/>
        <v>1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106"/>
        <v>#VALUE!</v>
      </c>
      <c r="V107" s="54" t="e">
        <f t="shared" si="107"/>
        <v>#VALUE!</v>
      </c>
      <c r="W107" s="55">
        <f t="shared" si="108"/>
        <v>0</v>
      </c>
      <c r="X107" s="55">
        <f t="shared" si="109"/>
        <v>0</v>
      </c>
      <c r="Y107" s="56" t="e">
        <f t="shared" si="110"/>
        <v>#VALUE!</v>
      </c>
    </row>
    <row r="108" spans="1:25" x14ac:dyDescent="0.35">
      <c r="A108" s="78"/>
      <c r="B108" s="47">
        <v>104</v>
      </c>
      <c r="C108" s="128" t="s">
        <v>171</v>
      </c>
      <c r="D108" s="50"/>
      <c r="E108" s="50"/>
      <c r="F108" s="50"/>
      <c r="G108" s="50">
        <v>40</v>
      </c>
      <c r="H108" s="50"/>
      <c r="I108" s="129">
        <v>40</v>
      </c>
      <c r="J108" s="50"/>
      <c r="K108" s="50">
        <v>20</v>
      </c>
      <c r="L108" s="50"/>
      <c r="M108" s="129">
        <f t="shared" si="103"/>
        <v>2.5</v>
      </c>
      <c r="N108" s="39">
        <f t="shared" si="18"/>
        <v>0</v>
      </c>
      <c r="O108" s="49">
        <f t="shared" si="1"/>
        <v>62.470500000000001</v>
      </c>
      <c r="P108" s="73">
        <f t="shared" si="104"/>
        <v>4</v>
      </c>
      <c r="Q108" s="40">
        <f t="shared" si="105"/>
        <v>1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106"/>
        <v>#VALUE!</v>
      </c>
      <c r="V108" s="54" t="e">
        <f t="shared" si="107"/>
        <v>#VALUE!</v>
      </c>
      <c r="W108" s="55">
        <f t="shared" si="108"/>
        <v>0</v>
      </c>
      <c r="X108" s="55">
        <f t="shared" si="109"/>
        <v>0</v>
      </c>
      <c r="Y108" s="56" t="e">
        <f t="shared" si="110"/>
        <v>#VALUE!</v>
      </c>
    </row>
    <row r="109" spans="1:25" x14ac:dyDescent="0.35">
      <c r="A109" s="78"/>
      <c r="B109" s="47">
        <v>105</v>
      </c>
      <c r="C109" s="128" t="s">
        <v>172</v>
      </c>
      <c r="D109" s="50"/>
      <c r="E109" s="50"/>
      <c r="F109" s="50"/>
      <c r="G109" s="50"/>
      <c r="H109" s="50"/>
      <c r="I109" s="129">
        <v>40</v>
      </c>
      <c r="J109" s="50"/>
      <c r="K109" s="50"/>
      <c r="L109" s="50"/>
      <c r="M109" s="129">
        <f t="shared" si="103"/>
        <v>1</v>
      </c>
      <c r="N109" s="39">
        <f t="shared" si="18"/>
        <v>0</v>
      </c>
      <c r="O109" s="49">
        <f t="shared" si="1"/>
        <v>62.470500000000001</v>
      </c>
      <c r="P109" s="73">
        <f t="shared" si="104"/>
        <v>2</v>
      </c>
      <c r="Q109" s="40">
        <f t="shared" si="105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106"/>
        <v>#VALUE!</v>
      </c>
      <c r="V109" s="54" t="e">
        <f t="shared" si="107"/>
        <v>#VALUE!</v>
      </c>
      <c r="W109" s="55">
        <f t="shared" si="108"/>
        <v>0</v>
      </c>
      <c r="X109" s="55">
        <f t="shared" si="109"/>
        <v>0</v>
      </c>
      <c r="Y109" s="56" t="e">
        <f t="shared" si="110"/>
        <v>#VALUE!</v>
      </c>
    </row>
    <row r="110" spans="1:25" x14ac:dyDescent="0.35">
      <c r="A110" s="78"/>
      <c r="B110" s="47">
        <v>106</v>
      </c>
      <c r="C110" s="128" t="s">
        <v>173</v>
      </c>
      <c r="D110" s="50"/>
      <c r="E110" s="50"/>
      <c r="F110" s="50"/>
      <c r="G110" s="50"/>
      <c r="H110" s="50"/>
      <c r="I110" s="129">
        <v>40</v>
      </c>
      <c r="J110" s="50"/>
      <c r="K110" s="50"/>
      <c r="L110" s="50"/>
      <c r="M110" s="129">
        <f t="shared" si="103"/>
        <v>1</v>
      </c>
      <c r="N110" s="39">
        <f t="shared" si="18"/>
        <v>0</v>
      </c>
      <c r="O110" s="49">
        <f t="shared" si="1"/>
        <v>62.470500000000001</v>
      </c>
      <c r="P110" s="73">
        <f t="shared" si="104"/>
        <v>2</v>
      </c>
      <c r="Q110" s="40">
        <f t="shared" si="105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106"/>
        <v>#VALUE!</v>
      </c>
      <c r="V110" s="54" t="e">
        <f t="shared" si="107"/>
        <v>#VALUE!</v>
      </c>
      <c r="W110" s="55">
        <f t="shared" si="108"/>
        <v>0</v>
      </c>
      <c r="X110" s="55">
        <f t="shared" si="109"/>
        <v>0</v>
      </c>
      <c r="Y110" s="56" t="e">
        <f t="shared" si="110"/>
        <v>#VALUE!</v>
      </c>
    </row>
    <row r="111" spans="1:25" x14ac:dyDescent="0.35">
      <c r="A111" s="78"/>
      <c r="B111" s="47">
        <v>107</v>
      </c>
      <c r="C111" s="128" t="s">
        <v>174</v>
      </c>
      <c r="D111" s="50"/>
      <c r="E111" s="50"/>
      <c r="F111" s="50"/>
      <c r="G111" s="50">
        <v>30</v>
      </c>
      <c r="H111" s="50">
        <v>40</v>
      </c>
      <c r="I111" s="129"/>
      <c r="J111" s="50"/>
      <c r="K111" s="50"/>
      <c r="L111" s="50"/>
      <c r="M111" s="129">
        <f t="shared" si="103"/>
        <v>1.75</v>
      </c>
      <c r="N111" s="39">
        <f t="shared" si="18"/>
        <v>0</v>
      </c>
      <c r="O111" s="49">
        <f t="shared" si="1"/>
        <v>62.470500000000001</v>
      </c>
      <c r="P111" s="73">
        <f t="shared" si="104"/>
        <v>3.5</v>
      </c>
      <c r="Q111" s="40">
        <f t="shared" si="105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106"/>
        <v>#VALUE!</v>
      </c>
      <c r="V111" s="54" t="e">
        <f t="shared" si="107"/>
        <v>#VALUE!</v>
      </c>
      <c r="W111" s="55">
        <f t="shared" si="108"/>
        <v>0</v>
      </c>
      <c r="X111" s="55">
        <f t="shared" si="109"/>
        <v>0</v>
      </c>
      <c r="Y111" s="56" t="e">
        <f t="shared" si="110"/>
        <v>#VALUE!</v>
      </c>
    </row>
    <row r="112" spans="1:25" x14ac:dyDescent="0.35">
      <c r="A112" s="78"/>
      <c r="B112" s="47">
        <v>108</v>
      </c>
      <c r="C112" s="128" t="s">
        <v>175</v>
      </c>
      <c r="D112" s="50"/>
      <c r="E112" s="50"/>
      <c r="F112" s="50"/>
      <c r="G112" s="50">
        <v>40</v>
      </c>
      <c r="H112" s="50"/>
      <c r="I112" s="129"/>
      <c r="J112" s="50"/>
      <c r="K112" s="50"/>
      <c r="L112" s="50"/>
      <c r="M112" s="129">
        <f t="shared" si="103"/>
        <v>1</v>
      </c>
      <c r="N112" s="39">
        <f t="shared" si="18"/>
        <v>0</v>
      </c>
      <c r="O112" s="49">
        <f t="shared" si="1"/>
        <v>62.470500000000001</v>
      </c>
      <c r="P112" s="73">
        <f t="shared" si="104"/>
        <v>2</v>
      </c>
      <c r="Q112" s="40">
        <f t="shared" si="105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106"/>
        <v>#VALUE!</v>
      </c>
      <c r="V112" s="54" t="e">
        <f t="shared" si="107"/>
        <v>#VALUE!</v>
      </c>
      <c r="W112" s="55">
        <f t="shared" si="108"/>
        <v>0</v>
      </c>
      <c r="X112" s="55">
        <f t="shared" si="109"/>
        <v>0</v>
      </c>
      <c r="Y112" s="56" t="e">
        <f t="shared" si="110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103"/>
        <v>0</v>
      </c>
      <c r="N113" s="39">
        <f t="shared" si="18"/>
        <v>0</v>
      </c>
      <c r="O113" s="49">
        <f t="shared" si="1"/>
        <v>62.470500000000001</v>
      </c>
      <c r="P113" s="73">
        <f t="shared" si="104"/>
        <v>0</v>
      </c>
      <c r="Q113" s="40">
        <f t="shared" si="105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106"/>
        <v>#VALUE!</v>
      </c>
      <c r="V113" s="54" t="e">
        <f t="shared" si="107"/>
        <v>#VALUE!</v>
      </c>
      <c r="W113" s="55">
        <f t="shared" si="108"/>
        <v>0</v>
      </c>
      <c r="X113" s="55">
        <f t="shared" si="109"/>
        <v>0</v>
      </c>
      <c r="Y113" s="56" t="e">
        <f t="shared" si="110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103"/>
        <v>0</v>
      </c>
      <c r="N114" s="39">
        <f t="shared" si="18"/>
        <v>0</v>
      </c>
      <c r="O114" s="49">
        <f t="shared" si="1"/>
        <v>62.470500000000001</v>
      </c>
      <c r="P114" s="73">
        <f t="shared" si="104"/>
        <v>0</v>
      </c>
      <c r="Q114" s="40">
        <f t="shared" si="105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106"/>
        <v>#VALUE!</v>
      </c>
      <c r="V114" s="54" t="e">
        <f t="shared" si="107"/>
        <v>#VALUE!</v>
      </c>
      <c r="W114" s="55">
        <f t="shared" si="108"/>
        <v>0</v>
      </c>
      <c r="X114" s="55">
        <f t="shared" si="109"/>
        <v>0</v>
      </c>
      <c r="Y114" s="56" t="e">
        <f t="shared" si="110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103"/>
        <v>0</v>
      </c>
      <c r="N115" s="39">
        <f t="shared" si="18"/>
        <v>0</v>
      </c>
      <c r="O115" s="49">
        <f t="shared" si="1"/>
        <v>62.470500000000001</v>
      </c>
      <c r="P115" s="73">
        <f t="shared" si="104"/>
        <v>0</v>
      </c>
      <c r="Q115" s="40">
        <f t="shared" si="105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106"/>
        <v>#VALUE!</v>
      </c>
      <c r="V115" s="54" t="e">
        <f t="shared" si="107"/>
        <v>#VALUE!</v>
      </c>
      <c r="W115" s="55">
        <f t="shared" si="108"/>
        <v>0</v>
      </c>
      <c r="X115" s="55">
        <f t="shared" si="109"/>
        <v>0</v>
      </c>
      <c r="Y115" s="56" t="e">
        <f t="shared" si="110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103"/>
        <v>0</v>
      </c>
      <c r="N116" s="39">
        <f t="shared" si="18"/>
        <v>0</v>
      </c>
      <c r="O116" s="49">
        <f t="shared" si="1"/>
        <v>62.470500000000001</v>
      </c>
      <c r="P116" s="73">
        <f t="shared" si="104"/>
        <v>0</v>
      </c>
      <c r="Q116" s="40">
        <f t="shared" si="105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106"/>
        <v>#VALUE!</v>
      </c>
      <c r="V116" s="54" t="e">
        <f t="shared" si="107"/>
        <v>#VALUE!</v>
      </c>
      <c r="W116" s="55">
        <f t="shared" si="108"/>
        <v>0</v>
      </c>
      <c r="X116" s="55">
        <f t="shared" si="109"/>
        <v>0</v>
      </c>
      <c r="Y116" s="56" t="e">
        <f t="shared" si="110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103"/>
        <v>0</v>
      </c>
      <c r="N117" s="39">
        <f t="shared" si="18"/>
        <v>0</v>
      </c>
      <c r="O117" s="49">
        <f t="shared" si="1"/>
        <v>62.470500000000001</v>
      </c>
      <c r="P117" s="73">
        <f t="shared" si="104"/>
        <v>0</v>
      </c>
      <c r="Q117" s="40">
        <f t="shared" si="105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106"/>
        <v>#VALUE!</v>
      </c>
      <c r="V117" s="54" t="e">
        <f t="shared" si="107"/>
        <v>#VALUE!</v>
      </c>
      <c r="W117" s="55">
        <f t="shared" si="108"/>
        <v>0</v>
      </c>
      <c r="X117" s="55">
        <f t="shared" si="109"/>
        <v>0</v>
      </c>
      <c r="Y117" s="56" t="e">
        <f t="shared" si="110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103"/>
        <v>0</v>
      </c>
      <c r="N118" s="39">
        <f t="shared" si="18"/>
        <v>0</v>
      </c>
      <c r="O118" s="49">
        <f t="shared" si="1"/>
        <v>62.470500000000001</v>
      </c>
      <c r="P118" s="73">
        <f t="shared" si="104"/>
        <v>0</v>
      </c>
      <c r="Q118" s="40">
        <f t="shared" si="105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106"/>
        <v>#VALUE!</v>
      </c>
      <c r="V118" s="54" t="e">
        <f t="shared" si="107"/>
        <v>#VALUE!</v>
      </c>
      <c r="W118" s="55">
        <f t="shared" si="108"/>
        <v>0</v>
      </c>
      <c r="X118" s="55">
        <f t="shared" si="109"/>
        <v>0</v>
      </c>
      <c r="Y118" s="56" t="e">
        <f t="shared" si="110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103"/>
        <v>0</v>
      </c>
      <c r="N119" s="39">
        <f t="shared" si="18"/>
        <v>0</v>
      </c>
      <c r="O119" s="49">
        <f t="shared" si="1"/>
        <v>62.470500000000001</v>
      </c>
      <c r="P119" s="73">
        <f t="shared" si="104"/>
        <v>0</v>
      </c>
      <c r="Q119" s="40">
        <f t="shared" si="105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06"/>
        <v>#VALUE!</v>
      </c>
      <c r="V119" s="54" t="e">
        <f t="shared" si="107"/>
        <v>#VALUE!</v>
      </c>
      <c r="W119" s="55">
        <f t="shared" si="108"/>
        <v>0</v>
      </c>
      <c r="X119" s="55">
        <f t="shared" si="109"/>
        <v>0</v>
      </c>
      <c r="Y119" s="56" t="e">
        <f t="shared" si="110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103"/>
        <v>0</v>
      </c>
      <c r="N120" s="39">
        <f t="shared" si="18"/>
        <v>0</v>
      </c>
      <c r="O120" s="49">
        <f t="shared" si="1"/>
        <v>62.470500000000001</v>
      </c>
      <c r="P120" s="73">
        <f t="shared" si="104"/>
        <v>0</v>
      </c>
      <c r="Q120" s="40">
        <f t="shared" si="105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106"/>
        <v>#VALUE!</v>
      </c>
      <c r="V120" s="54" t="e">
        <f t="shared" si="107"/>
        <v>#VALUE!</v>
      </c>
      <c r="W120" s="55">
        <f t="shared" si="108"/>
        <v>0</v>
      </c>
      <c r="X120" s="55">
        <f t="shared" si="109"/>
        <v>0</v>
      </c>
      <c r="Y120" s="56" t="e">
        <f t="shared" si="110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103"/>
        <v>0</v>
      </c>
      <c r="N121" s="39">
        <f t="shared" si="18"/>
        <v>0</v>
      </c>
      <c r="O121" s="49">
        <f t="shared" si="1"/>
        <v>62.470500000000001</v>
      </c>
      <c r="P121" s="73">
        <f t="shared" si="104"/>
        <v>0</v>
      </c>
      <c r="Q121" s="40">
        <f t="shared" si="105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06"/>
        <v>#VALUE!</v>
      </c>
      <c r="V121" s="54" t="e">
        <f t="shared" si="107"/>
        <v>#VALUE!</v>
      </c>
      <c r="W121" s="55">
        <f t="shared" si="108"/>
        <v>0</v>
      </c>
      <c r="X121" s="55">
        <f t="shared" si="109"/>
        <v>0</v>
      </c>
      <c r="Y121" s="56" t="e">
        <f t="shared" si="110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103"/>
        <v>0</v>
      </c>
      <c r="N122" s="39">
        <f t="shared" si="18"/>
        <v>0</v>
      </c>
      <c r="O122" s="49">
        <f t="shared" si="1"/>
        <v>62.470500000000001</v>
      </c>
      <c r="P122" s="73">
        <f t="shared" si="104"/>
        <v>0</v>
      </c>
      <c r="Q122" s="40">
        <f t="shared" si="105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06"/>
        <v>#VALUE!</v>
      </c>
      <c r="V122" s="54" t="e">
        <f t="shared" si="107"/>
        <v>#VALUE!</v>
      </c>
      <c r="W122" s="55">
        <f t="shared" si="108"/>
        <v>0</v>
      </c>
      <c r="X122" s="55">
        <f t="shared" si="109"/>
        <v>0</v>
      </c>
      <c r="Y122" s="56" t="e">
        <f t="shared" si="110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103"/>
        <v>0</v>
      </c>
      <c r="N123" s="39">
        <f t="shared" si="18"/>
        <v>0</v>
      </c>
      <c r="O123" s="49">
        <f t="shared" si="1"/>
        <v>62.470500000000001</v>
      </c>
      <c r="P123" s="73">
        <f t="shared" si="104"/>
        <v>0</v>
      </c>
      <c r="Q123" s="40">
        <f t="shared" si="105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06"/>
        <v>#VALUE!</v>
      </c>
      <c r="V123" s="54" t="e">
        <f t="shared" si="107"/>
        <v>#VALUE!</v>
      </c>
      <c r="W123" s="55">
        <f t="shared" si="108"/>
        <v>0</v>
      </c>
      <c r="X123" s="55">
        <f t="shared" si="109"/>
        <v>0</v>
      </c>
      <c r="Y123" s="56" t="e">
        <f t="shared" si="110"/>
        <v>#VALUE!</v>
      </c>
    </row>
    <row r="124" spans="1:25" x14ac:dyDescent="0.35">
      <c r="A124" s="78"/>
      <c r="B124" s="47">
        <v>120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103"/>
        <v>0</v>
      </c>
      <c r="N124" s="39">
        <f t="shared" si="18"/>
        <v>0</v>
      </c>
      <c r="O124" s="49">
        <f t="shared" si="1"/>
        <v>62.470500000000001</v>
      </c>
      <c r="P124" s="73">
        <f t="shared" si="104"/>
        <v>0</v>
      </c>
      <c r="Q124" s="40">
        <f t="shared" si="105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106"/>
        <v>#VALUE!</v>
      </c>
      <c r="V124" s="54" t="e">
        <f t="shared" si="107"/>
        <v>#VALUE!</v>
      </c>
      <c r="W124" s="55">
        <f t="shared" si="108"/>
        <v>0</v>
      </c>
      <c r="X124" s="55">
        <f t="shared" si="109"/>
        <v>0</v>
      </c>
      <c r="Y124" s="56" t="e">
        <f t="shared" si="110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103"/>
        <v>0</v>
      </c>
      <c r="N125" s="39">
        <f t="shared" si="18"/>
        <v>0</v>
      </c>
      <c r="O125" s="49">
        <f t="shared" si="1"/>
        <v>62.470500000000001</v>
      </c>
      <c r="P125" s="73">
        <f t="shared" si="104"/>
        <v>0</v>
      </c>
      <c r="Q125" s="40">
        <f t="shared" si="105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106"/>
        <v>#VALUE!</v>
      </c>
      <c r="V125" s="54" t="e">
        <f t="shared" si="107"/>
        <v>#VALUE!</v>
      </c>
      <c r="W125" s="55">
        <f t="shared" si="108"/>
        <v>0</v>
      </c>
      <c r="X125" s="55">
        <f t="shared" si="109"/>
        <v>0</v>
      </c>
      <c r="Y125" s="56" t="e">
        <f t="shared" si="110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103"/>
        <v>0</v>
      </c>
      <c r="N126" s="39">
        <f t="shared" si="18"/>
        <v>0</v>
      </c>
      <c r="O126" s="49">
        <f t="shared" si="1"/>
        <v>62.470500000000001</v>
      </c>
      <c r="P126" s="73">
        <f t="shared" si="104"/>
        <v>0</v>
      </c>
      <c r="Q126" s="40">
        <f t="shared" si="105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106"/>
        <v>#VALUE!</v>
      </c>
      <c r="V126" s="54" t="e">
        <f t="shared" si="107"/>
        <v>#VALUE!</v>
      </c>
      <c r="W126" s="55">
        <f t="shared" si="108"/>
        <v>0</v>
      </c>
      <c r="X126" s="55">
        <f t="shared" si="109"/>
        <v>0</v>
      </c>
      <c r="Y126" s="56" t="e">
        <f t="shared" si="110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103"/>
        <v>0</v>
      </c>
      <c r="N127" s="39">
        <f t="shared" si="18"/>
        <v>0</v>
      </c>
      <c r="O127" s="49">
        <f t="shared" si="1"/>
        <v>62.470500000000001</v>
      </c>
      <c r="P127" s="73">
        <f t="shared" si="104"/>
        <v>0</v>
      </c>
      <c r="Q127" s="40">
        <f t="shared" si="105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106"/>
        <v>#VALUE!</v>
      </c>
      <c r="V127" s="54" t="e">
        <f t="shared" si="107"/>
        <v>#VALUE!</v>
      </c>
      <c r="W127" s="55">
        <f t="shared" si="108"/>
        <v>0</v>
      </c>
      <c r="X127" s="55">
        <f t="shared" si="109"/>
        <v>0</v>
      </c>
      <c r="Y127" s="56" t="e">
        <f t="shared" si="110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103"/>
        <v>0</v>
      </c>
      <c r="N128" s="39">
        <f t="shared" si="18"/>
        <v>0</v>
      </c>
      <c r="O128" s="49">
        <f t="shared" si="1"/>
        <v>62.470500000000001</v>
      </c>
      <c r="P128" s="73">
        <f t="shared" si="104"/>
        <v>0</v>
      </c>
      <c r="Q128" s="40">
        <f t="shared" si="105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106"/>
        <v>#VALUE!</v>
      </c>
      <c r="V128" s="54" t="e">
        <f t="shared" si="107"/>
        <v>#VALUE!</v>
      </c>
      <c r="W128" s="55">
        <f t="shared" si="108"/>
        <v>0</v>
      </c>
      <c r="X128" s="55">
        <f t="shared" si="109"/>
        <v>0</v>
      </c>
      <c r="Y128" s="56" t="e">
        <f t="shared" si="110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103"/>
        <v>0</v>
      </c>
      <c r="N129" s="39">
        <f t="shared" si="18"/>
        <v>0</v>
      </c>
      <c r="O129" s="49">
        <f t="shared" si="1"/>
        <v>62.470500000000001</v>
      </c>
      <c r="P129" s="73">
        <f t="shared" si="104"/>
        <v>0</v>
      </c>
      <c r="Q129" s="40">
        <f t="shared" si="105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106"/>
        <v>#VALUE!</v>
      </c>
      <c r="V129" s="54" t="e">
        <f t="shared" si="107"/>
        <v>#VALUE!</v>
      </c>
      <c r="W129" s="55">
        <f t="shared" si="108"/>
        <v>0</v>
      </c>
      <c r="X129" s="55">
        <f t="shared" si="109"/>
        <v>0</v>
      </c>
      <c r="Y129" s="56" t="e">
        <f t="shared" si="110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103"/>
        <v>0</v>
      </c>
      <c r="N130" s="39">
        <f t="shared" si="18"/>
        <v>0</v>
      </c>
      <c r="O130" s="49">
        <f t="shared" si="1"/>
        <v>62.470500000000001</v>
      </c>
      <c r="P130" s="73">
        <f t="shared" si="104"/>
        <v>0</v>
      </c>
      <c r="Q130" s="40">
        <f t="shared" si="105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106"/>
        <v>#VALUE!</v>
      </c>
      <c r="V130" s="54" t="e">
        <f t="shared" si="107"/>
        <v>#VALUE!</v>
      </c>
      <c r="W130" s="55">
        <f t="shared" si="108"/>
        <v>0</v>
      </c>
      <c r="X130" s="55">
        <f t="shared" si="109"/>
        <v>0</v>
      </c>
      <c r="Y130" s="56" t="e">
        <f t="shared" si="110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103"/>
        <v>0</v>
      </c>
      <c r="N131" s="39">
        <f t="shared" si="18"/>
        <v>0</v>
      </c>
      <c r="O131" s="49">
        <f t="shared" si="1"/>
        <v>62.470500000000001</v>
      </c>
      <c r="P131" s="73">
        <f t="shared" si="104"/>
        <v>0</v>
      </c>
      <c r="Q131" s="40">
        <f t="shared" si="105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106"/>
        <v>#VALUE!</v>
      </c>
      <c r="V131" s="54" t="e">
        <f t="shared" si="107"/>
        <v>#VALUE!</v>
      </c>
      <c r="W131" s="55">
        <f t="shared" si="108"/>
        <v>0</v>
      </c>
      <c r="X131" s="55">
        <f t="shared" si="109"/>
        <v>0</v>
      </c>
      <c r="Y131" s="56" t="e">
        <f t="shared" si="110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103"/>
        <v>0</v>
      </c>
      <c r="N132" s="39">
        <f t="shared" si="18"/>
        <v>0</v>
      </c>
      <c r="O132" s="49">
        <f t="shared" si="1"/>
        <v>62.470500000000001</v>
      </c>
      <c r="P132" s="73">
        <f t="shared" si="104"/>
        <v>0</v>
      </c>
      <c r="Q132" s="40">
        <f t="shared" si="105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06"/>
        <v>#VALUE!</v>
      </c>
      <c r="V132" s="54" t="e">
        <f t="shared" si="107"/>
        <v>#VALUE!</v>
      </c>
      <c r="W132" s="55">
        <f t="shared" si="108"/>
        <v>0</v>
      </c>
      <c r="X132" s="55">
        <f t="shared" si="109"/>
        <v>0</v>
      </c>
      <c r="Y132" s="56" t="e">
        <f t="shared" si="110"/>
        <v>#VALUE!</v>
      </c>
    </row>
    <row r="133" spans="1:25" x14ac:dyDescent="0.35">
      <c r="A133" s="78"/>
      <c r="B133" s="186" t="s">
        <v>11</v>
      </c>
      <c r="C133" s="187"/>
      <c r="D133" s="84">
        <f t="shared" ref="D133:L133" si="111">SUM(D6:D61)</f>
        <v>6363</v>
      </c>
      <c r="E133" s="84">
        <f t="shared" si="111"/>
        <v>0</v>
      </c>
      <c r="F133" s="84">
        <f t="shared" si="111"/>
        <v>0</v>
      </c>
      <c r="G133" s="84">
        <f t="shared" si="111"/>
        <v>6784</v>
      </c>
      <c r="H133" s="84">
        <f t="shared" si="111"/>
        <v>6899</v>
      </c>
      <c r="I133" s="84">
        <f t="shared" si="111"/>
        <v>11033</v>
      </c>
      <c r="J133" s="84">
        <f t="shared" si="111"/>
        <v>12527</v>
      </c>
      <c r="K133" s="84">
        <f t="shared" si="111"/>
        <v>11721</v>
      </c>
      <c r="L133" s="84">
        <f t="shared" si="111"/>
        <v>16908</v>
      </c>
      <c r="M133" s="48">
        <f t="shared" ref="M133:M136" si="112">SUM(D133:L133)/40</f>
        <v>1805.875</v>
      </c>
      <c r="N133" s="39">
        <f t="shared" si="18"/>
        <v>0</v>
      </c>
      <c r="O133" s="49">
        <f t="shared" si="1"/>
        <v>62.470500000000001</v>
      </c>
      <c r="P133" s="73">
        <f t="shared" ref="P133:P137" si="113">SUM(G133:I133)/20</f>
        <v>1235.8</v>
      </c>
      <c r="Q133" s="40">
        <f t="shared" ref="Q133:Q137" si="114">SUM(J133:L133)/20</f>
        <v>2057.8000000000002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15">SUM(D133:F133)*$V$3</f>
        <v>#VALUE!</v>
      </c>
      <c r="W133" s="55">
        <f t="shared" ref="W133:W137" si="116">SUM(G133:I133)*$W$3</f>
        <v>0</v>
      </c>
      <c r="X133" s="55">
        <f t="shared" ref="X133:X137" si="117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12"/>
        <v>0</v>
      </c>
      <c r="N135" s="39">
        <f t="shared" si="18"/>
        <v>0</v>
      </c>
      <c r="O135" s="49">
        <f t="shared" si="1"/>
        <v>62.470500000000001</v>
      </c>
      <c r="P135" s="73">
        <f t="shared" si="113"/>
        <v>0</v>
      </c>
      <c r="Q135" s="40">
        <f t="shared" si="114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15"/>
        <v>#VALUE!</v>
      </c>
      <c r="W135" s="55">
        <f t="shared" si="116"/>
        <v>0</v>
      </c>
      <c r="X135" s="55">
        <f t="shared" si="117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12"/>
        <v>0</v>
      </c>
      <c r="N136" s="39">
        <f t="shared" si="18"/>
        <v>0</v>
      </c>
      <c r="O136" s="49">
        <f t="shared" si="1"/>
        <v>62.470500000000001</v>
      </c>
      <c r="P136" s="73">
        <f t="shared" si="113"/>
        <v>0</v>
      </c>
      <c r="Q136" s="40">
        <f t="shared" si="114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15"/>
        <v>#VALUE!</v>
      </c>
      <c r="W136" s="55">
        <f t="shared" si="116"/>
        <v>0</v>
      </c>
      <c r="X136" s="55">
        <f t="shared" si="117"/>
        <v>0</v>
      </c>
      <c r="Y136" s="56" t="e">
        <f t="shared" si="20"/>
        <v>#VALUE!</v>
      </c>
    </row>
    <row r="137" spans="1:25" ht="15" thickBot="1" x14ac:dyDescent="0.4">
      <c r="B137" s="174" t="s">
        <v>70</v>
      </c>
      <c r="C137" s="175"/>
      <c r="D137" s="83">
        <f>SUM(D135:D136)</f>
        <v>0</v>
      </c>
      <c r="E137" s="83">
        <f t="shared" ref="E137:L137" si="118">SUM(E135:E136)</f>
        <v>0</v>
      </c>
      <c r="F137" s="83">
        <f t="shared" si="118"/>
        <v>0</v>
      </c>
      <c r="G137" s="83">
        <f t="shared" si="118"/>
        <v>0</v>
      </c>
      <c r="H137" s="83">
        <f t="shared" si="118"/>
        <v>0</v>
      </c>
      <c r="I137" s="83">
        <f t="shared" si="118"/>
        <v>0</v>
      </c>
      <c r="J137" s="83">
        <f t="shared" si="118"/>
        <v>0</v>
      </c>
      <c r="K137" s="83">
        <f t="shared" si="118"/>
        <v>0</v>
      </c>
      <c r="L137" s="83">
        <f t="shared" si="118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13"/>
        <v>0</v>
      </c>
      <c r="Q137" s="40">
        <f t="shared" si="114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15"/>
        <v>#VALUE!</v>
      </c>
      <c r="W137" s="55">
        <f t="shared" si="116"/>
        <v>0</v>
      </c>
      <c r="X137" s="55">
        <f t="shared" si="117"/>
        <v>0</v>
      </c>
      <c r="Y137" s="56" t="e">
        <f t="shared" si="20"/>
        <v>#VALUE!</v>
      </c>
    </row>
    <row r="138" spans="1:25" ht="15" thickBot="1" x14ac:dyDescent="0.4">
      <c r="B138" s="163" t="s">
        <v>11</v>
      </c>
      <c r="C138" s="164"/>
      <c r="D138" s="85">
        <f>SUM(D133,D137)</f>
        <v>6363</v>
      </c>
      <c r="E138" s="85">
        <f t="shared" ref="E138:L138" si="119">SUM(E133,E137)</f>
        <v>0</v>
      </c>
      <c r="F138" s="85">
        <f t="shared" si="119"/>
        <v>0</v>
      </c>
      <c r="G138" s="85">
        <f t="shared" si="119"/>
        <v>6784</v>
      </c>
      <c r="H138" s="85">
        <f t="shared" si="119"/>
        <v>6899</v>
      </c>
      <c r="I138" s="85">
        <f t="shared" si="119"/>
        <v>11033</v>
      </c>
      <c r="J138" s="85">
        <f t="shared" si="119"/>
        <v>12527</v>
      </c>
      <c r="K138" s="85">
        <f t="shared" si="119"/>
        <v>11721</v>
      </c>
      <c r="L138" s="85">
        <f t="shared" si="119"/>
        <v>16908</v>
      </c>
      <c r="M138" s="60">
        <f t="shared" si="0"/>
        <v>1805.875</v>
      </c>
      <c r="N138" s="63">
        <f>SUM(N5:N137)</f>
        <v>0</v>
      </c>
      <c r="O138" s="61">
        <f t="shared" ref="O138:Y138" si="120">SUM(O5:O137)</f>
        <v>8246.106000000018</v>
      </c>
      <c r="P138" s="62">
        <f t="shared" si="120"/>
        <v>3076.45</v>
      </c>
      <c r="Q138" s="64">
        <f t="shared" si="120"/>
        <v>5345.2999999999993</v>
      </c>
      <c r="R138" s="65" t="e">
        <f t="shared" si="120"/>
        <v>#VALUE!</v>
      </c>
      <c r="S138" s="66">
        <f t="shared" si="120"/>
        <v>0</v>
      </c>
      <c r="T138" s="66">
        <f t="shared" si="120"/>
        <v>0</v>
      </c>
      <c r="U138" s="67" t="e">
        <f t="shared" si="120"/>
        <v>#VALUE!</v>
      </c>
      <c r="V138" s="68" t="e">
        <f t="shared" si="120"/>
        <v>#VALUE!</v>
      </c>
      <c r="W138" s="69">
        <f t="shared" si="120"/>
        <v>0</v>
      </c>
      <c r="X138" s="69">
        <f t="shared" si="120"/>
        <v>0</v>
      </c>
      <c r="Y138" s="70" t="e">
        <f t="shared" si="120"/>
        <v>#VALUE!</v>
      </c>
    </row>
  </sheetData>
  <mergeCells count="11">
    <mergeCell ref="B1:F1"/>
    <mergeCell ref="B2:B4"/>
    <mergeCell ref="R3:U3"/>
    <mergeCell ref="V3:Y3"/>
    <mergeCell ref="B133:C133"/>
    <mergeCell ref="B138:C138"/>
    <mergeCell ref="M2:O2"/>
    <mergeCell ref="P2:Q2"/>
    <mergeCell ref="M3:O3"/>
    <mergeCell ref="A2:A4"/>
    <mergeCell ref="B137:C137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90" t="s">
        <v>117</v>
      </c>
      <c r="D3" s="191"/>
      <c r="E3" s="191"/>
      <c r="F3" s="191"/>
      <c r="G3" s="192"/>
      <c r="H3" s="194" t="s">
        <v>62</v>
      </c>
      <c r="I3" s="195"/>
      <c r="K3" s="196" t="s">
        <v>66</v>
      </c>
      <c r="L3" s="196"/>
      <c r="M3" s="196"/>
      <c r="N3" s="196"/>
      <c r="O3" s="196"/>
      <c r="P3" s="196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1089.5</v>
      </c>
      <c r="E5" s="79">
        <v>1726</v>
      </c>
      <c r="F5" s="79">
        <v>1100</v>
      </c>
      <c r="G5" s="102">
        <f>SUM(D5:F5)</f>
        <v>3915.5</v>
      </c>
      <c r="H5" s="95">
        <v>10000</v>
      </c>
      <c r="I5" s="96">
        <f>G5-H5</f>
        <v>-6084.5</v>
      </c>
      <c r="K5" s="1" t="s">
        <v>1</v>
      </c>
      <c r="L5" s="7">
        <v>70</v>
      </c>
      <c r="M5" s="5">
        <v>7924</v>
      </c>
      <c r="N5" s="6">
        <f t="shared" ref="N5:N11" si="0">M5/40</f>
        <v>198.1</v>
      </c>
      <c r="O5" s="81"/>
    </row>
    <row r="6" spans="3:26" ht="32" customHeight="1" thickBot="1" x14ac:dyDescent="0.6">
      <c r="C6" s="103" t="s">
        <v>50</v>
      </c>
      <c r="D6" s="104">
        <f>D5*40</f>
        <v>43580</v>
      </c>
      <c r="E6" s="104">
        <f t="shared" ref="E6:F6" si="1">E5*40</f>
        <v>69040</v>
      </c>
      <c r="F6" s="104">
        <f t="shared" si="1"/>
        <v>44000</v>
      </c>
      <c r="G6" s="105">
        <f>SUM(D6:F6)</f>
        <v>156620</v>
      </c>
      <c r="H6" s="97">
        <f>H5*40</f>
        <v>400000</v>
      </c>
      <c r="I6" s="98">
        <f>G6-H6</f>
        <v>-243380</v>
      </c>
      <c r="K6" s="1" t="s">
        <v>2</v>
      </c>
      <c r="L6" s="7">
        <v>70</v>
      </c>
      <c r="M6" s="5">
        <v>4534</v>
      </c>
      <c r="N6" s="6">
        <f t="shared" si="0"/>
        <v>113.35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>
        <v>7446</v>
      </c>
      <c r="N7" s="6">
        <f t="shared" si="0"/>
        <v>186.15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>
        <v>263</v>
      </c>
      <c r="N8" s="6">
        <f t="shared" si="0"/>
        <v>6.5750000000000002</v>
      </c>
      <c r="O8" s="81">
        <v>50</v>
      </c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-1089.5</v>
      </c>
      <c r="E9" s="106">
        <f>E8-E5</f>
        <v>-1726</v>
      </c>
      <c r="K9" s="1" t="s">
        <v>5</v>
      </c>
      <c r="L9" s="7">
        <v>120</v>
      </c>
      <c r="M9" s="5">
        <v>4655</v>
      </c>
      <c r="N9" s="6">
        <f t="shared" si="0"/>
        <v>116.375</v>
      </c>
      <c r="O9" s="81">
        <v>23</v>
      </c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17</v>
      </c>
      <c r="N10" s="6">
        <f t="shared" si="0"/>
        <v>0.42499999999999999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93" t="s">
        <v>59</v>
      </c>
      <c r="D11" s="193"/>
      <c r="F11" s="193" t="s">
        <v>68</v>
      </c>
      <c r="G11" s="193"/>
      <c r="K11" s="1" t="s">
        <v>7</v>
      </c>
      <c r="L11" s="7">
        <v>60</v>
      </c>
      <c r="M11" s="5">
        <v>23361</v>
      </c>
      <c r="N11" s="6">
        <f t="shared" si="0"/>
        <v>584.02499999999998</v>
      </c>
      <c r="O11" s="81">
        <v>125</v>
      </c>
      <c r="P11">
        <v>4</v>
      </c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8115.5</v>
      </c>
      <c r="K12" s="1" t="s">
        <v>11</v>
      </c>
      <c r="L12" s="2"/>
      <c r="M12" s="8">
        <f>SUM(M5:M11)</f>
        <v>48200</v>
      </c>
      <c r="N12" s="9">
        <f>SUM(N5:N11)</f>
        <v>1205</v>
      </c>
      <c r="O12" s="9">
        <f>SUM(O5:O11)</f>
        <v>198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324620</v>
      </c>
      <c r="S13" s="188" t="s">
        <v>85</v>
      </c>
      <c r="T13" s="188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-7924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-4534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-7446</v>
      </c>
    </row>
    <row r="20" spans="4:15" ht="24" thickBot="1" x14ac:dyDescent="0.6">
      <c r="D20" s="189" t="s">
        <v>66</v>
      </c>
      <c r="E20" s="189"/>
      <c r="F20" s="189"/>
      <c r="G20" s="189"/>
      <c r="H20" s="189"/>
      <c r="K20" s="1" t="s">
        <v>4</v>
      </c>
      <c r="L20" s="116">
        <v>120</v>
      </c>
      <c r="M20" s="5"/>
      <c r="N20" s="5"/>
      <c r="O20" s="122">
        <f t="shared" si="4"/>
        <v>-263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-4655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-17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-23361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-48200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-1205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2026-09-03T09:48:34Z</dcterms:modified>
</cp:coreProperties>
</file>