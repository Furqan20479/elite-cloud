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15766488-7FF7-492E-A89E-EF0EE2036AC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<sst xmlns="http://schemas.openxmlformats.org/spreadsheetml/2006/main" count="170" uniqueCount="115">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</sst>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54</v>
      </c>
      <c r="C19" s="124" t="s">
        <v>55</v>
      </c>
      <c r="D19" s="124"/>
      <c r="E19" s="124"/>
    </row>
    <row r="20" spans="2:5" x14ac:dyDescent="0.35">
      <c r="B20" s="125" t="s">
        <v>56</v>
      </c>
      <c r="C20" s="124"/>
      <c r="D20" s="124"/>
      <c r="E20" s="124"/>
    </row>
    <row r="21" spans="2:5" x14ac:dyDescent="0.35">
      <c r="B21" s="125" t="s">
        <v>57</v>
      </c>
      <c r="C21" s="124"/>
      <c r="D21" s="124"/>
      <c r="E21" s="124"/>
    </row>
    <row r="22" spans="2:5" x14ac:dyDescent="0.35">
      <c r="B22" s="125" t="s">
        <v>58</v>
      </c>
      <c r="C22" s="124"/>
      <c r="D22" s="124"/>
      <c r="E22" s="124"/>
    </row>
    <row r="23" spans="2:5" x14ac:dyDescent="0.35">
      <c r="B23" s="125" t="s">
        <v>65</v>
      </c>
      <c r="C23" s="124" t="s">
        <v>66</v>
      </c>
      <c r="D23" s="126">
        <v>3277876231301</v>
      </c>
      <c r="E23" s="124"/>
    </row>
    <row r="24" spans="2:5" x14ac:dyDescent="0.35">
      <c r="B24" s="125" t="s">
        <v>77</v>
      </c>
      <c r="C24" s="124" t="s">
        <v>78</v>
      </c>
      <c r="D24" s="124"/>
      <c r="E24" s="124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22" zoomScaleNormal="100" workbookViewId="0">
      <selection activeCell="G29" sqref="G29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7">
        <f ca="1">TODAY()</f>
        <v>46246</v>
      </c>
      <c r="C1" s="147"/>
      <c r="D1" s="147"/>
      <c r="E1" s="147"/>
      <c r="F1" s="14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4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4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51" t="s">
        <v>16</v>
      </c>
      <c r="S3" s="152"/>
      <c r="T3" s="152"/>
      <c r="U3" s="153"/>
      <c r="V3" s="154" t="s">
        <v>17</v>
      </c>
      <c r="W3" s="155"/>
      <c r="X3" s="155"/>
      <c r="Y3" s="156"/>
    </row>
    <row r="4" spans="1:25" ht="15" thickBot="1" x14ac:dyDescent="0.4">
      <c r="A4" s="169"/>
      <c r="B4" s="15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96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97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7" si="0">SUM(D6:L6)/40</f>
        <v>24</v>
      </c>
      <c r="N6" s="39">
        <f>SUMPRODUCT($D$4:$L$4,$D$6:$L$6)</f>
        <v>0</v>
      </c>
      <c r="O6" s="49">
        <f t="shared" ref="O6:O136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91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92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6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93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94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95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70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104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105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103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98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99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100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101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102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106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107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108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109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110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140">
        <v>46245</v>
      </c>
      <c r="B27" s="141">
        <v>23</v>
      </c>
      <c r="C27" s="142" t="s">
        <v>96</v>
      </c>
      <c r="D27" s="143"/>
      <c r="E27" s="144"/>
      <c r="F27" s="145"/>
      <c r="G27" s="146">
        <v>39</v>
      </c>
      <c r="H27" s="144">
        <v>80</v>
      </c>
      <c r="I27" s="56"/>
      <c r="J27" s="146">
        <v>40</v>
      </c>
      <c r="K27" s="144">
        <v>80</v>
      </c>
      <c r="L27" s="145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140">
        <v>46245</v>
      </c>
      <c r="B28" s="141">
        <v>24</v>
      </c>
      <c r="C28" s="142" t="s">
        <v>111</v>
      </c>
      <c r="D28" s="143"/>
      <c r="E28" s="144"/>
      <c r="F28" s="145"/>
      <c r="G28" s="146">
        <v>40</v>
      </c>
      <c r="H28" s="144">
        <v>40</v>
      </c>
      <c r="I28" s="56">
        <v>120</v>
      </c>
      <c r="J28" s="146">
        <v>120</v>
      </c>
      <c r="K28" s="144">
        <v>120</v>
      </c>
      <c r="L28" s="145">
        <v>120</v>
      </c>
      <c r="M28" s="48">
        <f t="shared" ref="M28:M60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0" si="53">SUM(G28:I28)/20</f>
        <v>10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140">
        <v>46246</v>
      </c>
      <c r="B29" s="47">
        <v>25</v>
      </c>
      <c r="C29" s="57" t="s">
        <v>54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140">
        <v>46246</v>
      </c>
      <c r="B30" s="47">
        <v>26</v>
      </c>
      <c r="C30" s="57" t="s">
        <v>112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140">
        <v>46246</v>
      </c>
      <c r="B31" s="47">
        <v>27</v>
      </c>
      <c r="C31" s="57" t="s">
        <v>113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140">
        <v>46246</v>
      </c>
      <c r="B32" s="47">
        <v>28</v>
      </c>
      <c r="C32" s="57" t="s">
        <v>33</v>
      </c>
      <c r="D32" s="74">
        <v>4000</v>
      </c>
      <c r="E32" s="75"/>
      <c r="F32" s="76"/>
      <c r="G32" s="50">
        <v>1600</v>
      </c>
      <c r="H32" s="75">
        <v>1600</v>
      </c>
      <c r="I32" s="49">
        <v>800</v>
      </c>
      <c r="J32" s="50">
        <v>4000</v>
      </c>
      <c r="K32" s="75">
        <v>3200</v>
      </c>
      <c r="L32" s="76">
        <v>2800</v>
      </c>
      <c r="M32" s="48">
        <f t="shared" si="52"/>
        <v>450</v>
      </c>
      <c r="N32" s="39">
        <f t="shared" si="18"/>
        <v>0</v>
      </c>
      <c r="O32" s="49">
        <f t="shared" si="1"/>
        <v>62.470500000000001</v>
      </c>
      <c r="P32" s="73">
        <f t="shared" si="53"/>
        <v>200</v>
      </c>
      <c r="Q32" s="40">
        <f t="shared" si="54"/>
        <v>500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140">
        <v>46246</v>
      </c>
      <c r="B33" s="47">
        <v>29</v>
      </c>
      <c r="C33" s="57" t="s">
        <v>114</v>
      </c>
      <c r="D33" s="74"/>
      <c r="E33" s="75"/>
      <c r="F33" s="76"/>
      <c r="G33" s="50"/>
      <c r="H33" s="75"/>
      <c r="I33" s="49">
        <v>200</v>
      </c>
      <c r="J33" s="50">
        <v>40</v>
      </c>
      <c r="K33" s="75">
        <v>40</v>
      </c>
      <c r="L33" s="76">
        <v>120</v>
      </c>
      <c r="M33" s="48">
        <f t="shared" si="52"/>
        <v>10</v>
      </c>
      <c r="N33" s="39">
        <f t="shared" si="18"/>
        <v>0</v>
      </c>
      <c r="O33" s="49">
        <f t="shared" si="1"/>
        <v>62.470500000000001</v>
      </c>
      <c r="P33" s="73">
        <f t="shared" si="53"/>
        <v>10</v>
      </c>
      <c r="Q33" s="40">
        <f t="shared" si="54"/>
        <v>10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140">
        <v>46246</v>
      </c>
      <c r="B34" s="47">
        <v>30</v>
      </c>
      <c r="C34" s="57" t="s">
        <v>92</v>
      </c>
      <c r="D34" s="74"/>
      <c r="E34" s="75"/>
      <c r="F34" s="76"/>
      <c r="G34" s="50">
        <v>200</v>
      </c>
      <c r="H34" s="75"/>
      <c r="I34" s="49">
        <v>160</v>
      </c>
      <c r="J34" s="50">
        <v>120</v>
      </c>
      <c r="K34" s="75"/>
      <c r="L34" s="76">
        <v>160</v>
      </c>
      <c r="M34" s="48">
        <f t="shared" ref="M34:M46" si="68">SUM(D34:L34)/40</f>
        <v>16</v>
      </c>
      <c r="N34" s="39">
        <f t="shared" si="18"/>
        <v>0</v>
      </c>
      <c r="O34" s="49">
        <f t="shared" si="1"/>
        <v>62.470500000000001</v>
      </c>
      <c r="P34" s="73">
        <f t="shared" ref="P34:P46" si="69">SUM(G34:I34)/20</f>
        <v>18</v>
      </c>
      <c r="Q34" s="40">
        <f t="shared" ref="Q34:Q46" si="70">SUM(J34:L34)/20</f>
        <v>14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140">
        <v>46246</v>
      </c>
      <c r="B35" s="47">
        <v>31</v>
      </c>
      <c r="C35" s="57" t="s">
        <v>104</v>
      </c>
      <c r="D35" s="74"/>
      <c r="E35" s="75"/>
      <c r="F35" s="76"/>
      <c r="G35" s="50">
        <v>120</v>
      </c>
      <c r="H35" s="75">
        <v>80</v>
      </c>
      <c r="I35" s="49">
        <v>40</v>
      </c>
      <c r="J35" s="50">
        <v>140</v>
      </c>
      <c r="K35" s="75">
        <v>120</v>
      </c>
      <c r="L35" s="76">
        <v>180</v>
      </c>
      <c r="M35" s="48">
        <f t="shared" si="68"/>
        <v>17</v>
      </c>
      <c r="N35" s="39">
        <f t="shared" si="18"/>
        <v>0</v>
      </c>
      <c r="O35" s="49">
        <f t="shared" si="1"/>
        <v>62.470500000000001</v>
      </c>
      <c r="P35" s="73">
        <f t="shared" si="69"/>
        <v>12</v>
      </c>
      <c r="Q35" s="40">
        <f t="shared" si="70"/>
        <v>22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62.470500000000001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62.470500000000001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62.470500000000001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62.470500000000001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62.470500000000001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7"/>
      <c r="J57" s="75"/>
      <c r="K57" s="75"/>
      <c r="L57" s="75"/>
      <c r="M57" s="129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52"/>
        <v>0</v>
      </c>
      <c r="N60" s="39">
        <f t="shared" si="18"/>
        <v>0</v>
      </c>
      <c r="O60" s="49">
        <f t="shared" si="1"/>
        <v>62.470500000000001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8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ref="M61:M83" si="81">SUM(D61:L61)/40</f>
        <v>0</v>
      </c>
      <c r="N61" s="39">
        <f t="shared" si="18"/>
        <v>0</v>
      </c>
      <c r="O61" s="49">
        <f t="shared" si="1"/>
        <v>62.470500000000001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si="81"/>
        <v>0</v>
      </c>
      <c r="N62" s="39">
        <f t="shared" si="18"/>
        <v>0</v>
      </c>
      <c r="O62" s="49">
        <f t="shared" si="1"/>
        <v>62.470500000000001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9"/>
      <c r="D74" s="75"/>
      <c r="E74" s="75"/>
      <c r="F74" s="50"/>
      <c r="G74" s="75"/>
      <c r="H74" s="75"/>
      <c r="I74" s="127"/>
      <c r="J74" s="75"/>
      <c r="K74" s="75"/>
      <c r="L74" s="75"/>
      <c r="M74" s="129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9"/>
      <c r="D75" s="75"/>
      <c r="E75" s="50"/>
      <c r="F75" s="50"/>
      <c r="G75" s="75"/>
      <c r="H75" s="75"/>
      <c r="I75" s="127"/>
      <c r="J75" s="75"/>
      <c r="K75" s="75"/>
      <c r="L75" s="75"/>
      <c r="M75" s="129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50"/>
      <c r="H77" s="50"/>
      <c r="I77" s="129"/>
      <c r="J77" s="50"/>
      <c r="K77" s="50"/>
      <c r="L77" s="50"/>
      <c r="M77" s="129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8"/>
      <c r="D79" s="50"/>
      <c r="E79" s="50"/>
      <c r="F79" s="50"/>
      <c r="G79" s="50"/>
      <c r="H79" s="50"/>
      <c r="I79" s="129"/>
      <c r="J79" s="50"/>
      <c r="K79" s="50"/>
      <c r="L79" s="50"/>
      <c r="M79" s="129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ref="M84:M131" si="96">SUM(D84:L84)/40</f>
        <v>0</v>
      </c>
      <c r="N84" s="39">
        <f t="shared" si="18"/>
        <v>0</v>
      </c>
      <c r="O84" s="49">
        <f t="shared" si="1"/>
        <v>62.470500000000001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si="96"/>
        <v>0</v>
      </c>
      <c r="N85" s="39">
        <f t="shared" si="18"/>
        <v>0</v>
      </c>
      <c r="O85" s="49">
        <f t="shared" si="1"/>
        <v>62.470500000000001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7"/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57" t="s">
        <v>11</v>
      </c>
      <c r="C132" s="158"/>
      <c r="D132" s="84">
        <f t="shared" ref="D132:L132" si="104">SUM(D6:D60)</f>
        <v>6043</v>
      </c>
      <c r="E132" s="84">
        <f t="shared" si="104"/>
        <v>0</v>
      </c>
      <c r="F132" s="84">
        <f t="shared" si="104"/>
        <v>0</v>
      </c>
      <c r="G132" s="84">
        <f t="shared" si="104"/>
        <v>4382</v>
      </c>
      <c r="H132" s="84">
        <f t="shared" si="104"/>
        <v>4527</v>
      </c>
      <c r="I132" s="84">
        <f t="shared" si="104"/>
        <v>6719</v>
      </c>
      <c r="J132" s="84">
        <f t="shared" si="104"/>
        <v>8221</v>
      </c>
      <c r="K132" s="84">
        <f t="shared" si="104"/>
        <v>7697</v>
      </c>
      <c r="L132" s="84">
        <f t="shared" si="104"/>
        <v>10039</v>
      </c>
      <c r="M132" s="48">
        <f t="shared" ref="M132:M135" si="105">SUM(D132:L132)/40</f>
        <v>1190.7</v>
      </c>
      <c r="N132" s="39">
        <f t="shared" si="18"/>
        <v>0</v>
      </c>
      <c r="O132" s="49">
        <f t="shared" si="1"/>
        <v>62.470500000000001</v>
      </c>
      <c r="P132" s="73">
        <f t="shared" ref="P132:P136" si="106">SUM(G132:I132)/20</f>
        <v>781.4</v>
      </c>
      <c r="Q132" s="40">
        <f t="shared" ref="Q132:Q136" si="107">SUM(J132:L132)/20</f>
        <v>1297.8499999999999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7">
        <v>0</v>
      </c>
      <c r="C133" s="57" t="s">
        <v>70</v>
      </c>
      <c r="D133" s="108"/>
      <c r="E133" s="109"/>
      <c r="F133" s="110"/>
      <c r="G133" s="109"/>
      <c r="H133" s="109"/>
      <c r="I133" s="110"/>
      <c r="J133" s="109"/>
      <c r="K133" s="109"/>
      <c r="L133" s="110"/>
      <c r="M133" s="111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62.470500000000001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0" t="s">
        <v>71</v>
      </c>
      <c r="C136" s="171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2">
        <f>SUM(M133:M135)</f>
        <v>0</v>
      </c>
      <c r="N136" s="59">
        <f t="shared" si="18"/>
        <v>0</v>
      </c>
      <c r="O136" s="58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9" t="s">
        <v>11</v>
      </c>
      <c r="C137" s="160"/>
      <c r="D137" s="85">
        <f>SUM(D132,D136)</f>
        <v>6043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4382</v>
      </c>
      <c r="H137" s="85">
        <f t="shared" si="112"/>
        <v>4527</v>
      </c>
      <c r="I137" s="85">
        <f t="shared" si="112"/>
        <v>6719</v>
      </c>
      <c r="J137" s="85">
        <f t="shared" si="112"/>
        <v>8221</v>
      </c>
      <c r="K137" s="85">
        <f t="shared" si="112"/>
        <v>7697</v>
      </c>
      <c r="L137" s="85">
        <f t="shared" si="112"/>
        <v>10039</v>
      </c>
      <c r="M137" s="60">
        <f t="shared" si="0"/>
        <v>1190.7</v>
      </c>
      <c r="N137" s="63">
        <f>SUM(N5:N136)</f>
        <v>0</v>
      </c>
      <c r="O137" s="61">
        <f t="shared" ref="O137:Y137" si="113">SUM(O5:O136)</f>
        <v>8183.6355000000185</v>
      </c>
      <c r="P137" s="62">
        <f t="shared" si="113"/>
        <v>1568.8</v>
      </c>
      <c r="Q137" s="64">
        <f t="shared" si="113"/>
        <v>2599.6999999999998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49</v>
      </c>
      <c r="D3" s="175"/>
      <c r="E3" s="175"/>
      <c r="F3" s="175"/>
      <c r="G3" s="176"/>
      <c r="H3" s="178" t="s">
        <v>63</v>
      </c>
      <c r="I3" s="179"/>
      <c r="K3" s="180" t="s">
        <v>67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8" t="s">
        <v>89</v>
      </c>
    </row>
    <row r="5" spans="3:26" ht="32" customHeight="1" x14ac:dyDescent="0.55000000000000004">
      <c r="C5" s="101" t="s">
        <v>50</v>
      </c>
      <c r="D5" s="88">
        <v>337</v>
      </c>
      <c r="E5" s="79">
        <v>567</v>
      </c>
      <c r="F5" s="79">
        <v>100</v>
      </c>
      <c r="G5" s="102">
        <f>SUM(D5:F5)</f>
        <v>1004</v>
      </c>
      <c r="H5" s="95">
        <v>10000</v>
      </c>
      <c r="I5" s="96">
        <f>G5-H5</f>
        <v>-8996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>
        <f>D5*40</f>
        <v>13480</v>
      </c>
      <c r="E6" s="104">
        <f t="shared" ref="E6:F6" si="1">E5*40</f>
        <v>22680</v>
      </c>
      <c r="F6" s="104">
        <f t="shared" si="1"/>
        <v>4000</v>
      </c>
      <c r="G6" s="105">
        <f>SUM(D6:F6)</f>
        <v>40160</v>
      </c>
      <c r="H6" s="97">
        <f>H5*40</f>
        <v>400000</v>
      </c>
      <c r="I6" s="98">
        <f>G6-H6</f>
        <v>-359840</v>
      </c>
      <c r="K6" s="1" t="s">
        <v>2</v>
      </c>
      <c r="L6" s="7">
        <v>70</v>
      </c>
      <c r="M6" s="5"/>
      <c r="N6" s="6">
        <f t="shared" si="0"/>
        <v>0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6" t="s">
        <v>88</v>
      </c>
      <c r="T7" s="136" t="s">
        <v>87</v>
      </c>
      <c r="U7" s="77" t="s">
        <v>81</v>
      </c>
      <c r="V7" s="136" t="s">
        <v>85</v>
      </c>
      <c r="W7" s="136" t="s">
        <v>84</v>
      </c>
      <c r="X7" s="136" t="s">
        <v>84</v>
      </c>
      <c r="Y7" s="136" t="s">
        <v>84</v>
      </c>
      <c r="Z7" s="136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6">
        <f>D8-D5</f>
        <v>-337</v>
      </c>
      <c r="E9" s="106">
        <f>E8-E5</f>
        <v>-567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60</v>
      </c>
      <c r="D11" s="177"/>
      <c r="F11" s="177" t="s">
        <v>69</v>
      </c>
      <c r="G11" s="177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5204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208160</v>
      </c>
      <c r="S13" s="172" t="s">
        <v>86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75</v>
      </c>
      <c r="L16" s="117" t="s">
        <v>8</v>
      </c>
      <c r="M16" s="117" t="s">
        <v>62</v>
      </c>
      <c r="N16" s="117" t="s">
        <v>74</v>
      </c>
      <c r="O16" s="117" t="s">
        <v>76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0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0</v>
      </c>
    </row>
    <row r="19" spans="4:15" ht="23.5" x14ac:dyDescent="0.55000000000000004">
      <c r="F19" t="s">
        <v>90</v>
      </c>
      <c r="K19" s="1" t="s">
        <v>3</v>
      </c>
      <c r="L19" s="116">
        <v>70</v>
      </c>
      <c r="M19" s="5"/>
      <c r="N19" s="5"/>
      <c r="O19" s="122">
        <f t="shared" ref="O19:O23" si="4">N19-M7</f>
        <v>0</v>
      </c>
    </row>
    <row r="20" spans="4:15" ht="24" thickBot="1" x14ac:dyDescent="0.6">
      <c r="D20" s="173" t="s">
        <v>67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6">
        <v>120</v>
      </c>
      <c r="M21" s="5"/>
      <c r="N21" s="5"/>
      <c r="O21" s="122">
        <f t="shared" si="4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72</v>
      </c>
      <c r="L24" s="119"/>
      <c r="M24" s="120">
        <f>SUM(M17:M23)</f>
        <v>0</v>
      </c>
      <c r="N24" s="120">
        <f>SUM(N17:N23)</f>
        <v>0</v>
      </c>
      <c r="O24" s="117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73</v>
      </c>
      <c r="L25" s="119"/>
      <c r="M25" s="120">
        <f>M24/40</f>
        <v>0</v>
      </c>
      <c r="N25" s="120">
        <f>N24/40</f>
        <v>0</v>
      </c>
      <c r="O25" s="117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2026-08-12T12:47:48Z</dcterms:modified>
</cp:coreProperties>
</file>