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527503B-1FEB-42A9-AF7D-250E82ADD9C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Z9" i="3" l="1"/>
  <c r="Z10" i="3"/>
  <c r="Z11" i="3"/>
  <c r="Z12" i="3"/>
  <c r="Z13" i="3"/>
  <c r="Z8" i="3"/>
  <c r="V13" i="3"/>
  <c r="W13" i="3"/>
  <c r="X13" i="3"/>
  <c r="Y13" i="3"/>
  <c r="U13" i="3"/>
  <c r="J30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<sst xmlns="http://schemas.openxmlformats.org/spreadsheetml/2006/main" count="139" uniqueCount="91">
  <si>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</si>
  <si>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</si>
  <si>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</si>
  <si>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</si>
  <si>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</si>
  <si>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</si>
  <si>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</si>
  <si>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</si>
  <si>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</si>
  <si>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</si>
  <si>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</si>
  <si>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</si>
  <si>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</si>
  <si>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</si>
  <si>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</si>
  <si>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</si>
  <si>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</si>
  <si>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</si>
  <si>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</si>
  <si>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</si>
  <si>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</si>
  <si>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</si>
  <si>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</si>
  <si>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</si>
  <si>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</si>
  <si>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</si>
  <si>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</si>
  <si>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</si>
  <si>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</si>
  <si>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</si>
  <si>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</si>
  <si>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</si>
  <si>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</si>
  <si>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</si>
  <si>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</si>
  <si>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</si>
  <si>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</si>
  <si>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</si>
  <si>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</si>
  <si>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</si>
  <si>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</si>
  <si>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</si>
  <si>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</si>
  <si>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</si>
  <si>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</si>
  <si>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</si>
  <si>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</si>
  <si>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</si>
  <si>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</si>
  <si>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Elite Secondary MTD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</si>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</sst>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2" fillId="0" borderId="44" xfId="0" applyFont="1" applyBorder="1" applyAlignment="1">
      <alignment horizont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30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0" fontId="5" fillId="0" borderId="33" xfId="0" applyFont="1" applyFill="1" applyBorder="1" applyAlignment="1">
      <alignment horizontal="center"/>
    </xf>
    <xf numFmtId="0" fontId="6" fillId="0" borderId="57" xfId="0" applyFont="1" applyFill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0" fontId="5" fillId="0" borderId="33" xfId="0" applyFont="1" applyFill="1" applyBorder="1"/>
    <xf numFmtId="0" fontId="6" fillId="0" borderId="30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61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4" t="s">
        <v>14</v>
      </c>
      <c r="F9" s="92" t="s">
        <v>62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5"/>
      <c r="F10">
        <v>10000</v>
      </c>
    </row>
    <row r="11" spans="2:6" x14ac:dyDescent="0.35">
      <c r="B11" s="79" t="s">
        <v>26</v>
      </c>
      <c r="C11" s="79"/>
      <c r="D11" s="79"/>
      <c r="E11" s="125"/>
    </row>
    <row r="12" spans="2:6" x14ac:dyDescent="0.35">
      <c r="B12" s="79" t="s">
        <v>39</v>
      </c>
      <c r="C12" s="79" t="s">
        <v>38</v>
      </c>
      <c r="D12" s="88">
        <v>300426949714</v>
      </c>
      <c r="E12" s="125"/>
    </row>
    <row r="13" spans="2:6" x14ac:dyDescent="0.35">
      <c r="B13" s="79" t="s">
        <v>27</v>
      </c>
      <c r="C13" s="79" t="s">
        <v>40</v>
      </c>
      <c r="D13" s="88">
        <v>3277876126916</v>
      </c>
      <c r="E13" s="125"/>
    </row>
    <row r="14" spans="2:6" x14ac:dyDescent="0.35">
      <c r="B14" s="79" t="s">
        <v>28</v>
      </c>
      <c r="C14" s="79" t="s">
        <v>43</v>
      </c>
      <c r="D14" s="88">
        <v>3520255124113</v>
      </c>
      <c r="E14" s="125"/>
    </row>
    <row r="15" spans="2:6" x14ac:dyDescent="0.35">
      <c r="B15" s="79" t="s">
        <v>29</v>
      </c>
      <c r="C15" s="79" t="s">
        <v>43</v>
      </c>
      <c r="D15" s="88">
        <v>3520255124113</v>
      </c>
      <c r="E15" s="125"/>
    </row>
    <row r="16" spans="2:6" x14ac:dyDescent="0.35">
      <c r="B16" s="79" t="s">
        <v>30</v>
      </c>
      <c r="C16" s="79" t="s">
        <v>41</v>
      </c>
      <c r="D16" s="88">
        <v>3520268948847</v>
      </c>
      <c r="E16" s="125"/>
    </row>
    <row r="17" spans="2:5" x14ac:dyDescent="0.35">
      <c r="B17" s="79" t="s">
        <v>31</v>
      </c>
      <c r="C17" s="79" t="s">
        <v>44</v>
      </c>
      <c r="D17" s="79"/>
      <c r="E17" s="125"/>
    </row>
    <row r="18" spans="2:5" x14ac:dyDescent="0.35">
      <c r="B18" s="79" t="s">
        <v>33</v>
      </c>
      <c r="C18" s="79" t="s">
        <v>42</v>
      </c>
      <c r="D18" s="79" t="s">
        <v>45</v>
      </c>
      <c r="E18" s="125"/>
    </row>
    <row r="19" spans="2:5" ht="15" customHeight="1" x14ac:dyDescent="0.35">
      <c r="B19" s="126" t="s">
        <v>54</v>
      </c>
      <c r="C19" s="125" t="s">
        <v>55</v>
      </c>
      <c r="D19" s="125"/>
      <c r="E19" s="125"/>
    </row>
    <row r="20" spans="2:5" x14ac:dyDescent="0.35">
      <c r="B20" s="126" t="s">
        <v>56</v>
      </c>
      <c r="C20" s="125"/>
      <c r="D20" s="125"/>
      <c r="E20" s="125"/>
    </row>
    <row r="21" spans="2:5" x14ac:dyDescent="0.35">
      <c r="B21" s="126" t="s">
        <v>57</v>
      </c>
      <c r="C21" s="125"/>
      <c r="D21" s="125"/>
      <c r="E21" s="125"/>
    </row>
    <row r="22" spans="2:5" x14ac:dyDescent="0.35">
      <c r="B22" s="126" t="s">
        <v>58</v>
      </c>
      <c r="C22" s="125"/>
      <c r="D22" s="125"/>
      <c r="E22" s="125"/>
    </row>
    <row r="23" spans="2:5" x14ac:dyDescent="0.35">
      <c r="B23" s="126" t="s">
        <v>65</v>
      </c>
      <c r="C23" s="125" t="s">
        <v>66</v>
      </c>
      <c r="D23" s="127">
        <v>3277876231301</v>
      </c>
      <c r="E23" s="125"/>
    </row>
    <row r="24" spans="2:5" x14ac:dyDescent="0.35">
      <c r="B24" s="126" t="s">
        <v>77</v>
      </c>
      <c r="C24" s="125" t="s">
        <v>78</v>
      </c>
      <c r="D24" s="125"/>
      <c r="E24" s="125" t="s">
        <v>79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zoomScaleNormal="100" workbookViewId="0">
      <selection activeCell="C5" sqref="C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2">
        <f ca="1">TODAY()</f>
        <v>46235</v>
      </c>
      <c r="C1" s="152"/>
      <c r="D1" s="152"/>
      <c r="E1" s="152"/>
      <c r="F1" s="15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3" t="s">
        <v>37</v>
      </c>
      <c r="B2" s="15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2"/>
      <c r="N2" s="143"/>
      <c r="O2" s="144"/>
      <c r="P2" s="145" t="s">
        <v>14</v>
      </c>
      <c r="Q2" s="146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3"/>
      <c r="B3" s="15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7" t="s">
        <v>11</v>
      </c>
      <c r="N3" s="148"/>
      <c r="O3" s="149"/>
      <c r="P3" s="71"/>
      <c r="Q3" s="72"/>
      <c r="R3" s="156" t="s">
        <v>16</v>
      </c>
      <c r="S3" s="157"/>
      <c r="T3" s="157"/>
      <c r="U3" s="158"/>
      <c r="V3" s="159" t="s">
        <v>17</v>
      </c>
      <c r="W3" s="160"/>
      <c r="X3" s="160"/>
      <c r="Y3" s="161"/>
    </row>
    <row r="4" spans="1:25" ht="15" thickBot="1" x14ac:dyDescent="0.4">
      <c r="A4" s="173"/>
      <c r="B4" s="15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/>
      <c r="B5" s="36">
        <v>1</v>
      </c>
      <c r="C5" s="131"/>
      <c r="D5" s="132"/>
      <c r="E5" s="133"/>
      <c r="F5" s="38"/>
      <c r="G5" s="134"/>
      <c r="H5" s="133"/>
      <c r="I5" s="38"/>
      <c r="J5" s="134"/>
      <c r="K5" s="133"/>
      <c r="L5" s="135"/>
      <c r="M5" s="37">
        <f>SUM(D5:L5)/40</f>
        <v>0</v>
      </c>
      <c r="N5" s="39">
        <f>SUMPRODUCT($D$4:$L$4,$D$6:$L$6)</f>
        <v>0</v>
      </c>
      <c r="O5" s="38">
        <f>SUMPRODUCT($D$3:$L$3,$D$6:$L$6)/1000</f>
        <v>0</v>
      </c>
      <c r="P5" s="73">
        <f>SUM(G5:I5)/20</f>
        <v>0</v>
      </c>
      <c r="Q5" s="40">
        <f>SUM(J5:L5)/20</f>
        <v>0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/>
      <c r="B6" s="47">
        <v>2</v>
      </c>
      <c r="C6" s="57"/>
      <c r="D6" s="74"/>
      <c r="E6" s="75"/>
      <c r="F6" s="76"/>
      <c r="G6" s="50"/>
      <c r="H6" s="75"/>
      <c r="I6" s="49"/>
      <c r="J6" s="50"/>
      <c r="K6" s="75"/>
      <c r="L6" s="76"/>
      <c r="M6" s="48">
        <f t="shared" ref="M6:M137" si="0">SUM(D6:L6)/40</f>
        <v>0</v>
      </c>
      <c r="N6" s="39">
        <f>SUMPRODUCT($D$4:$L$4,$D$6:$L$6)</f>
        <v>0</v>
      </c>
      <c r="O6" s="49">
        <f t="shared" ref="O6:O136" si="1">SUMPRODUCT($D$3:$L$3,$D$6:$L$6)/1000</f>
        <v>0</v>
      </c>
      <c r="P6" s="73">
        <f t="shared" ref="P6" si="2">SUM(G6:I6)/20</f>
        <v>0</v>
      </c>
      <c r="Q6" s="40">
        <f t="shared" ref="Q6" si="3">SUM(J6:L6)/20</f>
        <v>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/>
      <c r="B7" s="47">
        <v>3</v>
      </c>
      <c r="C7" s="57"/>
      <c r="D7" s="74"/>
      <c r="E7" s="75"/>
      <c r="F7" s="76"/>
      <c r="G7" s="50"/>
      <c r="H7" s="75"/>
      <c r="I7" s="49"/>
      <c r="J7" s="50"/>
      <c r="K7" s="75"/>
      <c r="L7" s="76"/>
      <c r="M7" s="48">
        <f t="shared" ref="M7:M15" si="12">SUM(D7:L7)/40</f>
        <v>0</v>
      </c>
      <c r="N7" s="39">
        <f>SUMPRODUCT($D$4:$L$4,$D$6:$L$6)</f>
        <v>0</v>
      </c>
      <c r="O7" s="49">
        <f t="shared" si="1"/>
        <v>0</v>
      </c>
      <c r="P7" s="73">
        <f t="shared" ref="P7:P15" si="13">SUM(G7:I7)/20</f>
        <v>0</v>
      </c>
      <c r="Q7" s="40">
        <f t="shared" ref="Q7:Q15" si="14">SUM(J7:L7)/20</f>
        <v>0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/>
      <c r="B8" s="47">
        <v>4</v>
      </c>
      <c r="C8" s="57"/>
      <c r="D8" s="74"/>
      <c r="E8" s="75"/>
      <c r="F8" s="76"/>
      <c r="G8" s="50"/>
      <c r="H8" s="75"/>
      <c r="I8" s="49"/>
      <c r="J8" s="50"/>
      <c r="K8" s="75"/>
      <c r="L8" s="76"/>
      <c r="M8" s="48">
        <f t="shared" si="12"/>
        <v>0</v>
      </c>
      <c r="N8" s="39">
        <f t="shared" ref="N8:N136" si="18">SUMPRODUCT($D$4:$L$4,$D$6:$L$6)</f>
        <v>0</v>
      </c>
      <c r="O8" s="49">
        <f t="shared" si="1"/>
        <v>0</v>
      </c>
      <c r="P8" s="73">
        <f t="shared" si="13"/>
        <v>0</v>
      </c>
      <c r="Q8" s="40">
        <f t="shared" si="14"/>
        <v>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/>
      <c r="B9" s="47">
        <v>5</v>
      </c>
      <c r="C9" s="57"/>
      <c r="D9" s="74"/>
      <c r="E9" s="75"/>
      <c r="F9" s="76"/>
      <c r="G9" s="50"/>
      <c r="H9" s="75"/>
      <c r="I9" s="49"/>
      <c r="J9" s="50"/>
      <c r="K9" s="75"/>
      <c r="L9" s="76"/>
      <c r="M9" s="48">
        <f t="shared" si="12"/>
        <v>0</v>
      </c>
      <c r="N9" s="39">
        <f t="shared" si="18"/>
        <v>0</v>
      </c>
      <c r="O9" s="49">
        <f t="shared" si="1"/>
        <v>0</v>
      </c>
      <c r="P9" s="73">
        <f t="shared" si="13"/>
        <v>0</v>
      </c>
      <c r="Q9" s="40">
        <f t="shared" si="14"/>
        <v>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/>
      <c r="B10" s="47">
        <v>6</v>
      </c>
      <c r="C10" s="57"/>
      <c r="D10" s="74"/>
      <c r="E10" s="75"/>
      <c r="F10" s="76"/>
      <c r="G10" s="50"/>
      <c r="H10" s="75"/>
      <c r="I10" s="49"/>
      <c r="J10" s="50"/>
      <c r="K10" s="75"/>
      <c r="L10" s="76"/>
      <c r="M10" s="48">
        <f t="shared" si="12"/>
        <v>0</v>
      </c>
      <c r="N10" s="39">
        <f t="shared" si="18"/>
        <v>0</v>
      </c>
      <c r="O10" s="49">
        <f t="shared" si="1"/>
        <v>0</v>
      </c>
      <c r="P10" s="73">
        <f t="shared" si="13"/>
        <v>0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/>
      <c r="B11" s="47">
        <v>7</v>
      </c>
      <c r="C11" s="57"/>
      <c r="D11" s="74"/>
      <c r="E11" s="75"/>
      <c r="F11" s="76"/>
      <c r="G11" s="50"/>
      <c r="H11" s="75"/>
      <c r="I11" s="49"/>
      <c r="J11" s="50"/>
      <c r="K11" s="75"/>
      <c r="L11" s="76"/>
      <c r="M11" s="48">
        <f t="shared" si="12"/>
        <v>0</v>
      </c>
      <c r="N11" s="39">
        <f t="shared" si="18"/>
        <v>0</v>
      </c>
      <c r="O11" s="49">
        <f t="shared" si="1"/>
        <v>0</v>
      </c>
      <c r="P11" s="73">
        <f t="shared" si="13"/>
        <v>0</v>
      </c>
      <c r="Q11" s="40">
        <f t="shared" si="14"/>
        <v>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/>
      <c r="B12" s="47">
        <v>8</v>
      </c>
      <c r="C12" s="57"/>
      <c r="D12" s="74"/>
      <c r="E12" s="75"/>
      <c r="F12" s="76"/>
      <c r="G12" s="50"/>
      <c r="H12" s="75"/>
      <c r="I12" s="49"/>
      <c r="J12" s="50"/>
      <c r="K12" s="75"/>
      <c r="L12" s="76"/>
      <c r="M12" s="48">
        <f t="shared" si="12"/>
        <v>0</v>
      </c>
      <c r="N12" s="39">
        <f t="shared" si="18"/>
        <v>0</v>
      </c>
      <c r="O12" s="49">
        <f t="shared" si="1"/>
        <v>0</v>
      </c>
      <c r="P12" s="73">
        <f t="shared" si="13"/>
        <v>0</v>
      </c>
      <c r="Q12" s="40">
        <f t="shared" si="14"/>
        <v>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/>
      <c r="B13" s="47">
        <v>9</v>
      </c>
      <c r="C13" s="57"/>
      <c r="D13" s="74"/>
      <c r="E13" s="75"/>
      <c r="F13" s="76"/>
      <c r="G13" s="50"/>
      <c r="H13" s="75"/>
      <c r="I13" s="49"/>
      <c r="J13" s="50"/>
      <c r="K13" s="75"/>
      <c r="L13" s="76"/>
      <c r="M13" s="48">
        <f t="shared" si="12"/>
        <v>0</v>
      </c>
      <c r="N13" s="39">
        <f t="shared" si="18"/>
        <v>0</v>
      </c>
      <c r="O13" s="49">
        <f t="shared" si="1"/>
        <v>0</v>
      </c>
      <c r="P13" s="73">
        <f t="shared" si="13"/>
        <v>0</v>
      </c>
      <c r="Q13" s="40">
        <f t="shared" si="14"/>
        <v>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/>
      <c r="B14" s="47">
        <v>10</v>
      </c>
      <c r="C14" s="57"/>
      <c r="D14" s="74"/>
      <c r="E14" s="75"/>
      <c r="F14" s="76"/>
      <c r="G14" s="50"/>
      <c r="H14" s="75"/>
      <c r="I14" s="49"/>
      <c r="J14" s="50"/>
      <c r="K14" s="75"/>
      <c r="L14" s="76"/>
      <c r="M14" s="48">
        <f t="shared" si="12"/>
        <v>0</v>
      </c>
      <c r="N14" s="39">
        <f t="shared" si="18"/>
        <v>0</v>
      </c>
      <c r="O14" s="49">
        <f t="shared" si="1"/>
        <v>0</v>
      </c>
      <c r="P14" s="73">
        <f t="shared" si="13"/>
        <v>0</v>
      </c>
      <c r="Q14" s="40">
        <f t="shared" si="14"/>
        <v>0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/>
      <c r="B15" s="47">
        <v>11</v>
      </c>
      <c r="C15" s="57"/>
      <c r="D15" s="74"/>
      <c r="E15" s="75"/>
      <c r="F15" s="76"/>
      <c r="G15" s="50"/>
      <c r="H15" s="75"/>
      <c r="I15" s="49"/>
      <c r="J15" s="50"/>
      <c r="K15" s="75"/>
      <c r="L15" s="76"/>
      <c r="M15" s="48">
        <f t="shared" si="12"/>
        <v>0</v>
      </c>
      <c r="N15" s="39">
        <f t="shared" si="18"/>
        <v>0</v>
      </c>
      <c r="O15" s="49">
        <f t="shared" si="1"/>
        <v>0</v>
      </c>
      <c r="P15" s="73">
        <f t="shared" si="13"/>
        <v>0</v>
      </c>
      <c r="Q15" s="40">
        <f t="shared" si="14"/>
        <v>0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/>
      <c r="B16" s="47">
        <v>12</v>
      </c>
      <c r="C16" s="57"/>
      <c r="D16" s="74"/>
      <c r="E16" s="75"/>
      <c r="F16" s="76"/>
      <c r="G16" s="50"/>
      <c r="H16" s="75"/>
      <c r="I16" s="49"/>
      <c r="J16" s="50"/>
      <c r="K16" s="75"/>
      <c r="L16" s="76"/>
      <c r="M16" s="48">
        <f t="shared" ref="M16:M17" si="21">SUM(D16:L16)/40</f>
        <v>0</v>
      </c>
      <c r="N16" s="39">
        <f t="shared" si="18"/>
        <v>0</v>
      </c>
      <c r="O16" s="49">
        <f t="shared" si="1"/>
        <v>0</v>
      </c>
      <c r="P16" s="73">
        <f t="shared" ref="P16:P17" si="22">SUM(G16:I16)/20</f>
        <v>0</v>
      </c>
      <c r="Q16" s="40">
        <f t="shared" ref="Q16:Q17" si="23">SUM(J16:L16)/20</f>
        <v>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/>
      <c r="B17" s="47">
        <v>13</v>
      </c>
      <c r="C17" s="57"/>
      <c r="D17" s="74"/>
      <c r="E17" s="75"/>
      <c r="F17" s="76"/>
      <c r="G17" s="50"/>
      <c r="H17" s="75"/>
      <c r="I17" s="49"/>
      <c r="J17" s="50"/>
      <c r="K17" s="75"/>
      <c r="L17" s="76"/>
      <c r="M17" s="48">
        <f t="shared" si="21"/>
        <v>0</v>
      </c>
      <c r="N17" s="39">
        <f t="shared" si="18"/>
        <v>0</v>
      </c>
      <c r="O17" s="49">
        <f t="shared" si="1"/>
        <v>0</v>
      </c>
      <c r="P17" s="73">
        <f t="shared" si="22"/>
        <v>0</v>
      </c>
      <c r="Q17" s="40">
        <f t="shared" si="23"/>
        <v>0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/>
      <c r="B18" s="47">
        <v>14</v>
      </c>
      <c r="C18" s="57"/>
      <c r="D18" s="74"/>
      <c r="E18" s="75"/>
      <c r="F18" s="76"/>
      <c r="G18" s="50"/>
      <c r="H18" s="75"/>
      <c r="I18" s="49"/>
      <c r="J18" s="50"/>
      <c r="K18" s="75"/>
      <c r="L18" s="76"/>
      <c r="M18" s="48">
        <f t="shared" ref="M18:M20" si="29">SUM(D18:L18)/40</f>
        <v>0</v>
      </c>
      <c r="N18" s="39">
        <f t="shared" si="18"/>
        <v>0</v>
      </c>
      <c r="O18" s="49">
        <f t="shared" si="1"/>
        <v>0</v>
      </c>
      <c r="P18" s="73">
        <f t="shared" ref="P18:P20" si="30">SUM(G18:I18)/20</f>
        <v>0</v>
      </c>
      <c r="Q18" s="40">
        <f t="shared" ref="Q18:Q20" si="31">SUM(J18:L18)/20</f>
        <v>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/>
      <c r="B19" s="47">
        <v>15</v>
      </c>
      <c r="C19" s="57"/>
      <c r="D19" s="74"/>
      <c r="E19" s="75"/>
      <c r="F19" s="76"/>
      <c r="G19" s="50"/>
      <c r="H19" s="75"/>
      <c r="I19" s="49"/>
      <c r="J19" s="50"/>
      <c r="K19" s="75"/>
      <c r="L19" s="76"/>
      <c r="M19" s="48">
        <f t="shared" si="29"/>
        <v>0</v>
      </c>
      <c r="N19" s="39">
        <f t="shared" si="18"/>
        <v>0</v>
      </c>
      <c r="O19" s="49">
        <f t="shared" si="1"/>
        <v>0</v>
      </c>
      <c r="P19" s="73">
        <f t="shared" si="30"/>
        <v>0</v>
      </c>
      <c r="Q19" s="40">
        <f t="shared" si="31"/>
        <v>0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/>
      <c r="B20" s="47">
        <v>16</v>
      </c>
      <c r="C20" s="57"/>
      <c r="D20" s="74"/>
      <c r="E20" s="75"/>
      <c r="F20" s="76"/>
      <c r="G20" s="50"/>
      <c r="H20" s="75"/>
      <c r="I20" s="49"/>
      <c r="J20" s="50"/>
      <c r="K20" s="75"/>
      <c r="L20" s="76"/>
      <c r="M20" s="48">
        <f t="shared" si="29"/>
        <v>0</v>
      </c>
      <c r="N20" s="39">
        <f t="shared" si="18"/>
        <v>0</v>
      </c>
      <c r="O20" s="49">
        <f t="shared" si="1"/>
        <v>0</v>
      </c>
      <c r="P20" s="73">
        <f t="shared" si="30"/>
        <v>0</v>
      </c>
      <c r="Q20" s="40">
        <f t="shared" si="31"/>
        <v>0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/>
      <c r="B21" s="47">
        <v>17</v>
      </c>
      <c r="C21" s="57"/>
      <c r="D21" s="74"/>
      <c r="E21" s="75"/>
      <c r="F21" s="76"/>
      <c r="G21" s="50"/>
      <c r="H21" s="75"/>
      <c r="I21" s="49"/>
      <c r="J21" s="50"/>
      <c r="K21" s="75"/>
      <c r="L21" s="76"/>
      <c r="M21" s="48">
        <f t="shared" ref="M21:M23" si="37">SUM(D21:L21)/40</f>
        <v>0</v>
      </c>
      <c r="N21" s="39">
        <f t="shared" si="18"/>
        <v>0</v>
      </c>
      <c r="O21" s="49">
        <f t="shared" si="1"/>
        <v>0</v>
      </c>
      <c r="P21" s="73">
        <f t="shared" ref="P21:P23" si="38">SUM(G21:I21)/20</f>
        <v>0</v>
      </c>
      <c r="Q21" s="40">
        <f t="shared" ref="Q21:Q23" si="39">SUM(J21:L21)/20</f>
        <v>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0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0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0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0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0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0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0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0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0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0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0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0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0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0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0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0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0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0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0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0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0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0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0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0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0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0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0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0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0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0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0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0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0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0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0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8"/>
      <c r="J57" s="75"/>
      <c r="K57" s="75"/>
      <c r="L57" s="75"/>
      <c r="M57" s="130">
        <f t="shared" si="76"/>
        <v>0</v>
      </c>
      <c r="N57" s="39">
        <f t="shared" si="18"/>
        <v>0</v>
      </c>
      <c r="O57" s="49">
        <f t="shared" si="1"/>
        <v>0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8"/>
      <c r="J58" s="75"/>
      <c r="K58" s="75"/>
      <c r="L58" s="75"/>
      <c r="M58" s="130">
        <f t="shared" si="76"/>
        <v>0</v>
      </c>
      <c r="N58" s="39">
        <f t="shared" si="18"/>
        <v>0</v>
      </c>
      <c r="O58" s="49">
        <f t="shared" si="1"/>
        <v>0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8"/>
      <c r="J59" s="75"/>
      <c r="K59" s="75"/>
      <c r="L59" s="75"/>
      <c r="M59" s="130">
        <f t="shared" si="76"/>
        <v>0</v>
      </c>
      <c r="N59" s="39">
        <f t="shared" si="18"/>
        <v>0</v>
      </c>
      <c r="O59" s="49">
        <f t="shared" si="1"/>
        <v>0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174"/>
      <c r="B60" s="175">
        <v>56</v>
      </c>
      <c r="C60" s="176"/>
      <c r="D60" s="177"/>
      <c r="E60" s="177"/>
      <c r="F60" s="177"/>
      <c r="G60" s="177"/>
      <c r="H60" s="177"/>
      <c r="I60" s="178"/>
      <c r="J60" s="177"/>
      <c r="K60" s="177"/>
      <c r="L60" s="177"/>
      <c r="M60" s="179">
        <f t="shared" si="52"/>
        <v>0</v>
      </c>
      <c r="N60" s="39">
        <f t="shared" si="18"/>
        <v>0</v>
      </c>
      <c r="O60" s="49">
        <f t="shared" si="1"/>
        <v>0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174"/>
      <c r="B61" s="175">
        <v>57</v>
      </c>
      <c r="C61" s="180"/>
      <c r="D61" s="177"/>
      <c r="E61" s="177"/>
      <c r="F61" s="177"/>
      <c r="G61" s="177"/>
      <c r="H61" s="177"/>
      <c r="I61" s="178"/>
      <c r="J61" s="177"/>
      <c r="K61" s="177"/>
      <c r="L61" s="177"/>
      <c r="M61" s="179">
        <f t="shared" ref="M61:M83" si="81">SUM(D61:L61)/40</f>
        <v>0</v>
      </c>
      <c r="N61" s="39">
        <f t="shared" si="18"/>
        <v>0</v>
      </c>
      <c r="O61" s="49">
        <f t="shared" si="1"/>
        <v>0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174"/>
      <c r="B62" s="175">
        <v>58</v>
      </c>
      <c r="C62" s="180"/>
      <c r="D62" s="177"/>
      <c r="E62" s="177"/>
      <c r="F62" s="177"/>
      <c r="G62" s="177"/>
      <c r="H62" s="177"/>
      <c r="I62" s="178"/>
      <c r="J62" s="177"/>
      <c r="K62" s="177"/>
      <c r="L62" s="177"/>
      <c r="M62" s="179">
        <f t="shared" si="81"/>
        <v>0</v>
      </c>
      <c r="N62" s="39">
        <f t="shared" si="18"/>
        <v>0</v>
      </c>
      <c r="O62" s="49">
        <f t="shared" si="1"/>
        <v>0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174"/>
      <c r="B63" s="175">
        <v>59</v>
      </c>
      <c r="C63" s="180"/>
      <c r="D63" s="177"/>
      <c r="E63" s="177"/>
      <c r="F63" s="177"/>
      <c r="G63" s="177"/>
      <c r="H63" s="177"/>
      <c r="I63" s="178"/>
      <c r="J63" s="177"/>
      <c r="K63" s="177"/>
      <c r="L63" s="177"/>
      <c r="M63" s="179">
        <f t="shared" si="81"/>
        <v>0</v>
      </c>
      <c r="N63" s="39">
        <f t="shared" si="18"/>
        <v>0</v>
      </c>
      <c r="O63" s="49">
        <f t="shared" si="1"/>
        <v>0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174"/>
      <c r="B64" s="175">
        <v>60</v>
      </c>
      <c r="C64" s="180"/>
      <c r="D64" s="177"/>
      <c r="E64" s="177"/>
      <c r="F64" s="177"/>
      <c r="G64" s="177"/>
      <c r="H64" s="177"/>
      <c r="I64" s="178"/>
      <c r="J64" s="177"/>
      <c r="K64" s="177"/>
      <c r="L64" s="177"/>
      <c r="M64" s="179">
        <f t="shared" si="81"/>
        <v>0</v>
      </c>
      <c r="N64" s="39">
        <f t="shared" si="18"/>
        <v>0</v>
      </c>
      <c r="O64" s="49">
        <f t="shared" si="1"/>
        <v>0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174"/>
      <c r="B65" s="175">
        <v>61</v>
      </c>
      <c r="C65" s="180"/>
      <c r="D65" s="177"/>
      <c r="E65" s="177"/>
      <c r="F65" s="177"/>
      <c r="G65" s="177"/>
      <c r="H65" s="177"/>
      <c r="I65" s="178"/>
      <c r="J65" s="177"/>
      <c r="K65" s="177"/>
      <c r="L65" s="177"/>
      <c r="M65" s="179">
        <f t="shared" si="81"/>
        <v>0</v>
      </c>
      <c r="N65" s="39">
        <f t="shared" si="18"/>
        <v>0</v>
      </c>
      <c r="O65" s="49">
        <f t="shared" si="1"/>
        <v>0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174"/>
      <c r="B66" s="175">
        <v>62</v>
      </c>
      <c r="C66" s="180"/>
      <c r="D66" s="177"/>
      <c r="E66" s="177"/>
      <c r="F66" s="177"/>
      <c r="G66" s="177"/>
      <c r="H66" s="177"/>
      <c r="I66" s="178"/>
      <c r="J66" s="177"/>
      <c r="K66" s="177"/>
      <c r="L66" s="177"/>
      <c r="M66" s="179">
        <f t="shared" si="81"/>
        <v>0</v>
      </c>
      <c r="N66" s="39">
        <f t="shared" si="18"/>
        <v>0</v>
      </c>
      <c r="O66" s="49">
        <f t="shared" si="1"/>
        <v>0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174"/>
      <c r="B67" s="175">
        <v>63</v>
      </c>
      <c r="C67" s="180"/>
      <c r="D67" s="177"/>
      <c r="E67" s="177"/>
      <c r="F67" s="177"/>
      <c r="G67" s="177"/>
      <c r="H67" s="177"/>
      <c r="I67" s="178"/>
      <c r="J67" s="177"/>
      <c r="K67" s="177"/>
      <c r="L67" s="177"/>
      <c r="M67" s="179">
        <f t="shared" si="81"/>
        <v>0</v>
      </c>
      <c r="N67" s="39">
        <f t="shared" si="18"/>
        <v>0</v>
      </c>
      <c r="O67" s="49">
        <f t="shared" si="1"/>
        <v>0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174"/>
      <c r="B68" s="175">
        <v>64</v>
      </c>
      <c r="C68" s="180"/>
      <c r="D68" s="177"/>
      <c r="E68" s="177"/>
      <c r="F68" s="177"/>
      <c r="G68" s="177"/>
      <c r="H68" s="177"/>
      <c r="I68" s="178"/>
      <c r="J68" s="177"/>
      <c r="K68" s="177"/>
      <c r="L68" s="177"/>
      <c r="M68" s="179">
        <f t="shared" si="81"/>
        <v>0</v>
      </c>
      <c r="N68" s="39">
        <f t="shared" si="18"/>
        <v>0</v>
      </c>
      <c r="O68" s="49">
        <f t="shared" si="1"/>
        <v>0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174"/>
      <c r="B69" s="175">
        <v>65</v>
      </c>
      <c r="C69" s="180"/>
      <c r="D69" s="177"/>
      <c r="E69" s="177"/>
      <c r="F69" s="177"/>
      <c r="G69" s="177"/>
      <c r="H69" s="177"/>
      <c r="I69" s="178"/>
      <c r="J69" s="177"/>
      <c r="K69" s="177"/>
      <c r="L69" s="177"/>
      <c r="M69" s="179">
        <f t="shared" si="81"/>
        <v>0</v>
      </c>
      <c r="N69" s="39">
        <f t="shared" si="18"/>
        <v>0</v>
      </c>
      <c r="O69" s="49">
        <f t="shared" si="1"/>
        <v>0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174"/>
      <c r="B70" s="175">
        <v>66</v>
      </c>
      <c r="C70" s="180"/>
      <c r="D70" s="177"/>
      <c r="E70" s="177"/>
      <c r="F70" s="177"/>
      <c r="G70" s="177"/>
      <c r="H70" s="177"/>
      <c r="I70" s="178"/>
      <c r="J70" s="177"/>
      <c r="K70" s="177"/>
      <c r="L70" s="177"/>
      <c r="M70" s="179">
        <f t="shared" si="81"/>
        <v>0</v>
      </c>
      <c r="N70" s="39">
        <f t="shared" si="18"/>
        <v>0</v>
      </c>
      <c r="O70" s="49">
        <f t="shared" si="1"/>
        <v>0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174"/>
      <c r="B71" s="175">
        <v>67</v>
      </c>
      <c r="C71" s="180"/>
      <c r="D71" s="177"/>
      <c r="E71" s="177"/>
      <c r="F71" s="177"/>
      <c r="G71" s="177"/>
      <c r="H71" s="177"/>
      <c r="I71" s="178"/>
      <c r="J71" s="177"/>
      <c r="K71" s="177"/>
      <c r="L71" s="177"/>
      <c r="M71" s="179">
        <f t="shared" si="81"/>
        <v>0</v>
      </c>
      <c r="N71" s="39">
        <f t="shared" si="18"/>
        <v>0</v>
      </c>
      <c r="O71" s="49">
        <f t="shared" si="1"/>
        <v>0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174"/>
      <c r="B72" s="175">
        <v>68</v>
      </c>
      <c r="C72" s="180"/>
      <c r="D72" s="177"/>
      <c r="E72" s="177"/>
      <c r="F72" s="177"/>
      <c r="G72" s="177"/>
      <c r="H72" s="177"/>
      <c r="I72" s="178"/>
      <c r="J72" s="177"/>
      <c r="K72" s="177"/>
      <c r="L72" s="177"/>
      <c r="M72" s="179">
        <f t="shared" si="81"/>
        <v>0</v>
      </c>
      <c r="N72" s="39">
        <f t="shared" si="18"/>
        <v>0</v>
      </c>
      <c r="O72" s="49">
        <f t="shared" si="1"/>
        <v>0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174"/>
      <c r="B73" s="175">
        <v>69</v>
      </c>
      <c r="C73" s="180"/>
      <c r="D73" s="177"/>
      <c r="E73" s="177"/>
      <c r="F73" s="177"/>
      <c r="G73" s="177"/>
      <c r="H73" s="177"/>
      <c r="I73" s="178"/>
      <c r="J73" s="177"/>
      <c r="K73" s="177"/>
      <c r="L73" s="177"/>
      <c r="M73" s="179">
        <f t="shared" si="81"/>
        <v>0</v>
      </c>
      <c r="N73" s="39">
        <f t="shared" si="18"/>
        <v>0</v>
      </c>
      <c r="O73" s="49">
        <f t="shared" si="1"/>
        <v>0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174"/>
      <c r="B74" s="175">
        <v>70</v>
      </c>
      <c r="C74" s="181"/>
      <c r="D74" s="177"/>
      <c r="E74" s="177"/>
      <c r="F74" s="182"/>
      <c r="G74" s="177"/>
      <c r="H74" s="177"/>
      <c r="I74" s="178"/>
      <c r="J74" s="177"/>
      <c r="K74" s="177"/>
      <c r="L74" s="177"/>
      <c r="M74" s="179">
        <f t="shared" si="81"/>
        <v>0</v>
      </c>
      <c r="N74" s="39">
        <f t="shared" si="18"/>
        <v>0</v>
      </c>
      <c r="O74" s="49">
        <f t="shared" si="1"/>
        <v>0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174"/>
      <c r="B75" s="175">
        <v>71</v>
      </c>
      <c r="C75" s="181"/>
      <c r="D75" s="177"/>
      <c r="E75" s="182"/>
      <c r="F75" s="182"/>
      <c r="G75" s="177"/>
      <c r="H75" s="177"/>
      <c r="I75" s="178"/>
      <c r="J75" s="177"/>
      <c r="K75" s="177"/>
      <c r="L75" s="177"/>
      <c r="M75" s="179">
        <f t="shared" si="81"/>
        <v>0</v>
      </c>
      <c r="N75" s="39">
        <f t="shared" si="18"/>
        <v>0</v>
      </c>
      <c r="O75" s="49">
        <f t="shared" si="1"/>
        <v>0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174"/>
      <c r="B76" s="175">
        <v>72</v>
      </c>
      <c r="C76" s="181"/>
      <c r="D76" s="177"/>
      <c r="E76" s="182"/>
      <c r="F76" s="182"/>
      <c r="G76" s="177"/>
      <c r="H76" s="177"/>
      <c r="I76" s="178"/>
      <c r="J76" s="177"/>
      <c r="K76" s="177"/>
      <c r="L76" s="177"/>
      <c r="M76" s="179">
        <f t="shared" si="81"/>
        <v>0</v>
      </c>
      <c r="N76" s="39">
        <f t="shared" si="18"/>
        <v>0</v>
      </c>
      <c r="O76" s="49">
        <f t="shared" si="1"/>
        <v>0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174"/>
      <c r="B77" s="175">
        <v>73</v>
      </c>
      <c r="C77" s="181"/>
      <c r="D77" s="177"/>
      <c r="E77" s="182"/>
      <c r="F77" s="182"/>
      <c r="G77" s="182"/>
      <c r="H77" s="182"/>
      <c r="I77" s="179"/>
      <c r="J77" s="182"/>
      <c r="K77" s="182"/>
      <c r="L77" s="182"/>
      <c r="M77" s="179">
        <f t="shared" si="81"/>
        <v>0</v>
      </c>
      <c r="N77" s="39">
        <f t="shared" si="18"/>
        <v>0</v>
      </c>
      <c r="O77" s="49">
        <f t="shared" si="1"/>
        <v>0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174"/>
      <c r="B78" s="175">
        <v>74</v>
      </c>
      <c r="C78" s="181"/>
      <c r="D78" s="177"/>
      <c r="E78" s="182"/>
      <c r="F78" s="182"/>
      <c r="G78" s="182"/>
      <c r="H78" s="182"/>
      <c r="I78" s="179"/>
      <c r="J78" s="182"/>
      <c r="K78" s="182"/>
      <c r="L78" s="182"/>
      <c r="M78" s="179">
        <f t="shared" si="81"/>
        <v>0</v>
      </c>
      <c r="N78" s="39">
        <f t="shared" si="18"/>
        <v>0</v>
      </c>
      <c r="O78" s="49">
        <f t="shared" si="1"/>
        <v>0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174"/>
      <c r="B79" s="175">
        <v>75</v>
      </c>
      <c r="C79" s="180"/>
      <c r="D79" s="182"/>
      <c r="E79" s="182"/>
      <c r="F79" s="182"/>
      <c r="G79" s="182"/>
      <c r="H79" s="182"/>
      <c r="I79" s="179"/>
      <c r="J79" s="182"/>
      <c r="K79" s="182"/>
      <c r="L79" s="182"/>
      <c r="M79" s="179">
        <f t="shared" si="81"/>
        <v>0</v>
      </c>
      <c r="N79" s="39">
        <f t="shared" si="18"/>
        <v>0</v>
      </c>
      <c r="O79" s="49">
        <f t="shared" si="1"/>
        <v>0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174"/>
      <c r="B80" s="175">
        <v>76</v>
      </c>
      <c r="C80" s="180"/>
      <c r="D80" s="182"/>
      <c r="E80" s="182"/>
      <c r="F80" s="182"/>
      <c r="G80" s="182"/>
      <c r="H80" s="182"/>
      <c r="I80" s="179"/>
      <c r="J80" s="182"/>
      <c r="K80" s="182"/>
      <c r="L80" s="182"/>
      <c r="M80" s="179">
        <f t="shared" si="81"/>
        <v>0</v>
      </c>
      <c r="N80" s="39">
        <f t="shared" si="18"/>
        <v>0</v>
      </c>
      <c r="O80" s="49">
        <f t="shared" si="1"/>
        <v>0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174"/>
      <c r="B81" s="175">
        <v>77</v>
      </c>
      <c r="C81" s="180"/>
      <c r="D81" s="182"/>
      <c r="E81" s="182"/>
      <c r="F81" s="182"/>
      <c r="G81" s="182"/>
      <c r="H81" s="182"/>
      <c r="I81" s="179"/>
      <c r="J81" s="182"/>
      <c r="K81" s="182"/>
      <c r="L81" s="182"/>
      <c r="M81" s="179">
        <f t="shared" si="81"/>
        <v>0</v>
      </c>
      <c r="N81" s="39">
        <f t="shared" si="18"/>
        <v>0</v>
      </c>
      <c r="O81" s="49">
        <f t="shared" si="1"/>
        <v>0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174"/>
      <c r="B82" s="175">
        <v>78</v>
      </c>
      <c r="C82" s="180"/>
      <c r="D82" s="182"/>
      <c r="E82" s="182"/>
      <c r="F82" s="182"/>
      <c r="G82" s="182"/>
      <c r="H82" s="182"/>
      <c r="I82" s="179"/>
      <c r="J82" s="182"/>
      <c r="K82" s="182"/>
      <c r="L82" s="182"/>
      <c r="M82" s="179">
        <f t="shared" si="81"/>
        <v>0</v>
      </c>
      <c r="N82" s="39">
        <f t="shared" si="18"/>
        <v>0</v>
      </c>
      <c r="O82" s="49">
        <f t="shared" si="1"/>
        <v>0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174"/>
      <c r="B83" s="175">
        <v>79</v>
      </c>
      <c r="C83" s="180"/>
      <c r="D83" s="182"/>
      <c r="E83" s="182"/>
      <c r="F83" s="182"/>
      <c r="G83" s="182"/>
      <c r="H83" s="182"/>
      <c r="I83" s="179"/>
      <c r="J83" s="182"/>
      <c r="K83" s="182"/>
      <c r="L83" s="182"/>
      <c r="M83" s="179">
        <f t="shared" si="81"/>
        <v>0</v>
      </c>
      <c r="N83" s="39">
        <f t="shared" si="18"/>
        <v>0</v>
      </c>
      <c r="O83" s="49">
        <f t="shared" si="1"/>
        <v>0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174"/>
      <c r="B84" s="175">
        <v>80</v>
      </c>
      <c r="C84" s="180"/>
      <c r="D84" s="182"/>
      <c r="E84" s="182"/>
      <c r="F84" s="182"/>
      <c r="G84" s="182"/>
      <c r="H84" s="182"/>
      <c r="I84" s="179"/>
      <c r="J84" s="182"/>
      <c r="K84" s="182"/>
      <c r="L84" s="182"/>
      <c r="M84" s="179">
        <f t="shared" ref="M84:M131" si="96">SUM(D84:L84)/40</f>
        <v>0</v>
      </c>
      <c r="N84" s="39">
        <f t="shared" si="18"/>
        <v>0</v>
      </c>
      <c r="O84" s="49">
        <f t="shared" si="1"/>
        <v>0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174"/>
      <c r="B85" s="175">
        <v>81</v>
      </c>
      <c r="C85" s="180"/>
      <c r="D85" s="182"/>
      <c r="E85" s="182"/>
      <c r="F85" s="182"/>
      <c r="G85" s="182"/>
      <c r="H85" s="182"/>
      <c r="I85" s="179"/>
      <c r="J85" s="182"/>
      <c r="K85" s="182"/>
      <c r="L85" s="182"/>
      <c r="M85" s="179">
        <f t="shared" si="96"/>
        <v>0</v>
      </c>
      <c r="N85" s="39">
        <f t="shared" si="18"/>
        <v>0</v>
      </c>
      <c r="O85" s="49">
        <f t="shared" si="1"/>
        <v>0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174"/>
      <c r="B86" s="175">
        <v>82</v>
      </c>
      <c r="C86" s="180"/>
      <c r="D86" s="182"/>
      <c r="E86" s="182"/>
      <c r="F86" s="182"/>
      <c r="G86" s="182"/>
      <c r="H86" s="182"/>
      <c r="I86" s="179"/>
      <c r="J86" s="182"/>
      <c r="K86" s="182"/>
      <c r="L86" s="182"/>
      <c r="M86" s="179">
        <f t="shared" si="96"/>
        <v>0</v>
      </c>
      <c r="N86" s="39">
        <f t="shared" si="18"/>
        <v>0</v>
      </c>
      <c r="O86" s="49">
        <f t="shared" si="1"/>
        <v>0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174"/>
      <c r="B87" s="175">
        <v>83</v>
      </c>
      <c r="C87" s="180"/>
      <c r="D87" s="182"/>
      <c r="E87" s="182"/>
      <c r="F87" s="182"/>
      <c r="G87" s="182"/>
      <c r="H87" s="182"/>
      <c r="I87" s="179"/>
      <c r="J87" s="182"/>
      <c r="K87" s="182"/>
      <c r="L87" s="182"/>
      <c r="M87" s="179">
        <f t="shared" si="96"/>
        <v>0</v>
      </c>
      <c r="N87" s="39">
        <f t="shared" si="18"/>
        <v>0</v>
      </c>
      <c r="O87" s="49">
        <f t="shared" si="1"/>
        <v>0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174"/>
      <c r="B88" s="175">
        <v>84</v>
      </c>
      <c r="C88" s="180"/>
      <c r="D88" s="182"/>
      <c r="E88" s="182"/>
      <c r="F88" s="182"/>
      <c r="G88" s="182"/>
      <c r="H88" s="182"/>
      <c r="I88" s="179"/>
      <c r="J88" s="182"/>
      <c r="K88" s="182"/>
      <c r="L88" s="182"/>
      <c r="M88" s="179">
        <f t="shared" si="96"/>
        <v>0</v>
      </c>
      <c r="N88" s="39">
        <f t="shared" si="18"/>
        <v>0</v>
      </c>
      <c r="O88" s="49">
        <f t="shared" si="1"/>
        <v>0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174"/>
      <c r="B89" s="175">
        <v>85</v>
      </c>
      <c r="C89" s="180"/>
      <c r="D89" s="182"/>
      <c r="E89" s="182"/>
      <c r="F89" s="182"/>
      <c r="G89" s="182"/>
      <c r="H89" s="182"/>
      <c r="I89" s="179"/>
      <c r="J89" s="182"/>
      <c r="K89" s="182"/>
      <c r="L89" s="182"/>
      <c r="M89" s="179">
        <f t="shared" si="96"/>
        <v>0</v>
      </c>
      <c r="N89" s="39">
        <f t="shared" si="18"/>
        <v>0</v>
      </c>
      <c r="O89" s="49">
        <f t="shared" si="1"/>
        <v>0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174"/>
      <c r="B90" s="175">
        <v>86</v>
      </c>
      <c r="C90" s="180"/>
      <c r="D90" s="182"/>
      <c r="E90" s="182"/>
      <c r="F90" s="182"/>
      <c r="G90" s="182"/>
      <c r="H90" s="182"/>
      <c r="I90" s="179"/>
      <c r="J90" s="182"/>
      <c r="K90" s="182"/>
      <c r="L90" s="182"/>
      <c r="M90" s="179">
        <f t="shared" si="96"/>
        <v>0</v>
      </c>
      <c r="N90" s="39">
        <f t="shared" si="18"/>
        <v>0</v>
      </c>
      <c r="O90" s="49">
        <f t="shared" si="1"/>
        <v>0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174"/>
      <c r="B91" s="175">
        <v>87</v>
      </c>
      <c r="C91" s="180"/>
      <c r="D91" s="182"/>
      <c r="E91" s="182"/>
      <c r="F91" s="182"/>
      <c r="G91" s="182"/>
      <c r="H91" s="182"/>
      <c r="I91" s="179"/>
      <c r="J91" s="182"/>
      <c r="K91" s="182"/>
      <c r="L91" s="182"/>
      <c r="M91" s="179">
        <f t="shared" si="96"/>
        <v>0</v>
      </c>
      <c r="N91" s="39">
        <f t="shared" si="18"/>
        <v>0</v>
      </c>
      <c r="O91" s="49">
        <f t="shared" si="1"/>
        <v>0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174"/>
      <c r="B92" s="175">
        <v>88</v>
      </c>
      <c r="C92" s="180"/>
      <c r="D92" s="182"/>
      <c r="E92" s="182"/>
      <c r="F92" s="182"/>
      <c r="G92" s="182"/>
      <c r="H92" s="182"/>
      <c r="I92" s="179"/>
      <c r="J92" s="182"/>
      <c r="K92" s="182"/>
      <c r="L92" s="182"/>
      <c r="M92" s="179">
        <f t="shared" si="96"/>
        <v>0</v>
      </c>
      <c r="N92" s="39">
        <f t="shared" si="18"/>
        <v>0</v>
      </c>
      <c r="O92" s="49">
        <f t="shared" si="1"/>
        <v>0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174"/>
      <c r="B93" s="175">
        <v>89</v>
      </c>
      <c r="C93" s="180"/>
      <c r="D93" s="182"/>
      <c r="E93" s="182"/>
      <c r="F93" s="182"/>
      <c r="G93" s="182"/>
      <c r="H93" s="182"/>
      <c r="I93" s="179"/>
      <c r="J93" s="182"/>
      <c r="K93" s="182"/>
      <c r="L93" s="182"/>
      <c r="M93" s="179">
        <f t="shared" si="96"/>
        <v>0</v>
      </c>
      <c r="N93" s="39">
        <f t="shared" si="18"/>
        <v>0</v>
      </c>
      <c r="O93" s="49">
        <f t="shared" si="1"/>
        <v>0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174"/>
      <c r="B94" s="175">
        <v>90</v>
      </c>
      <c r="C94" s="180"/>
      <c r="D94" s="182"/>
      <c r="E94" s="182"/>
      <c r="F94" s="182"/>
      <c r="G94" s="182"/>
      <c r="H94" s="182"/>
      <c r="I94" s="179"/>
      <c r="J94" s="182"/>
      <c r="K94" s="182"/>
      <c r="L94" s="182"/>
      <c r="M94" s="179">
        <f t="shared" si="96"/>
        <v>0</v>
      </c>
      <c r="N94" s="39">
        <f t="shared" si="18"/>
        <v>0</v>
      </c>
      <c r="O94" s="49">
        <f t="shared" si="1"/>
        <v>0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174"/>
      <c r="B95" s="175">
        <v>91</v>
      </c>
      <c r="C95" s="180"/>
      <c r="D95" s="182"/>
      <c r="E95" s="182"/>
      <c r="F95" s="182"/>
      <c r="G95" s="182"/>
      <c r="H95" s="182"/>
      <c r="I95" s="179"/>
      <c r="J95" s="182"/>
      <c r="K95" s="182"/>
      <c r="L95" s="182"/>
      <c r="M95" s="179">
        <f t="shared" si="96"/>
        <v>0</v>
      </c>
      <c r="N95" s="39">
        <f t="shared" si="18"/>
        <v>0</v>
      </c>
      <c r="O95" s="49">
        <f t="shared" si="1"/>
        <v>0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174"/>
      <c r="B96" s="175">
        <v>92</v>
      </c>
      <c r="C96" s="180"/>
      <c r="D96" s="182"/>
      <c r="E96" s="182"/>
      <c r="F96" s="182"/>
      <c r="G96" s="182"/>
      <c r="H96" s="182"/>
      <c r="I96" s="179"/>
      <c r="J96" s="182"/>
      <c r="K96" s="182"/>
      <c r="L96" s="182"/>
      <c r="M96" s="179">
        <f t="shared" si="96"/>
        <v>0</v>
      </c>
      <c r="N96" s="39">
        <f t="shared" si="18"/>
        <v>0</v>
      </c>
      <c r="O96" s="49">
        <f t="shared" si="1"/>
        <v>0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174"/>
      <c r="B97" s="175">
        <v>93</v>
      </c>
      <c r="C97" s="180"/>
      <c r="D97" s="182"/>
      <c r="E97" s="182"/>
      <c r="F97" s="182"/>
      <c r="G97" s="182"/>
      <c r="H97" s="182"/>
      <c r="I97" s="179"/>
      <c r="J97" s="182"/>
      <c r="K97" s="182"/>
      <c r="L97" s="182"/>
      <c r="M97" s="179">
        <f t="shared" si="96"/>
        <v>0</v>
      </c>
      <c r="N97" s="39">
        <f t="shared" si="18"/>
        <v>0</v>
      </c>
      <c r="O97" s="49">
        <f t="shared" si="1"/>
        <v>0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174"/>
      <c r="B98" s="175">
        <v>94</v>
      </c>
      <c r="C98" s="180"/>
      <c r="D98" s="182"/>
      <c r="E98" s="182"/>
      <c r="F98" s="182"/>
      <c r="G98" s="182"/>
      <c r="H98" s="182"/>
      <c r="I98" s="179"/>
      <c r="J98" s="182"/>
      <c r="K98" s="182"/>
      <c r="L98" s="182"/>
      <c r="M98" s="179">
        <f t="shared" si="96"/>
        <v>0</v>
      </c>
      <c r="N98" s="39">
        <f t="shared" si="18"/>
        <v>0</v>
      </c>
      <c r="O98" s="49">
        <f t="shared" si="1"/>
        <v>0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174"/>
      <c r="B99" s="175">
        <v>95</v>
      </c>
      <c r="C99" s="180"/>
      <c r="D99" s="182"/>
      <c r="E99" s="182"/>
      <c r="F99" s="182"/>
      <c r="G99" s="182"/>
      <c r="H99" s="182"/>
      <c r="I99" s="179"/>
      <c r="J99" s="182"/>
      <c r="K99" s="182"/>
      <c r="L99" s="182"/>
      <c r="M99" s="179">
        <f t="shared" si="96"/>
        <v>0</v>
      </c>
      <c r="N99" s="39">
        <f t="shared" si="18"/>
        <v>0</v>
      </c>
      <c r="O99" s="49">
        <f t="shared" si="1"/>
        <v>0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174"/>
      <c r="B100" s="175">
        <v>96</v>
      </c>
      <c r="C100" s="180"/>
      <c r="D100" s="182"/>
      <c r="E100" s="182"/>
      <c r="F100" s="182"/>
      <c r="G100" s="182"/>
      <c r="H100" s="182"/>
      <c r="I100" s="179"/>
      <c r="J100" s="182"/>
      <c r="K100" s="182"/>
      <c r="L100" s="182"/>
      <c r="M100" s="179">
        <f t="shared" si="96"/>
        <v>0</v>
      </c>
      <c r="N100" s="39">
        <f t="shared" si="18"/>
        <v>0</v>
      </c>
      <c r="O100" s="49">
        <f t="shared" si="1"/>
        <v>0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174"/>
      <c r="B101" s="175">
        <v>97</v>
      </c>
      <c r="C101" s="180"/>
      <c r="D101" s="182"/>
      <c r="E101" s="182"/>
      <c r="F101" s="182"/>
      <c r="G101" s="182"/>
      <c r="H101" s="182"/>
      <c r="I101" s="179"/>
      <c r="J101" s="182"/>
      <c r="K101" s="182"/>
      <c r="L101" s="182"/>
      <c r="M101" s="179">
        <f t="shared" si="96"/>
        <v>0</v>
      </c>
      <c r="N101" s="39">
        <f t="shared" si="18"/>
        <v>0</v>
      </c>
      <c r="O101" s="49">
        <f t="shared" si="1"/>
        <v>0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174"/>
      <c r="B102" s="175">
        <v>98</v>
      </c>
      <c r="C102" s="180"/>
      <c r="D102" s="182"/>
      <c r="E102" s="182"/>
      <c r="F102" s="182"/>
      <c r="G102" s="182"/>
      <c r="H102" s="182"/>
      <c r="I102" s="179"/>
      <c r="J102" s="182"/>
      <c r="K102" s="182"/>
      <c r="L102" s="182"/>
      <c r="M102" s="179">
        <f t="shared" si="96"/>
        <v>0</v>
      </c>
      <c r="N102" s="39">
        <f t="shared" si="18"/>
        <v>0</v>
      </c>
      <c r="O102" s="49">
        <f t="shared" si="1"/>
        <v>0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174"/>
      <c r="B103" s="175">
        <v>99</v>
      </c>
      <c r="C103" s="180"/>
      <c r="D103" s="182"/>
      <c r="E103" s="182"/>
      <c r="F103" s="182"/>
      <c r="G103" s="182"/>
      <c r="H103" s="182"/>
      <c r="I103" s="179"/>
      <c r="J103" s="182"/>
      <c r="K103" s="182"/>
      <c r="L103" s="182"/>
      <c r="M103" s="179">
        <f t="shared" si="96"/>
        <v>0</v>
      </c>
      <c r="N103" s="39">
        <f t="shared" si="18"/>
        <v>0</v>
      </c>
      <c r="O103" s="49">
        <f t="shared" si="1"/>
        <v>0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174"/>
      <c r="B104" s="175">
        <v>100</v>
      </c>
      <c r="C104" s="180"/>
      <c r="D104" s="182"/>
      <c r="E104" s="182"/>
      <c r="F104" s="182"/>
      <c r="G104" s="182"/>
      <c r="H104" s="182"/>
      <c r="I104" s="179"/>
      <c r="J104" s="182"/>
      <c r="K104" s="182"/>
      <c r="L104" s="182"/>
      <c r="M104" s="179">
        <f t="shared" si="96"/>
        <v>0</v>
      </c>
      <c r="N104" s="39">
        <f t="shared" si="18"/>
        <v>0</v>
      </c>
      <c r="O104" s="49">
        <f t="shared" si="1"/>
        <v>0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174"/>
      <c r="B105" s="175">
        <v>101</v>
      </c>
      <c r="C105" s="180"/>
      <c r="D105" s="182"/>
      <c r="E105" s="182"/>
      <c r="F105" s="182"/>
      <c r="G105" s="182"/>
      <c r="H105" s="182"/>
      <c r="I105" s="179"/>
      <c r="J105" s="182"/>
      <c r="K105" s="182"/>
      <c r="L105" s="182"/>
      <c r="M105" s="179">
        <f t="shared" si="96"/>
        <v>0</v>
      </c>
      <c r="N105" s="39">
        <f t="shared" si="18"/>
        <v>0</v>
      </c>
      <c r="O105" s="49">
        <f t="shared" si="1"/>
        <v>0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174"/>
      <c r="B106" s="175">
        <v>102</v>
      </c>
      <c r="C106" s="180"/>
      <c r="D106" s="182"/>
      <c r="E106" s="182"/>
      <c r="F106" s="182"/>
      <c r="G106" s="182"/>
      <c r="H106" s="182"/>
      <c r="I106" s="179"/>
      <c r="J106" s="182"/>
      <c r="K106" s="182"/>
      <c r="L106" s="182"/>
      <c r="M106" s="179">
        <f t="shared" si="96"/>
        <v>0</v>
      </c>
      <c r="N106" s="39">
        <f t="shared" si="18"/>
        <v>0</v>
      </c>
      <c r="O106" s="49">
        <f t="shared" si="1"/>
        <v>0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174"/>
      <c r="B107" s="175">
        <v>103</v>
      </c>
      <c r="C107" s="180"/>
      <c r="D107" s="182"/>
      <c r="E107" s="182"/>
      <c r="F107" s="182"/>
      <c r="G107" s="182"/>
      <c r="H107" s="182"/>
      <c r="I107" s="179"/>
      <c r="J107" s="182"/>
      <c r="K107" s="182"/>
      <c r="L107" s="182"/>
      <c r="M107" s="179">
        <f t="shared" si="96"/>
        <v>0</v>
      </c>
      <c r="N107" s="39">
        <f t="shared" si="18"/>
        <v>0</v>
      </c>
      <c r="O107" s="49">
        <f t="shared" si="1"/>
        <v>0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174"/>
      <c r="B108" s="175">
        <v>104</v>
      </c>
      <c r="C108" s="180"/>
      <c r="D108" s="182"/>
      <c r="E108" s="182"/>
      <c r="F108" s="182"/>
      <c r="G108" s="182"/>
      <c r="H108" s="182"/>
      <c r="I108" s="179"/>
      <c r="J108" s="182"/>
      <c r="K108" s="182"/>
      <c r="L108" s="182"/>
      <c r="M108" s="179">
        <f t="shared" si="96"/>
        <v>0</v>
      </c>
      <c r="N108" s="39">
        <f t="shared" si="18"/>
        <v>0</v>
      </c>
      <c r="O108" s="49">
        <f t="shared" si="1"/>
        <v>0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174"/>
      <c r="B109" s="175">
        <v>105</v>
      </c>
      <c r="C109" s="180"/>
      <c r="D109" s="182"/>
      <c r="E109" s="182"/>
      <c r="F109" s="182"/>
      <c r="G109" s="182"/>
      <c r="H109" s="182"/>
      <c r="I109" s="179"/>
      <c r="J109" s="182"/>
      <c r="K109" s="182"/>
      <c r="L109" s="182"/>
      <c r="M109" s="179">
        <f t="shared" si="96"/>
        <v>0</v>
      </c>
      <c r="N109" s="39">
        <f t="shared" si="18"/>
        <v>0</v>
      </c>
      <c r="O109" s="49">
        <f t="shared" si="1"/>
        <v>0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174"/>
      <c r="B110" s="175">
        <v>106</v>
      </c>
      <c r="C110" s="180"/>
      <c r="D110" s="182"/>
      <c r="E110" s="182"/>
      <c r="F110" s="182"/>
      <c r="G110" s="182"/>
      <c r="H110" s="182"/>
      <c r="I110" s="179"/>
      <c r="J110" s="182"/>
      <c r="K110" s="182"/>
      <c r="L110" s="182"/>
      <c r="M110" s="179">
        <f t="shared" si="96"/>
        <v>0</v>
      </c>
      <c r="N110" s="39">
        <f t="shared" si="18"/>
        <v>0</v>
      </c>
      <c r="O110" s="49">
        <f t="shared" si="1"/>
        <v>0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174"/>
      <c r="B111" s="175">
        <v>107</v>
      </c>
      <c r="C111" s="180"/>
      <c r="D111" s="182"/>
      <c r="E111" s="182"/>
      <c r="F111" s="182"/>
      <c r="G111" s="182"/>
      <c r="H111" s="182"/>
      <c r="I111" s="179"/>
      <c r="J111" s="182"/>
      <c r="K111" s="182"/>
      <c r="L111" s="182"/>
      <c r="M111" s="179">
        <f t="shared" si="96"/>
        <v>0</v>
      </c>
      <c r="N111" s="39">
        <f t="shared" si="18"/>
        <v>0</v>
      </c>
      <c r="O111" s="49">
        <f t="shared" si="1"/>
        <v>0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174"/>
      <c r="B112" s="175">
        <v>108</v>
      </c>
      <c r="C112" s="180"/>
      <c r="D112" s="182"/>
      <c r="E112" s="182"/>
      <c r="F112" s="182"/>
      <c r="G112" s="182"/>
      <c r="H112" s="182"/>
      <c r="I112" s="179"/>
      <c r="J112" s="182"/>
      <c r="K112" s="182"/>
      <c r="L112" s="182"/>
      <c r="M112" s="179">
        <f t="shared" si="96"/>
        <v>0</v>
      </c>
      <c r="N112" s="39">
        <f t="shared" si="18"/>
        <v>0</v>
      </c>
      <c r="O112" s="49">
        <f t="shared" si="1"/>
        <v>0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174"/>
      <c r="B113" s="175">
        <v>109</v>
      </c>
      <c r="C113" s="180"/>
      <c r="D113" s="182"/>
      <c r="E113" s="182"/>
      <c r="F113" s="182"/>
      <c r="G113" s="182"/>
      <c r="H113" s="182"/>
      <c r="I113" s="179"/>
      <c r="J113" s="182"/>
      <c r="K113" s="182"/>
      <c r="L113" s="182"/>
      <c r="M113" s="179">
        <f t="shared" si="96"/>
        <v>0</v>
      </c>
      <c r="N113" s="39">
        <f t="shared" si="18"/>
        <v>0</v>
      </c>
      <c r="O113" s="49">
        <f t="shared" si="1"/>
        <v>0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174"/>
      <c r="B114" s="175">
        <v>110</v>
      </c>
      <c r="C114" s="180"/>
      <c r="D114" s="182"/>
      <c r="E114" s="182"/>
      <c r="F114" s="182"/>
      <c r="G114" s="182"/>
      <c r="H114" s="182"/>
      <c r="I114" s="179"/>
      <c r="J114" s="182"/>
      <c r="K114" s="182"/>
      <c r="L114" s="182"/>
      <c r="M114" s="179">
        <f t="shared" si="96"/>
        <v>0</v>
      </c>
      <c r="N114" s="39">
        <f t="shared" si="18"/>
        <v>0</v>
      </c>
      <c r="O114" s="49">
        <f t="shared" si="1"/>
        <v>0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174"/>
      <c r="B115" s="175">
        <v>111</v>
      </c>
      <c r="C115" s="180"/>
      <c r="D115" s="182"/>
      <c r="E115" s="182"/>
      <c r="F115" s="182"/>
      <c r="G115" s="182"/>
      <c r="H115" s="182"/>
      <c r="I115" s="179"/>
      <c r="J115" s="182"/>
      <c r="K115" s="182"/>
      <c r="L115" s="182"/>
      <c r="M115" s="179">
        <f t="shared" si="96"/>
        <v>0</v>
      </c>
      <c r="N115" s="39">
        <f t="shared" si="18"/>
        <v>0</v>
      </c>
      <c r="O115" s="49">
        <f t="shared" si="1"/>
        <v>0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174"/>
      <c r="B116" s="175">
        <v>112</v>
      </c>
      <c r="C116" s="180"/>
      <c r="D116" s="182"/>
      <c r="E116" s="182"/>
      <c r="F116" s="182"/>
      <c r="G116" s="182"/>
      <c r="H116" s="182"/>
      <c r="I116" s="179"/>
      <c r="J116" s="182"/>
      <c r="K116" s="182"/>
      <c r="L116" s="182"/>
      <c r="M116" s="179">
        <f t="shared" si="96"/>
        <v>0</v>
      </c>
      <c r="N116" s="39">
        <f t="shared" si="18"/>
        <v>0</v>
      </c>
      <c r="O116" s="49">
        <f t="shared" si="1"/>
        <v>0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174"/>
      <c r="B117" s="175">
        <v>113</v>
      </c>
      <c r="C117" s="180"/>
      <c r="D117" s="182"/>
      <c r="E117" s="182"/>
      <c r="F117" s="182"/>
      <c r="G117" s="182"/>
      <c r="H117" s="182"/>
      <c r="I117" s="179"/>
      <c r="J117" s="182"/>
      <c r="K117" s="182"/>
      <c r="L117" s="182"/>
      <c r="M117" s="179">
        <f t="shared" si="96"/>
        <v>0</v>
      </c>
      <c r="N117" s="39">
        <f t="shared" si="18"/>
        <v>0</v>
      </c>
      <c r="O117" s="49">
        <f t="shared" si="1"/>
        <v>0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174"/>
      <c r="B118" s="175">
        <v>114</v>
      </c>
      <c r="C118" s="180"/>
      <c r="D118" s="182"/>
      <c r="E118" s="182"/>
      <c r="F118" s="182"/>
      <c r="G118" s="182"/>
      <c r="H118" s="182"/>
      <c r="I118" s="179"/>
      <c r="J118" s="182"/>
      <c r="K118" s="182"/>
      <c r="L118" s="182"/>
      <c r="M118" s="179">
        <f t="shared" si="96"/>
        <v>0</v>
      </c>
      <c r="N118" s="39">
        <f t="shared" si="18"/>
        <v>0</v>
      </c>
      <c r="O118" s="49">
        <f t="shared" si="1"/>
        <v>0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174"/>
      <c r="B119" s="175">
        <v>115</v>
      </c>
      <c r="C119" s="180"/>
      <c r="D119" s="182"/>
      <c r="E119" s="182"/>
      <c r="F119" s="182"/>
      <c r="G119" s="182"/>
      <c r="H119" s="182"/>
      <c r="I119" s="179"/>
      <c r="J119" s="182"/>
      <c r="K119" s="182"/>
      <c r="L119" s="182"/>
      <c r="M119" s="179">
        <f t="shared" si="96"/>
        <v>0</v>
      </c>
      <c r="N119" s="39">
        <f t="shared" si="18"/>
        <v>0</v>
      </c>
      <c r="O119" s="49">
        <f t="shared" si="1"/>
        <v>0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174"/>
      <c r="B120" s="175">
        <v>116</v>
      </c>
      <c r="C120" s="180"/>
      <c r="D120" s="182"/>
      <c r="E120" s="182"/>
      <c r="F120" s="182"/>
      <c r="G120" s="182"/>
      <c r="H120" s="182"/>
      <c r="I120" s="179"/>
      <c r="J120" s="182"/>
      <c r="K120" s="182"/>
      <c r="L120" s="182"/>
      <c r="M120" s="179">
        <f t="shared" si="96"/>
        <v>0</v>
      </c>
      <c r="N120" s="39">
        <f t="shared" si="18"/>
        <v>0</v>
      </c>
      <c r="O120" s="49">
        <f t="shared" si="1"/>
        <v>0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174"/>
      <c r="B121" s="175">
        <v>117</v>
      </c>
      <c r="C121" s="180"/>
      <c r="D121" s="182"/>
      <c r="E121" s="182"/>
      <c r="F121" s="182"/>
      <c r="G121" s="182"/>
      <c r="H121" s="182"/>
      <c r="I121" s="179"/>
      <c r="J121" s="182"/>
      <c r="K121" s="182"/>
      <c r="L121" s="182"/>
      <c r="M121" s="179">
        <f t="shared" si="96"/>
        <v>0</v>
      </c>
      <c r="N121" s="39">
        <f t="shared" si="18"/>
        <v>0</v>
      </c>
      <c r="O121" s="49">
        <f t="shared" si="1"/>
        <v>0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174"/>
      <c r="B122" s="175">
        <v>118</v>
      </c>
      <c r="C122" s="180"/>
      <c r="D122" s="182"/>
      <c r="E122" s="182"/>
      <c r="F122" s="182"/>
      <c r="G122" s="182"/>
      <c r="H122" s="182"/>
      <c r="I122" s="179"/>
      <c r="J122" s="182"/>
      <c r="K122" s="182"/>
      <c r="L122" s="182"/>
      <c r="M122" s="179">
        <f t="shared" si="96"/>
        <v>0</v>
      </c>
      <c r="N122" s="39">
        <f t="shared" si="18"/>
        <v>0</v>
      </c>
      <c r="O122" s="49">
        <f t="shared" si="1"/>
        <v>0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174"/>
      <c r="B123" s="175">
        <v>119</v>
      </c>
      <c r="C123" s="180"/>
      <c r="D123" s="182"/>
      <c r="E123" s="182"/>
      <c r="F123" s="182"/>
      <c r="G123" s="182"/>
      <c r="H123" s="182"/>
      <c r="I123" s="179"/>
      <c r="J123" s="182"/>
      <c r="K123" s="182"/>
      <c r="L123" s="182"/>
      <c r="M123" s="179">
        <f t="shared" si="96"/>
        <v>0</v>
      </c>
      <c r="N123" s="39">
        <f t="shared" si="18"/>
        <v>0</v>
      </c>
      <c r="O123" s="49">
        <f t="shared" si="1"/>
        <v>0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174"/>
      <c r="B124" s="183"/>
      <c r="C124" s="180"/>
      <c r="D124" s="182"/>
      <c r="E124" s="182"/>
      <c r="F124" s="182"/>
      <c r="G124" s="182"/>
      <c r="H124" s="182"/>
      <c r="I124" s="179"/>
      <c r="J124" s="182"/>
      <c r="K124" s="182"/>
      <c r="L124" s="182"/>
      <c r="M124" s="179">
        <f t="shared" si="96"/>
        <v>0</v>
      </c>
      <c r="N124" s="39">
        <f t="shared" si="18"/>
        <v>0</v>
      </c>
      <c r="O124" s="49">
        <f t="shared" si="1"/>
        <v>0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174"/>
      <c r="B125" s="183"/>
      <c r="C125" s="180"/>
      <c r="D125" s="182"/>
      <c r="E125" s="182"/>
      <c r="F125" s="182"/>
      <c r="G125" s="182"/>
      <c r="H125" s="182"/>
      <c r="I125" s="179"/>
      <c r="J125" s="182"/>
      <c r="K125" s="182"/>
      <c r="L125" s="182"/>
      <c r="M125" s="179">
        <f t="shared" si="96"/>
        <v>0</v>
      </c>
      <c r="N125" s="39">
        <f t="shared" si="18"/>
        <v>0</v>
      </c>
      <c r="O125" s="49">
        <f t="shared" si="1"/>
        <v>0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174"/>
      <c r="B126" s="183"/>
      <c r="C126" s="180"/>
      <c r="D126" s="182"/>
      <c r="E126" s="182"/>
      <c r="F126" s="182"/>
      <c r="G126" s="182"/>
      <c r="H126" s="182"/>
      <c r="I126" s="179"/>
      <c r="J126" s="182"/>
      <c r="K126" s="182"/>
      <c r="L126" s="182"/>
      <c r="M126" s="179">
        <f t="shared" si="96"/>
        <v>0</v>
      </c>
      <c r="N126" s="39">
        <f t="shared" si="18"/>
        <v>0</v>
      </c>
      <c r="O126" s="49">
        <f t="shared" si="1"/>
        <v>0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174"/>
      <c r="B127" s="183"/>
      <c r="C127" s="180"/>
      <c r="D127" s="182"/>
      <c r="E127" s="182"/>
      <c r="F127" s="182"/>
      <c r="G127" s="182"/>
      <c r="H127" s="182"/>
      <c r="I127" s="179"/>
      <c r="J127" s="182"/>
      <c r="K127" s="182"/>
      <c r="L127" s="182"/>
      <c r="M127" s="179">
        <f t="shared" si="96"/>
        <v>0</v>
      </c>
      <c r="N127" s="39">
        <f t="shared" si="18"/>
        <v>0</v>
      </c>
      <c r="O127" s="49">
        <f t="shared" si="1"/>
        <v>0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8"/>
      <c r="C128" s="129"/>
      <c r="D128" s="50"/>
      <c r="E128" s="50"/>
      <c r="F128" s="50"/>
      <c r="G128" s="50"/>
      <c r="H128" s="50"/>
      <c r="I128" s="130"/>
      <c r="J128" s="50"/>
      <c r="K128" s="50"/>
      <c r="L128" s="50"/>
      <c r="M128" s="130">
        <f t="shared" si="96"/>
        <v>0</v>
      </c>
      <c r="N128" s="39">
        <f t="shared" si="18"/>
        <v>0</v>
      </c>
      <c r="O128" s="49">
        <f t="shared" si="1"/>
        <v>0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8"/>
      <c r="C129" s="129"/>
      <c r="D129" s="50"/>
      <c r="E129" s="50"/>
      <c r="F129" s="50"/>
      <c r="G129" s="50"/>
      <c r="H129" s="50"/>
      <c r="I129" s="130"/>
      <c r="J129" s="50"/>
      <c r="K129" s="50"/>
      <c r="L129" s="50"/>
      <c r="M129" s="130">
        <f t="shared" si="96"/>
        <v>0</v>
      </c>
      <c r="N129" s="39">
        <f t="shared" si="18"/>
        <v>0</v>
      </c>
      <c r="O129" s="49">
        <f t="shared" si="1"/>
        <v>0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8"/>
      <c r="C130" s="129"/>
      <c r="D130" s="50"/>
      <c r="E130" s="50"/>
      <c r="F130" s="50"/>
      <c r="G130" s="50"/>
      <c r="H130" s="50"/>
      <c r="I130" s="130"/>
      <c r="J130" s="50"/>
      <c r="K130" s="50"/>
      <c r="L130" s="50"/>
      <c r="M130" s="130">
        <f t="shared" si="96"/>
        <v>0</v>
      </c>
      <c r="N130" s="39">
        <f t="shared" si="18"/>
        <v>0</v>
      </c>
      <c r="O130" s="49">
        <f t="shared" si="1"/>
        <v>0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8"/>
      <c r="C131" s="129"/>
      <c r="D131" s="50"/>
      <c r="E131" s="50"/>
      <c r="F131" s="50"/>
      <c r="G131" s="50"/>
      <c r="H131" s="50"/>
      <c r="I131" s="130"/>
      <c r="J131" s="50"/>
      <c r="K131" s="50"/>
      <c r="L131" s="50"/>
      <c r="M131" s="130">
        <f t="shared" si="96"/>
        <v>0</v>
      </c>
      <c r="N131" s="39">
        <f t="shared" si="18"/>
        <v>0</v>
      </c>
      <c r="O131" s="49">
        <f t="shared" si="1"/>
        <v>0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2" t="s">
        <v>11</v>
      </c>
      <c r="C132" s="163"/>
      <c r="D132" s="84">
        <f t="shared" ref="D132:L132" si="104">SUM(D6:D60)</f>
        <v>0</v>
      </c>
      <c r="E132" s="84">
        <f t="shared" si="104"/>
        <v>0</v>
      </c>
      <c r="F132" s="84">
        <f t="shared" si="104"/>
        <v>0</v>
      </c>
      <c r="G132" s="84">
        <f t="shared" si="104"/>
        <v>0</v>
      </c>
      <c r="H132" s="84">
        <f t="shared" si="104"/>
        <v>0</v>
      </c>
      <c r="I132" s="84">
        <f t="shared" si="104"/>
        <v>0</v>
      </c>
      <c r="J132" s="84">
        <f t="shared" si="104"/>
        <v>0</v>
      </c>
      <c r="K132" s="84">
        <f t="shared" si="104"/>
        <v>0</v>
      </c>
      <c r="L132" s="84">
        <f t="shared" si="104"/>
        <v>0</v>
      </c>
      <c r="M132" s="48">
        <f t="shared" ref="M132:M135" si="105">SUM(D132:L132)/40</f>
        <v>0</v>
      </c>
      <c r="N132" s="39">
        <f t="shared" si="18"/>
        <v>0</v>
      </c>
      <c r="O132" s="49">
        <f t="shared" si="1"/>
        <v>0</v>
      </c>
      <c r="P132" s="73">
        <f t="shared" ref="P132:P136" si="106">SUM(G132:I132)/20</f>
        <v>0</v>
      </c>
      <c r="Q132" s="40">
        <f t="shared" ref="Q132:Q136" si="107">SUM(J132:L132)/20</f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8">
        <v>0</v>
      </c>
      <c r="C133" s="57" t="s">
        <v>70</v>
      </c>
      <c r="D133" s="109"/>
      <c r="E133" s="110"/>
      <c r="F133" s="111"/>
      <c r="G133" s="110"/>
      <c r="H133" s="110"/>
      <c r="I133" s="111"/>
      <c r="J133" s="110"/>
      <c r="K133" s="110"/>
      <c r="L133" s="111"/>
      <c r="M133" s="112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0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0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50" t="s">
        <v>71</v>
      </c>
      <c r="C136" s="151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3">
        <f>SUM(M133:M135)</f>
        <v>0</v>
      </c>
      <c r="N136" s="59">
        <f t="shared" si="18"/>
        <v>0</v>
      </c>
      <c r="O136" s="58">
        <f t="shared" si="1"/>
        <v>0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40" t="s">
        <v>11</v>
      </c>
      <c r="C137" s="141"/>
      <c r="D137" s="85">
        <f>SUM(D132,D136)</f>
        <v>0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0</v>
      </c>
      <c r="H137" s="85">
        <f t="shared" si="112"/>
        <v>0</v>
      </c>
      <c r="I137" s="85">
        <f t="shared" si="112"/>
        <v>0</v>
      </c>
      <c r="J137" s="85">
        <f t="shared" si="112"/>
        <v>0</v>
      </c>
      <c r="K137" s="85">
        <f t="shared" si="112"/>
        <v>0</v>
      </c>
      <c r="L137" s="85">
        <f t="shared" si="112"/>
        <v>0</v>
      </c>
      <c r="M137" s="60">
        <f t="shared" si="0"/>
        <v>0</v>
      </c>
      <c r="N137" s="63">
        <f>SUM(N5:N136)</f>
        <v>0</v>
      </c>
      <c r="O137" s="61">
        <f t="shared" ref="O137:Y137" si="113">SUM(O5:O136)</f>
        <v>0</v>
      </c>
      <c r="P137" s="62">
        <f t="shared" si="113"/>
        <v>0</v>
      </c>
      <c r="Q137" s="64">
        <f t="shared" si="113"/>
        <v>0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H9" sqref="H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6" t="s">
        <v>49</v>
      </c>
      <c r="D3" s="167"/>
      <c r="E3" s="167"/>
      <c r="F3" s="167"/>
      <c r="G3" s="168"/>
      <c r="H3" s="170" t="s">
        <v>63</v>
      </c>
      <c r="I3" s="171"/>
      <c r="K3" s="172" t="s">
        <v>67</v>
      </c>
      <c r="L3" s="172"/>
      <c r="M3" s="172"/>
      <c r="N3" s="172"/>
      <c r="O3" s="172"/>
      <c r="P3" s="172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59</v>
      </c>
      <c r="G4" s="100" t="s">
        <v>48</v>
      </c>
      <c r="H4" s="93" t="s">
        <v>63</v>
      </c>
      <c r="I4" s="94" t="s">
        <v>64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68</v>
      </c>
      <c r="P4" s="139" t="s">
        <v>89</v>
      </c>
    </row>
    <row r="5" spans="3:26" ht="32" customHeight="1" x14ac:dyDescent="0.55000000000000004">
      <c r="C5" s="101" t="s">
        <v>50</v>
      </c>
      <c r="D5" s="88"/>
      <c r="E5" s="79"/>
      <c r="F5" s="79"/>
      <c r="G5" s="102">
        <f>SUM(D5:F5)</f>
        <v>0</v>
      </c>
      <c r="H5" s="95">
        <v>10000</v>
      </c>
      <c r="I5" s="96">
        <f>G5-H5</f>
        <v>-10000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51</v>
      </c>
      <c r="D6" s="104"/>
      <c r="E6" s="105"/>
      <c r="F6" s="105"/>
      <c r="G6" s="106">
        <f>SUM(D6:F6)</f>
        <v>0</v>
      </c>
      <c r="H6" s="97">
        <f>H5*40</f>
        <v>400000</v>
      </c>
      <c r="I6" s="98">
        <f>G6-H6</f>
        <v>-400000</v>
      </c>
      <c r="K6" s="1" t="s">
        <v>2</v>
      </c>
      <c r="L6" s="7">
        <v>70</v>
      </c>
      <c r="M6" s="5"/>
      <c r="N6" s="6">
        <f t="shared" si="0"/>
        <v>0</v>
      </c>
      <c r="O6" s="81"/>
      <c r="S6" s="125"/>
      <c r="T6" s="125"/>
      <c r="U6" s="138">
        <v>46180</v>
      </c>
      <c r="V6" s="138">
        <v>46180</v>
      </c>
      <c r="W6" s="138">
        <v>46333</v>
      </c>
      <c r="X6" s="138">
        <v>46210</v>
      </c>
      <c r="Y6" s="138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7" t="s">
        <v>88</v>
      </c>
      <c r="T7" s="137" t="s">
        <v>87</v>
      </c>
      <c r="U7" s="77" t="s">
        <v>81</v>
      </c>
      <c r="V7" s="137" t="s">
        <v>85</v>
      </c>
      <c r="W7" s="137" t="s">
        <v>84</v>
      </c>
      <c r="X7" s="137" t="s">
        <v>84</v>
      </c>
      <c r="Y7" s="137" t="s">
        <v>84</v>
      </c>
      <c r="Z7" s="137" t="s">
        <v>86</v>
      </c>
    </row>
    <row r="8" spans="3:26" ht="23.5" x14ac:dyDescent="0.55000000000000004">
      <c r="C8" s="82" t="s">
        <v>52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80</v>
      </c>
      <c r="U8" s="136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53</v>
      </c>
      <c r="D9" s="107">
        <f>D8-D5</f>
        <v>0</v>
      </c>
      <c r="E9" s="107">
        <f>E8-E5</f>
        <v>0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6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82</v>
      </c>
      <c r="U10" s="136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69" t="s">
        <v>60</v>
      </c>
      <c r="D11" s="169"/>
      <c r="F11" s="169" t="s">
        <v>69</v>
      </c>
      <c r="G11" s="169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80</v>
      </c>
      <c r="U11" s="136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89" t="s">
        <v>50</v>
      </c>
      <c r="D12" s="87">
        <v>4200</v>
      </c>
      <c r="F12" s="89" t="s">
        <v>50</v>
      </c>
      <c r="G12" s="91">
        <f>D12+G5</f>
        <v>4200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83</v>
      </c>
      <c r="U12" s="136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0" t="s">
        <v>51</v>
      </c>
      <c r="D13" s="91">
        <f>D12*40</f>
        <v>168000</v>
      </c>
      <c r="F13" s="90" t="s">
        <v>51</v>
      </c>
      <c r="G13" s="91">
        <f>G12*40</f>
        <v>168000</v>
      </c>
      <c r="S13" s="164" t="s">
        <v>86</v>
      </c>
      <c r="T13" s="164"/>
      <c r="U13" s="136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18" t="s">
        <v>75</v>
      </c>
      <c r="L16" s="118" t="s">
        <v>8</v>
      </c>
      <c r="M16" s="118" t="s">
        <v>62</v>
      </c>
      <c r="N16" s="118" t="s">
        <v>74</v>
      </c>
      <c r="O16" s="118" t="s">
        <v>76</v>
      </c>
    </row>
    <row r="17" spans="4:15" ht="23.5" x14ac:dyDescent="0.55000000000000004">
      <c r="K17" s="114" t="s">
        <v>1</v>
      </c>
      <c r="L17" s="116">
        <v>70</v>
      </c>
      <c r="M17" s="115"/>
      <c r="N17" s="122"/>
      <c r="O17" s="123">
        <f>N17-M5</f>
        <v>0</v>
      </c>
    </row>
    <row r="18" spans="4:15" ht="23.5" x14ac:dyDescent="0.55000000000000004">
      <c r="K18" s="1" t="s">
        <v>2</v>
      </c>
      <c r="L18" s="117">
        <v>70</v>
      </c>
      <c r="M18" s="5"/>
      <c r="N18" s="5"/>
      <c r="O18" s="123">
        <f>N18-M6</f>
        <v>0</v>
      </c>
    </row>
    <row r="19" spans="4:15" ht="23.5" x14ac:dyDescent="0.55000000000000004">
      <c r="F19" t="s">
        <v>90</v>
      </c>
      <c r="K19" s="1" t="s">
        <v>3</v>
      </c>
      <c r="L19" s="117">
        <v>70</v>
      </c>
      <c r="M19" s="5"/>
      <c r="N19" s="5"/>
      <c r="O19" s="123">
        <f t="shared" ref="O19:O23" si="3">N19-M7</f>
        <v>0</v>
      </c>
    </row>
    <row r="20" spans="4:15" ht="24" thickBot="1" x14ac:dyDescent="0.6">
      <c r="D20" s="165" t="s">
        <v>67</v>
      </c>
      <c r="E20" s="165"/>
      <c r="F20" s="165"/>
      <c r="G20" s="165"/>
      <c r="H20" s="165"/>
      <c r="K20" s="1" t="s">
        <v>4</v>
      </c>
      <c r="L20" s="117">
        <v>120</v>
      </c>
      <c r="M20" s="5"/>
      <c r="N20" s="5"/>
      <c r="O20" s="123">
        <f t="shared" si="3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68</v>
      </c>
      <c r="K21" s="1" t="s">
        <v>5</v>
      </c>
      <c r="L21" s="117">
        <v>120</v>
      </c>
      <c r="M21" s="5"/>
      <c r="N21" s="5"/>
      <c r="O21" s="123">
        <f t="shared" si="3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4">F22/40</f>
        <v>0</v>
      </c>
      <c r="H22" s="81"/>
      <c r="K22" s="1" t="s">
        <v>6</v>
      </c>
      <c r="L22" s="117">
        <v>120</v>
      </c>
      <c r="M22" s="5"/>
      <c r="N22" s="5"/>
      <c r="O22" s="123">
        <f t="shared" si="3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4"/>
        <v>0</v>
      </c>
      <c r="H23" s="81"/>
      <c r="K23" s="1" t="s">
        <v>7</v>
      </c>
      <c r="L23" s="117">
        <v>60</v>
      </c>
      <c r="M23" s="5"/>
      <c r="N23" s="5"/>
      <c r="O23" s="123">
        <f t="shared" si="3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4"/>
        <v>0</v>
      </c>
      <c r="H24" s="81"/>
      <c r="K24" s="119" t="s">
        <v>72</v>
      </c>
      <c r="L24" s="120"/>
      <c r="M24" s="121">
        <f>SUM(M17:M23)</f>
        <v>0</v>
      </c>
      <c r="N24" s="121">
        <f>SUM(N17:N23)</f>
        <v>0</v>
      </c>
      <c r="O24" s="118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4"/>
        <v>0</v>
      </c>
      <c r="H25" s="81"/>
      <c r="K25" s="119" t="s">
        <v>73</v>
      </c>
      <c r="L25" s="120"/>
      <c r="M25" s="121">
        <f>M24/40</f>
        <v>0</v>
      </c>
      <c r="N25" s="121">
        <f>N24/40</f>
        <v>0</v>
      </c>
      <c r="O25" s="118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4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4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4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  <c r="K29">
        <v>300</v>
      </c>
    </row>
    <row r="30" spans="4:15" x14ac:dyDescent="0.35">
      <c r="J30">
        <f>K30+K29</f>
        <v>1067</v>
      </c>
      <c r="K30">
        <v>767</v>
      </c>
    </row>
    <row r="31" spans="4:15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2026-08-01T08:25:29Z</dcterms:modified>
</cp:coreProperties>
</file>