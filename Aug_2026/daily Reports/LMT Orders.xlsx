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6F9212D-A787-43EB-93A4-8837CB21D00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<sst xmlns="http://schemas.openxmlformats.org/spreadsheetml/2006/main" count="177" uniqueCount="121">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</sst>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30" xfId="0" applyFont="1" applyFill="1" applyBorder="1" applyAlignment="1">
      <alignment horizontal="left"/>
    </xf>
    <xf numFmtId="0" fontId="5" fillId="0" borderId="31" xfId="0" applyFont="1" applyFill="1" applyBorder="1"/>
    <xf numFmtId="0" fontId="5" fillId="0" borderId="1" xfId="0" applyFont="1" applyFill="1" applyBorder="1"/>
    <xf numFmtId="0" fontId="5" fillId="0" borderId="32" xfId="0" applyFont="1" applyFill="1" applyBorder="1"/>
    <xf numFmtId="0" fontId="5" fillId="0" borderId="33" xfId="0" applyFont="1" applyFill="1" applyBorder="1"/>
    <xf numFmtId="0" fontId="5" fillId="0" borderId="3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abSelected="1" zoomScaleNormal="100" workbookViewId="0">
      <selection activeCell="D8" sqref="D8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7">
        <f ca="1">TODAY()</f>
        <v>46252</v>
      </c>
      <c r="C1" s="147"/>
      <c r="D1" s="147"/>
      <c r="E1" s="147"/>
      <c r="F1" s="14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4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4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51" t="s">
        <v>16</v>
      </c>
      <c r="S3" s="152"/>
      <c r="T3" s="152"/>
      <c r="U3" s="153"/>
      <c r="V3" s="154" t="s">
        <v>17</v>
      </c>
      <c r="W3" s="155"/>
      <c r="X3" s="155"/>
      <c r="Y3" s="156"/>
    </row>
    <row r="4" spans="1:25" ht="15" thickBot="1" x14ac:dyDescent="0.4">
      <c r="A4" s="169"/>
      <c r="B4" s="15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181">
        <v>46246</v>
      </c>
      <c r="B29" s="182">
        <v>25</v>
      </c>
      <c r="C29" s="183" t="s">
        <v>53</v>
      </c>
      <c r="D29" s="184">
        <v>40</v>
      </c>
      <c r="E29" s="185"/>
      <c r="F29" s="186"/>
      <c r="G29" s="187">
        <v>40</v>
      </c>
      <c r="H29" s="185">
        <v>40</v>
      </c>
      <c r="I29" s="188">
        <v>40</v>
      </c>
      <c r="J29" s="187">
        <v>20</v>
      </c>
      <c r="K29" s="185">
        <v>20</v>
      </c>
      <c r="L29" s="18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181">
        <v>46246</v>
      </c>
      <c r="B30" s="182">
        <v>26</v>
      </c>
      <c r="C30" s="183" t="s">
        <v>111</v>
      </c>
      <c r="D30" s="184"/>
      <c r="E30" s="185"/>
      <c r="F30" s="186"/>
      <c r="G30" s="187">
        <v>200</v>
      </c>
      <c r="H30" s="185">
        <v>200</v>
      </c>
      <c r="I30" s="188">
        <v>200</v>
      </c>
      <c r="J30" s="187">
        <v>200</v>
      </c>
      <c r="K30" s="185">
        <v>200</v>
      </c>
      <c r="L30" s="18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181">
        <v>46246</v>
      </c>
      <c r="B31" s="182">
        <v>27</v>
      </c>
      <c r="C31" s="183" t="s">
        <v>112</v>
      </c>
      <c r="D31" s="184"/>
      <c r="E31" s="185"/>
      <c r="F31" s="186"/>
      <c r="G31" s="187">
        <v>40</v>
      </c>
      <c r="H31" s="185">
        <v>40</v>
      </c>
      <c r="I31" s="188">
        <v>40</v>
      </c>
      <c r="J31" s="187">
        <v>40</v>
      </c>
      <c r="K31" s="185">
        <v>40</v>
      </c>
      <c r="L31" s="18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181">
        <v>46246</v>
      </c>
      <c r="B32" s="47">
        <v>28</v>
      </c>
      <c r="C32" s="183" t="s">
        <v>91</v>
      </c>
      <c r="D32" s="184"/>
      <c r="E32" s="185"/>
      <c r="F32" s="186"/>
      <c r="G32" s="187">
        <v>200</v>
      </c>
      <c r="H32" s="185"/>
      <c r="I32" s="188">
        <v>160</v>
      </c>
      <c r="J32" s="187">
        <v>120</v>
      </c>
      <c r="K32" s="185"/>
      <c r="L32" s="18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181">
        <v>46246</v>
      </c>
      <c r="B33" s="47">
        <v>29</v>
      </c>
      <c r="C33" s="183" t="s">
        <v>103</v>
      </c>
      <c r="D33" s="184"/>
      <c r="E33" s="185"/>
      <c r="F33" s="186"/>
      <c r="G33" s="187">
        <v>120</v>
      </c>
      <c r="H33" s="185">
        <v>80</v>
      </c>
      <c r="I33" s="188">
        <v>40</v>
      </c>
      <c r="J33" s="187">
        <v>140</v>
      </c>
      <c r="K33" s="185">
        <v>120</v>
      </c>
      <c r="L33" s="18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181">
        <v>46246</v>
      </c>
      <c r="B34" s="47">
        <v>30</v>
      </c>
      <c r="C34" s="183" t="s">
        <v>33</v>
      </c>
      <c r="D34" s="184">
        <v>4000</v>
      </c>
      <c r="E34" s="185"/>
      <c r="F34" s="186"/>
      <c r="G34" s="187">
        <v>1600</v>
      </c>
      <c r="H34" s="185">
        <v>1600</v>
      </c>
      <c r="I34" s="188">
        <v>800</v>
      </c>
      <c r="J34" s="187">
        <v>4000</v>
      </c>
      <c r="K34" s="185">
        <v>3200</v>
      </c>
      <c r="L34" s="18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181">
        <v>46246</v>
      </c>
      <c r="B35" s="47">
        <v>31</v>
      </c>
      <c r="C35" s="183" t="s">
        <v>116</v>
      </c>
      <c r="D35" s="184"/>
      <c r="E35" s="185"/>
      <c r="F35" s="186"/>
      <c r="G35" s="187"/>
      <c r="H35" s="185"/>
      <c r="I35" s="188"/>
      <c r="J35" s="187">
        <v>880</v>
      </c>
      <c r="K35" s="185">
        <v>640</v>
      </c>
      <c r="L35" s="18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181">
        <v>46247</v>
      </c>
      <c r="B36" s="47">
        <v>32</v>
      </c>
      <c r="C36" s="183" t="s">
        <v>113</v>
      </c>
      <c r="D36" s="184"/>
      <c r="E36" s="185"/>
      <c r="F36" s="186"/>
      <c r="G36" s="187"/>
      <c r="H36" s="185"/>
      <c r="I36" s="188">
        <v>200</v>
      </c>
      <c r="J36" s="187">
        <v>40</v>
      </c>
      <c r="K36" s="185">
        <v>40</v>
      </c>
      <c r="L36" s="18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140">
        <v>46249</v>
      </c>
      <c r="B39" s="182">
        <v>35</v>
      </c>
      <c r="C39" s="142" t="s">
        <v>118</v>
      </c>
      <c r="D39" s="143">
        <v>40</v>
      </c>
      <c r="E39" s="144"/>
      <c r="F39" s="145"/>
      <c r="G39" s="146">
        <v>20</v>
      </c>
      <c r="H39" s="144">
        <v>20</v>
      </c>
      <c r="I39" s="56">
        <v>40</v>
      </c>
      <c r="J39" s="146">
        <v>40</v>
      </c>
      <c r="K39" s="144">
        <v>20</v>
      </c>
      <c r="L39" s="145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140">
        <v>46249</v>
      </c>
      <c r="B40" s="182">
        <v>36</v>
      </c>
      <c r="C40" s="142" t="s">
        <v>119</v>
      </c>
      <c r="D40" s="143">
        <v>80</v>
      </c>
      <c r="E40" s="144"/>
      <c r="F40" s="145"/>
      <c r="G40" s="146">
        <v>103</v>
      </c>
      <c r="H40" s="144">
        <v>104</v>
      </c>
      <c r="I40" s="56">
        <v>38</v>
      </c>
      <c r="J40" s="146">
        <v>68</v>
      </c>
      <c r="K40" s="144">
        <v>93</v>
      </c>
      <c r="L40" s="145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140">
        <v>46249</v>
      </c>
      <c r="B41" s="182">
        <v>37</v>
      </c>
      <c r="C41" s="142" t="s">
        <v>120</v>
      </c>
      <c r="D41" s="143"/>
      <c r="E41" s="144"/>
      <c r="F41" s="145"/>
      <c r="G41" s="146">
        <v>120</v>
      </c>
      <c r="H41" s="144">
        <v>200</v>
      </c>
      <c r="I41" s="56">
        <v>200</v>
      </c>
      <c r="J41" s="146"/>
      <c r="K41" s="144">
        <v>200</v>
      </c>
      <c r="L41" s="145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si="68"/>
        <v>0</v>
      </c>
      <c r="N47" s="39">
        <f t="shared" si="18"/>
        <v>0</v>
      </c>
      <c r="O47" s="49">
        <f t="shared" si="1"/>
        <v>62.470500000000001</v>
      </c>
      <c r="P47" s="73">
        <f t="shared" si="69"/>
        <v>0</v>
      </c>
      <c r="Q47" s="40">
        <f t="shared" si="70"/>
        <v>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ref="M48:M60" si="83">SUM(D48:L48)/40</f>
        <v>0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0</v>
      </c>
      <c r="Q48" s="40">
        <f t="shared" ref="Q48:Q60" si="85">SUM(J48:L48)/20</f>
        <v>0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/>
      <c r="B49" s="182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83"/>
        <v>0</v>
      </c>
      <c r="N49" s="39">
        <f t="shared" si="18"/>
        <v>0</v>
      </c>
      <c r="O49" s="49">
        <f t="shared" si="1"/>
        <v>62.470500000000001</v>
      </c>
      <c r="P49" s="73">
        <f t="shared" si="84"/>
        <v>0</v>
      </c>
      <c r="Q49" s="40">
        <f t="shared" si="85"/>
        <v>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/>
      <c r="B50" s="182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83"/>
        <v>0</v>
      </c>
      <c r="N50" s="39">
        <f t="shared" si="18"/>
        <v>0</v>
      </c>
      <c r="O50" s="49">
        <f t="shared" si="1"/>
        <v>62.470500000000001</v>
      </c>
      <c r="P50" s="73">
        <f t="shared" si="84"/>
        <v>0</v>
      </c>
      <c r="Q50" s="40">
        <f t="shared" si="85"/>
        <v>0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/>
      <c r="B51" s="182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83"/>
        <v>0</v>
      </c>
      <c r="N51" s="39">
        <f t="shared" si="18"/>
        <v>0</v>
      </c>
      <c r="O51" s="49">
        <f t="shared" si="1"/>
        <v>62.470500000000001</v>
      </c>
      <c r="P51" s="73">
        <f t="shared" si="84"/>
        <v>0</v>
      </c>
      <c r="Q51" s="40">
        <f t="shared" si="85"/>
        <v>0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83"/>
        <v>0</v>
      </c>
      <c r="N52" s="39">
        <f t="shared" si="18"/>
        <v>0</v>
      </c>
      <c r="O52" s="49">
        <f t="shared" si="1"/>
        <v>62.470500000000001</v>
      </c>
      <c r="P52" s="73">
        <f t="shared" si="84"/>
        <v>0</v>
      </c>
      <c r="Q52" s="40">
        <f t="shared" si="85"/>
        <v>0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83"/>
        <v>0</v>
      </c>
      <c r="N53" s="39">
        <f t="shared" si="18"/>
        <v>0</v>
      </c>
      <c r="O53" s="49">
        <f t="shared" si="1"/>
        <v>62.470500000000001</v>
      </c>
      <c r="P53" s="73">
        <f t="shared" si="84"/>
        <v>0</v>
      </c>
      <c r="Q53" s="40">
        <f t="shared" si="85"/>
        <v>0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83"/>
        <v>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83"/>
        <v>0</v>
      </c>
      <c r="N55" s="39">
        <f t="shared" si="18"/>
        <v>0</v>
      </c>
      <c r="O55" s="49">
        <f t="shared" si="1"/>
        <v>62.470500000000001</v>
      </c>
      <c r="P55" s="73">
        <f t="shared" si="84"/>
        <v>0</v>
      </c>
      <c r="Q55" s="40">
        <f t="shared" si="85"/>
        <v>0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83"/>
        <v>0</v>
      </c>
      <c r="N56" s="39">
        <f t="shared" si="18"/>
        <v>0</v>
      </c>
      <c r="O56" s="49">
        <f t="shared" si="1"/>
        <v>62.470500000000001</v>
      </c>
      <c r="P56" s="73">
        <f t="shared" si="84"/>
        <v>0</v>
      </c>
      <c r="Q56" s="40">
        <f t="shared" si="85"/>
        <v>0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/>
      <c r="B57" s="47">
        <v>53</v>
      </c>
      <c r="C57" s="57"/>
      <c r="D57" s="74"/>
      <c r="E57" s="75"/>
      <c r="F57" s="76"/>
      <c r="G57" s="50"/>
      <c r="H57" s="75"/>
      <c r="I57" s="49"/>
      <c r="J57" s="50"/>
      <c r="K57" s="75"/>
      <c r="L57" s="76"/>
      <c r="M57" s="48">
        <f t="shared" si="83"/>
        <v>0</v>
      </c>
      <c r="N57" s="39">
        <f t="shared" si="18"/>
        <v>0</v>
      </c>
      <c r="O57" s="49">
        <f t="shared" si="1"/>
        <v>62.470500000000001</v>
      </c>
      <c r="P57" s="73">
        <f t="shared" si="84"/>
        <v>0</v>
      </c>
      <c r="Q57" s="40">
        <f t="shared" si="85"/>
        <v>0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83"/>
        <v>0</v>
      </c>
      <c r="N58" s="39">
        <f t="shared" si="18"/>
        <v>0</v>
      </c>
      <c r="O58" s="49">
        <f t="shared" si="1"/>
        <v>62.470500000000001</v>
      </c>
      <c r="P58" s="73">
        <f t="shared" si="84"/>
        <v>0</v>
      </c>
      <c r="Q58" s="40">
        <f t="shared" si="85"/>
        <v>0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/>
      <c r="B59" s="182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0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/>
      <c r="B60" s="182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83"/>
        <v>0</v>
      </c>
      <c r="N60" s="39">
        <f t="shared" si="18"/>
        <v>0</v>
      </c>
      <c r="O60" s="49">
        <f t="shared" si="1"/>
        <v>62.470500000000001</v>
      </c>
      <c r="P60" s="73">
        <f t="shared" si="84"/>
        <v>0</v>
      </c>
      <c r="Q60" s="40">
        <f t="shared" si="85"/>
        <v>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/>
      <c r="B61" s="182">
        <v>57</v>
      </c>
      <c r="C61" s="57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si="52"/>
        <v>0</v>
      </c>
      <c r="N61" s="39">
        <f t="shared" si="18"/>
        <v>0</v>
      </c>
      <c r="O61" s="49">
        <f t="shared" si="1"/>
        <v>62.470500000000001</v>
      </c>
      <c r="P61" s="73">
        <f t="shared" si="53"/>
        <v>0</v>
      </c>
      <c r="Q61" s="40">
        <f t="shared" si="54"/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ref="M62:M84" si="88">SUM(D62:L62)/40</f>
        <v>0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0</v>
      </c>
      <c r="Q62" s="40">
        <f t="shared" ref="Q62:Q79" si="90">SUM(J62:L62)/20</f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8"/>
        <v>0</v>
      </c>
      <c r="N63" s="39">
        <f t="shared" si="18"/>
        <v>0</v>
      </c>
      <c r="O63" s="49">
        <f t="shared" si="1"/>
        <v>62.470500000000001</v>
      </c>
      <c r="P63" s="73">
        <f t="shared" si="89"/>
        <v>0</v>
      </c>
      <c r="Q63" s="40">
        <f t="shared" si="90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8"/>
        <v>0</v>
      </c>
      <c r="N64" s="39">
        <f t="shared" si="18"/>
        <v>0</v>
      </c>
      <c r="O64" s="49">
        <f t="shared" si="1"/>
        <v>62.470500000000001</v>
      </c>
      <c r="P64" s="73">
        <f t="shared" si="89"/>
        <v>0</v>
      </c>
      <c r="Q64" s="40">
        <f t="shared" si="90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8"/>
        <v>0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8"/>
        <v>0</v>
      </c>
      <c r="N66" s="39">
        <f t="shared" si="18"/>
        <v>0</v>
      </c>
      <c r="O66" s="49">
        <f t="shared" si="1"/>
        <v>62.470500000000001</v>
      </c>
      <c r="P66" s="73">
        <f t="shared" si="89"/>
        <v>0</v>
      </c>
      <c r="Q66" s="40">
        <f t="shared" si="90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8"/>
        <v>0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8"/>
        <v>0</v>
      </c>
      <c r="N68" s="39">
        <f t="shared" si="18"/>
        <v>0</v>
      </c>
      <c r="O68" s="49">
        <f t="shared" si="1"/>
        <v>62.470500000000001</v>
      </c>
      <c r="P68" s="73">
        <f t="shared" si="89"/>
        <v>0</v>
      </c>
      <c r="Q68" s="40">
        <f t="shared" si="90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182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182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182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182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182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182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182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182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182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182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182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182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182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182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182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182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182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182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57" t="s">
        <v>11</v>
      </c>
      <c r="C133" s="158"/>
      <c r="D133" s="84">
        <f t="shared" ref="D133:L133" si="111">SUM(D6:D61)</f>
        <v>6203</v>
      </c>
      <c r="E133" s="84">
        <f t="shared" si="111"/>
        <v>0</v>
      </c>
      <c r="F133" s="84">
        <f t="shared" si="111"/>
        <v>0</v>
      </c>
      <c r="G133" s="84">
        <f t="shared" si="111"/>
        <v>4745</v>
      </c>
      <c r="H133" s="84">
        <f t="shared" si="111"/>
        <v>4971</v>
      </c>
      <c r="I133" s="84">
        <f t="shared" si="111"/>
        <v>7117</v>
      </c>
      <c r="J133" s="84">
        <f t="shared" si="111"/>
        <v>9329</v>
      </c>
      <c r="K133" s="84">
        <f t="shared" si="111"/>
        <v>8770</v>
      </c>
      <c r="L133" s="84">
        <f t="shared" si="111"/>
        <v>11292</v>
      </c>
      <c r="M133" s="48">
        <f t="shared" ref="M133:M136" si="112">SUM(D133:L133)/40</f>
        <v>1310.675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841.65</v>
      </c>
      <c r="Q133" s="40">
        <f t="shared" ref="Q133:Q137" si="114">SUM(J133:L133)/20</f>
        <v>1469.55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0" t="s">
        <v>70</v>
      </c>
      <c r="C137" s="171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59" t="s">
        <v>11</v>
      </c>
      <c r="C138" s="160"/>
      <c r="D138" s="85">
        <f>SUM(D133,D137)</f>
        <v>6203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4745</v>
      </c>
      <c r="H138" s="85">
        <f t="shared" si="119"/>
        <v>4971</v>
      </c>
      <c r="I138" s="85">
        <f t="shared" si="119"/>
        <v>7117</v>
      </c>
      <c r="J138" s="85">
        <f t="shared" si="119"/>
        <v>9329</v>
      </c>
      <c r="K138" s="85">
        <f t="shared" si="119"/>
        <v>8770</v>
      </c>
      <c r="L138" s="85">
        <f t="shared" si="119"/>
        <v>11292</v>
      </c>
      <c r="M138" s="60">
        <f t="shared" si="0"/>
        <v>1310.675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1689.3</v>
      </c>
      <c r="Q138" s="64">
        <f t="shared" si="120"/>
        <v>2943.1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38:C138"/>
    <mergeCell ref="M2:O2"/>
    <mergeCell ref="P2:Q2"/>
    <mergeCell ref="M3:O3"/>
    <mergeCell ref="A2:A4"/>
    <mergeCell ref="B137:C137"/>
    <mergeCell ref="B1:F1"/>
    <mergeCell ref="B2:B4"/>
    <mergeCell ref="R3:U3"/>
    <mergeCell ref="V3:Y3"/>
    <mergeCell ref="B133:C133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472</v>
      </c>
      <c r="E5" s="79">
        <v>771</v>
      </c>
      <c r="F5" s="79">
        <v>600</v>
      </c>
      <c r="G5" s="102">
        <f>SUM(D5:F5)</f>
        <v>1843</v>
      </c>
      <c r="H5" s="95">
        <v>10000</v>
      </c>
      <c r="I5" s="96">
        <f>G5-H5</f>
        <v>-8157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18880</v>
      </c>
      <c r="E6" s="104">
        <f t="shared" ref="E6:F6" si="1">E5*40</f>
        <v>30840</v>
      </c>
      <c r="F6" s="104">
        <f t="shared" si="1"/>
        <v>24000</v>
      </c>
      <c r="G6" s="105">
        <f>SUM(D6:F6)</f>
        <v>73720</v>
      </c>
      <c r="H6" s="97">
        <f>H5*40</f>
        <v>400000</v>
      </c>
      <c r="I6" s="98">
        <f>G6-H6</f>
        <v>-326280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/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-472</v>
      </c>
      <c r="E9" s="106">
        <f>E8-E5</f>
        <v>-771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/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6043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0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241720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2026-08-18T04:38:40Z</dcterms:modified>
</cp:coreProperties>
</file>