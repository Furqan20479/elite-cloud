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CD820C4D-44C5-4DA4-8609-6B1DBAC86601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<sst xmlns="http://schemas.openxmlformats.org/spreadsheetml/2006/main" count="198" uniqueCount="137">
  <si>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</si>
  <si>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</si>
  <si>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</si>
  <si>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</si>
  <si>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</si>
  <si>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</si>
  <si>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</si>
  <si>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</si>
  <si>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</si>
  <si>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</si>
  <si>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</si>
  <si>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</si>
  <si>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</si>
  <si>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</si>
  <si>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</si>
  <si>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</si>
  <si>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</si>
  <si>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</si>
  <si>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</si>
  <si>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</si>
  <si>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</si>
  <si>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</si>
  <si>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</si>
  <si>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</si>
  <si>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</si>
  <si>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</si>
  <si>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</si>
  <si>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</si>
  <si>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</si>
  <si>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</si>
  <si>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</si>
  <si>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</si>
  <si>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</si>
  <si>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</si>
  <si>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</si>
  <si>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</si>
  <si>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</si>
  <si>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</si>
  <si>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</si>
  <si>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</si>
  <si>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</si>
  <si>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</si>
  <si>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</si>
  <si>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</si>
  <si>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</si>
  <si>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</si>
  <si>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</si>
  <si>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</si>
  <si>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</si>
  <si>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</si>
  <si>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</si>
  <si>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</si>
  <si>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</si>
  <si>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</si>
  <si>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</si>
  <si>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</si>
  <si>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</si>
  <si>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</si>
  <si>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</si>
  <si>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</si>
  <si>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</si>
  <si>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</si>
  <si>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</si>
  <si>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</si>
  <si>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</si>
  <si>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</si>
  <si>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</si>
  <si>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</si>
  <si>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</si>
  <si>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</si>
  <si>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</si>
  <si>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</si>
  <si>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</si>
  <si>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</si>
  <si>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</si>
  <si>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</si>
  <si>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</si>
  <si>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</si>
  <si>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</si>
  <si>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</si>
  <si>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</si>
  <si>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</si>
  <si>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</si>
  <si>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</si>
  <si>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</si>
  <si>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</si>
  <si>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</si>
  <si>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</si>
  <si>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</si>
  <si>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</si>
  <si>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</si>
  <si>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</si>
  <si>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</si>
  <si>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</si>
  <si>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</si>
  <si>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</si>
  <si>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</si>
  <si>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</si>
  <si>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</si>
  <si>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</si>
  <si>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</si>
  <si>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</si>
  <si>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</si>
  <si>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</si>
  <si>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</si>
  <si>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</si>
  <si>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</si>
  <si>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</si>
  <si>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</si>
  <si>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</si>
  <si>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</si>
  <si>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</si>
  <si>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</si>
  <si>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</si>
  <si>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</si>
  <si>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</si>
  <si>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</si>
  <si>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</si>
  <si>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</si>
  <si>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</si>
  <si>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</si>
  <si>
    <t xml:space="preserve">Raja Saab Wapda Town </t>
  </si>
  <si>
    <t>Jalal sons  Main Market</t>
  </si>
  <si>
    <t>Crown Market Singh pura</t>
  </si>
  <si>
    <t xml:space="preserve">Mb/SB Traders  Shadbagh </t>
  </si>
  <si>
    <t>Sweera GT Road</t>
  </si>
  <si>
    <t xml:space="preserve">Zubaida Traders </t>
  </si>
  <si>
    <t>Vip</t>
  </si>
  <si>
    <t xml:space="preserve">Al Rehmat </t>
  </si>
  <si>
    <t xml:space="preserve">Jala Sons Behria </t>
  </si>
  <si>
    <t>Clinic</t>
  </si>
  <si>
    <t>Jalal Sons Izmir</t>
  </si>
  <si>
    <t xml:space="preserve">Prime </t>
  </si>
  <si>
    <t xml:space="preserve">RI Mart </t>
  </si>
  <si>
    <t xml:space="preserve">Rainbow C NC </t>
  </si>
  <si>
    <t>Jalal Sons Behria Orchard</t>
  </si>
  <si>
    <t>Rainbow CNC DHA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</si>
</sst>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opLeftCell="A49" zoomScaleNormal="100" workbookViewId="0">
      <selection activeCell="G65" sqref="G65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60">
        <f ca="1">TODAY()</f>
        <v>46258</v>
      </c>
      <c r="C1" s="160"/>
      <c r="D1" s="160"/>
      <c r="E1" s="160"/>
      <c r="F1" s="16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57" t="s">
        <v>37</v>
      </c>
      <c r="B2" s="161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49"/>
      <c r="N2" s="150"/>
      <c r="O2" s="151"/>
      <c r="P2" s="152" t="s">
        <v>14</v>
      </c>
      <c r="Q2" s="153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57"/>
      <c r="B3" s="162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4" t="s">
        <v>11</v>
      </c>
      <c r="N3" s="155"/>
      <c r="O3" s="156"/>
      <c r="P3" s="71"/>
      <c r="Q3" s="72"/>
      <c r="R3" s="164" t="s">
        <v>16</v>
      </c>
      <c r="S3" s="165"/>
      <c r="T3" s="165"/>
      <c r="U3" s="166"/>
      <c r="V3" s="167" t="s">
        <v>17</v>
      </c>
      <c r="W3" s="168"/>
      <c r="X3" s="168"/>
      <c r="Y3" s="169"/>
    </row>
    <row r="4" spans="1:25" ht="15" thickBot="1" x14ac:dyDescent="0.4">
      <c r="A4" s="157"/>
      <c r="B4" s="163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102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97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98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99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100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101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78">
        <v>46246</v>
      </c>
      <c r="B29" s="47">
        <v>25</v>
      </c>
      <c r="C29" s="57" t="s">
        <v>53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46246</v>
      </c>
      <c r="B30" s="47">
        <v>26</v>
      </c>
      <c r="C30" s="57" t="s">
        <v>111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46246</v>
      </c>
      <c r="B31" s="47">
        <v>27</v>
      </c>
      <c r="C31" s="57" t="s">
        <v>112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46246</v>
      </c>
      <c r="B32" s="47">
        <v>28</v>
      </c>
      <c r="C32" s="57" t="s">
        <v>91</v>
      </c>
      <c r="D32" s="74"/>
      <c r="E32" s="75"/>
      <c r="F32" s="76"/>
      <c r="G32" s="50">
        <v>200</v>
      </c>
      <c r="H32" s="75"/>
      <c r="I32" s="49">
        <v>160</v>
      </c>
      <c r="J32" s="50">
        <v>120</v>
      </c>
      <c r="K32" s="75"/>
      <c r="L32" s="7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46246</v>
      </c>
      <c r="B33" s="47">
        <v>29</v>
      </c>
      <c r="C33" s="57" t="s">
        <v>103</v>
      </c>
      <c r="D33" s="74"/>
      <c r="E33" s="75"/>
      <c r="F33" s="76"/>
      <c r="G33" s="50">
        <v>120</v>
      </c>
      <c r="H33" s="75">
        <v>80</v>
      </c>
      <c r="I33" s="49">
        <v>40</v>
      </c>
      <c r="J33" s="50">
        <v>140</v>
      </c>
      <c r="K33" s="75">
        <v>120</v>
      </c>
      <c r="L33" s="7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78">
        <v>46246</v>
      </c>
      <c r="B35" s="47">
        <v>31</v>
      </c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78">
        <v>46247</v>
      </c>
      <c r="B36" s="47">
        <v>32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46249</v>
      </c>
      <c r="B39" s="47">
        <v>35</v>
      </c>
      <c r="C39" s="57" t="s">
        <v>118</v>
      </c>
      <c r="D39" s="74">
        <v>40</v>
      </c>
      <c r="E39" s="75"/>
      <c r="F39" s="76"/>
      <c r="G39" s="50">
        <v>20</v>
      </c>
      <c r="H39" s="75">
        <v>20</v>
      </c>
      <c r="I39" s="49">
        <v>40</v>
      </c>
      <c r="J39" s="50">
        <v>40</v>
      </c>
      <c r="K39" s="75">
        <v>20</v>
      </c>
      <c r="L39" s="76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46249</v>
      </c>
      <c r="B40" s="47">
        <v>36</v>
      </c>
      <c r="C40" s="57" t="s">
        <v>119</v>
      </c>
      <c r="D40" s="74">
        <v>80</v>
      </c>
      <c r="E40" s="75"/>
      <c r="F40" s="76"/>
      <c r="G40" s="50">
        <v>103</v>
      </c>
      <c r="H40" s="75">
        <v>104</v>
      </c>
      <c r="I40" s="49">
        <v>38</v>
      </c>
      <c r="J40" s="50">
        <v>68</v>
      </c>
      <c r="K40" s="75">
        <v>93</v>
      </c>
      <c r="L40" s="76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46249</v>
      </c>
      <c r="B41" s="47">
        <v>37</v>
      </c>
      <c r="C41" s="57" t="s">
        <v>120</v>
      </c>
      <c r="D41" s="74"/>
      <c r="E41" s="75"/>
      <c r="F41" s="76"/>
      <c r="G41" s="50">
        <v>120</v>
      </c>
      <c r="H41" s="75">
        <v>200</v>
      </c>
      <c r="I41" s="49">
        <v>200</v>
      </c>
      <c r="J41" s="50"/>
      <c r="K41" s="75">
        <v>200</v>
      </c>
      <c r="L41" s="76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46252</v>
      </c>
      <c r="B43" s="47">
        <v>39</v>
      </c>
      <c r="C43" s="57" t="s">
        <v>123</v>
      </c>
      <c r="D43" s="74"/>
      <c r="E43" s="75"/>
      <c r="F43" s="76"/>
      <c r="G43" s="50"/>
      <c r="H43" s="75"/>
      <c r="I43" s="49">
        <v>80</v>
      </c>
      <c r="J43" s="50"/>
      <c r="K43" s="75">
        <v>39</v>
      </c>
      <c r="L43" s="76">
        <v>80</v>
      </c>
      <c r="M43" s="48">
        <f t="shared" si="68"/>
        <v>4.9749999999999996</v>
      </c>
      <c r="N43" s="39">
        <f t="shared" si="18"/>
        <v>0</v>
      </c>
      <c r="O43" s="49">
        <f t="shared" si="1"/>
        <v>62.470500000000001</v>
      </c>
      <c r="P43" s="73">
        <f t="shared" si="69"/>
        <v>4</v>
      </c>
      <c r="Q43" s="40">
        <f t="shared" si="70"/>
        <v>5.95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46252</v>
      </c>
      <c r="B44" s="47">
        <v>40</v>
      </c>
      <c r="C44" s="57" t="s">
        <v>122</v>
      </c>
      <c r="D44" s="74"/>
      <c r="E44" s="75"/>
      <c r="F44" s="76"/>
      <c r="G44" s="50"/>
      <c r="H44" s="75">
        <v>48</v>
      </c>
      <c r="I44" s="49">
        <v>80</v>
      </c>
      <c r="J44" s="50">
        <v>80</v>
      </c>
      <c r="K44" s="75">
        <v>80</v>
      </c>
      <c r="L44" s="76">
        <v>120</v>
      </c>
      <c r="M44" s="48">
        <f t="shared" si="68"/>
        <v>10.199999999999999</v>
      </c>
      <c r="N44" s="39">
        <f t="shared" si="18"/>
        <v>0</v>
      </c>
      <c r="O44" s="49">
        <f t="shared" si="1"/>
        <v>62.470500000000001</v>
      </c>
      <c r="P44" s="73">
        <f t="shared" si="69"/>
        <v>6.4</v>
      </c>
      <c r="Q44" s="40">
        <f t="shared" si="70"/>
        <v>14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46252</v>
      </c>
      <c r="B45" s="47">
        <v>41</v>
      </c>
      <c r="C45" s="57" t="s">
        <v>121</v>
      </c>
      <c r="D45" s="74"/>
      <c r="E45" s="75"/>
      <c r="F45" s="76"/>
      <c r="G45" s="50"/>
      <c r="H45" s="75"/>
      <c r="I45" s="49">
        <v>200</v>
      </c>
      <c r="J45" s="50">
        <v>120</v>
      </c>
      <c r="K45" s="75">
        <v>200</v>
      </c>
      <c r="L45" s="76">
        <v>80</v>
      </c>
      <c r="M45" s="48">
        <f t="shared" si="68"/>
        <v>15</v>
      </c>
      <c r="N45" s="39">
        <f t="shared" si="18"/>
        <v>0</v>
      </c>
      <c r="O45" s="49">
        <f t="shared" si="1"/>
        <v>62.470500000000001</v>
      </c>
      <c r="P45" s="73">
        <f t="shared" si="69"/>
        <v>10</v>
      </c>
      <c r="Q45" s="40">
        <f t="shared" si="70"/>
        <v>20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46252</v>
      </c>
      <c r="B46" s="47">
        <v>42</v>
      </c>
      <c r="C46" s="57" t="s">
        <v>124</v>
      </c>
      <c r="D46" s="74"/>
      <c r="E46" s="75"/>
      <c r="F46" s="76"/>
      <c r="G46" s="50">
        <v>80</v>
      </c>
      <c r="H46" s="75">
        <v>40</v>
      </c>
      <c r="I46" s="49">
        <v>120</v>
      </c>
      <c r="J46" s="50">
        <v>40</v>
      </c>
      <c r="K46" s="75">
        <v>80</v>
      </c>
      <c r="L46" s="76">
        <v>120</v>
      </c>
      <c r="M46" s="48">
        <f t="shared" si="68"/>
        <v>12</v>
      </c>
      <c r="N46" s="39">
        <f t="shared" si="18"/>
        <v>0</v>
      </c>
      <c r="O46" s="49">
        <f t="shared" si="1"/>
        <v>62.470500000000001</v>
      </c>
      <c r="P46" s="73">
        <f t="shared" si="69"/>
        <v>12</v>
      </c>
      <c r="Q46" s="40">
        <f t="shared" si="70"/>
        <v>12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78">
        <v>46252</v>
      </c>
      <c r="B47" s="47">
        <v>43</v>
      </c>
      <c r="C47" s="57" t="s">
        <v>125</v>
      </c>
      <c r="D47" s="74"/>
      <c r="E47" s="75"/>
      <c r="F47" s="76"/>
      <c r="G47" s="50">
        <v>200</v>
      </c>
      <c r="H47" s="75">
        <v>200</v>
      </c>
      <c r="I47" s="49">
        <v>200</v>
      </c>
      <c r="J47" s="50">
        <v>200</v>
      </c>
      <c r="K47" s="75">
        <v>200</v>
      </c>
      <c r="L47" s="76">
        <v>200</v>
      </c>
      <c r="M47" s="48">
        <f t="shared" si="68"/>
        <v>30</v>
      </c>
      <c r="N47" s="39">
        <f t="shared" si="18"/>
        <v>0</v>
      </c>
      <c r="O47" s="49">
        <f t="shared" si="1"/>
        <v>62.470500000000001</v>
      </c>
      <c r="P47" s="73">
        <f t="shared" si="69"/>
        <v>30</v>
      </c>
      <c r="Q47" s="40">
        <f t="shared" si="70"/>
        <v>30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>
        <v>46253</v>
      </c>
      <c r="B48" s="47">
        <v>44</v>
      </c>
      <c r="C48" s="57" t="s">
        <v>115</v>
      </c>
      <c r="D48" s="74"/>
      <c r="E48" s="75"/>
      <c r="F48" s="76"/>
      <c r="G48" s="50">
        <v>599</v>
      </c>
      <c r="H48" s="75">
        <v>600</v>
      </c>
      <c r="I48" s="49">
        <v>600</v>
      </c>
      <c r="J48" s="50">
        <v>599</v>
      </c>
      <c r="K48" s="75">
        <v>592</v>
      </c>
      <c r="L48" s="76">
        <v>596</v>
      </c>
      <c r="M48" s="48">
        <f t="shared" ref="M48:M60" si="83">SUM(D48:L48)/40</f>
        <v>89.65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89.95</v>
      </c>
      <c r="Q48" s="40">
        <f t="shared" ref="Q48:Q60" si="85">SUM(J48:L48)/20</f>
        <v>89.35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78">
        <v>46253</v>
      </c>
      <c r="B49" s="47">
        <v>45</v>
      </c>
      <c r="C49" s="57" t="s">
        <v>126</v>
      </c>
      <c r="D49" s="74"/>
      <c r="E49" s="75"/>
      <c r="F49" s="76"/>
      <c r="G49" s="50">
        <v>400</v>
      </c>
      <c r="H49" s="75">
        <v>400</v>
      </c>
      <c r="I49" s="49">
        <v>1200</v>
      </c>
      <c r="J49" s="50">
        <v>400</v>
      </c>
      <c r="K49" s="75">
        <v>600</v>
      </c>
      <c r="L49" s="76">
        <v>2000</v>
      </c>
      <c r="M49" s="48">
        <f t="shared" si="83"/>
        <v>125</v>
      </c>
      <c r="N49" s="39">
        <f t="shared" si="18"/>
        <v>0</v>
      </c>
      <c r="O49" s="49">
        <f t="shared" si="1"/>
        <v>62.470500000000001</v>
      </c>
      <c r="P49" s="73">
        <f t="shared" si="84"/>
        <v>100</v>
      </c>
      <c r="Q49" s="40">
        <f t="shared" si="85"/>
        <v>150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140">
        <v>46254</v>
      </c>
      <c r="B50" s="47">
        <v>46</v>
      </c>
      <c r="C50" s="142" t="s">
        <v>64</v>
      </c>
      <c r="D50" s="143"/>
      <c r="E50" s="144"/>
      <c r="F50" s="145"/>
      <c r="G50" s="146">
        <v>120</v>
      </c>
      <c r="H50" s="144">
        <v>40</v>
      </c>
      <c r="I50" s="56">
        <v>520</v>
      </c>
      <c r="J50" s="146">
        <v>279</v>
      </c>
      <c r="K50" s="144">
        <v>120</v>
      </c>
      <c r="L50" s="145">
        <v>240</v>
      </c>
      <c r="M50" s="48">
        <f t="shared" si="83"/>
        <v>32.975000000000001</v>
      </c>
      <c r="N50" s="39">
        <f t="shared" si="18"/>
        <v>0</v>
      </c>
      <c r="O50" s="49">
        <f t="shared" si="1"/>
        <v>62.470500000000001</v>
      </c>
      <c r="P50" s="73">
        <f t="shared" si="84"/>
        <v>34</v>
      </c>
      <c r="Q50" s="40">
        <f t="shared" si="85"/>
        <v>31.95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140">
        <v>46254</v>
      </c>
      <c r="B51" s="47">
        <v>47</v>
      </c>
      <c r="C51" s="142" t="s">
        <v>97</v>
      </c>
      <c r="D51" s="143"/>
      <c r="E51" s="144"/>
      <c r="F51" s="145"/>
      <c r="G51" s="146">
        <v>40</v>
      </c>
      <c r="H51" s="144">
        <v>80</v>
      </c>
      <c r="I51" s="56">
        <v>80</v>
      </c>
      <c r="J51" s="146">
        <v>40</v>
      </c>
      <c r="K51" s="144">
        <v>40</v>
      </c>
      <c r="L51" s="145">
        <v>80</v>
      </c>
      <c r="M51" s="48">
        <f t="shared" si="83"/>
        <v>9</v>
      </c>
      <c r="N51" s="39">
        <f t="shared" si="18"/>
        <v>0</v>
      </c>
      <c r="O51" s="49">
        <f t="shared" si="1"/>
        <v>62.470500000000001</v>
      </c>
      <c r="P51" s="73">
        <f t="shared" si="84"/>
        <v>10</v>
      </c>
      <c r="Q51" s="40">
        <f t="shared" si="85"/>
        <v>8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140">
        <v>46254</v>
      </c>
      <c r="B52" s="47">
        <v>48</v>
      </c>
      <c r="C52" s="142" t="s">
        <v>92</v>
      </c>
      <c r="D52" s="143"/>
      <c r="E52" s="144"/>
      <c r="F52" s="145"/>
      <c r="G52" s="146"/>
      <c r="H52" s="144"/>
      <c r="I52" s="56">
        <v>240</v>
      </c>
      <c r="J52" s="146"/>
      <c r="K52" s="144"/>
      <c r="L52" s="145">
        <v>360</v>
      </c>
      <c r="M52" s="48">
        <f t="shared" si="83"/>
        <v>15</v>
      </c>
      <c r="N52" s="39">
        <f t="shared" si="18"/>
        <v>0</v>
      </c>
      <c r="O52" s="49">
        <f t="shared" si="1"/>
        <v>62.470500000000001</v>
      </c>
      <c r="P52" s="73">
        <f t="shared" si="84"/>
        <v>12</v>
      </c>
      <c r="Q52" s="40">
        <f t="shared" si="85"/>
        <v>18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140">
        <v>46254</v>
      </c>
      <c r="B53" s="47">
        <v>49</v>
      </c>
      <c r="C53" s="142" t="s">
        <v>96</v>
      </c>
      <c r="D53" s="143"/>
      <c r="E53" s="144"/>
      <c r="F53" s="145"/>
      <c r="G53" s="146">
        <v>200</v>
      </c>
      <c r="H53" s="144"/>
      <c r="I53" s="56">
        <v>194</v>
      </c>
      <c r="J53" s="146">
        <v>200</v>
      </c>
      <c r="K53" s="144"/>
      <c r="L53" s="145">
        <v>180</v>
      </c>
      <c r="M53" s="48">
        <f t="shared" si="83"/>
        <v>19.350000000000001</v>
      </c>
      <c r="N53" s="39">
        <f t="shared" si="18"/>
        <v>0</v>
      </c>
      <c r="O53" s="49">
        <f t="shared" si="1"/>
        <v>62.470500000000001</v>
      </c>
      <c r="P53" s="73">
        <f t="shared" si="84"/>
        <v>19.7</v>
      </c>
      <c r="Q53" s="40">
        <f t="shared" si="85"/>
        <v>19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140">
        <v>46254</v>
      </c>
      <c r="B54" s="47">
        <v>50</v>
      </c>
      <c r="C54" s="142" t="s">
        <v>127</v>
      </c>
      <c r="D54" s="143"/>
      <c r="E54" s="144"/>
      <c r="F54" s="145"/>
      <c r="G54" s="146"/>
      <c r="H54" s="144"/>
      <c r="I54" s="56"/>
      <c r="J54" s="146">
        <v>400</v>
      </c>
      <c r="K54" s="144">
        <v>400</v>
      </c>
      <c r="L54" s="145">
        <v>400</v>
      </c>
      <c r="M54" s="48">
        <f t="shared" si="83"/>
        <v>30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60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140">
        <v>46255</v>
      </c>
      <c r="B55" s="47">
        <v>51</v>
      </c>
      <c r="C55" s="57" t="s">
        <v>128</v>
      </c>
      <c r="D55" s="74"/>
      <c r="E55" s="75"/>
      <c r="F55" s="76"/>
      <c r="G55" s="50"/>
      <c r="H55" s="75"/>
      <c r="I55" s="49">
        <v>42</v>
      </c>
      <c r="J55" s="50">
        <v>80</v>
      </c>
      <c r="K55" s="75">
        <v>80</v>
      </c>
      <c r="L55" s="76">
        <v>80</v>
      </c>
      <c r="M55" s="48">
        <f t="shared" si="83"/>
        <v>7.05</v>
      </c>
      <c r="N55" s="39">
        <f t="shared" si="18"/>
        <v>0</v>
      </c>
      <c r="O55" s="49">
        <f t="shared" si="1"/>
        <v>62.470500000000001</v>
      </c>
      <c r="P55" s="73">
        <f t="shared" si="84"/>
        <v>2.1</v>
      </c>
      <c r="Q55" s="40">
        <f t="shared" si="85"/>
        <v>12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140">
        <v>46255</v>
      </c>
      <c r="B56" s="47">
        <v>52</v>
      </c>
      <c r="C56" s="57" t="s">
        <v>130</v>
      </c>
      <c r="D56" s="74"/>
      <c r="E56" s="75"/>
      <c r="F56" s="76"/>
      <c r="G56" s="50">
        <v>160</v>
      </c>
      <c r="H56" s="75">
        <v>200</v>
      </c>
      <c r="I56" s="49">
        <v>80</v>
      </c>
      <c r="J56" s="50">
        <v>400</v>
      </c>
      <c r="K56" s="75">
        <v>280</v>
      </c>
      <c r="L56" s="76">
        <v>640</v>
      </c>
      <c r="M56" s="48">
        <f t="shared" si="83"/>
        <v>44</v>
      </c>
      <c r="N56" s="39">
        <f t="shared" si="18"/>
        <v>0</v>
      </c>
      <c r="O56" s="49">
        <f t="shared" si="1"/>
        <v>62.470500000000001</v>
      </c>
      <c r="P56" s="73">
        <f t="shared" si="84"/>
        <v>22</v>
      </c>
      <c r="Q56" s="40">
        <f t="shared" si="85"/>
        <v>66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140">
        <v>46255</v>
      </c>
      <c r="B57" s="47">
        <v>53</v>
      </c>
      <c r="C57" s="57" t="s">
        <v>129</v>
      </c>
      <c r="D57" s="74"/>
      <c r="E57" s="75"/>
      <c r="F57" s="76"/>
      <c r="G57" s="50">
        <v>40</v>
      </c>
      <c r="H57" s="75">
        <v>40</v>
      </c>
      <c r="I57" s="49">
        <v>40</v>
      </c>
      <c r="J57" s="50">
        <v>80</v>
      </c>
      <c r="K57" s="75">
        <v>80</v>
      </c>
      <c r="L57" s="76">
        <v>80</v>
      </c>
      <c r="M57" s="48">
        <f t="shared" si="83"/>
        <v>9</v>
      </c>
      <c r="N57" s="39">
        <f t="shared" si="18"/>
        <v>0</v>
      </c>
      <c r="O57" s="49">
        <f t="shared" si="1"/>
        <v>62.470500000000001</v>
      </c>
      <c r="P57" s="73">
        <f t="shared" si="84"/>
        <v>6</v>
      </c>
      <c r="Q57" s="40">
        <f t="shared" si="85"/>
        <v>12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140">
        <v>46255</v>
      </c>
      <c r="B58" s="47">
        <v>54</v>
      </c>
      <c r="C58" s="57" t="s">
        <v>131</v>
      </c>
      <c r="D58" s="75"/>
      <c r="E58" s="75"/>
      <c r="F58" s="75"/>
      <c r="G58" s="75"/>
      <c r="H58" s="75"/>
      <c r="I58" s="127">
        <v>80</v>
      </c>
      <c r="J58" s="75"/>
      <c r="K58" s="75">
        <v>40</v>
      </c>
      <c r="L58" s="75">
        <v>40</v>
      </c>
      <c r="M58" s="129">
        <f t="shared" si="83"/>
        <v>4</v>
      </c>
      <c r="N58" s="39">
        <f t="shared" si="18"/>
        <v>0</v>
      </c>
      <c r="O58" s="49">
        <f t="shared" si="1"/>
        <v>62.470500000000001</v>
      </c>
      <c r="P58" s="73">
        <f t="shared" si="84"/>
        <v>4</v>
      </c>
      <c r="Q58" s="40">
        <f t="shared" si="85"/>
        <v>4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140">
        <v>46255</v>
      </c>
      <c r="B59" s="47">
        <v>55</v>
      </c>
      <c r="C59" s="57" t="s">
        <v>132</v>
      </c>
      <c r="D59" s="75">
        <v>80</v>
      </c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2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140">
        <v>46255</v>
      </c>
      <c r="B60" s="47">
        <v>56</v>
      </c>
      <c r="C60" s="57" t="s">
        <v>133</v>
      </c>
      <c r="D60" s="75">
        <v>80</v>
      </c>
      <c r="E60" s="75"/>
      <c r="F60" s="75"/>
      <c r="G60" s="75">
        <v>160</v>
      </c>
      <c r="H60" s="75">
        <v>80</v>
      </c>
      <c r="I60" s="127">
        <v>160</v>
      </c>
      <c r="J60" s="75">
        <v>160</v>
      </c>
      <c r="K60" s="75">
        <v>80</v>
      </c>
      <c r="L60" s="75">
        <v>160</v>
      </c>
      <c r="M60" s="129">
        <f t="shared" si="83"/>
        <v>22</v>
      </c>
      <c r="N60" s="39">
        <f t="shared" si="18"/>
        <v>0</v>
      </c>
      <c r="O60" s="49">
        <f t="shared" si="1"/>
        <v>62.470500000000001</v>
      </c>
      <c r="P60" s="73">
        <f t="shared" si="84"/>
        <v>20</v>
      </c>
      <c r="Q60" s="40">
        <f t="shared" si="85"/>
        <v>20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140">
        <v>46256</v>
      </c>
      <c r="B61" s="47">
        <v>57</v>
      </c>
      <c r="C61" s="57" t="s">
        <v>134</v>
      </c>
      <c r="D61" s="75"/>
      <c r="E61" s="75"/>
      <c r="F61" s="75"/>
      <c r="G61" s="75">
        <v>40</v>
      </c>
      <c r="H61" s="75">
        <v>200</v>
      </c>
      <c r="I61" s="127"/>
      <c r="J61" s="75">
        <v>120</v>
      </c>
      <c r="K61" s="75">
        <v>40</v>
      </c>
      <c r="L61" s="75">
        <v>160</v>
      </c>
      <c r="M61" s="129">
        <f t="shared" si="52"/>
        <v>14</v>
      </c>
      <c r="N61" s="39">
        <f t="shared" si="18"/>
        <v>0</v>
      </c>
      <c r="O61" s="49">
        <f t="shared" si="1"/>
        <v>62.470500000000001</v>
      </c>
      <c r="P61" s="73">
        <f t="shared" si="53"/>
        <v>12</v>
      </c>
      <c r="Q61" s="40">
        <f t="shared" si="54"/>
        <v>16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140">
        <v>46256</v>
      </c>
      <c r="B62" s="47">
        <v>58</v>
      </c>
      <c r="C62" s="128" t="s">
        <v>135</v>
      </c>
      <c r="D62" s="75"/>
      <c r="E62" s="75"/>
      <c r="F62" s="75"/>
      <c r="G62" s="75">
        <v>40</v>
      </c>
      <c r="H62" s="75">
        <v>40</v>
      </c>
      <c r="I62" s="127">
        <v>120</v>
      </c>
      <c r="J62" s="75">
        <v>80</v>
      </c>
      <c r="K62" s="75">
        <v>80</v>
      </c>
      <c r="L62" s="75">
        <v>80</v>
      </c>
      <c r="M62" s="129">
        <f t="shared" ref="M62:M84" si="88">SUM(D62:L62)/40</f>
        <v>11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10</v>
      </c>
      <c r="Q62" s="40">
        <f t="shared" ref="Q62:Q79" si="90">SUM(J62:L62)/20</f>
        <v>12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140">
        <v>46256</v>
      </c>
      <c r="B63" s="47">
        <v>59</v>
      </c>
      <c r="C63" s="128" t="s">
        <v>136</v>
      </c>
      <c r="D63" s="75"/>
      <c r="E63" s="75"/>
      <c r="F63" s="75"/>
      <c r="G63" s="75">
        <v>80</v>
      </c>
      <c r="H63" s="75">
        <v>40</v>
      </c>
      <c r="I63" s="127"/>
      <c r="J63" s="75">
        <v>80</v>
      </c>
      <c r="K63" s="75">
        <v>120</v>
      </c>
      <c r="L63" s="75">
        <v>240</v>
      </c>
      <c r="M63" s="129">
        <f t="shared" si="88"/>
        <v>14</v>
      </c>
      <c r="N63" s="39">
        <f t="shared" si="18"/>
        <v>0</v>
      </c>
      <c r="O63" s="49">
        <f t="shared" si="1"/>
        <v>62.470500000000001</v>
      </c>
      <c r="P63" s="73">
        <f t="shared" si="89"/>
        <v>6</v>
      </c>
      <c r="Q63" s="40">
        <f t="shared" si="90"/>
        <v>22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78"/>
      <c r="B64" s="47">
        <v>60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8"/>
        <v>0</v>
      </c>
      <c r="N64" s="39">
        <f t="shared" si="18"/>
        <v>0</v>
      </c>
      <c r="O64" s="49">
        <f t="shared" si="1"/>
        <v>62.470500000000001</v>
      </c>
      <c r="P64" s="73">
        <f t="shared" si="89"/>
        <v>0</v>
      </c>
      <c r="Q64" s="40">
        <f t="shared" si="90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78"/>
      <c r="B65" s="47">
        <v>61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8"/>
        <v>0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78"/>
      <c r="B66" s="47">
        <v>62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8"/>
        <v>0</v>
      </c>
      <c r="N66" s="39">
        <f t="shared" si="18"/>
        <v>0</v>
      </c>
      <c r="O66" s="49">
        <f t="shared" si="1"/>
        <v>62.470500000000001</v>
      </c>
      <c r="P66" s="73">
        <f t="shared" si="89"/>
        <v>0</v>
      </c>
      <c r="Q66" s="40">
        <f t="shared" si="90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78"/>
      <c r="B67" s="47">
        <v>63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8"/>
        <v>0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78"/>
      <c r="B68" s="47">
        <v>64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8"/>
        <v>0</v>
      </c>
      <c r="N68" s="39">
        <f t="shared" si="18"/>
        <v>0</v>
      </c>
      <c r="O68" s="49">
        <f t="shared" si="1"/>
        <v>62.470500000000001</v>
      </c>
      <c r="P68" s="73">
        <f t="shared" si="89"/>
        <v>0</v>
      </c>
      <c r="Q68" s="40">
        <f t="shared" si="90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/>
      <c r="B69" s="47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8"/>
        <v>0</v>
      </c>
      <c r="N69" s="39">
        <f t="shared" si="18"/>
        <v>0</v>
      </c>
      <c r="O69" s="49">
        <f t="shared" si="1"/>
        <v>62.470500000000001</v>
      </c>
      <c r="P69" s="73">
        <f t="shared" si="89"/>
        <v>0</v>
      </c>
      <c r="Q69" s="40">
        <f t="shared" si="90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/>
      <c r="B70" s="47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8"/>
        <v>0</v>
      </c>
      <c r="N70" s="39">
        <f t="shared" si="18"/>
        <v>0</v>
      </c>
      <c r="O70" s="49">
        <f t="shared" si="1"/>
        <v>62.470500000000001</v>
      </c>
      <c r="P70" s="73">
        <f t="shared" si="89"/>
        <v>0</v>
      </c>
      <c r="Q70" s="40">
        <f t="shared" si="90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/>
      <c r="B71" s="47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8"/>
        <v>0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8"/>
        <v>0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8"/>
        <v>0</v>
      </c>
      <c r="N73" s="39">
        <f t="shared" si="18"/>
        <v>0</v>
      </c>
      <c r="O73" s="49">
        <f t="shared" si="1"/>
        <v>62.470500000000001</v>
      </c>
      <c r="P73" s="73">
        <f t="shared" si="89"/>
        <v>0</v>
      </c>
      <c r="Q73" s="40">
        <f t="shared" si="90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/>
      <c r="B74" s="47">
        <v>70</v>
      </c>
      <c r="C74" s="128"/>
      <c r="D74" s="75"/>
      <c r="E74" s="75"/>
      <c r="F74" s="75"/>
      <c r="G74" s="75"/>
      <c r="H74" s="75"/>
      <c r="I74" s="127"/>
      <c r="J74" s="75"/>
      <c r="K74" s="75"/>
      <c r="L74" s="75"/>
      <c r="M74" s="129">
        <f t="shared" si="88"/>
        <v>0</v>
      </c>
      <c r="N74" s="39">
        <f t="shared" si="18"/>
        <v>0</v>
      </c>
      <c r="O74" s="49">
        <f t="shared" si="1"/>
        <v>62.470500000000001</v>
      </c>
      <c r="P74" s="73">
        <f t="shared" si="89"/>
        <v>0</v>
      </c>
      <c r="Q74" s="40">
        <f t="shared" si="90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78"/>
      <c r="B75" s="47">
        <v>71</v>
      </c>
      <c r="C75" s="139"/>
      <c r="D75" s="75"/>
      <c r="E75" s="75"/>
      <c r="F75" s="50"/>
      <c r="G75" s="75"/>
      <c r="H75" s="75"/>
      <c r="I75" s="127"/>
      <c r="J75" s="75"/>
      <c r="K75" s="75"/>
      <c r="L75" s="75"/>
      <c r="M75" s="129">
        <f t="shared" si="88"/>
        <v>0</v>
      </c>
      <c r="N75" s="39">
        <f t="shared" si="18"/>
        <v>0</v>
      </c>
      <c r="O75" s="49">
        <f t="shared" si="1"/>
        <v>62.470500000000001</v>
      </c>
      <c r="P75" s="73">
        <f t="shared" si="89"/>
        <v>0</v>
      </c>
      <c r="Q75" s="40">
        <f t="shared" si="90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8"/>
        <v>0</v>
      </c>
      <c r="N76" s="39">
        <f t="shared" si="18"/>
        <v>0</v>
      </c>
      <c r="O76" s="49">
        <f t="shared" si="1"/>
        <v>62.470500000000001</v>
      </c>
      <c r="P76" s="73">
        <f t="shared" si="89"/>
        <v>0</v>
      </c>
      <c r="Q76" s="40">
        <f t="shared" si="90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75"/>
      <c r="H77" s="75"/>
      <c r="I77" s="127"/>
      <c r="J77" s="75"/>
      <c r="K77" s="75"/>
      <c r="L77" s="75"/>
      <c r="M77" s="129">
        <f t="shared" si="88"/>
        <v>0</v>
      </c>
      <c r="N77" s="39">
        <f t="shared" si="18"/>
        <v>0</v>
      </c>
      <c r="O77" s="49">
        <f t="shared" si="1"/>
        <v>62.470500000000001</v>
      </c>
      <c r="P77" s="73">
        <f t="shared" si="89"/>
        <v>0</v>
      </c>
      <c r="Q77" s="40">
        <f t="shared" si="90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8"/>
        <v>0</v>
      </c>
      <c r="N78" s="39">
        <f t="shared" si="18"/>
        <v>0</v>
      </c>
      <c r="O78" s="49">
        <f t="shared" si="1"/>
        <v>62.470500000000001</v>
      </c>
      <c r="P78" s="73">
        <f t="shared" si="89"/>
        <v>0</v>
      </c>
      <c r="Q78" s="40">
        <f t="shared" si="90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78"/>
      <c r="B79" s="47">
        <v>75</v>
      </c>
      <c r="C79" s="139"/>
      <c r="D79" s="75"/>
      <c r="E79" s="50"/>
      <c r="F79" s="50"/>
      <c r="G79" s="50"/>
      <c r="H79" s="50"/>
      <c r="I79" s="129"/>
      <c r="J79" s="50"/>
      <c r="K79" s="50"/>
      <c r="L79" s="50"/>
      <c r="M79" s="129">
        <f t="shared" si="88"/>
        <v>0</v>
      </c>
      <c r="N79" s="39">
        <f t="shared" si="18"/>
        <v>0</v>
      </c>
      <c r="O79" s="49">
        <f t="shared" si="1"/>
        <v>62.470500000000001</v>
      </c>
      <c r="P79" s="73">
        <f t="shared" si="89"/>
        <v>0</v>
      </c>
      <c r="Q79" s="40">
        <f t="shared" si="90"/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8"/>
        <v>0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0</v>
      </c>
      <c r="Q80" s="40">
        <f t="shared" ref="Q80:Q84" si="97">SUM(J80:L80)/20</f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8"/>
        <v>0</v>
      </c>
      <c r="N81" s="39">
        <f t="shared" si="18"/>
        <v>0</v>
      </c>
      <c r="O81" s="49">
        <f t="shared" si="1"/>
        <v>62.470500000000001</v>
      </c>
      <c r="P81" s="73">
        <f t="shared" si="96"/>
        <v>0</v>
      </c>
      <c r="Q81" s="40">
        <f t="shared" si="97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8"/>
        <v>0</v>
      </c>
      <c r="N82" s="39">
        <f t="shared" si="18"/>
        <v>0</v>
      </c>
      <c r="O82" s="49">
        <f t="shared" si="1"/>
        <v>62.470500000000001</v>
      </c>
      <c r="P82" s="73">
        <f t="shared" si="96"/>
        <v>0</v>
      </c>
      <c r="Q82" s="40">
        <f t="shared" si="97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8"/>
        <v>0</v>
      </c>
      <c r="N83" s="39">
        <f t="shared" si="18"/>
        <v>0</v>
      </c>
      <c r="O83" s="49">
        <f t="shared" si="1"/>
        <v>62.470500000000001</v>
      </c>
      <c r="P83" s="73">
        <f t="shared" si="96"/>
        <v>0</v>
      </c>
      <c r="Q83" s="40">
        <f t="shared" si="97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si="88"/>
        <v>0</v>
      </c>
      <c r="N84" s="39">
        <f t="shared" si="18"/>
        <v>0</v>
      </c>
      <c r="O84" s="49">
        <f t="shared" si="1"/>
        <v>62.470500000000001</v>
      </c>
      <c r="P84" s="73">
        <f t="shared" si="96"/>
        <v>0</v>
      </c>
      <c r="Q84" s="40">
        <f t="shared" si="97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ref="M85:M132" si="103">SUM(D85:L85)/40</f>
        <v>0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0</v>
      </c>
      <c r="Q85" s="40">
        <f t="shared" ref="Q85:Q132" si="105">SUM(J85:L85)/20</f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103"/>
        <v>0</v>
      </c>
      <c r="N86" s="39">
        <f t="shared" si="18"/>
        <v>0</v>
      </c>
      <c r="O86" s="49">
        <f t="shared" si="1"/>
        <v>62.470500000000001</v>
      </c>
      <c r="P86" s="73">
        <f t="shared" si="104"/>
        <v>0</v>
      </c>
      <c r="Q86" s="40">
        <f t="shared" si="105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103"/>
        <v>0</v>
      </c>
      <c r="N87" s="39">
        <f t="shared" si="18"/>
        <v>0</v>
      </c>
      <c r="O87" s="49">
        <f t="shared" si="1"/>
        <v>62.470500000000001</v>
      </c>
      <c r="P87" s="73">
        <f t="shared" si="104"/>
        <v>0</v>
      </c>
      <c r="Q87" s="40">
        <f t="shared" si="105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103"/>
        <v>0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103"/>
        <v>0</v>
      </c>
      <c r="N89" s="39">
        <f t="shared" si="18"/>
        <v>0</v>
      </c>
      <c r="O89" s="49">
        <f t="shared" si="1"/>
        <v>62.470500000000001</v>
      </c>
      <c r="P89" s="73">
        <f t="shared" si="104"/>
        <v>0</v>
      </c>
      <c r="Q89" s="40">
        <f t="shared" si="105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103"/>
        <v>0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103"/>
        <v>0</v>
      </c>
      <c r="N91" s="39">
        <f t="shared" si="18"/>
        <v>0</v>
      </c>
      <c r="O91" s="49">
        <f t="shared" si="1"/>
        <v>62.470500000000001</v>
      </c>
      <c r="P91" s="73">
        <f t="shared" si="104"/>
        <v>0</v>
      </c>
      <c r="Q91" s="40">
        <f t="shared" si="105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103"/>
        <v>0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103"/>
        <v>0</v>
      </c>
      <c r="N93" s="39">
        <f t="shared" si="18"/>
        <v>0</v>
      </c>
      <c r="O93" s="49">
        <f t="shared" si="1"/>
        <v>62.470500000000001</v>
      </c>
      <c r="P93" s="73">
        <f t="shared" si="104"/>
        <v>0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103"/>
        <v>0</v>
      </c>
      <c r="N94" s="39">
        <f t="shared" si="18"/>
        <v>0</v>
      </c>
      <c r="O94" s="49">
        <f t="shared" si="1"/>
        <v>62.470500000000001</v>
      </c>
      <c r="P94" s="73">
        <f t="shared" si="104"/>
        <v>0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103"/>
        <v>0</v>
      </c>
      <c r="N95" s="39">
        <f t="shared" si="18"/>
        <v>0</v>
      </c>
      <c r="O95" s="49">
        <f t="shared" si="1"/>
        <v>62.470500000000001</v>
      </c>
      <c r="P95" s="73">
        <f t="shared" si="104"/>
        <v>0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103"/>
        <v>0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103"/>
        <v>0</v>
      </c>
      <c r="N97" s="39">
        <f t="shared" si="18"/>
        <v>0</v>
      </c>
      <c r="O97" s="49">
        <f t="shared" si="1"/>
        <v>62.470500000000001</v>
      </c>
      <c r="P97" s="73">
        <f t="shared" si="104"/>
        <v>0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103"/>
        <v>0</v>
      </c>
      <c r="N98" s="39">
        <f t="shared" si="18"/>
        <v>0</v>
      </c>
      <c r="O98" s="49">
        <f t="shared" si="1"/>
        <v>62.470500000000001</v>
      </c>
      <c r="P98" s="73">
        <f t="shared" si="104"/>
        <v>0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103"/>
        <v>0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103"/>
        <v>0</v>
      </c>
      <c r="N100" s="39">
        <f t="shared" si="18"/>
        <v>0</v>
      </c>
      <c r="O100" s="49">
        <f t="shared" si="1"/>
        <v>62.470500000000001</v>
      </c>
      <c r="P100" s="73">
        <f t="shared" si="104"/>
        <v>0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103"/>
        <v>0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103"/>
        <v>0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103"/>
        <v>0</v>
      </c>
      <c r="N103" s="39">
        <f t="shared" si="18"/>
        <v>0</v>
      </c>
      <c r="O103" s="49">
        <f t="shared" si="1"/>
        <v>62.470500000000001</v>
      </c>
      <c r="P103" s="73">
        <f t="shared" si="104"/>
        <v>0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103"/>
        <v>0</v>
      </c>
      <c r="N104" s="39">
        <f t="shared" si="18"/>
        <v>0</v>
      </c>
      <c r="O104" s="49">
        <f t="shared" si="1"/>
        <v>62.470500000000001</v>
      </c>
      <c r="P104" s="73">
        <f t="shared" si="104"/>
        <v>0</v>
      </c>
      <c r="Q104" s="40">
        <f t="shared" si="105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103"/>
        <v>0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103"/>
        <v>0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103"/>
        <v>0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103"/>
        <v>0</v>
      </c>
      <c r="N108" s="39">
        <f t="shared" si="18"/>
        <v>0</v>
      </c>
      <c r="O108" s="49">
        <f t="shared" si="1"/>
        <v>62.470500000000001</v>
      </c>
      <c r="P108" s="73">
        <f t="shared" si="104"/>
        <v>0</v>
      </c>
      <c r="Q108" s="40">
        <f t="shared" si="105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103"/>
        <v>0</v>
      </c>
      <c r="N109" s="39">
        <f t="shared" si="18"/>
        <v>0</v>
      </c>
      <c r="O109" s="49">
        <f t="shared" si="1"/>
        <v>62.470500000000001</v>
      </c>
      <c r="P109" s="73">
        <f t="shared" si="104"/>
        <v>0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103"/>
        <v>0</v>
      </c>
      <c r="N110" s="39">
        <f t="shared" si="18"/>
        <v>0</v>
      </c>
      <c r="O110" s="49">
        <f t="shared" si="1"/>
        <v>62.470500000000001</v>
      </c>
      <c r="P110" s="73">
        <f t="shared" si="104"/>
        <v>0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103"/>
        <v>0</v>
      </c>
      <c r="N111" s="39">
        <f t="shared" si="18"/>
        <v>0</v>
      </c>
      <c r="O111" s="49">
        <f t="shared" si="1"/>
        <v>62.470500000000001</v>
      </c>
      <c r="P111" s="73">
        <f t="shared" si="104"/>
        <v>0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103"/>
        <v>0</v>
      </c>
      <c r="N112" s="39">
        <f t="shared" si="18"/>
        <v>0</v>
      </c>
      <c r="O112" s="49">
        <f t="shared" si="1"/>
        <v>62.470500000000001</v>
      </c>
      <c r="P112" s="73">
        <f t="shared" si="104"/>
        <v>0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70" t="s">
        <v>11</v>
      </c>
      <c r="C133" s="171"/>
      <c r="D133" s="84">
        <f t="shared" ref="D133:L133" si="111">SUM(D6:D61)</f>
        <v>6363</v>
      </c>
      <c r="E133" s="84">
        <f t="shared" si="111"/>
        <v>0</v>
      </c>
      <c r="F133" s="84">
        <f t="shared" si="111"/>
        <v>0</v>
      </c>
      <c r="G133" s="84">
        <f t="shared" si="111"/>
        <v>6784</v>
      </c>
      <c r="H133" s="84">
        <f t="shared" si="111"/>
        <v>6899</v>
      </c>
      <c r="I133" s="84">
        <f t="shared" si="111"/>
        <v>11033</v>
      </c>
      <c r="J133" s="84">
        <f t="shared" si="111"/>
        <v>12527</v>
      </c>
      <c r="K133" s="84">
        <f t="shared" si="111"/>
        <v>11721</v>
      </c>
      <c r="L133" s="84">
        <f t="shared" si="111"/>
        <v>16908</v>
      </c>
      <c r="M133" s="48">
        <f t="shared" ref="M133:M136" si="112">SUM(D133:L133)/40</f>
        <v>1805.875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1235.8</v>
      </c>
      <c r="Q133" s="40">
        <f t="shared" ref="Q133:Q137" si="114">SUM(J133:L133)/20</f>
        <v>2057.8000000000002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58" t="s">
        <v>70</v>
      </c>
      <c r="C137" s="159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47" t="s">
        <v>11</v>
      </c>
      <c r="C138" s="148"/>
      <c r="D138" s="85">
        <f>SUM(D133,D137)</f>
        <v>6363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6784</v>
      </c>
      <c r="H138" s="85">
        <f t="shared" si="119"/>
        <v>6899</v>
      </c>
      <c r="I138" s="85">
        <f t="shared" si="119"/>
        <v>11033</v>
      </c>
      <c r="J138" s="85">
        <f t="shared" si="119"/>
        <v>12527</v>
      </c>
      <c r="K138" s="85">
        <f t="shared" si="119"/>
        <v>11721</v>
      </c>
      <c r="L138" s="85">
        <f t="shared" si="119"/>
        <v>16908</v>
      </c>
      <c r="M138" s="60">
        <f t="shared" si="0"/>
        <v>1805.875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2493.6</v>
      </c>
      <c r="Q138" s="64">
        <f t="shared" si="120"/>
        <v>4153.6000000000004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:F1"/>
    <mergeCell ref="B2:B4"/>
    <mergeCell ref="R3:U3"/>
    <mergeCell ref="V3:Y3"/>
    <mergeCell ref="B133:C133"/>
    <mergeCell ref="B138:C138"/>
    <mergeCell ref="M2:O2"/>
    <mergeCell ref="P2:Q2"/>
    <mergeCell ref="M3:O3"/>
    <mergeCell ref="A2:A4"/>
    <mergeCell ref="B137:C137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4" t="s">
        <v>117</v>
      </c>
      <c r="D3" s="175"/>
      <c r="E3" s="175"/>
      <c r="F3" s="175"/>
      <c r="G3" s="176"/>
      <c r="H3" s="178" t="s">
        <v>62</v>
      </c>
      <c r="I3" s="179"/>
      <c r="K3" s="180" t="s">
        <v>66</v>
      </c>
      <c r="L3" s="180"/>
      <c r="M3" s="180"/>
      <c r="N3" s="180"/>
      <c r="O3" s="180"/>
      <c r="P3" s="180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658</v>
      </c>
      <c r="E5" s="79">
        <v>1293</v>
      </c>
      <c r="F5" s="79">
        <v>600</v>
      </c>
      <c r="G5" s="102">
        <f>SUM(D5:F5)</f>
        <v>2551</v>
      </c>
      <c r="H5" s="95">
        <v>10000</v>
      </c>
      <c r="I5" s="96">
        <f>G5-H5</f>
        <v>-7449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26320</v>
      </c>
      <c r="E6" s="104">
        <f t="shared" ref="E6:F6" si="1">E5*40</f>
        <v>51720</v>
      </c>
      <c r="F6" s="104">
        <f t="shared" si="1"/>
        <v>24000</v>
      </c>
      <c r="G6" s="105">
        <f>SUM(D6:F6)</f>
        <v>102040</v>
      </c>
      <c r="H6" s="97">
        <f>H5*40</f>
        <v>400000</v>
      </c>
      <c r="I6" s="98">
        <f>G6-H6</f>
        <v>-297960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>
        <v>50</v>
      </c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-658</v>
      </c>
      <c r="E9" s="106">
        <f>E8-E5</f>
        <v>-1293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>
        <v>23</v>
      </c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7" t="s">
        <v>59</v>
      </c>
      <c r="D11" s="177"/>
      <c r="F11" s="177" t="s">
        <v>68</v>
      </c>
      <c r="G11" s="177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>
        <v>125</v>
      </c>
      <c r="P11">
        <v>4</v>
      </c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6751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198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270040</v>
      </c>
      <c r="S13" s="172" t="s">
        <v>85</v>
      </c>
      <c r="T13" s="172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73" t="s">
        <v>66</v>
      </c>
      <c r="E20" s="173"/>
      <c r="F20" s="173"/>
      <c r="G20" s="173"/>
      <c r="H20" s="173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2026-08-24T07:36:11Z</dcterms:modified>
</cp:coreProperties>
</file>