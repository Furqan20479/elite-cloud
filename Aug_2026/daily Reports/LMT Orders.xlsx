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6F54B50-85AB-489C-9664-F1B1A78581C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<sst xmlns="http://schemas.openxmlformats.org/spreadsheetml/2006/main" count="189" uniqueCount="128">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</sst>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topLeftCell="A43" zoomScaleNormal="100" workbookViewId="0">
      <selection activeCell="C55" sqref="C55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46255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140">
        <v>46254</v>
      </c>
      <c r="B50" s="47">
        <v>46</v>
      </c>
      <c r="C50" s="142" t="s">
        <v>64</v>
      </c>
      <c r="D50" s="143"/>
      <c r="E50" s="144"/>
      <c r="F50" s="145"/>
      <c r="G50" s="146">
        <v>120</v>
      </c>
      <c r="H50" s="144">
        <v>40</v>
      </c>
      <c r="I50" s="56">
        <v>520</v>
      </c>
      <c r="J50" s="146">
        <v>279</v>
      </c>
      <c r="K50" s="144">
        <v>120</v>
      </c>
      <c r="L50" s="145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140">
        <v>46254</v>
      </c>
      <c r="B51" s="47">
        <v>47</v>
      </c>
      <c r="C51" s="142" t="s">
        <v>97</v>
      </c>
      <c r="D51" s="143"/>
      <c r="E51" s="144"/>
      <c r="F51" s="145"/>
      <c r="G51" s="146">
        <v>40</v>
      </c>
      <c r="H51" s="144">
        <v>80</v>
      </c>
      <c r="I51" s="56">
        <v>80</v>
      </c>
      <c r="J51" s="146">
        <v>40</v>
      </c>
      <c r="K51" s="144">
        <v>40</v>
      </c>
      <c r="L51" s="145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140">
        <v>46254</v>
      </c>
      <c r="B52" s="47">
        <v>48</v>
      </c>
      <c r="C52" s="142" t="s">
        <v>92</v>
      </c>
      <c r="D52" s="143"/>
      <c r="E52" s="144"/>
      <c r="F52" s="145"/>
      <c r="G52" s="146"/>
      <c r="H52" s="144"/>
      <c r="I52" s="56">
        <v>240</v>
      </c>
      <c r="J52" s="146"/>
      <c r="K52" s="144"/>
      <c r="L52" s="145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140">
        <v>46254</v>
      </c>
      <c r="B53" s="47">
        <v>49</v>
      </c>
      <c r="C53" s="142" t="s">
        <v>96</v>
      </c>
      <c r="D53" s="143"/>
      <c r="E53" s="144"/>
      <c r="F53" s="145"/>
      <c r="G53" s="146">
        <v>200</v>
      </c>
      <c r="H53" s="144"/>
      <c r="I53" s="56">
        <v>194</v>
      </c>
      <c r="J53" s="146">
        <v>200</v>
      </c>
      <c r="K53" s="144"/>
      <c r="L53" s="145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140">
        <v>46254</v>
      </c>
      <c r="B54" s="47">
        <v>50</v>
      </c>
      <c r="C54" s="142" t="s">
        <v>127</v>
      </c>
      <c r="D54" s="143"/>
      <c r="E54" s="144"/>
      <c r="F54" s="145"/>
      <c r="G54" s="146"/>
      <c r="H54" s="144"/>
      <c r="I54" s="56"/>
      <c r="J54" s="146">
        <v>400</v>
      </c>
      <c r="K54" s="144">
        <v>400</v>
      </c>
      <c r="L54" s="145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83"/>
        <v>0</v>
      </c>
      <c r="N55" s="39">
        <f t="shared" si="18"/>
        <v>0</v>
      </c>
      <c r="O55" s="49">
        <f t="shared" si="1"/>
        <v>62.470500000000001</v>
      </c>
      <c r="P55" s="73">
        <f t="shared" si="84"/>
        <v>0</v>
      </c>
      <c r="Q55" s="40">
        <f t="shared" si="85"/>
        <v>0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83"/>
        <v>0</v>
      </c>
      <c r="N56" s="39">
        <f t="shared" si="18"/>
        <v>0</v>
      </c>
      <c r="O56" s="49">
        <f t="shared" si="1"/>
        <v>62.470500000000001</v>
      </c>
      <c r="P56" s="73">
        <f t="shared" si="84"/>
        <v>0</v>
      </c>
      <c r="Q56" s="40">
        <f t="shared" si="85"/>
        <v>0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/>
      <c r="B57" s="47">
        <v>53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83"/>
        <v>0</v>
      </c>
      <c r="N57" s="39">
        <f t="shared" si="18"/>
        <v>0</v>
      </c>
      <c r="O57" s="49">
        <f t="shared" si="1"/>
        <v>62.470500000000001</v>
      </c>
      <c r="P57" s="73">
        <f t="shared" si="84"/>
        <v>0</v>
      </c>
      <c r="Q57" s="40">
        <f t="shared" si="85"/>
        <v>0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83"/>
        <v>0</v>
      </c>
      <c r="N58" s="39">
        <f t="shared" si="18"/>
        <v>0</v>
      </c>
      <c r="O58" s="49">
        <f t="shared" si="1"/>
        <v>62.470500000000001</v>
      </c>
      <c r="P58" s="73">
        <f t="shared" si="84"/>
        <v>0</v>
      </c>
      <c r="Q58" s="40">
        <f t="shared" si="85"/>
        <v>0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0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83"/>
        <v>0</v>
      </c>
      <c r="N60" s="39">
        <f t="shared" si="18"/>
        <v>0</v>
      </c>
      <c r="O60" s="49">
        <f t="shared" si="1"/>
        <v>62.470500000000001</v>
      </c>
      <c r="P60" s="73">
        <f t="shared" si="84"/>
        <v>0</v>
      </c>
      <c r="Q60" s="40">
        <f t="shared" si="85"/>
        <v>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/>
      <c r="B61" s="47">
        <v>57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8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0</v>
      </c>
      <c r="Q62" s="40">
        <f t="shared" ref="Q62:Q79" si="90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8"/>
        <v>0</v>
      </c>
      <c r="N63" s="39">
        <f t="shared" si="18"/>
        <v>0</v>
      </c>
      <c r="O63" s="49">
        <f t="shared" si="1"/>
        <v>62.470500000000001</v>
      </c>
      <c r="P63" s="73">
        <f t="shared" si="89"/>
        <v>0</v>
      </c>
      <c r="Q63" s="40">
        <f t="shared" si="90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57" t="s">
        <v>11</v>
      </c>
      <c r="C133" s="158"/>
      <c r="D133" s="84">
        <f t="shared" ref="D133:L133" si="111">SUM(D6:D61)</f>
        <v>6203</v>
      </c>
      <c r="E133" s="84">
        <f t="shared" si="111"/>
        <v>0</v>
      </c>
      <c r="F133" s="84">
        <f t="shared" si="111"/>
        <v>0</v>
      </c>
      <c r="G133" s="84">
        <f t="shared" si="111"/>
        <v>6384</v>
      </c>
      <c r="H133" s="84">
        <f t="shared" si="111"/>
        <v>6379</v>
      </c>
      <c r="I133" s="84">
        <f t="shared" si="111"/>
        <v>10631</v>
      </c>
      <c r="J133" s="84">
        <f t="shared" si="111"/>
        <v>11687</v>
      </c>
      <c r="K133" s="84">
        <f t="shared" si="111"/>
        <v>11121</v>
      </c>
      <c r="L133" s="84">
        <f t="shared" si="111"/>
        <v>15748</v>
      </c>
      <c r="M133" s="48">
        <f t="shared" ref="M133:M136" si="112">SUM(D133:L133)/40</f>
        <v>1703.825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1169.7</v>
      </c>
      <c r="Q133" s="40">
        <f t="shared" ref="Q133:Q137" si="114">SUM(J133:L133)/20</f>
        <v>1927.8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6203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6384</v>
      </c>
      <c r="H138" s="85">
        <f t="shared" si="119"/>
        <v>6379</v>
      </c>
      <c r="I138" s="85">
        <f t="shared" si="119"/>
        <v>10631</v>
      </c>
      <c r="J138" s="85">
        <f t="shared" si="119"/>
        <v>11687</v>
      </c>
      <c r="K138" s="85">
        <f t="shared" si="119"/>
        <v>11121</v>
      </c>
      <c r="L138" s="85">
        <f t="shared" si="119"/>
        <v>15748</v>
      </c>
      <c r="M138" s="60">
        <f t="shared" si="0"/>
        <v>1703.825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2345.4</v>
      </c>
      <c r="Q138" s="64">
        <f t="shared" si="120"/>
        <v>3859.6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577</v>
      </c>
      <c r="E5" s="79">
        <v>1165</v>
      </c>
      <c r="F5" s="79">
        <v>600</v>
      </c>
      <c r="G5" s="102">
        <f>SUM(D5:F5)</f>
        <v>2342</v>
      </c>
      <c r="H5" s="95">
        <v>10000</v>
      </c>
      <c r="I5" s="96">
        <f>G5-H5</f>
        <v>-7658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23080</v>
      </c>
      <c r="E6" s="104">
        <f t="shared" ref="E6:F6" si="1">E5*40</f>
        <v>46600</v>
      </c>
      <c r="F6" s="104">
        <f t="shared" si="1"/>
        <v>24000</v>
      </c>
      <c r="G6" s="105">
        <f>SUM(D6:F6)</f>
        <v>93680</v>
      </c>
      <c r="H6" s="97">
        <f>H5*40</f>
        <v>400000</v>
      </c>
      <c r="I6" s="98">
        <f>G6-H6</f>
        <v>-306320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-577</v>
      </c>
      <c r="E9" s="106">
        <f>E8-E5</f>
        <v>-1165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6542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261680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2026-08-21T08:35:32Z</dcterms:modified>
</cp:coreProperties>
</file>