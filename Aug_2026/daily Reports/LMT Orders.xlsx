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3FFD1C9F-B857-40C1-8729-98697714846C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Y88" i="2" s="1"/>
  <c r="W88" i="2"/>
  <c r="X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G29" i="3" l="1"/>
  <c r="M78" i="2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<sst xmlns="http://schemas.openxmlformats.org/spreadsheetml/2006/main" count="172" uniqueCount="117">
  <si>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</si>
  <si>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</si>
  <si>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</si>
  <si>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</si>
  <si>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</si>
  <si>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</si>
  <si>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</si>
  <si>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</si>
  <si>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</si>
  <si>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</si>
  <si>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</si>
  <si>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</si>
  <si>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</si>
  <si>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</si>
  <si>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</si>
  <si>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</si>
  <si>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</si>
  <si>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</si>
  <si>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</si>
  <si>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</si>
  <si>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</si>
  <si>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</si>
  <si>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</si>
  <si>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</si>
  <si>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</si>
  <si>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</si>
  <si>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</si>
  <si>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</si>
  <si>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</si>
  <si>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</si>
  <si>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</si>
  <si>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</si>
  <si>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</si>
  <si>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</si>
  <si>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</si>
  <si>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</si>
  <si>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</si>
  <si>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</si>
  <si>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</si>
  <si>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</si>
  <si>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</si>
  <si>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</si>
  <si>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</si>
  <si>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</si>
  <si>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</si>
  <si>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</si>
  <si>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</si>
  <si>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</si>
  <si>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</si>
  <si>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</si>
  <si>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</si>
  <si>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</si>
  <si>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</si>
  <si>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</si>
  <si>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</si>
  <si>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</si>
  <si>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</si>
  <si>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</si>
  <si>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</si>
  <si>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</si>
  <si>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</si>
  <si>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</si>
  <si>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</si>
  <si>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</si>
  <si>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</si>
  <si>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</si>
  <si>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</si>
  <si>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</si>
  <si>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</si>
  <si>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</si>
  <si>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</si>
  <si>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</si>
  <si>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</si>
  <si>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</si>
  <si>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</si>
  <si>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</si>
  <si>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</si>
  <si>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</si>
  <si>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</si>
  <si>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</si>
  <si>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</si>
  <si>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</si>
  <si>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</si>
  <si>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</si>
  <si>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</si>
  <si>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</si>
  <si>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</si>
  <si>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</si>
  <si>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</si>
  <si>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</si>
  <si>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</si>
  <si>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</si>
  <si>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</si>
  <si>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</si>
  <si>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</si>
  <si>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</si>
  <si>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</si>
  <si>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</si>
  <si>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</si>
  <si>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</si>
  <si>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</si>
  <si>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</si>
  <si>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</si>
  <si>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</si>
  <si>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</si>
  <si>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</si>
  <si>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</si>
  <si>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</si>
  <si>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</si>
  <si>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</si>
  <si>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</si>
  <si>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</si>
  <si>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</si>
  <si>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</si>
  <si>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 xml:space="preserve"> </t>
  </si>
  <si>
    <t>Euro Fateh Ghar</t>
  </si>
  <si>
    <t xml:space="preserve">Jalal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</si>
</sst>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25" zoomScaleNormal="100" workbookViewId="0">
      <selection activeCell="H42" sqref="H42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60">
        <f ca="1">TODAY()</f>
        <v>46247</v>
      </c>
      <c r="C1" s="160"/>
      <c r="D1" s="160"/>
      <c r="E1" s="160"/>
      <c r="F1" s="16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57" t="s">
        <v>37</v>
      </c>
      <c r="B2" s="161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49"/>
      <c r="N2" s="150"/>
      <c r="O2" s="151"/>
      <c r="P2" s="152" t="s">
        <v>14</v>
      </c>
      <c r="Q2" s="153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57"/>
      <c r="B3" s="162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54" t="s">
        <v>11</v>
      </c>
      <c r="N3" s="155"/>
      <c r="O3" s="156"/>
      <c r="P3" s="71"/>
      <c r="Q3" s="72"/>
      <c r="R3" s="164" t="s">
        <v>16</v>
      </c>
      <c r="S3" s="165"/>
      <c r="T3" s="165"/>
      <c r="U3" s="166"/>
      <c r="V3" s="167" t="s">
        <v>17</v>
      </c>
      <c r="W3" s="168"/>
      <c r="X3" s="168"/>
      <c r="Y3" s="169"/>
    </row>
    <row r="4" spans="1:25" ht="15" thickBot="1" x14ac:dyDescent="0.4">
      <c r="A4" s="157"/>
      <c r="B4" s="163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7" si="0">SUM(D6:L6)/40</f>
        <v>24</v>
      </c>
      <c r="N6" s="39">
        <f>SUMPRODUCT($D$4:$L$4,$D$6:$L$6)</f>
        <v>0</v>
      </c>
      <c r="O6" s="49">
        <f t="shared" ref="O6:O136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6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40">
        <v>46241</v>
      </c>
      <c r="B16" s="141">
        <v>12</v>
      </c>
      <c r="C16" s="142" t="s">
        <v>102</v>
      </c>
      <c r="D16" s="143">
        <v>120</v>
      </c>
      <c r="E16" s="144"/>
      <c r="F16" s="145"/>
      <c r="G16" s="146">
        <v>120</v>
      </c>
      <c r="H16" s="144">
        <v>120</v>
      </c>
      <c r="I16" s="56">
        <v>120</v>
      </c>
      <c r="J16" s="146">
        <v>120</v>
      </c>
      <c r="K16" s="144">
        <v>120</v>
      </c>
      <c r="L16" s="145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40">
        <v>46242</v>
      </c>
      <c r="B17" s="141">
        <v>13</v>
      </c>
      <c r="C17" s="142" t="s">
        <v>97</v>
      </c>
      <c r="D17" s="143"/>
      <c r="E17" s="144"/>
      <c r="F17" s="145"/>
      <c r="G17" s="146">
        <v>24</v>
      </c>
      <c r="H17" s="144">
        <v>4</v>
      </c>
      <c r="I17" s="56">
        <v>39</v>
      </c>
      <c r="J17" s="146">
        <v>38</v>
      </c>
      <c r="K17" s="144">
        <v>77</v>
      </c>
      <c r="L17" s="145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40">
        <v>46242</v>
      </c>
      <c r="B18" s="141">
        <v>14</v>
      </c>
      <c r="C18" s="142" t="s">
        <v>98</v>
      </c>
      <c r="D18" s="143"/>
      <c r="E18" s="144"/>
      <c r="F18" s="145"/>
      <c r="G18" s="146">
        <v>80</v>
      </c>
      <c r="H18" s="144">
        <v>120</v>
      </c>
      <c r="I18" s="56">
        <v>200</v>
      </c>
      <c r="J18" s="146">
        <v>160</v>
      </c>
      <c r="K18" s="144">
        <v>39</v>
      </c>
      <c r="L18" s="145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40">
        <v>46242</v>
      </c>
      <c r="B19" s="141">
        <v>15</v>
      </c>
      <c r="C19" s="142" t="s">
        <v>99</v>
      </c>
      <c r="D19" s="143"/>
      <c r="E19" s="144"/>
      <c r="F19" s="145"/>
      <c r="G19" s="146">
        <v>40</v>
      </c>
      <c r="H19" s="144">
        <v>40</v>
      </c>
      <c r="I19" s="56">
        <v>120</v>
      </c>
      <c r="J19" s="146">
        <v>120</v>
      </c>
      <c r="K19" s="144">
        <v>80</v>
      </c>
      <c r="L19" s="145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40">
        <v>46242</v>
      </c>
      <c r="B20" s="141">
        <v>16</v>
      </c>
      <c r="C20" s="142" t="s">
        <v>100</v>
      </c>
      <c r="D20" s="143"/>
      <c r="E20" s="144"/>
      <c r="F20" s="145"/>
      <c r="G20" s="146"/>
      <c r="H20" s="144">
        <v>120</v>
      </c>
      <c r="I20" s="56">
        <v>120</v>
      </c>
      <c r="J20" s="146">
        <v>120</v>
      </c>
      <c r="K20" s="144">
        <v>120</v>
      </c>
      <c r="L20" s="145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40">
        <v>46242</v>
      </c>
      <c r="B21" s="141">
        <v>17</v>
      </c>
      <c r="C21" s="142" t="s">
        <v>101</v>
      </c>
      <c r="D21" s="143"/>
      <c r="E21" s="144"/>
      <c r="F21" s="145"/>
      <c r="G21" s="146">
        <v>600</v>
      </c>
      <c r="H21" s="144">
        <v>600</v>
      </c>
      <c r="I21" s="56">
        <v>2800</v>
      </c>
      <c r="J21" s="146">
        <v>600</v>
      </c>
      <c r="K21" s="144">
        <v>1000</v>
      </c>
      <c r="L21" s="145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0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0" si="53">SUM(G28:I28)/20</f>
        <v>10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140">
        <v>46246</v>
      </c>
      <c r="B29" s="47">
        <v>25</v>
      </c>
      <c r="C29" s="57" t="s">
        <v>53</v>
      </c>
      <c r="D29" s="143">
        <v>40</v>
      </c>
      <c r="E29" s="144"/>
      <c r="F29" s="145"/>
      <c r="G29" s="146">
        <v>40</v>
      </c>
      <c r="H29" s="144">
        <v>40</v>
      </c>
      <c r="I29" s="56">
        <v>40</v>
      </c>
      <c r="J29" s="146">
        <v>20</v>
      </c>
      <c r="K29" s="144">
        <v>20</v>
      </c>
      <c r="L29" s="145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140">
        <v>46246</v>
      </c>
      <c r="B30" s="47">
        <v>26</v>
      </c>
      <c r="C30" s="57" t="s">
        <v>111</v>
      </c>
      <c r="D30" s="143"/>
      <c r="E30" s="144"/>
      <c r="F30" s="145"/>
      <c r="G30" s="146">
        <v>200</v>
      </c>
      <c r="H30" s="144">
        <v>200</v>
      </c>
      <c r="I30" s="56">
        <v>200</v>
      </c>
      <c r="J30" s="146">
        <v>200</v>
      </c>
      <c r="K30" s="144">
        <v>200</v>
      </c>
      <c r="L30" s="145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140">
        <v>46246</v>
      </c>
      <c r="B31" s="47">
        <v>27</v>
      </c>
      <c r="C31" s="57" t="s">
        <v>112</v>
      </c>
      <c r="D31" s="143"/>
      <c r="E31" s="144"/>
      <c r="F31" s="145"/>
      <c r="G31" s="146">
        <v>40</v>
      </c>
      <c r="H31" s="144">
        <v>40</v>
      </c>
      <c r="I31" s="56">
        <v>40</v>
      </c>
      <c r="J31" s="146">
        <v>40</v>
      </c>
      <c r="K31" s="144">
        <v>40</v>
      </c>
      <c r="L31" s="145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140">
        <v>46246</v>
      </c>
      <c r="B32" s="47">
        <v>28</v>
      </c>
      <c r="C32" s="57" t="s">
        <v>91</v>
      </c>
      <c r="D32" s="143"/>
      <c r="E32" s="144"/>
      <c r="F32" s="145"/>
      <c r="G32" s="146">
        <v>200</v>
      </c>
      <c r="H32" s="144"/>
      <c r="I32" s="56">
        <v>160</v>
      </c>
      <c r="J32" s="146">
        <v>120</v>
      </c>
      <c r="K32" s="144"/>
      <c r="L32" s="145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140">
        <v>46246</v>
      </c>
      <c r="B33" s="47">
        <v>29</v>
      </c>
      <c r="C33" s="57" t="s">
        <v>103</v>
      </c>
      <c r="D33" s="143"/>
      <c r="E33" s="144"/>
      <c r="F33" s="145"/>
      <c r="G33" s="146">
        <v>120</v>
      </c>
      <c r="H33" s="144">
        <v>80</v>
      </c>
      <c r="I33" s="56">
        <v>40</v>
      </c>
      <c r="J33" s="146">
        <v>140</v>
      </c>
      <c r="K33" s="144">
        <v>120</v>
      </c>
      <c r="L33" s="145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140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6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6" si="69">SUM(G34:I34)/20</f>
        <v>200</v>
      </c>
      <c r="Q34" s="40">
        <f t="shared" ref="Q34:Q46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46247</v>
      </c>
      <c r="B35" s="47">
        <v>31</v>
      </c>
      <c r="C35" s="57" t="s">
        <v>113</v>
      </c>
      <c r="D35" s="74"/>
      <c r="E35" s="75"/>
      <c r="F35" s="76"/>
      <c r="G35" s="50"/>
      <c r="H35" s="75"/>
      <c r="I35" s="49">
        <v>200</v>
      </c>
      <c r="J35" s="50">
        <v>40</v>
      </c>
      <c r="K35" s="75">
        <v>40</v>
      </c>
      <c r="L35" s="76">
        <v>120</v>
      </c>
      <c r="M35" s="48">
        <f t="shared" si="68"/>
        <v>10</v>
      </c>
      <c r="N35" s="39">
        <f t="shared" si="18"/>
        <v>0</v>
      </c>
      <c r="O35" s="49">
        <f t="shared" si="1"/>
        <v>62.470500000000001</v>
      </c>
      <c r="P35" s="73">
        <f t="shared" si="69"/>
        <v>10</v>
      </c>
      <c r="Q35" s="40">
        <f t="shared" si="70"/>
        <v>10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46247</v>
      </c>
      <c r="B36" s="47">
        <v>32</v>
      </c>
      <c r="C36" s="57" t="s">
        <v>115</v>
      </c>
      <c r="D36" s="74">
        <v>40</v>
      </c>
      <c r="E36" s="75"/>
      <c r="F36" s="76"/>
      <c r="G36" s="50">
        <v>40</v>
      </c>
      <c r="H36" s="75">
        <v>40</v>
      </c>
      <c r="I36" s="49">
        <v>40</v>
      </c>
      <c r="J36" s="50">
        <v>40</v>
      </c>
      <c r="K36" s="75">
        <v>40</v>
      </c>
      <c r="L36" s="76">
        <v>40</v>
      </c>
      <c r="M36" s="48">
        <f t="shared" si="68"/>
        <v>7</v>
      </c>
      <c r="N36" s="39">
        <f t="shared" si="18"/>
        <v>0</v>
      </c>
      <c r="O36" s="49">
        <f t="shared" si="1"/>
        <v>62.470500000000001</v>
      </c>
      <c r="P36" s="73">
        <f t="shared" si="69"/>
        <v>6</v>
      </c>
      <c r="Q36" s="40">
        <f t="shared" si="70"/>
        <v>6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116</v>
      </c>
      <c r="D37" s="74"/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6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62.470500000000001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62.470500000000001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62.470500000000001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62.470500000000001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62.470500000000001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62.470500000000001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62.470500000000001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62.470500000000001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62.470500000000001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62.470500000000001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62.470500000000001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62.470500000000001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62.470500000000001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62.470500000000001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62.470500000000001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62.470500000000001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62.470500000000001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62.470500000000001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62.470500000000001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27"/>
      <c r="J57" s="75"/>
      <c r="K57" s="75"/>
      <c r="L57" s="75"/>
      <c r="M57" s="129">
        <f t="shared" si="76"/>
        <v>0</v>
      </c>
      <c r="N57" s="39">
        <f t="shared" si="18"/>
        <v>0</v>
      </c>
      <c r="O57" s="49">
        <f t="shared" si="1"/>
        <v>62.470500000000001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7"/>
      <c r="J58" s="75"/>
      <c r="K58" s="75"/>
      <c r="L58" s="75"/>
      <c r="M58" s="129">
        <f t="shared" si="76"/>
        <v>0</v>
      </c>
      <c r="N58" s="39">
        <f t="shared" si="18"/>
        <v>0</v>
      </c>
      <c r="O58" s="49">
        <f t="shared" si="1"/>
        <v>62.470500000000001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27"/>
      <c r="J59" s="75"/>
      <c r="K59" s="75"/>
      <c r="L59" s="75"/>
      <c r="M59" s="129">
        <f t="shared" si="76"/>
        <v>0</v>
      </c>
      <c r="N59" s="39">
        <f t="shared" si="18"/>
        <v>0</v>
      </c>
      <c r="O59" s="49">
        <f t="shared" si="1"/>
        <v>62.470500000000001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27"/>
      <c r="J60" s="75"/>
      <c r="K60" s="75"/>
      <c r="L60" s="75"/>
      <c r="M60" s="129">
        <f t="shared" si="52"/>
        <v>0</v>
      </c>
      <c r="N60" s="39">
        <f t="shared" si="18"/>
        <v>0</v>
      </c>
      <c r="O60" s="49">
        <f t="shared" si="1"/>
        <v>62.470500000000001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28"/>
      <c r="D61" s="75"/>
      <c r="E61" s="75"/>
      <c r="F61" s="75"/>
      <c r="G61" s="75"/>
      <c r="H61" s="75"/>
      <c r="I61" s="127"/>
      <c r="J61" s="75"/>
      <c r="K61" s="75"/>
      <c r="L61" s="75"/>
      <c r="M61" s="129">
        <f t="shared" ref="M61:M83" si="81">SUM(D61:L61)/40</f>
        <v>0</v>
      </c>
      <c r="N61" s="39">
        <f t="shared" si="18"/>
        <v>0</v>
      </c>
      <c r="O61" s="49">
        <f t="shared" si="1"/>
        <v>62.470500000000001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28"/>
      <c r="D62" s="75"/>
      <c r="E62" s="75"/>
      <c r="F62" s="75"/>
      <c r="G62" s="75"/>
      <c r="H62" s="75"/>
      <c r="I62" s="127"/>
      <c r="J62" s="75"/>
      <c r="K62" s="75"/>
      <c r="L62" s="75"/>
      <c r="M62" s="129">
        <f t="shared" si="81"/>
        <v>0</v>
      </c>
      <c r="N62" s="39">
        <f t="shared" si="18"/>
        <v>0</v>
      </c>
      <c r="O62" s="49">
        <f t="shared" si="1"/>
        <v>62.470500000000001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28"/>
      <c r="D63" s="75"/>
      <c r="E63" s="75"/>
      <c r="F63" s="75"/>
      <c r="G63" s="75"/>
      <c r="H63" s="75"/>
      <c r="I63" s="127"/>
      <c r="J63" s="75"/>
      <c r="K63" s="75"/>
      <c r="L63" s="75"/>
      <c r="M63" s="129">
        <f t="shared" si="81"/>
        <v>0</v>
      </c>
      <c r="N63" s="39">
        <f t="shared" si="18"/>
        <v>0</v>
      </c>
      <c r="O63" s="49">
        <f t="shared" si="1"/>
        <v>62.470500000000001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28"/>
      <c r="D64" s="75"/>
      <c r="E64" s="75"/>
      <c r="F64" s="75"/>
      <c r="G64" s="75"/>
      <c r="H64" s="75"/>
      <c r="I64" s="127"/>
      <c r="J64" s="75"/>
      <c r="K64" s="75"/>
      <c r="L64" s="75"/>
      <c r="M64" s="129">
        <f t="shared" si="81"/>
        <v>0</v>
      </c>
      <c r="N64" s="39">
        <f t="shared" si="18"/>
        <v>0</v>
      </c>
      <c r="O64" s="49">
        <f t="shared" si="1"/>
        <v>62.470500000000001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28"/>
      <c r="D65" s="75"/>
      <c r="E65" s="75"/>
      <c r="F65" s="75"/>
      <c r="G65" s="75"/>
      <c r="H65" s="75"/>
      <c r="I65" s="127"/>
      <c r="J65" s="75"/>
      <c r="K65" s="75"/>
      <c r="L65" s="75"/>
      <c r="M65" s="129">
        <f t="shared" si="81"/>
        <v>0</v>
      </c>
      <c r="N65" s="39">
        <f t="shared" si="18"/>
        <v>0</v>
      </c>
      <c r="O65" s="49">
        <f t="shared" si="1"/>
        <v>62.470500000000001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28"/>
      <c r="D66" s="75"/>
      <c r="E66" s="75"/>
      <c r="F66" s="75"/>
      <c r="G66" s="75"/>
      <c r="H66" s="75"/>
      <c r="I66" s="127"/>
      <c r="J66" s="75"/>
      <c r="K66" s="75"/>
      <c r="L66" s="75"/>
      <c r="M66" s="129">
        <f t="shared" si="81"/>
        <v>0</v>
      </c>
      <c r="N66" s="39">
        <f t="shared" si="18"/>
        <v>0</v>
      </c>
      <c r="O66" s="49">
        <f t="shared" si="1"/>
        <v>62.470500000000001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28"/>
      <c r="D67" s="75"/>
      <c r="E67" s="75"/>
      <c r="F67" s="75"/>
      <c r="G67" s="75"/>
      <c r="H67" s="75"/>
      <c r="I67" s="127"/>
      <c r="J67" s="75"/>
      <c r="K67" s="75"/>
      <c r="L67" s="75"/>
      <c r="M67" s="129">
        <f t="shared" si="81"/>
        <v>0</v>
      </c>
      <c r="N67" s="39">
        <f t="shared" si="18"/>
        <v>0</v>
      </c>
      <c r="O67" s="49">
        <f t="shared" si="1"/>
        <v>62.470500000000001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28"/>
      <c r="D68" s="75"/>
      <c r="E68" s="75"/>
      <c r="F68" s="75"/>
      <c r="G68" s="75"/>
      <c r="H68" s="75"/>
      <c r="I68" s="127"/>
      <c r="J68" s="75"/>
      <c r="K68" s="75"/>
      <c r="L68" s="75"/>
      <c r="M68" s="129">
        <f t="shared" si="81"/>
        <v>0</v>
      </c>
      <c r="N68" s="39">
        <f t="shared" si="18"/>
        <v>0</v>
      </c>
      <c r="O68" s="49">
        <f t="shared" si="1"/>
        <v>62.470500000000001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1"/>
        <v>0</v>
      </c>
      <c r="N69" s="39">
        <f t="shared" si="18"/>
        <v>0</v>
      </c>
      <c r="O69" s="49">
        <f t="shared" si="1"/>
        <v>62.470500000000001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1"/>
        <v>0</v>
      </c>
      <c r="N70" s="39">
        <f t="shared" si="18"/>
        <v>0</v>
      </c>
      <c r="O70" s="49">
        <f t="shared" si="1"/>
        <v>62.470500000000001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1"/>
        <v>0</v>
      </c>
      <c r="N71" s="39">
        <f t="shared" si="18"/>
        <v>0</v>
      </c>
      <c r="O71" s="49">
        <f t="shared" si="1"/>
        <v>62.470500000000001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1"/>
        <v>0</v>
      </c>
      <c r="N72" s="39">
        <f t="shared" si="18"/>
        <v>0</v>
      </c>
      <c r="O72" s="49">
        <f t="shared" si="1"/>
        <v>62.470500000000001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1"/>
        <v>0</v>
      </c>
      <c r="N73" s="39">
        <f t="shared" si="18"/>
        <v>0</v>
      </c>
      <c r="O73" s="49">
        <f t="shared" si="1"/>
        <v>62.470500000000001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9"/>
      <c r="D74" s="75"/>
      <c r="E74" s="75"/>
      <c r="F74" s="50"/>
      <c r="G74" s="75"/>
      <c r="H74" s="75"/>
      <c r="I74" s="127"/>
      <c r="J74" s="75"/>
      <c r="K74" s="75"/>
      <c r="L74" s="75"/>
      <c r="M74" s="129">
        <f t="shared" si="81"/>
        <v>0</v>
      </c>
      <c r="N74" s="39">
        <f t="shared" si="18"/>
        <v>0</v>
      </c>
      <c r="O74" s="49">
        <f t="shared" si="1"/>
        <v>62.470500000000001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9"/>
      <c r="D75" s="75"/>
      <c r="E75" s="50"/>
      <c r="F75" s="50"/>
      <c r="G75" s="75"/>
      <c r="H75" s="75"/>
      <c r="I75" s="127"/>
      <c r="J75" s="75"/>
      <c r="K75" s="75"/>
      <c r="L75" s="75"/>
      <c r="M75" s="129">
        <f t="shared" si="81"/>
        <v>0</v>
      </c>
      <c r="N75" s="39">
        <f t="shared" si="18"/>
        <v>0</v>
      </c>
      <c r="O75" s="49">
        <f t="shared" si="1"/>
        <v>62.470500000000001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1"/>
        <v>0</v>
      </c>
      <c r="N76" s="39">
        <f t="shared" si="18"/>
        <v>0</v>
      </c>
      <c r="O76" s="49">
        <f t="shared" si="1"/>
        <v>62.470500000000001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50"/>
      <c r="H77" s="50"/>
      <c r="I77" s="129"/>
      <c r="J77" s="50"/>
      <c r="K77" s="50"/>
      <c r="L77" s="50"/>
      <c r="M77" s="129">
        <f t="shared" si="81"/>
        <v>0</v>
      </c>
      <c r="N77" s="39">
        <f t="shared" si="18"/>
        <v>0</v>
      </c>
      <c r="O77" s="49">
        <f t="shared" si="1"/>
        <v>62.470500000000001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1"/>
        <v>0</v>
      </c>
      <c r="N78" s="39">
        <f t="shared" si="18"/>
        <v>0</v>
      </c>
      <c r="O78" s="49">
        <f t="shared" si="1"/>
        <v>62.470500000000001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28"/>
      <c r="D79" s="50"/>
      <c r="E79" s="50"/>
      <c r="F79" s="50"/>
      <c r="G79" s="50"/>
      <c r="H79" s="50"/>
      <c r="I79" s="129"/>
      <c r="J79" s="50"/>
      <c r="K79" s="50"/>
      <c r="L79" s="50"/>
      <c r="M79" s="129">
        <f t="shared" si="81"/>
        <v>0</v>
      </c>
      <c r="N79" s="39">
        <f t="shared" si="18"/>
        <v>0</v>
      </c>
      <c r="O79" s="49">
        <f t="shared" si="1"/>
        <v>62.470500000000001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1"/>
        <v>0</v>
      </c>
      <c r="N80" s="39">
        <f t="shared" si="18"/>
        <v>0</v>
      </c>
      <c r="O80" s="49">
        <f t="shared" si="1"/>
        <v>62.470500000000001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1"/>
        <v>0</v>
      </c>
      <c r="N81" s="39">
        <f t="shared" si="18"/>
        <v>0</v>
      </c>
      <c r="O81" s="49">
        <f t="shared" si="1"/>
        <v>62.470500000000001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1"/>
        <v>0</v>
      </c>
      <c r="N82" s="39">
        <f t="shared" si="18"/>
        <v>0</v>
      </c>
      <c r="O82" s="49">
        <f t="shared" si="1"/>
        <v>62.470500000000001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1"/>
        <v>0</v>
      </c>
      <c r="N83" s="39">
        <f t="shared" si="18"/>
        <v>0</v>
      </c>
      <c r="O83" s="49">
        <f t="shared" si="1"/>
        <v>62.470500000000001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ref="M84:M131" si="96">SUM(D84:L84)/40</f>
        <v>0</v>
      </c>
      <c r="N84" s="39">
        <f t="shared" si="18"/>
        <v>0</v>
      </c>
      <c r="O84" s="49">
        <f t="shared" si="1"/>
        <v>62.470500000000001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si="96"/>
        <v>0</v>
      </c>
      <c r="N85" s="39">
        <f t="shared" si="18"/>
        <v>0</v>
      </c>
      <c r="O85" s="49">
        <f t="shared" si="1"/>
        <v>62.470500000000001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96"/>
        <v>0</v>
      </c>
      <c r="N86" s="39">
        <f t="shared" si="18"/>
        <v>0</v>
      </c>
      <c r="O86" s="49">
        <f t="shared" si="1"/>
        <v>62.470500000000001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96"/>
        <v>0</v>
      </c>
      <c r="N87" s="39">
        <f t="shared" si="18"/>
        <v>0</v>
      </c>
      <c r="O87" s="49">
        <f t="shared" si="1"/>
        <v>62.470500000000001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96"/>
        <v>0</v>
      </c>
      <c r="N88" s="39">
        <f t="shared" si="18"/>
        <v>0</v>
      </c>
      <c r="O88" s="49">
        <f t="shared" si="1"/>
        <v>62.470500000000001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96"/>
        <v>0</v>
      </c>
      <c r="N89" s="39">
        <f t="shared" si="18"/>
        <v>0</v>
      </c>
      <c r="O89" s="49">
        <f t="shared" si="1"/>
        <v>62.470500000000001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96"/>
        <v>0</v>
      </c>
      <c r="N90" s="39">
        <f t="shared" si="18"/>
        <v>0</v>
      </c>
      <c r="O90" s="49">
        <f t="shared" si="1"/>
        <v>62.470500000000001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96"/>
        <v>0</v>
      </c>
      <c r="N91" s="39">
        <f t="shared" si="18"/>
        <v>0</v>
      </c>
      <c r="O91" s="49">
        <f t="shared" si="1"/>
        <v>62.470500000000001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96"/>
        <v>0</v>
      </c>
      <c r="N92" s="39">
        <f t="shared" si="18"/>
        <v>0</v>
      </c>
      <c r="O92" s="49">
        <f t="shared" si="1"/>
        <v>62.470500000000001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96"/>
        <v>0</v>
      </c>
      <c r="N93" s="39">
        <f t="shared" si="18"/>
        <v>0</v>
      </c>
      <c r="O93" s="49">
        <f t="shared" si="1"/>
        <v>62.470500000000001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96"/>
        <v>0</v>
      </c>
      <c r="N94" s="39">
        <f t="shared" si="18"/>
        <v>0</v>
      </c>
      <c r="O94" s="49">
        <f t="shared" si="1"/>
        <v>62.470500000000001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96"/>
        <v>0</v>
      </c>
      <c r="N95" s="39">
        <f t="shared" si="18"/>
        <v>0</v>
      </c>
      <c r="O95" s="49">
        <f t="shared" si="1"/>
        <v>62.470500000000001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96"/>
        <v>0</v>
      </c>
      <c r="N96" s="39">
        <f t="shared" si="18"/>
        <v>0</v>
      </c>
      <c r="O96" s="49">
        <f t="shared" si="1"/>
        <v>62.470500000000001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96"/>
        <v>0</v>
      </c>
      <c r="N97" s="39">
        <f t="shared" si="18"/>
        <v>0</v>
      </c>
      <c r="O97" s="49">
        <f t="shared" si="1"/>
        <v>62.470500000000001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96"/>
        <v>0</v>
      </c>
      <c r="N98" s="39">
        <f t="shared" si="18"/>
        <v>0</v>
      </c>
      <c r="O98" s="49">
        <f t="shared" si="1"/>
        <v>62.470500000000001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96"/>
        <v>0</v>
      </c>
      <c r="N99" s="39">
        <f t="shared" si="18"/>
        <v>0</v>
      </c>
      <c r="O99" s="49">
        <f t="shared" si="1"/>
        <v>62.470500000000001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96"/>
        <v>0</v>
      </c>
      <c r="N100" s="39">
        <f t="shared" si="18"/>
        <v>0</v>
      </c>
      <c r="O100" s="49">
        <f t="shared" si="1"/>
        <v>62.470500000000001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96"/>
        <v>0</v>
      </c>
      <c r="N101" s="39">
        <f t="shared" si="18"/>
        <v>0</v>
      </c>
      <c r="O101" s="49">
        <f t="shared" si="1"/>
        <v>62.470500000000001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96"/>
        <v>0</v>
      </c>
      <c r="N102" s="39">
        <f t="shared" si="18"/>
        <v>0</v>
      </c>
      <c r="O102" s="49">
        <f t="shared" si="1"/>
        <v>62.470500000000001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96"/>
        <v>0</v>
      </c>
      <c r="N103" s="39">
        <f t="shared" si="18"/>
        <v>0</v>
      </c>
      <c r="O103" s="49">
        <f t="shared" si="1"/>
        <v>62.470500000000001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96"/>
        <v>0</v>
      </c>
      <c r="N104" s="39">
        <f t="shared" si="18"/>
        <v>0</v>
      </c>
      <c r="O104" s="49">
        <f t="shared" si="1"/>
        <v>62.470500000000001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96"/>
        <v>0</v>
      </c>
      <c r="N105" s="39">
        <f t="shared" si="18"/>
        <v>0</v>
      </c>
      <c r="O105" s="49">
        <f t="shared" si="1"/>
        <v>62.470500000000001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96"/>
        <v>0</v>
      </c>
      <c r="N106" s="39">
        <f t="shared" si="18"/>
        <v>0</v>
      </c>
      <c r="O106" s="49">
        <f t="shared" si="1"/>
        <v>62.470500000000001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96"/>
        <v>0</v>
      </c>
      <c r="N107" s="39">
        <f t="shared" si="18"/>
        <v>0</v>
      </c>
      <c r="O107" s="49">
        <f t="shared" si="1"/>
        <v>62.470500000000001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96"/>
        <v>0</v>
      </c>
      <c r="N108" s="39">
        <f t="shared" si="18"/>
        <v>0</v>
      </c>
      <c r="O108" s="49">
        <f t="shared" si="1"/>
        <v>62.470500000000001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96"/>
        <v>0</v>
      </c>
      <c r="N109" s="39">
        <f t="shared" si="18"/>
        <v>0</v>
      </c>
      <c r="O109" s="49">
        <f t="shared" si="1"/>
        <v>62.470500000000001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96"/>
        <v>0</v>
      </c>
      <c r="N110" s="39">
        <f t="shared" si="18"/>
        <v>0</v>
      </c>
      <c r="O110" s="49">
        <f t="shared" si="1"/>
        <v>62.470500000000001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96"/>
        <v>0</v>
      </c>
      <c r="N111" s="39">
        <f t="shared" si="18"/>
        <v>0</v>
      </c>
      <c r="O111" s="49">
        <f t="shared" si="1"/>
        <v>62.470500000000001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96"/>
        <v>0</v>
      </c>
      <c r="N112" s="39">
        <f t="shared" si="18"/>
        <v>0</v>
      </c>
      <c r="O112" s="49">
        <f t="shared" si="1"/>
        <v>62.470500000000001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96"/>
        <v>0</v>
      </c>
      <c r="N113" s="39">
        <f t="shared" si="18"/>
        <v>0</v>
      </c>
      <c r="O113" s="49">
        <f t="shared" si="1"/>
        <v>62.470500000000001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96"/>
        <v>0</v>
      </c>
      <c r="N114" s="39">
        <f t="shared" si="18"/>
        <v>0</v>
      </c>
      <c r="O114" s="49">
        <f t="shared" si="1"/>
        <v>62.470500000000001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96"/>
        <v>0</v>
      </c>
      <c r="N115" s="39">
        <f t="shared" si="18"/>
        <v>0</v>
      </c>
      <c r="O115" s="49">
        <f t="shared" si="1"/>
        <v>62.470500000000001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96"/>
        <v>0</v>
      </c>
      <c r="N116" s="39">
        <f t="shared" si="18"/>
        <v>0</v>
      </c>
      <c r="O116" s="49">
        <f t="shared" si="1"/>
        <v>62.470500000000001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96"/>
        <v>0</v>
      </c>
      <c r="N117" s="39">
        <f t="shared" si="18"/>
        <v>0</v>
      </c>
      <c r="O117" s="49">
        <f t="shared" si="1"/>
        <v>62.470500000000001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96"/>
        <v>0</v>
      </c>
      <c r="N118" s="39">
        <f t="shared" si="18"/>
        <v>0</v>
      </c>
      <c r="O118" s="49">
        <f t="shared" si="1"/>
        <v>62.470500000000001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96"/>
        <v>0</v>
      </c>
      <c r="N119" s="39">
        <f t="shared" si="18"/>
        <v>0</v>
      </c>
      <c r="O119" s="49">
        <f t="shared" si="1"/>
        <v>62.470500000000001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96"/>
        <v>0</v>
      </c>
      <c r="N120" s="39">
        <f t="shared" si="18"/>
        <v>0</v>
      </c>
      <c r="O120" s="49">
        <f t="shared" si="1"/>
        <v>62.470500000000001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96"/>
        <v>0</v>
      </c>
      <c r="N121" s="39">
        <f t="shared" si="18"/>
        <v>0</v>
      </c>
      <c r="O121" s="49">
        <f t="shared" si="1"/>
        <v>62.470500000000001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96"/>
        <v>0</v>
      </c>
      <c r="N122" s="39">
        <f t="shared" si="18"/>
        <v>0</v>
      </c>
      <c r="O122" s="49">
        <f t="shared" si="1"/>
        <v>62.470500000000001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96"/>
        <v>0</v>
      </c>
      <c r="N123" s="39">
        <f t="shared" si="18"/>
        <v>0</v>
      </c>
      <c r="O123" s="49">
        <f t="shared" si="1"/>
        <v>62.470500000000001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07"/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96"/>
        <v>0</v>
      </c>
      <c r="N124" s="39">
        <f t="shared" si="18"/>
        <v>0</v>
      </c>
      <c r="O124" s="49">
        <f t="shared" si="1"/>
        <v>62.470500000000001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96"/>
        <v>0</v>
      </c>
      <c r="N125" s="39">
        <f t="shared" si="18"/>
        <v>0</v>
      </c>
      <c r="O125" s="49">
        <f t="shared" si="1"/>
        <v>62.470500000000001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96"/>
        <v>0</v>
      </c>
      <c r="N126" s="39">
        <f t="shared" si="18"/>
        <v>0</v>
      </c>
      <c r="O126" s="49">
        <f t="shared" si="1"/>
        <v>62.470500000000001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96"/>
        <v>0</v>
      </c>
      <c r="N127" s="39">
        <f t="shared" si="18"/>
        <v>0</v>
      </c>
      <c r="O127" s="49">
        <f t="shared" si="1"/>
        <v>62.470500000000001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96"/>
        <v>0</v>
      </c>
      <c r="N128" s="39">
        <f t="shared" si="18"/>
        <v>0</v>
      </c>
      <c r="O128" s="49">
        <f t="shared" si="1"/>
        <v>62.470500000000001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96"/>
        <v>0</v>
      </c>
      <c r="N129" s="39">
        <f t="shared" si="18"/>
        <v>0</v>
      </c>
      <c r="O129" s="49">
        <f t="shared" si="1"/>
        <v>62.470500000000001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96"/>
        <v>0</v>
      </c>
      <c r="N130" s="39">
        <f t="shared" si="18"/>
        <v>0</v>
      </c>
      <c r="O130" s="49">
        <f t="shared" si="1"/>
        <v>62.470500000000001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96"/>
        <v>0</v>
      </c>
      <c r="N131" s="39">
        <f t="shared" si="18"/>
        <v>0</v>
      </c>
      <c r="O131" s="49">
        <f t="shared" si="1"/>
        <v>62.470500000000001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0" t="s">
        <v>11</v>
      </c>
      <c r="C132" s="171"/>
      <c r="D132" s="84">
        <f t="shared" ref="D132:L132" si="104">SUM(D6:D60)</f>
        <v>6083</v>
      </c>
      <c r="E132" s="84">
        <f t="shared" si="104"/>
        <v>0</v>
      </c>
      <c r="F132" s="84">
        <f t="shared" si="104"/>
        <v>0</v>
      </c>
      <c r="G132" s="84">
        <f t="shared" si="104"/>
        <v>4462</v>
      </c>
      <c r="H132" s="84">
        <f t="shared" si="104"/>
        <v>4607</v>
      </c>
      <c r="I132" s="84">
        <f t="shared" si="104"/>
        <v>6799</v>
      </c>
      <c r="J132" s="84">
        <f t="shared" si="104"/>
        <v>8301</v>
      </c>
      <c r="K132" s="84">
        <f t="shared" si="104"/>
        <v>7777</v>
      </c>
      <c r="L132" s="84">
        <f t="shared" si="104"/>
        <v>10119</v>
      </c>
      <c r="M132" s="48">
        <f t="shared" ref="M132:M135" si="105">SUM(D132:L132)/40</f>
        <v>1203.7</v>
      </c>
      <c r="N132" s="39">
        <f t="shared" si="18"/>
        <v>0</v>
      </c>
      <c r="O132" s="49">
        <f t="shared" si="1"/>
        <v>62.470500000000001</v>
      </c>
      <c r="P132" s="73">
        <f t="shared" ref="P132:P136" si="106">SUM(G132:I132)/20</f>
        <v>793.4</v>
      </c>
      <c r="Q132" s="40">
        <f t="shared" ref="Q132:Q136" si="107">SUM(J132:L132)/20</f>
        <v>1309.8499999999999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07">
        <v>0</v>
      </c>
      <c r="C133" s="57" t="s">
        <v>69</v>
      </c>
      <c r="D133" s="108"/>
      <c r="E133" s="109"/>
      <c r="F133" s="110"/>
      <c r="G133" s="109"/>
      <c r="H133" s="109"/>
      <c r="I133" s="110"/>
      <c r="J133" s="109"/>
      <c r="K133" s="109"/>
      <c r="L133" s="110"/>
      <c r="M133" s="111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62.470500000000001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62.470500000000001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58" t="s">
        <v>70</v>
      </c>
      <c r="C136" s="159"/>
      <c r="D136" s="83">
        <f>SUM(D134:D135)</f>
        <v>0</v>
      </c>
      <c r="E136" s="83">
        <f t="shared" ref="E136:L136" si="111">SUM(E134:E135)</f>
        <v>0</v>
      </c>
      <c r="F136" s="83">
        <f t="shared" si="111"/>
        <v>0</v>
      </c>
      <c r="G136" s="83">
        <f t="shared" si="111"/>
        <v>0</v>
      </c>
      <c r="H136" s="83">
        <f t="shared" si="111"/>
        <v>0</v>
      </c>
      <c r="I136" s="83">
        <f t="shared" si="111"/>
        <v>0</v>
      </c>
      <c r="J136" s="83">
        <f t="shared" si="111"/>
        <v>0</v>
      </c>
      <c r="K136" s="83">
        <f t="shared" si="111"/>
        <v>0</v>
      </c>
      <c r="L136" s="83">
        <f t="shared" si="111"/>
        <v>0</v>
      </c>
      <c r="M136" s="112">
        <f>SUM(M133:M135)</f>
        <v>0</v>
      </c>
      <c r="N136" s="59">
        <f t="shared" si="18"/>
        <v>0</v>
      </c>
      <c r="O136" s="58">
        <f t="shared" si="1"/>
        <v>62.470500000000001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47" t="s">
        <v>11</v>
      </c>
      <c r="C137" s="148"/>
      <c r="D137" s="85">
        <f>SUM(D132,D136)</f>
        <v>6083</v>
      </c>
      <c r="E137" s="85">
        <f t="shared" ref="E137:L137" si="112">SUM(E132,E136)</f>
        <v>0</v>
      </c>
      <c r="F137" s="85">
        <f t="shared" si="112"/>
        <v>0</v>
      </c>
      <c r="G137" s="85">
        <f t="shared" si="112"/>
        <v>4462</v>
      </c>
      <c r="H137" s="85">
        <f t="shared" si="112"/>
        <v>4607</v>
      </c>
      <c r="I137" s="85">
        <f t="shared" si="112"/>
        <v>6799</v>
      </c>
      <c r="J137" s="85">
        <f t="shared" si="112"/>
        <v>8301</v>
      </c>
      <c r="K137" s="85">
        <f t="shared" si="112"/>
        <v>7777</v>
      </c>
      <c r="L137" s="85">
        <f t="shared" si="112"/>
        <v>10119</v>
      </c>
      <c r="M137" s="60">
        <f t="shared" si="0"/>
        <v>1203.7</v>
      </c>
      <c r="N137" s="63">
        <f>SUM(N5:N136)</f>
        <v>0</v>
      </c>
      <c r="O137" s="61">
        <f t="shared" ref="O137:Y137" si="113">SUM(O5:O136)</f>
        <v>8183.6355000000185</v>
      </c>
      <c r="P137" s="62">
        <f t="shared" si="113"/>
        <v>1592.8</v>
      </c>
      <c r="Q137" s="64">
        <f t="shared" si="113"/>
        <v>2623.7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85" zoomScaleNormal="85" workbookViewId="0">
      <selection activeCell="I7" sqref="I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4" t="s">
        <v>114</v>
      </c>
      <c r="D3" s="175"/>
      <c r="E3" s="175"/>
      <c r="F3" s="175"/>
      <c r="G3" s="176"/>
      <c r="H3" s="178" t="s">
        <v>62</v>
      </c>
      <c r="I3" s="179"/>
      <c r="K3" s="180" t="s">
        <v>66</v>
      </c>
      <c r="L3" s="180"/>
      <c r="M3" s="180"/>
      <c r="N3" s="180"/>
      <c r="O3" s="180"/>
      <c r="P3" s="180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366</v>
      </c>
      <c r="E5" s="79">
        <v>641</v>
      </c>
      <c r="F5" s="79">
        <v>550</v>
      </c>
      <c r="G5" s="102">
        <f>SUM(D5:F5)</f>
        <v>1557</v>
      </c>
      <c r="H5" s="95">
        <v>10000</v>
      </c>
      <c r="I5" s="96">
        <f>G5-H5</f>
        <v>-8443</v>
      </c>
      <c r="K5" s="1" t="s">
        <v>1</v>
      </c>
      <c r="L5" s="7">
        <v>70</v>
      </c>
      <c r="M5" s="5"/>
      <c r="N5" s="6">
        <f t="shared" ref="N5:N11" si="0">M5/40</f>
        <v>0</v>
      </c>
      <c r="O5" s="81"/>
    </row>
    <row r="6" spans="3:26" ht="32" customHeight="1" thickBot="1" x14ac:dyDescent="0.6">
      <c r="C6" s="103" t="s">
        <v>50</v>
      </c>
      <c r="D6" s="104">
        <f>D5*40</f>
        <v>14640</v>
      </c>
      <c r="E6" s="104">
        <f t="shared" ref="E6:F6" si="1">E5*40</f>
        <v>25640</v>
      </c>
      <c r="F6" s="104">
        <f t="shared" si="1"/>
        <v>22000</v>
      </c>
      <c r="G6" s="105">
        <f>SUM(D6:F6)</f>
        <v>62280</v>
      </c>
      <c r="H6" s="97">
        <f>H5*40</f>
        <v>400000</v>
      </c>
      <c r="I6" s="98">
        <f>G6-H6</f>
        <v>-337720</v>
      </c>
      <c r="K6" s="1" t="s">
        <v>2</v>
      </c>
      <c r="L6" s="7">
        <v>70</v>
      </c>
      <c r="M6" s="5"/>
      <c r="N6" s="6">
        <f t="shared" si="0"/>
        <v>0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/>
      <c r="N7" s="6">
        <f t="shared" si="0"/>
        <v>0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/>
      <c r="N8" s="6">
        <f t="shared" si="0"/>
        <v>0</v>
      </c>
      <c r="O8" s="81"/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-366</v>
      </c>
      <c r="E9" s="106">
        <f>E8-E5</f>
        <v>-641</v>
      </c>
      <c r="K9" s="1" t="s">
        <v>5</v>
      </c>
      <c r="L9" s="7">
        <v>120</v>
      </c>
      <c r="M9" s="5"/>
      <c r="N9" s="6">
        <f t="shared" si="0"/>
        <v>0</v>
      </c>
      <c r="O9" s="81"/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/>
      <c r="N10" s="6">
        <f t="shared" si="0"/>
        <v>0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77" t="s">
        <v>59</v>
      </c>
      <c r="D11" s="177"/>
      <c r="F11" s="177" t="s">
        <v>68</v>
      </c>
      <c r="G11" s="177"/>
      <c r="K11" s="1" t="s">
        <v>7</v>
      </c>
      <c r="L11" s="7">
        <v>60</v>
      </c>
      <c r="M11" s="5"/>
      <c r="N11" s="6">
        <f t="shared" si="0"/>
        <v>0</v>
      </c>
      <c r="O11" s="81"/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5757</v>
      </c>
      <c r="K12" s="1" t="s">
        <v>11</v>
      </c>
      <c r="L12" s="2"/>
      <c r="M12" s="8">
        <f>SUM(M5:M11)</f>
        <v>0</v>
      </c>
      <c r="N12" s="9">
        <f>SUM(N5:N11)</f>
        <v>0</v>
      </c>
      <c r="O12" s="9">
        <f>SUM(O5:O11)</f>
        <v>0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230280</v>
      </c>
      <c r="S13" s="172" t="s">
        <v>85</v>
      </c>
      <c r="T13" s="172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0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0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0</v>
      </c>
    </row>
    <row r="20" spans="4:15" ht="24" thickBot="1" x14ac:dyDescent="0.6">
      <c r="D20" s="173" t="s">
        <v>66</v>
      </c>
      <c r="E20" s="173"/>
      <c r="F20" s="173"/>
      <c r="G20" s="173"/>
      <c r="H20" s="173"/>
      <c r="K20" s="1" t="s">
        <v>4</v>
      </c>
      <c r="L20" s="116">
        <v>120</v>
      </c>
      <c r="M20" s="5"/>
      <c r="N20" s="5"/>
      <c r="O20" s="122">
        <f t="shared" si="4"/>
        <v>0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0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0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0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2026-08-13T10:10:11Z</dcterms:modified>
</cp:coreProperties>
</file>