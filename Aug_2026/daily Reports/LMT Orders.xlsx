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BF312AE-BB23-43F4-8E06-31E2AAA9A090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<sst xmlns="http://schemas.openxmlformats.org/spreadsheetml/2006/main" count="216" uniqueCount="147">
  <si>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</si>
  <si>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</si>
  <si>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</si>
  <si>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</si>
  <si>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</si>
  <si>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</si>
  <si>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</si>
  <si>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</si>
  <si>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</si>
  <si>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</si>
  <si>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</si>
  <si>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</si>
  <si>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</si>
  <si>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</si>
  <si>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</si>
  <si>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</si>
  <si>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</si>
  <si>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</si>
  <si>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</si>
  <si>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</si>
  <si>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</si>
  <si>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</si>
  <si>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</si>
  <si>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</si>
  <si>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</si>
  <si>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</si>
  <si>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</si>
  <si>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</si>
  <si>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</si>
  <si>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</si>
  <si>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</si>
  <si>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</si>
  <si>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</si>
  <si>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</si>
  <si>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</si>
  <si>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</si>
  <si>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</si>
  <si>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</si>
  <si>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</si>
  <si>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</si>
  <si>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</si>
  <si>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</si>
  <si>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</si>
  <si>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</si>
  <si>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</si>
  <si>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</si>
  <si>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</si>
  <si>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</si>
  <si>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</si>
  <si>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</si>
  <si>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</si>
  <si>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</si>
  <si>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</si>
  <si>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</si>
  <si>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</si>
  <si>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</si>
  <si>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</si>
  <si>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</si>
  <si>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</si>
  <si>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</si>
  <si>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</si>
  <si>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</si>
  <si>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</si>
  <si>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</si>
  <si>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</si>
  <si>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</si>
  <si>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</si>
  <si>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</si>
  <si>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</si>
  <si>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</si>
  <si>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</si>
  <si>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</si>
  <si>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</si>
  <si>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</si>
  <si>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</si>
  <si>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</si>
  <si>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</si>
  <si>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</si>
  <si>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</si>
  <si>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</si>
  <si>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</si>
  <si>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</si>
  <si>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</si>
  <si>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</si>
  <si>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</si>
  <si>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</si>
  <si>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</si>
  <si>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</si>
  <si>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</si>
  <si>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</si>
  <si>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</si>
  <si>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</si>
  <si>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</si>
  <si>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</si>
  <si>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</si>
  <si>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</si>
  <si>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</si>
  <si>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</si>
  <si>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</si>
  <si>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</si>
  <si>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</si>
  <si>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</si>
  <si>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</si>
  <si>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</si>
  <si>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</si>
  <si>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</si>
  <si>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</si>
  <si>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</si>
  <si>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</si>
  <si>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</si>
  <si>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</si>
  <si>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</si>
  <si>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</si>
  <si>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</si>
  <si>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</si>
  <si>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</si>
  <si>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</si>
  <si>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</si>
  <si>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</si>
  <si>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</si>
  <si>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</si>
  <si>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</si>
  <si>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</si>
  <si>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</si>
  <si>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</si>
  <si>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</si>
  <si>
    <t xml:space="preserve">Zubaida Traders </t>
  </si>
  <si>
    <t>Vip</t>
  </si>
  <si>
    <t xml:space="preserve">Al Rehmat </t>
  </si>
  <si>
    <t xml:space="preserve">Jala Sons Behria </t>
  </si>
  <si>
    <t>Clinic</t>
  </si>
  <si>
    <t>Jalal Sons Izmir</t>
  </si>
  <si>
    <t xml:space="preserve">Prime </t>
  </si>
  <si>
    <t xml:space="preserve">RI Mart </t>
  </si>
  <si>
    <t xml:space="preserve">Rainbow C NC </t>
  </si>
  <si>
    <t>Jalal Sons Behria Orchard</t>
  </si>
  <si>
    <t>Rainbow CNC DHA</t>
  </si>
  <si>
    <t>LGS</t>
  </si>
  <si>
    <t xml:space="preserve">RI Mart Jore Pull </t>
  </si>
  <si>
    <t xml:space="preserve">Risen Manawan </t>
  </si>
  <si>
    <t>Rainbow Sheikhupura</t>
  </si>
  <si>
    <t xml:space="preserve">Pak Madina </t>
  </si>
  <si>
    <t xml:space="preserve">Askari Punjab Society </t>
  </si>
  <si>
    <t xml:space="preserve">Risen Shadbagh </t>
  </si>
  <si>
    <t>Risen Sabzazaar</t>
  </si>
  <si>
    <t xml:space="preserve">Risen Thoker </t>
  </si>
  <si>
    <t>Risen Askari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</si>
</sst>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" fontId="0" fillId="5" borderId="0" xfId="0" applyNumberFormat="1" applyFill="1"/>
    <xf numFmtId="0" fontId="6" fillId="5" borderId="1" xfId="0" applyFont="1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16" fontId="0" fillId="2" borderId="0" xfId="0" applyNumberFormat="1" applyFill="1"/>
    <xf numFmtId="0" fontId="6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0" fontId="5" fillId="2" borderId="1" xfId="0" applyFont="1" applyFill="1" applyBorder="1"/>
    <xf numFmtId="0" fontId="5" fillId="2" borderId="33" xfId="0" applyFont="1" applyFill="1" applyBorder="1"/>
    <xf numFmtId="0" fontId="5" fillId="2" borderId="1" xfId="0" applyFont="1" applyFill="1" applyBorder="1" applyAlignment="1">
      <alignment horizontal="center"/>
    </xf>
    <xf numFmtId="0" fontId="5" fillId="2" borderId="33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left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opLeftCell="A61" zoomScaleNormal="100" workbookViewId="0">
      <selection activeCell="D82" sqref="D82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72">
        <f ca="1">TODAY()</f>
        <v>46262</v>
      </c>
      <c r="C1" s="172"/>
      <c r="D1" s="172"/>
      <c r="E1" s="172"/>
      <c r="F1" s="17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9" t="s">
        <v>37</v>
      </c>
      <c r="B2" s="17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1"/>
      <c r="N2" s="162"/>
      <c r="O2" s="163"/>
      <c r="P2" s="164" t="s">
        <v>14</v>
      </c>
      <c r="Q2" s="16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9"/>
      <c r="B3" s="17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6" t="s">
        <v>11</v>
      </c>
      <c r="N3" s="167"/>
      <c r="O3" s="168"/>
      <c r="P3" s="71"/>
      <c r="Q3" s="72"/>
      <c r="R3" s="176" t="s">
        <v>16</v>
      </c>
      <c r="S3" s="177"/>
      <c r="T3" s="177"/>
      <c r="U3" s="178"/>
      <c r="V3" s="179" t="s">
        <v>17</v>
      </c>
      <c r="W3" s="180"/>
      <c r="X3" s="180"/>
      <c r="Y3" s="181"/>
    </row>
    <row r="4" spans="1:25" ht="15" thickBot="1" x14ac:dyDescent="0.4">
      <c r="A4" s="169"/>
      <c r="B4" s="17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39">
        <v>46241</v>
      </c>
      <c r="B16" s="140">
        <v>12</v>
      </c>
      <c r="C16" s="141" t="s">
        <v>102</v>
      </c>
      <c r="D16" s="142">
        <v>120</v>
      </c>
      <c r="E16" s="143"/>
      <c r="F16" s="144"/>
      <c r="G16" s="145">
        <v>120</v>
      </c>
      <c r="H16" s="143">
        <v>120</v>
      </c>
      <c r="I16" s="56">
        <v>120</v>
      </c>
      <c r="J16" s="145">
        <v>120</v>
      </c>
      <c r="K16" s="143">
        <v>120</v>
      </c>
      <c r="L16" s="144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39">
        <v>46242</v>
      </c>
      <c r="B17" s="140">
        <v>13</v>
      </c>
      <c r="C17" s="141" t="s">
        <v>97</v>
      </c>
      <c r="D17" s="142"/>
      <c r="E17" s="143"/>
      <c r="F17" s="144"/>
      <c r="G17" s="145">
        <v>24</v>
      </c>
      <c r="H17" s="143">
        <v>4</v>
      </c>
      <c r="I17" s="56">
        <v>39</v>
      </c>
      <c r="J17" s="145">
        <v>38</v>
      </c>
      <c r="K17" s="143">
        <v>77</v>
      </c>
      <c r="L17" s="144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39">
        <v>46242</v>
      </c>
      <c r="B18" s="140">
        <v>14</v>
      </c>
      <c r="C18" s="141" t="s">
        <v>98</v>
      </c>
      <c r="D18" s="142"/>
      <c r="E18" s="143"/>
      <c r="F18" s="144"/>
      <c r="G18" s="145">
        <v>80</v>
      </c>
      <c r="H18" s="143">
        <v>120</v>
      </c>
      <c r="I18" s="56">
        <v>200</v>
      </c>
      <c r="J18" s="145">
        <v>160</v>
      </c>
      <c r="K18" s="143">
        <v>39</v>
      </c>
      <c r="L18" s="144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39">
        <v>46242</v>
      </c>
      <c r="B19" s="140">
        <v>15</v>
      </c>
      <c r="C19" s="141" t="s">
        <v>99</v>
      </c>
      <c r="D19" s="142"/>
      <c r="E19" s="143"/>
      <c r="F19" s="144"/>
      <c r="G19" s="145">
        <v>40</v>
      </c>
      <c r="H19" s="143">
        <v>40</v>
      </c>
      <c r="I19" s="56">
        <v>120</v>
      </c>
      <c r="J19" s="145">
        <v>120</v>
      </c>
      <c r="K19" s="143">
        <v>80</v>
      </c>
      <c r="L19" s="144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39">
        <v>46242</v>
      </c>
      <c r="B20" s="140">
        <v>16</v>
      </c>
      <c r="C20" s="141" t="s">
        <v>100</v>
      </c>
      <c r="D20" s="142"/>
      <c r="E20" s="143"/>
      <c r="F20" s="144"/>
      <c r="G20" s="145"/>
      <c r="H20" s="143">
        <v>120</v>
      </c>
      <c r="I20" s="56">
        <v>120</v>
      </c>
      <c r="J20" s="145">
        <v>120</v>
      </c>
      <c r="K20" s="143">
        <v>120</v>
      </c>
      <c r="L20" s="144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39">
        <v>46242</v>
      </c>
      <c r="B21" s="140">
        <v>17</v>
      </c>
      <c r="C21" s="141" t="s">
        <v>101</v>
      </c>
      <c r="D21" s="142"/>
      <c r="E21" s="143"/>
      <c r="F21" s="144"/>
      <c r="G21" s="145">
        <v>600</v>
      </c>
      <c r="H21" s="143">
        <v>600</v>
      </c>
      <c r="I21" s="56">
        <v>2800</v>
      </c>
      <c r="J21" s="145">
        <v>600</v>
      </c>
      <c r="K21" s="143">
        <v>1000</v>
      </c>
      <c r="L21" s="144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46249</v>
      </c>
      <c r="B39" s="47">
        <v>35</v>
      </c>
      <c r="C39" s="57" t="s">
        <v>118</v>
      </c>
      <c r="D39" s="74">
        <v>40</v>
      </c>
      <c r="E39" s="75"/>
      <c r="F39" s="76"/>
      <c r="G39" s="50">
        <v>20</v>
      </c>
      <c r="H39" s="75">
        <v>20</v>
      </c>
      <c r="I39" s="49">
        <v>40</v>
      </c>
      <c r="J39" s="50">
        <v>40</v>
      </c>
      <c r="K39" s="75">
        <v>20</v>
      </c>
      <c r="L39" s="76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46249</v>
      </c>
      <c r="B40" s="47">
        <v>36</v>
      </c>
      <c r="C40" s="57" t="s">
        <v>119</v>
      </c>
      <c r="D40" s="74">
        <v>80</v>
      </c>
      <c r="E40" s="75"/>
      <c r="F40" s="76"/>
      <c r="G40" s="50">
        <v>103</v>
      </c>
      <c r="H40" s="75">
        <v>104</v>
      </c>
      <c r="I40" s="49">
        <v>38</v>
      </c>
      <c r="J40" s="50">
        <v>68</v>
      </c>
      <c r="K40" s="75">
        <v>93</v>
      </c>
      <c r="L40" s="76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46249</v>
      </c>
      <c r="B41" s="47">
        <v>37</v>
      </c>
      <c r="C41" s="57" t="s">
        <v>120</v>
      </c>
      <c r="D41" s="74"/>
      <c r="E41" s="75"/>
      <c r="F41" s="76"/>
      <c r="G41" s="50">
        <v>120</v>
      </c>
      <c r="H41" s="75">
        <v>200</v>
      </c>
      <c r="I41" s="49">
        <v>200</v>
      </c>
      <c r="J41" s="50"/>
      <c r="K41" s="75">
        <v>200</v>
      </c>
      <c r="L41" s="76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46252</v>
      </c>
      <c r="B43" s="47">
        <v>39</v>
      </c>
      <c r="C43" s="57" t="s">
        <v>123</v>
      </c>
      <c r="D43" s="74"/>
      <c r="E43" s="75"/>
      <c r="F43" s="76"/>
      <c r="G43" s="50"/>
      <c r="H43" s="75"/>
      <c r="I43" s="49">
        <v>80</v>
      </c>
      <c r="J43" s="50"/>
      <c r="K43" s="75">
        <v>39</v>
      </c>
      <c r="L43" s="76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46252</v>
      </c>
      <c r="B44" s="47">
        <v>40</v>
      </c>
      <c r="C44" s="57" t="s">
        <v>122</v>
      </c>
      <c r="D44" s="74"/>
      <c r="E44" s="75"/>
      <c r="F44" s="76"/>
      <c r="G44" s="50"/>
      <c r="H44" s="75">
        <v>48</v>
      </c>
      <c r="I44" s="49">
        <v>80</v>
      </c>
      <c r="J44" s="50">
        <v>80</v>
      </c>
      <c r="K44" s="75">
        <v>80</v>
      </c>
      <c r="L44" s="76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46252</v>
      </c>
      <c r="B45" s="47">
        <v>41</v>
      </c>
      <c r="C45" s="57" t="s">
        <v>121</v>
      </c>
      <c r="D45" s="74"/>
      <c r="E45" s="75"/>
      <c r="F45" s="76"/>
      <c r="G45" s="50"/>
      <c r="H45" s="75"/>
      <c r="I45" s="49">
        <v>200</v>
      </c>
      <c r="J45" s="50">
        <v>120</v>
      </c>
      <c r="K45" s="75">
        <v>200</v>
      </c>
      <c r="L45" s="76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46252</v>
      </c>
      <c r="B46" s="47">
        <v>42</v>
      </c>
      <c r="C46" s="57" t="s">
        <v>124</v>
      </c>
      <c r="D46" s="74"/>
      <c r="E46" s="75"/>
      <c r="F46" s="76"/>
      <c r="G46" s="50">
        <v>80</v>
      </c>
      <c r="H46" s="75">
        <v>40</v>
      </c>
      <c r="I46" s="49">
        <v>120</v>
      </c>
      <c r="J46" s="50">
        <v>40</v>
      </c>
      <c r="K46" s="75">
        <v>80</v>
      </c>
      <c r="L46" s="76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>
        <v>46252</v>
      </c>
      <c r="B47" s="47">
        <v>43</v>
      </c>
      <c r="C47" s="57" t="s">
        <v>125</v>
      </c>
      <c r="D47" s="74"/>
      <c r="E47" s="75"/>
      <c r="F47" s="76"/>
      <c r="G47" s="50">
        <v>200</v>
      </c>
      <c r="H47" s="75">
        <v>200</v>
      </c>
      <c r="I47" s="49">
        <v>200</v>
      </c>
      <c r="J47" s="50">
        <v>200</v>
      </c>
      <c r="K47" s="75">
        <v>200</v>
      </c>
      <c r="L47" s="76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>
        <v>46253</v>
      </c>
      <c r="B48" s="47">
        <v>44</v>
      </c>
      <c r="C48" s="57" t="s">
        <v>115</v>
      </c>
      <c r="D48" s="74"/>
      <c r="E48" s="75"/>
      <c r="F48" s="76"/>
      <c r="G48" s="50">
        <v>599</v>
      </c>
      <c r="H48" s="75">
        <v>600</v>
      </c>
      <c r="I48" s="49">
        <v>600</v>
      </c>
      <c r="J48" s="50">
        <v>599</v>
      </c>
      <c r="K48" s="75">
        <v>592</v>
      </c>
      <c r="L48" s="76">
        <v>596</v>
      </c>
      <c r="M48" s="48">
        <f t="shared" ref="M48:M60" si="83">SUM(D48:L48)/40</f>
        <v>89.65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89.95</v>
      </c>
      <c r="Q48" s="40">
        <f t="shared" ref="Q48:Q60" si="85">SUM(J48:L48)/20</f>
        <v>89.35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>
        <v>46253</v>
      </c>
      <c r="B49" s="47">
        <v>45</v>
      </c>
      <c r="C49" s="57" t="s">
        <v>126</v>
      </c>
      <c r="D49" s="74"/>
      <c r="E49" s="75"/>
      <c r="F49" s="76"/>
      <c r="G49" s="50">
        <v>400</v>
      </c>
      <c r="H49" s="75">
        <v>400</v>
      </c>
      <c r="I49" s="49">
        <v>1200</v>
      </c>
      <c r="J49" s="50">
        <v>400</v>
      </c>
      <c r="K49" s="75">
        <v>600</v>
      </c>
      <c r="L49" s="76">
        <v>2000</v>
      </c>
      <c r="M49" s="48">
        <f t="shared" si="83"/>
        <v>125</v>
      </c>
      <c r="N49" s="39">
        <f t="shared" si="18"/>
        <v>0</v>
      </c>
      <c r="O49" s="49">
        <f t="shared" si="1"/>
        <v>62.470500000000001</v>
      </c>
      <c r="P49" s="73">
        <f t="shared" si="84"/>
        <v>100</v>
      </c>
      <c r="Q49" s="40">
        <f t="shared" si="85"/>
        <v>150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78">
        <v>46254</v>
      </c>
      <c r="B50" s="47">
        <v>46</v>
      </c>
      <c r="C50" s="57" t="s">
        <v>64</v>
      </c>
      <c r="D50" s="74"/>
      <c r="E50" s="75"/>
      <c r="F50" s="76"/>
      <c r="G50" s="50">
        <v>120</v>
      </c>
      <c r="H50" s="75">
        <v>40</v>
      </c>
      <c r="I50" s="49">
        <v>520</v>
      </c>
      <c r="J50" s="50">
        <v>279</v>
      </c>
      <c r="K50" s="75">
        <v>120</v>
      </c>
      <c r="L50" s="76">
        <v>240</v>
      </c>
      <c r="M50" s="48">
        <f t="shared" si="83"/>
        <v>32.975000000000001</v>
      </c>
      <c r="N50" s="39">
        <f t="shared" si="18"/>
        <v>0</v>
      </c>
      <c r="O50" s="49">
        <f t="shared" si="1"/>
        <v>62.470500000000001</v>
      </c>
      <c r="P50" s="73">
        <f t="shared" si="84"/>
        <v>34</v>
      </c>
      <c r="Q50" s="40">
        <f t="shared" si="85"/>
        <v>31.95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78">
        <v>46254</v>
      </c>
      <c r="B51" s="47">
        <v>47</v>
      </c>
      <c r="C51" s="57" t="s">
        <v>97</v>
      </c>
      <c r="D51" s="74"/>
      <c r="E51" s="75"/>
      <c r="F51" s="76"/>
      <c r="G51" s="50">
        <v>40</v>
      </c>
      <c r="H51" s="75">
        <v>80</v>
      </c>
      <c r="I51" s="49">
        <v>80</v>
      </c>
      <c r="J51" s="50">
        <v>40</v>
      </c>
      <c r="K51" s="75">
        <v>40</v>
      </c>
      <c r="L51" s="76">
        <v>80</v>
      </c>
      <c r="M51" s="48">
        <f t="shared" si="83"/>
        <v>9</v>
      </c>
      <c r="N51" s="39">
        <f t="shared" si="18"/>
        <v>0</v>
      </c>
      <c r="O51" s="49">
        <f t="shared" si="1"/>
        <v>62.470500000000001</v>
      </c>
      <c r="P51" s="73">
        <f t="shared" si="84"/>
        <v>10</v>
      </c>
      <c r="Q51" s="40">
        <f t="shared" si="85"/>
        <v>8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78">
        <v>46254</v>
      </c>
      <c r="B52" s="47">
        <v>48</v>
      </c>
      <c r="C52" s="57" t="s">
        <v>92</v>
      </c>
      <c r="D52" s="74"/>
      <c r="E52" s="75"/>
      <c r="F52" s="76"/>
      <c r="G52" s="50"/>
      <c r="H52" s="75"/>
      <c r="I52" s="49">
        <v>240</v>
      </c>
      <c r="J52" s="50"/>
      <c r="K52" s="75"/>
      <c r="L52" s="76">
        <v>360</v>
      </c>
      <c r="M52" s="48">
        <f t="shared" si="83"/>
        <v>15</v>
      </c>
      <c r="N52" s="39">
        <f t="shared" si="18"/>
        <v>0</v>
      </c>
      <c r="O52" s="49">
        <f t="shared" si="1"/>
        <v>62.470500000000001</v>
      </c>
      <c r="P52" s="73">
        <f t="shared" si="84"/>
        <v>12</v>
      </c>
      <c r="Q52" s="40">
        <f t="shared" si="85"/>
        <v>18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78">
        <v>46254</v>
      </c>
      <c r="B53" s="47">
        <v>49</v>
      </c>
      <c r="C53" s="57" t="s">
        <v>96</v>
      </c>
      <c r="D53" s="74"/>
      <c r="E53" s="75"/>
      <c r="F53" s="76"/>
      <c r="G53" s="50">
        <v>200</v>
      </c>
      <c r="H53" s="75"/>
      <c r="I53" s="49">
        <v>194</v>
      </c>
      <c r="J53" s="50">
        <v>200</v>
      </c>
      <c r="K53" s="75"/>
      <c r="L53" s="76">
        <v>180</v>
      </c>
      <c r="M53" s="48">
        <f t="shared" si="83"/>
        <v>19.350000000000001</v>
      </c>
      <c r="N53" s="39">
        <f t="shared" si="18"/>
        <v>0</v>
      </c>
      <c r="O53" s="49">
        <f t="shared" si="1"/>
        <v>62.470500000000001</v>
      </c>
      <c r="P53" s="73">
        <f t="shared" si="84"/>
        <v>19.7</v>
      </c>
      <c r="Q53" s="40">
        <f t="shared" si="85"/>
        <v>19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78">
        <v>46254</v>
      </c>
      <c r="B54" s="47">
        <v>50</v>
      </c>
      <c r="C54" s="57" t="s">
        <v>127</v>
      </c>
      <c r="D54" s="74"/>
      <c r="E54" s="75"/>
      <c r="F54" s="76"/>
      <c r="G54" s="50"/>
      <c r="H54" s="75"/>
      <c r="I54" s="49"/>
      <c r="J54" s="50">
        <v>400</v>
      </c>
      <c r="K54" s="75">
        <v>400</v>
      </c>
      <c r="L54" s="76">
        <v>400</v>
      </c>
      <c r="M54" s="48">
        <f t="shared" si="83"/>
        <v>30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60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>
        <v>46255</v>
      </c>
      <c r="B55" s="47">
        <v>51</v>
      </c>
      <c r="C55" s="57" t="s">
        <v>128</v>
      </c>
      <c r="D55" s="74"/>
      <c r="E55" s="75"/>
      <c r="F55" s="76"/>
      <c r="G55" s="50"/>
      <c r="H55" s="75"/>
      <c r="I55" s="49">
        <v>42</v>
      </c>
      <c r="J55" s="50">
        <v>80</v>
      </c>
      <c r="K55" s="75">
        <v>80</v>
      </c>
      <c r="L55" s="76">
        <v>80</v>
      </c>
      <c r="M55" s="48">
        <f t="shared" si="83"/>
        <v>7.05</v>
      </c>
      <c r="N55" s="39">
        <f t="shared" si="18"/>
        <v>0</v>
      </c>
      <c r="O55" s="49">
        <f t="shared" si="1"/>
        <v>62.470500000000001</v>
      </c>
      <c r="P55" s="73">
        <f t="shared" si="84"/>
        <v>2.1</v>
      </c>
      <c r="Q55" s="40">
        <f t="shared" si="85"/>
        <v>12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>
        <v>46255</v>
      </c>
      <c r="B56" s="47">
        <v>52</v>
      </c>
      <c r="C56" s="57" t="s">
        <v>130</v>
      </c>
      <c r="D56" s="74"/>
      <c r="E56" s="75"/>
      <c r="F56" s="76"/>
      <c r="G56" s="50">
        <v>160</v>
      </c>
      <c r="H56" s="75">
        <v>200</v>
      </c>
      <c r="I56" s="49">
        <v>80</v>
      </c>
      <c r="J56" s="50">
        <v>400</v>
      </c>
      <c r="K56" s="75">
        <v>280</v>
      </c>
      <c r="L56" s="76">
        <v>640</v>
      </c>
      <c r="M56" s="48">
        <f t="shared" si="83"/>
        <v>44</v>
      </c>
      <c r="N56" s="39">
        <f t="shared" si="18"/>
        <v>0</v>
      </c>
      <c r="O56" s="49">
        <f t="shared" si="1"/>
        <v>62.470500000000001</v>
      </c>
      <c r="P56" s="73">
        <f t="shared" si="84"/>
        <v>22</v>
      </c>
      <c r="Q56" s="40">
        <f t="shared" si="85"/>
        <v>66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>
        <v>46255</v>
      </c>
      <c r="B57" s="47">
        <v>53</v>
      </c>
      <c r="C57" s="57" t="s">
        <v>129</v>
      </c>
      <c r="D57" s="74"/>
      <c r="E57" s="75"/>
      <c r="F57" s="76"/>
      <c r="G57" s="50">
        <v>40</v>
      </c>
      <c r="H57" s="75">
        <v>40</v>
      </c>
      <c r="I57" s="49">
        <v>40</v>
      </c>
      <c r="J57" s="50">
        <v>80</v>
      </c>
      <c r="K57" s="75">
        <v>80</v>
      </c>
      <c r="L57" s="76">
        <v>80</v>
      </c>
      <c r="M57" s="48">
        <f t="shared" si="83"/>
        <v>9</v>
      </c>
      <c r="N57" s="39">
        <f t="shared" si="18"/>
        <v>0</v>
      </c>
      <c r="O57" s="49">
        <f t="shared" si="1"/>
        <v>62.470500000000001</v>
      </c>
      <c r="P57" s="73">
        <f t="shared" si="84"/>
        <v>6</v>
      </c>
      <c r="Q57" s="40">
        <f t="shared" si="85"/>
        <v>12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>
        <v>46255</v>
      </c>
      <c r="B58" s="47">
        <v>54</v>
      </c>
      <c r="C58" s="57" t="s">
        <v>131</v>
      </c>
      <c r="D58" s="75"/>
      <c r="E58" s="75"/>
      <c r="F58" s="75"/>
      <c r="G58" s="75"/>
      <c r="H58" s="75"/>
      <c r="I58" s="127">
        <v>80</v>
      </c>
      <c r="J58" s="75"/>
      <c r="K58" s="75">
        <v>40</v>
      </c>
      <c r="L58" s="75">
        <v>40</v>
      </c>
      <c r="M58" s="129">
        <f t="shared" si="83"/>
        <v>4</v>
      </c>
      <c r="N58" s="39">
        <f t="shared" si="18"/>
        <v>0</v>
      </c>
      <c r="O58" s="49">
        <f t="shared" si="1"/>
        <v>62.470500000000001</v>
      </c>
      <c r="P58" s="73">
        <f t="shared" si="84"/>
        <v>4</v>
      </c>
      <c r="Q58" s="40">
        <f t="shared" si="85"/>
        <v>4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>
        <v>46255</v>
      </c>
      <c r="B59" s="47">
        <v>55</v>
      </c>
      <c r="C59" s="57" t="s">
        <v>132</v>
      </c>
      <c r="D59" s="75">
        <v>80</v>
      </c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2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>
        <v>46255</v>
      </c>
      <c r="B60" s="47">
        <v>56</v>
      </c>
      <c r="C60" s="57" t="s">
        <v>133</v>
      </c>
      <c r="D60" s="75">
        <v>80</v>
      </c>
      <c r="E60" s="75"/>
      <c r="F60" s="75"/>
      <c r="G60" s="75">
        <v>160</v>
      </c>
      <c r="H60" s="75">
        <v>80</v>
      </c>
      <c r="I60" s="127">
        <v>160</v>
      </c>
      <c r="J60" s="75">
        <v>160</v>
      </c>
      <c r="K60" s="75">
        <v>80</v>
      </c>
      <c r="L60" s="75">
        <v>160</v>
      </c>
      <c r="M60" s="129">
        <f t="shared" si="83"/>
        <v>22</v>
      </c>
      <c r="N60" s="39">
        <f t="shared" si="18"/>
        <v>0</v>
      </c>
      <c r="O60" s="49">
        <f t="shared" si="1"/>
        <v>62.470500000000001</v>
      </c>
      <c r="P60" s="73">
        <f t="shared" si="84"/>
        <v>20</v>
      </c>
      <c r="Q60" s="40">
        <f t="shared" si="85"/>
        <v>20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>
        <v>46256</v>
      </c>
      <c r="B61" s="47">
        <v>57</v>
      </c>
      <c r="C61" s="57" t="s">
        <v>134</v>
      </c>
      <c r="D61" s="75"/>
      <c r="E61" s="75"/>
      <c r="F61" s="75"/>
      <c r="G61" s="75">
        <v>40</v>
      </c>
      <c r="H61" s="75">
        <v>200</v>
      </c>
      <c r="I61" s="127"/>
      <c r="J61" s="75">
        <v>120</v>
      </c>
      <c r="K61" s="75">
        <v>40</v>
      </c>
      <c r="L61" s="75">
        <v>160</v>
      </c>
      <c r="M61" s="129">
        <f t="shared" si="52"/>
        <v>14</v>
      </c>
      <c r="N61" s="39">
        <f t="shared" si="18"/>
        <v>0</v>
      </c>
      <c r="O61" s="49">
        <f t="shared" si="1"/>
        <v>62.470500000000001</v>
      </c>
      <c r="P61" s="73">
        <f t="shared" si="53"/>
        <v>12</v>
      </c>
      <c r="Q61" s="40">
        <f t="shared" si="54"/>
        <v>16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>
        <v>46256</v>
      </c>
      <c r="B62" s="47">
        <v>58</v>
      </c>
      <c r="C62" s="128" t="s">
        <v>135</v>
      </c>
      <c r="D62" s="75"/>
      <c r="E62" s="75"/>
      <c r="F62" s="75"/>
      <c r="G62" s="75">
        <v>40</v>
      </c>
      <c r="H62" s="75">
        <v>40</v>
      </c>
      <c r="I62" s="127">
        <v>120</v>
      </c>
      <c r="J62" s="75">
        <v>80</v>
      </c>
      <c r="K62" s="75">
        <v>80</v>
      </c>
      <c r="L62" s="75">
        <v>80</v>
      </c>
      <c r="M62" s="129">
        <f t="shared" ref="M62:M84" si="88">SUM(D62:L62)/40</f>
        <v>11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10</v>
      </c>
      <c r="Q62" s="40">
        <f t="shared" ref="Q62:Q79" si="90">SUM(J62:L62)/20</f>
        <v>12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>
        <v>46256</v>
      </c>
      <c r="B63" s="47">
        <v>59</v>
      </c>
      <c r="C63" s="128" t="s">
        <v>136</v>
      </c>
      <c r="D63" s="75"/>
      <c r="E63" s="75"/>
      <c r="F63" s="75"/>
      <c r="G63" s="75">
        <v>80</v>
      </c>
      <c r="H63" s="75">
        <v>40</v>
      </c>
      <c r="I63" s="127"/>
      <c r="J63" s="75">
        <v>80</v>
      </c>
      <c r="K63" s="75">
        <v>120</v>
      </c>
      <c r="L63" s="75">
        <v>240</v>
      </c>
      <c r="M63" s="129">
        <f t="shared" si="88"/>
        <v>14</v>
      </c>
      <c r="N63" s="39">
        <f t="shared" si="18"/>
        <v>0</v>
      </c>
      <c r="O63" s="49">
        <f t="shared" si="1"/>
        <v>62.470500000000001</v>
      </c>
      <c r="P63" s="73">
        <f t="shared" si="89"/>
        <v>6</v>
      </c>
      <c r="Q63" s="40">
        <f t="shared" si="90"/>
        <v>22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146">
        <v>46258</v>
      </c>
      <c r="B64" s="147">
        <v>60</v>
      </c>
      <c r="C64" s="148" t="s">
        <v>64</v>
      </c>
      <c r="D64" s="149"/>
      <c r="E64" s="149"/>
      <c r="F64" s="149"/>
      <c r="G64" s="149">
        <v>80</v>
      </c>
      <c r="H64" s="149">
        <v>80</v>
      </c>
      <c r="I64" s="150">
        <v>240</v>
      </c>
      <c r="J64" s="149">
        <v>80</v>
      </c>
      <c r="K64" s="149">
        <v>80</v>
      </c>
      <c r="L64" s="149">
        <v>100</v>
      </c>
      <c r="M64" s="129">
        <f t="shared" si="88"/>
        <v>16.5</v>
      </c>
      <c r="N64" s="39">
        <f t="shared" si="18"/>
        <v>0</v>
      </c>
      <c r="O64" s="49">
        <f t="shared" si="1"/>
        <v>62.470500000000001</v>
      </c>
      <c r="P64" s="73">
        <f t="shared" si="89"/>
        <v>20</v>
      </c>
      <c r="Q64" s="40">
        <f t="shared" si="90"/>
        <v>13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146">
        <v>46258</v>
      </c>
      <c r="B65" s="147">
        <v>61</v>
      </c>
      <c r="C65" s="148" t="s">
        <v>137</v>
      </c>
      <c r="D65" s="149"/>
      <c r="E65" s="149"/>
      <c r="F65" s="149"/>
      <c r="G65" s="149"/>
      <c r="H65" s="149"/>
      <c r="I65" s="150"/>
      <c r="J65" s="149">
        <v>40</v>
      </c>
      <c r="K65" s="149">
        <v>40</v>
      </c>
      <c r="L65" s="149">
        <v>40</v>
      </c>
      <c r="M65" s="129">
        <f t="shared" si="88"/>
        <v>3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146">
        <v>46258</v>
      </c>
      <c r="B66" s="147">
        <v>62</v>
      </c>
      <c r="C66" s="148" t="s">
        <v>109</v>
      </c>
      <c r="D66" s="149"/>
      <c r="E66" s="149"/>
      <c r="F66" s="149"/>
      <c r="G66" s="149">
        <v>39</v>
      </c>
      <c r="H66" s="149">
        <v>40</v>
      </c>
      <c r="I66" s="150"/>
      <c r="J66" s="149"/>
      <c r="K66" s="149">
        <v>40</v>
      </c>
      <c r="L66" s="149">
        <v>40</v>
      </c>
      <c r="M66" s="129">
        <f t="shared" si="88"/>
        <v>3.9750000000000001</v>
      </c>
      <c r="N66" s="39">
        <f t="shared" si="18"/>
        <v>0</v>
      </c>
      <c r="O66" s="49">
        <f t="shared" si="1"/>
        <v>62.470500000000001</v>
      </c>
      <c r="P66" s="73">
        <f t="shared" si="89"/>
        <v>3.95</v>
      </c>
      <c r="Q66" s="40">
        <f t="shared" si="90"/>
        <v>4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146">
        <v>46258</v>
      </c>
      <c r="B67" s="147">
        <v>63</v>
      </c>
      <c r="C67" s="148" t="s">
        <v>107</v>
      </c>
      <c r="D67" s="149"/>
      <c r="E67" s="149"/>
      <c r="F67" s="149"/>
      <c r="G67" s="149"/>
      <c r="H67" s="149"/>
      <c r="I67" s="150"/>
      <c r="J67" s="149">
        <v>80</v>
      </c>
      <c r="K67" s="149">
        <v>40</v>
      </c>
      <c r="L67" s="149">
        <v>40</v>
      </c>
      <c r="M67" s="129">
        <f t="shared" si="88"/>
        <v>4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8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146">
        <v>46258</v>
      </c>
      <c r="B68" s="147">
        <v>64</v>
      </c>
      <c r="C68" s="148" t="s">
        <v>138</v>
      </c>
      <c r="D68" s="149">
        <v>40</v>
      </c>
      <c r="E68" s="149"/>
      <c r="F68" s="149"/>
      <c r="G68" s="149">
        <v>80</v>
      </c>
      <c r="H68" s="149">
        <v>80</v>
      </c>
      <c r="I68" s="150">
        <v>80</v>
      </c>
      <c r="J68" s="149">
        <v>80</v>
      </c>
      <c r="K68" s="149">
        <v>80</v>
      </c>
      <c r="L68" s="149">
        <v>80</v>
      </c>
      <c r="M68" s="129">
        <f t="shared" si="88"/>
        <v>13</v>
      </c>
      <c r="N68" s="39">
        <f t="shared" si="18"/>
        <v>0</v>
      </c>
      <c r="O68" s="49">
        <f t="shared" si="1"/>
        <v>62.470500000000001</v>
      </c>
      <c r="P68" s="73">
        <f t="shared" si="89"/>
        <v>12</v>
      </c>
      <c r="Q68" s="40">
        <f t="shared" si="90"/>
        <v>12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>
        <v>46259</v>
      </c>
      <c r="B69" s="47">
        <v>65</v>
      </c>
      <c r="C69" s="128" t="s">
        <v>139</v>
      </c>
      <c r="D69" s="75"/>
      <c r="E69" s="75"/>
      <c r="F69" s="75"/>
      <c r="G69" s="75"/>
      <c r="H69" s="75"/>
      <c r="I69" s="127">
        <v>80</v>
      </c>
      <c r="J69" s="75"/>
      <c r="K69" s="75"/>
      <c r="L69" s="75">
        <v>80</v>
      </c>
      <c r="M69" s="129">
        <f t="shared" si="88"/>
        <v>4</v>
      </c>
      <c r="N69" s="39">
        <f t="shared" si="18"/>
        <v>0</v>
      </c>
      <c r="O69" s="49">
        <f t="shared" si="1"/>
        <v>62.470500000000001</v>
      </c>
      <c r="P69" s="73">
        <f t="shared" si="89"/>
        <v>4</v>
      </c>
      <c r="Q69" s="40">
        <f t="shared" si="90"/>
        <v>4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>
        <v>46259</v>
      </c>
      <c r="B70" s="47">
        <v>66</v>
      </c>
      <c r="C70" s="128" t="s">
        <v>100</v>
      </c>
      <c r="D70" s="75"/>
      <c r="E70" s="75"/>
      <c r="F70" s="75"/>
      <c r="G70" s="75">
        <v>40</v>
      </c>
      <c r="H70" s="75">
        <v>40</v>
      </c>
      <c r="I70" s="127"/>
      <c r="J70" s="75"/>
      <c r="K70" s="75"/>
      <c r="L70" s="75">
        <v>80</v>
      </c>
      <c r="M70" s="129">
        <f t="shared" si="88"/>
        <v>4</v>
      </c>
      <c r="N70" s="39">
        <f t="shared" si="18"/>
        <v>0</v>
      </c>
      <c r="O70" s="49">
        <f t="shared" si="1"/>
        <v>62.470500000000001</v>
      </c>
      <c r="P70" s="73">
        <f t="shared" si="89"/>
        <v>4</v>
      </c>
      <c r="Q70" s="40">
        <f t="shared" si="90"/>
        <v>4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>
        <v>46259</v>
      </c>
      <c r="B71" s="47">
        <v>67</v>
      </c>
      <c r="C71" s="128" t="s">
        <v>98</v>
      </c>
      <c r="D71" s="75"/>
      <c r="E71" s="75"/>
      <c r="F71" s="75"/>
      <c r="G71" s="75"/>
      <c r="H71" s="75"/>
      <c r="I71" s="127"/>
      <c r="J71" s="75"/>
      <c r="K71" s="75">
        <v>80</v>
      </c>
      <c r="L71" s="75">
        <v>160</v>
      </c>
      <c r="M71" s="129">
        <f t="shared" si="88"/>
        <v>6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12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>
        <v>46259</v>
      </c>
      <c r="B72" s="47">
        <v>68</v>
      </c>
      <c r="C72" s="128" t="s">
        <v>140</v>
      </c>
      <c r="D72" s="75"/>
      <c r="E72" s="75"/>
      <c r="F72" s="75"/>
      <c r="G72" s="75"/>
      <c r="H72" s="75"/>
      <c r="I72" s="127"/>
      <c r="J72" s="75">
        <v>160</v>
      </c>
      <c r="K72" s="75"/>
      <c r="L72" s="75">
        <v>40</v>
      </c>
      <c r="M72" s="129">
        <f t="shared" si="88"/>
        <v>5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10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>
        <v>46259</v>
      </c>
      <c r="B73" s="47">
        <v>69</v>
      </c>
      <c r="C73" s="128" t="s">
        <v>141</v>
      </c>
      <c r="D73" s="75">
        <v>160</v>
      </c>
      <c r="E73" s="75"/>
      <c r="F73" s="75"/>
      <c r="G73" s="75">
        <v>160</v>
      </c>
      <c r="H73" s="75"/>
      <c r="I73" s="127"/>
      <c r="J73" s="75"/>
      <c r="K73" s="75">
        <v>40</v>
      </c>
      <c r="L73" s="75">
        <v>160</v>
      </c>
      <c r="M73" s="129">
        <f t="shared" si="88"/>
        <v>13</v>
      </c>
      <c r="N73" s="39">
        <f t="shared" si="18"/>
        <v>0</v>
      </c>
      <c r="O73" s="49">
        <f t="shared" si="1"/>
        <v>62.470500000000001</v>
      </c>
      <c r="P73" s="73">
        <f t="shared" si="89"/>
        <v>8</v>
      </c>
      <c r="Q73" s="40">
        <f t="shared" si="90"/>
        <v>10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>
        <v>46259</v>
      </c>
      <c r="B74" s="47">
        <v>70</v>
      </c>
      <c r="C74" s="128" t="s">
        <v>64</v>
      </c>
      <c r="D74" s="75"/>
      <c r="E74" s="75"/>
      <c r="F74" s="75"/>
      <c r="G74" s="75">
        <v>0</v>
      </c>
      <c r="H74" s="75">
        <v>80</v>
      </c>
      <c r="I74" s="127">
        <v>360</v>
      </c>
      <c r="J74" s="75">
        <v>20</v>
      </c>
      <c r="K74" s="75">
        <v>20</v>
      </c>
      <c r="L74" s="75">
        <v>40</v>
      </c>
      <c r="M74" s="129">
        <f t="shared" si="88"/>
        <v>13</v>
      </c>
      <c r="N74" s="39">
        <f t="shared" si="18"/>
        <v>0</v>
      </c>
      <c r="O74" s="49">
        <f t="shared" si="1"/>
        <v>62.470500000000001</v>
      </c>
      <c r="P74" s="73">
        <f t="shared" si="89"/>
        <v>22</v>
      </c>
      <c r="Q74" s="40">
        <f t="shared" si="90"/>
        <v>4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151">
        <v>46261</v>
      </c>
      <c r="B75" s="152">
        <v>71</v>
      </c>
      <c r="C75" s="153" t="s">
        <v>142</v>
      </c>
      <c r="D75" s="154">
        <v>80</v>
      </c>
      <c r="E75" s="154"/>
      <c r="F75" s="155"/>
      <c r="G75" s="154">
        <v>120</v>
      </c>
      <c r="H75" s="154">
        <v>80</v>
      </c>
      <c r="I75" s="156">
        <v>120</v>
      </c>
      <c r="J75" s="154">
        <v>120</v>
      </c>
      <c r="K75" s="154">
        <v>80</v>
      </c>
      <c r="L75" s="154">
        <v>120</v>
      </c>
      <c r="M75" s="129">
        <f t="shared" si="88"/>
        <v>18</v>
      </c>
      <c r="N75" s="39">
        <f t="shared" si="18"/>
        <v>0</v>
      </c>
      <c r="O75" s="49">
        <f t="shared" si="1"/>
        <v>62.470500000000001</v>
      </c>
      <c r="P75" s="73">
        <f t="shared" si="89"/>
        <v>16</v>
      </c>
      <c r="Q75" s="40">
        <f t="shared" si="90"/>
        <v>16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151">
        <v>46261</v>
      </c>
      <c r="B76" s="152">
        <v>72</v>
      </c>
      <c r="C76" s="153" t="s">
        <v>92</v>
      </c>
      <c r="D76" s="154">
        <v>200</v>
      </c>
      <c r="E76" s="155"/>
      <c r="F76" s="155"/>
      <c r="G76" s="154"/>
      <c r="H76" s="154"/>
      <c r="I76" s="156">
        <v>199</v>
      </c>
      <c r="J76" s="154"/>
      <c r="K76" s="154">
        <v>199</v>
      </c>
      <c r="L76" s="154">
        <v>200</v>
      </c>
      <c r="M76" s="129">
        <f t="shared" si="88"/>
        <v>19.95</v>
      </c>
      <c r="N76" s="39">
        <f t="shared" si="18"/>
        <v>0</v>
      </c>
      <c r="O76" s="49">
        <f t="shared" si="1"/>
        <v>62.470500000000001</v>
      </c>
      <c r="P76" s="73">
        <f t="shared" si="89"/>
        <v>9.9499999999999993</v>
      </c>
      <c r="Q76" s="40">
        <f t="shared" si="90"/>
        <v>19.95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151">
        <v>46261</v>
      </c>
      <c r="B77" s="152">
        <v>73</v>
      </c>
      <c r="C77" s="153" t="s">
        <v>143</v>
      </c>
      <c r="D77" s="154"/>
      <c r="E77" s="155"/>
      <c r="F77" s="155"/>
      <c r="G77" s="154">
        <v>80</v>
      </c>
      <c r="H77" s="154">
        <v>80</v>
      </c>
      <c r="I77" s="156"/>
      <c r="J77" s="154">
        <v>120</v>
      </c>
      <c r="K77" s="154">
        <v>120</v>
      </c>
      <c r="L77" s="154">
        <v>120</v>
      </c>
      <c r="M77" s="129">
        <f t="shared" si="88"/>
        <v>13</v>
      </c>
      <c r="N77" s="39">
        <f t="shared" si="18"/>
        <v>0</v>
      </c>
      <c r="O77" s="49">
        <f t="shared" si="1"/>
        <v>62.470500000000001</v>
      </c>
      <c r="P77" s="73">
        <f t="shared" si="89"/>
        <v>8</v>
      </c>
      <c r="Q77" s="40">
        <f t="shared" si="90"/>
        <v>18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151">
        <v>46261</v>
      </c>
      <c r="B78" s="152">
        <v>74</v>
      </c>
      <c r="C78" s="153" t="s">
        <v>144</v>
      </c>
      <c r="D78" s="154"/>
      <c r="E78" s="155"/>
      <c r="F78" s="155"/>
      <c r="G78" s="155">
        <v>40</v>
      </c>
      <c r="H78" s="155">
        <v>80</v>
      </c>
      <c r="I78" s="157">
        <v>80</v>
      </c>
      <c r="J78" s="155">
        <v>80</v>
      </c>
      <c r="K78" s="155">
        <v>80</v>
      </c>
      <c r="L78" s="155">
        <v>80</v>
      </c>
      <c r="M78" s="129">
        <f t="shared" si="88"/>
        <v>11</v>
      </c>
      <c r="N78" s="39">
        <f t="shared" si="18"/>
        <v>0</v>
      </c>
      <c r="O78" s="49">
        <f t="shared" si="1"/>
        <v>62.470500000000001</v>
      </c>
      <c r="P78" s="73">
        <f t="shared" si="89"/>
        <v>10</v>
      </c>
      <c r="Q78" s="40">
        <f t="shared" si="90"/>
        <v>12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151">
        <v>46261</v>
      </c>
      <c r="B79" s="152">
        <v>75</v>
      </c>
      <c r="C79" s="153" t="s">
        <v>145</v>
      </c>
      <c r="D79" s="154"/>
      <c r="E79" s="155"/>
      <c r="F79" s="155"/>
      <c r="G79" s="155">
        <v>40</v>
      </c>
      <c r="H79" s="155"/>
      <c r="I79" s="157">
        <v>40</v>
      </c>
      <c r="J79" s="155">
        <v>40</v>
      </c>
      <c r="K79" s="155">
        <v>39</v>
      </c>
      <c r="L79" s="155">
        <v>80</v>
      </c>
      <c r="M79" s="129">
        <f t="shared" si="88"/>
        <v>5.9749999999999996</v>
      </c>
      <c r="N79" s="39">
        <f t="shared" si="18"/>
        <v>0</v>
      </c>
      <c r="O79" s="49">
        <f t="shared" si="1"/>
        <v>62.470500000000001</v>
      </c>
      <c r="P79" s="73">
        <f t="shared" si="89"/>
        <v>4</v>
      </c>
      <c r="Q79" s="40">
        <f t="shared" si="90"/>
        <v>7.95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151">
        <v>46261</v>
      </c>
      <c r="B80" s="152">
        <v>76</v>
      </c>
      <c r="C80" s="158" t="s">
        <v>146</v>
      </c>
      <c r="D80" s="155"/>
      <c r="E80" s="155"/>
      <c r="F80" s="155"/>
      <c r="G80" s="155">
        <v>40</v>
      </c>
      <c r="H80" s="155">
        <v>40</v>
      </c>
      <c r="I80" s="157">
        <v>40</v>
      </c>
      <c r="J80" s="155">
        <v>40</v>
      </c>
      <c r="K80" s="155">
        <v>39</v>
      </c>
      <c r="L80" s="155">
        <v>80</v>
      </c>
      <c r="M80" s="129">
        <f t="shared" si="88"/>
        <v>6.9749999999999996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6</v>
      </c>
      <c r="Q80" s="40">
        <f t="shared" ref="Q80:Q84" si="97">SUM(J80:L80)/20</f>
        <v>7.95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151">
        <v>46261</v>
      </c>
      <c r="B81" s="152">
        <v>77</v>
      </c>
      <c r="C81" s="158" t="s">
        <v>126</v>
      </c>
      <c r="D81" s="155"/>
      <c r="E81" s="155"/>
      <c r="F81" s="155"/>
      <c r="G81" s="155">
        <v>400</v>
      </c>
      <c r="H81" s="155">
        <v>800</v>
      </c>
      <c r="I81" s="157">
        <v>800</v>
      </c>
      <c r="J81" s="155">
        <v>800</v>
      </c>
      <c r="K81" s="155">
        <v>800</v>
      </c>
      <c r="L81" s="155">
        <v>2000</v>
      </c>
      <c r="M81" s="129">
        <f t="shared" si="88"/>
        <v>140</v>
      </c>
      <c r="N81" s="39">
        <f t="shared" si="18"/>
        <v>0</v>
      </c>
      <c r="O81" s="49">
        <f t="shared" si="1"/>
        <v>62.470500000000001</v>
      </c>
      <c r="P81" s="73">
        <f t="shared" si="96"/>
        <v>100</v>
      </c>
      <c r="Q81" s="40">
        <f t="shared" si="97"/>
        <v>180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8"/>
        <v>0</v>
      </c>
      <c r="N82" s="39">
        <f t="shared" si="18"/>
        <v>0</v>
      </c>
      <c r="O82" s="49">
        <f t="shared" si="1"/>
        <v>62.470500000000001</v>
      </c>
      <c r="P82" s="73">
        <f t="shared" si="96"/>
        <v>0</v>
      </c>
      <c r="Q82" s="40">
        <f t="shared" si="97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8"/>
        <v>0</v>
      </c>
      <c r="N83" s="39">
        <f t="shared" si="18"/>
        <v>0</v>
      </c>
      <c r="O83" s="49">
        <f t="shared" si="1"/>
        <v>62.470500000000001</v>
      </c>
      <c r="P83" s="73">
        <f t="shared" si="96"/>
        <v>0</v>
      </c>
      <c r="Q83" s="40">
        <f t="shared" si="97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8"/>
        <v>0</v>
      </c>
      <c r="N84" s="39">
        <f t="shared" si="18"/>
        <v>0</v>
      </c>
      <c r="O84" s="49">
        <f t="shared" si="1"/>
        <v>62.470500000000001</v>
      </c>
      <c r="P84" s="73">
        <f t="shared" si="96"/>
        <v>0</v>
      </c>
      <c r="Q84" s="40">
        <f t="shared" si="97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103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0</v>
      </c>
      <c r="Q85" s="40">
        <f t="shared" ref="Q85:Q132" si="105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103"/>
        <v>0</v>
      </c>
      <c r="N86" s="39">
        <f t="shared" si="18"/>
        <v>0</v>
      </c>
      <c r="O86" s="49">
        <f t="shared" si="1"/>
        <v>62.470500000000001</v>
      </c>
      <c r="P86" s="73">
        <f t="shared" si="104"/>
        <v>0</v>
      </c>
      <c r="Q86" s="40">
        <f t="shared" si="105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82" t="s">
        <v>11</v>
      </c>
      <c r="C133" s="183"/>
      <c r="D133" s="84">
        <f t="shared" ref="D133:L133" si="111">SUM(D6:D61)</f>
        <v>6363</v>
      </c>
      <c r="E133" s="84">
        <f t="shared" si="111"/>
        <v>0</v>
      </c>
      <c r="F133" s="84">
        <f t="shared" si="111"/>
        <v>0</v>
      </c>
      <c r="G133" s="84">
        <f t="shared" si="111"/>
        <v>6784</v>
      </c>
      <c r="H133" s="84">
        <f t="shared" si="111"/>
        <v>6899</v>
      </c>
      <c r="I133" s="84">
        <f t="shared" si="111"/>
        <v>11033</v>
      </c>
      <c r="J133" s="84">
        <f t="shared" si="111"/>
        <v>12527</v>
      </c>
      <c r="K133" s="84">
        <f t="shared" si="111"/>
        <v>11721</v>
      </c>
      <c r="L133" s="84">
        <f t="shared" si="111"/>
        <v>16908</v>
      </c>
      <c r="M133" s="48">
        <f t="shared" ref="M133:M136" si="112">SUM(D133:L133)/40</f>
        <v>1805.875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1235.8</v>
      </c>
      <c r="Q133" s="40">
        <f t="shared" ref="Q133:Q137" si="114">SUM(J133:L133)/20</f>
        <v>2057.8000000000002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70" t="s">
        <v>70</v>
      </c>
      <c r="C137" s="171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59" t="s">
        <v>11</v>
      </c>
      <c r="C138" s="160"/>
      <c r="D138" s="85">
        <f>SUM(D133,D137)</f>
        <v>6363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6784</v>
      </c>
      <c r="H138" s="85">
        <f t="shared" si="119"/>
        <v>6899</v>
      </c>
      <c r="I138" s="85">
        <f t="shared" si="119"/>
        <v>11033</v>
      </c>
      <c r="J138" s="85">
        <f t="shared" si="119"/>
        <v>12527</v>
      </c>
      <c r="K138" s="85">
        <f t="shared" si="119"/>
        <v>11721</v>
      </c>
      <c r="L138" s="85">
        <f t="shared" si="119"/>
        <v>16908</v>
      </c>
      <c r="M138" s="60">
        <f t="shared" si="0"/>
        <v>1805.875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2721.5</v>
      </c>
      <c r="Q138" s="64">
        <f t="shared" si="120"/>
        <v>4502.45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:F1"/>
    <mergeCell ref="B2:B4"/>
    <mergeCell ref="R3:U3"/>
    <mergeCell ref="V3:Y3"/>
    <mergeCell ref="B133:C133"/>
    <mergeCell ref="B138:C138"/>
    <mergeCell ref="M2:O2"/>
    <mergeCell ref="P2:Q2"/>
    <mergeCell ref="M3:O3"/>
    <mergeCell ref="A2:A4"/>
    <mergeCell ref="B137:C137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I8" sqref="I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6" t="s">
        <v>117</v>
      </c>
      <c r="D3" s="187"/>
      <c r="E3" s="187"/>
      <c r="F3" s="187"/>
      <c r="G3" s="188"/>
      <c r="H3" s="190" t="s">
        <v>62</v>
      </c>
      <c r="I3" s="191"/>
      <c r="K3" s="192" t="s">
        <v>66</v>
      </c>
      <c r="L3" s="192"/>
      <c r="M3" s="192"/>
      <c r="N3" s="192"/>
      <c r="O3" s="192"/>
      <c r="P3" s="192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769</v>
      </c>
      <c r="E5" s="79">
        <v>1594</v>
      </c>
      <c r="F5" s="79">
        <v>600</v>
      </c>
      <c r="G5" s="102">
        <f>SUM(D5:F5)</f>
        <v>2963</v>
      </c>
      <c r="H5" s="95">
        <v>10000</v>
      </c>
      <c r="I5" s="96">
        <f>G5-H5</f>
        <v>-7037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30760</v>
      </c>
      <c r="E6" s="104">
        <f t="shared" ref="E6:F6" si="1">E5*40</f>
        <v>63760</v>
      </c>
      <c r="F6" s="104">
        <f t="shared" si="1"/>
        <v>24000</v>
      </c>
      <c r="G6" s="105">
        <f>SUM(D6:F6)</f>
        <v>118520</v>
      </c>
      <c r="H6" s="97">
        <f>H5*40</f>
        <v>400000</v>
      </c>
      <c r="I6" s="98">
        <f>G6-H6</f>
        <v>-281480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>
        <v>50</v>
      </c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-769</v>
      </c>
      <c r="E9" s="106">
        <f>E8-E5</f>
        <v>-1594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>
        <v>23</v>
      </c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89" t="s">
        <v>59</v>
      </c>
      <c r="D11" s="189"/>
      <c r="F11" s="189" t="s">
        <v>68</v>
      </c>
      <c r="G11" s="189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>
        <v>125</v>
      </c>
      <c r="P11">
        <v>4</v>
      </c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7163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198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286520</v>
      </c>
      <c r="S13" s="184" t="s">
        <v>85</v>
      </c>
      <c r="T13" s="184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85" t="s">
        <v>66</v>
      </c>
      <c r="E20" s="185"/>
      <c r="F20" s="185"/>
      <c r="G20" s="185"/>
      <c r="H20" s="185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2026-08-28T05:10:16Z</dcterms:modified>
</cp:coreProperties>
</file>