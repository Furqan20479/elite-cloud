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E1B3572-CC8E-4506-B6DA-0DBF3A60851E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" l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H4" i="1"/>
  <c r="H5" i="1"/>
  <c r="H6" i="1"/>
  <c r="H7" i="1"/>
  <c r="H8" i="1"/>
  <c r="H9" i="1"/>
  <c r="H3" i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<sst xmlns="http://schemas.openxmlformats.org/spreadsheetml/2006/main" count="106" uniqueCount="62">
  <si>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</si>
  <si>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</si>
  <si>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</si>
  <si>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</si>
  <si>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</si>
  <si>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</si>
  <si>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</si>
  <si>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</si>
  <si>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</si>
  <si>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</si>
  <si>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</si>
  <si>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</si>
  <si>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</si>
  <si>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</si>
  <si>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</si>
  <si>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</si>
  <si>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</si>
  <si>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</si>
  <si>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</si>
  <si>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</si>
  <si>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</si>
  <si>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</si>
  <si>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</si>
  <si>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</si>
  <si>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</si>
  <si>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</si>
  <si>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</si>
  <si>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</si>
  <si>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</si>
  <si>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</si>
  <si>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</si>
  <si>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</si>
  <si>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</si>
  <si>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</si>
  <si>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</si>
  <si>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</si>
  <si>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</si>
  <si>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</si>
  <si>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</si>
  <si>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</si>
  <si>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</si>
  <si>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</si>
  <si>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</si>
  <si>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</si>
  <si>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</si>
  <si>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</si>
  <si>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</si>
  <si>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</si>
  <si>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</si>
  <si>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>Nabeel Traders</t>
  </si>
  <si>
    <t xml:space="preserve">Goutmet MIX </t>
  </si>
  <si>
    <t>Rainbow Barki Road</t>
  </si>
  <si>
    <t>Euro Fateh Ghar</t>
  </si>
  <si>
    <t xml:space="preserve">Jalal Sons </t>
  </si>
  <si>
    <t xml:space="preserve">Arshad Sons </t>
  </si>
  <si>
    <t xml:space="preserve">Euro Model Town </t>
  </si>
  <si>
    <t xml:space="preserve">4 Season </t>
  </si>
  <si>
    <t>Crown Market Singh pura</t>
  </si>
  <si>
    <t>Jalal sons  Main Market</t>
  </si>
  <si>
    <t xml:space="preserve">Raja Saab Wapda Town </t>
  </si>
  <si>
    <t xml:space="preserve">Mb/SB Traders  Shadbagh </t>
  </si>
  <si>
    <t>Sweera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</si>
</sst>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115" zoomScaleNormal="115" workbookViewId="0">
      <pane xSplit="1" topLeftCell="O1" activePane="topRight" state="frozen"/>
      <selection pane="topRight" activeCell="AA5" sqref="AA5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8" width="8.7265625" customWidth="1"/>
    <col min="9" max="9" width="7.36328125" bestFit="1" customWidth="1"/>
    <col min="10" max="10" width="1.90625" bestFit="1" customWidth="1"/>
    <col min="11" max="11" width="5.81640625" bestFit="1" customWidth="1"/>
    <col min="12" max="12" width="6.26953125" bestFit="1" customWidth="1"/>
    <col min="13" max="13" width="7.36328125" bestFit="1" customWidth="1"/>
    <col min="14" max="16" width="9.453125" customWidth="1"/>
    <col min="17" max="17" width="2" bestFit="1" customWidth="1"/>
    <col min="18" max="21" width="9.453125" customWidth="1"/>
    <col min="22" max="22" width="3.08984375" bestFit="1" customWidth="1"/>
    <col min="23" max="23" width="9.453125" customWidth="1"/>
    <col min="24" max="24" width="3.08984375" bestFit="1" customWidth="1"/>
    <col min="25" max="37" width="9.453125" customWidth="1"/>
    <col min="38" max="38" width="6.08984375" customWidth="1"/>
    <col min="39" max="39" width="9.453125" bestFit="1" customWidth="1"/>
  </cols>
  <sheetData>
    <row r="1" spans="1:40" ht="36.5" customHeight="1" x14ac:dyDescent="0.35">
      <c r="A1" s="8">
        <v>46260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46243</v>
      </c>
      <c r="F2" s="14">
        <v>46253</v>
      </c>
      <c r="G2" s="14">
        <v>46257</v>
      </c>
      <c r="H2" s="14" t="s">
        <v>43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6769</v>
      </c>
      <c r="E3" s="1">
        <v>8000</v>
      </c>
      <c r="F3" s="1">
        <v>4000</v>
      </c>
      <c r="G3" s="1">
        <v>2000</v>
      </c>
      <c r="H3" s="1">
        <f>D3+E3+F3</f>
        <v>18769</v>
      </c>
      <c r="I3" s="1">
        <v>75</v>
      </c>
      <c r="J3" s="6"/>
      <c r="K3" s="1">
        <v>144</v>
      </c>
      <c r="L3" s="1">
        <v>92</v>
      </c>
      <c r="M3" s="1">
        <v>260</v>
      </c>
      <c r="N3" s="1">
        <v>770</v>
      </c>
      <c r="O3" s="1">
        <v>279</v>
      </c>
      <c r="P3" s="1">
        <v>939</v>
      </c>
      <c r="Q3" s="6"/>
      <c r="R3" s="1">
        <v>642</v>
      </c>
      <c r="S3" s="1">
        <v>300</v>
      </c>
      <c r="T3" s="1">
        <v>2268</v>
      </c>
      <c r="U3" s="1">
        <v>184</v>
      </c>
      <c r="V3" s="6"/>
      <c r="W3" s="1">
        <v>250</v>
      </c>
      <c r="X3" s="6"/>
      <c r="Y3" s="1">
        <v>250</v>
      </c>
      <c r="Z3" s="1">
        <v>390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6843</v>
      </c>
      <c r="AN3" s="4">
        <f t="shared" ref="AN3:AN9" si="0">H3-AM3</f>
        <v>11926</v>
      </c>
    </row>
    <row r="4" spans="1:40" x14ac:dyDescent="0.35">
      <c r="B4" s="1" t="s">
        <v>4</v>
      </c>
      <c r="C4" s="2">
        <v>70</v>
      </c>
      <c r="D4" s="1">
        <v>3137</v>
      </c>
      <c r="E4" s="1">
        <v>8000</v>
      </c>
      <c r="F4" s="1">
        <v>4000</v>
      </c>
      <c r="G4" s="1">
        <v>4000</v>
      </c>
      <c r="H4" s="1">
        <f t="shared" ref="H4:H9" si="1">D4+E4+F4</f>
        <v>15137</v>
      </c>
      <c r="I4" s="1">
        <v>40</v>
      </c>
      <c r="J4" s="6"/>
      <c r="K4" s="1">
        <v>113</v>
      </c>
      <c r="L4" s="1">
        <v>92</v>
      </c>
      <c r="M4" s="1">
        <v>240</v>
      </c>
      <c r="N4" s="1">
        <v>582</v>
      </c>
      <c r="O4" s="1">
        <v>481</v>
      </c>
      <c r="P4" s="1">
        <v>1041</v>
      </c>
      <c r="Q4" s="6"/>
      <c r="R4" s="1">
        <v>812</v>
      </c>
      <c r="S4" s="1">
        <v>337</v>
      </c>
      <c r="T4" s="1">
        <v>2028</v>
      </c>
      <c r="U4" s="1">
        <v>158</v>
      </c>
      <c r="V4" s="6"/>
      <c r="W4" s="1">
        <v>363</v>
      </c>
      <c r="X4" s="6"/>
      <c r="Y4" s="1">
        <v>258</v>
      </c>
      <c r="Z4" s="1">
        <v>421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6966</v>
      </c>
      <c r="AN4" s="4">
        <f t="shared" si="0"/>
        <v>8171</v>
      </c>
    </row>
    <row r="5" spans="1:40" x14ac:dyDescent="0.35">
      <c r="B5" s="1" t="s">
        <v>5</v>
      </c>
      <c r="C5" s="2">
        <v>70</v>
      </c>
      <c r="D5" s="1">
        <v>7361</v>
      </c>
      <c r="E5" s="1">
        <v>8000</v>
      </c>
      <c r="F5" s="1">
        <v>4000</v>
      </c>
      <c r="G5" s="1">
        <v>2000</v>
      </c>
      <c r="H5" s="1">
        <f t="shared" si="1"/>
        <v>19361</v>
      </c>
      <c r="I5" s="1">
        <v>0</v>
      </c>
      <c r="J5" s="6"/>
      <c r="K5" s="1">
        <v>0</v>
      </c>
      <c r="L5" s="1">
        <v>0</v>
      </c>
      <c r="M5" s="1">
        <v>240</v>
      </c>
      <c r="N5" s="1">
        <v>679</v>
      </c>
      <c r="O5" s="1">
        <v>179</v>
      </c>
      <c r="P5" s="1">
        <v>3557</v>
      </c>
      <c r="Q5" s="6"/>
      <c r="R5" s="1">
        <v>770</v>
      </c>
      <c r="S5" s="1">
        <v>215</v>
      </c>
      <c r="T5" s="1">
        <v>1290</v>
      </c>
      <c r="U5" s="1">
        <v>339</v>
      </c>
      <c r="V5" s="6"/>
      <c r="W5" s="1">
        <v>305</v>
      </c>
      <c r="X5" s="6"/>
      <c r="Y5" s="1">
        <v>116</v>
      </c>
      <c r="Z5" s="1">
        <v>742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8432</v>
      </c>
      <c r="AN5" s="4">
        <f t="shared" si="0"/>
        <v>10929</v>
      </c>
    </row>
    <row r="6" spans="1:40" x14ac:dyDescent="0.35">
      <c r="B6" s="1" t="s">
        <v>6</v>
      </c>
      <c r="C6" s="2">
        <v>120</v>
      </c>
      <c r="D6" s="1">
        <v>13138</v>
      </c>
      <c r="E6" s="1"/>
      <c r="F6" s="1">
        <v>12000</v>
      </c>
      <c r="G6" s="1">
        <v>8000</v>
      </c>
      <c r="H6" s="1">
        <f t="shared" si="1"/>
        <v>25138</v>
      </c>
      <c r="I6" s="1">
        <v>228</v>
      </c>
      <c r="J6" s="6"/>
      <c r="K6" s="1">
        <v>190</v>
      </c>
      <c r="L6" s="1">
        <v>240</v>
      </c>
      <c r="M6" s="1">
        <v>667</v>
      </c>
      <c r="N6" s="1">
        <v>1577</v>
      </c>
      <c r="O6" s="1">
        <v>539</v>
      </c>
      <c r="P6" s="1">
        <v>1264</v>
      </c>
      <c r="Q6" s="6"/>
      <c r="R6" s="1">
        <v>947</v>
      </c>
      <c r="S6" s="1">
        <v>574</v>
      </c>
      <c r="T6" s="1">
        <v>5646</v>
      </c>
      <c r="U6" s="1">
        <v>367</v>
      </c>
      <c r="V6" s="6"/>
      <c r="W6" s="1">
        <v>389</v>
      </c>
      <c r="X6" s="6"/>
      <c r="Y6" s="1">
        <v>365</v>
      </c>
      <c r="Z6" s="1">
        <v>649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13642</v>
      </c>
      <c r="AN6" s="4">
        <f t="shared" si="0"/>
        <v>11496</v>
      </c>
    </row>
    <row r="7" spans="1:40" x14ac:dyDescent="0.35">
      <c r="B7" s="1" t="s">
        <v>7</v>
      </c>
      <c r="C7" s="2">
        <v>120</v>
      </c>
      <c r="D7" s="1">
        <v>4387</v>
      </c>
      <c r="E7" s="1">
        <v>12000</v>
      </c>
      <c r="F7" s="1">
        <v>4000</v>
      </c>
      <c r="G7" s="1">
        <v>12000</v>
      </c>
      <c r="H7" s="1">
        <f t="shared" si="1"/>
        <v>20387</v>
      </c>
      <c r="I7" s="1">
        <v>257</v>
      </c>
      <c r="J7" s="6"/>
      <c r="K7" s="1">
        <v>175</v>
      </c>
      <c r="L7" s="1">
        <v>170</v>
      </c>
      <c r="M7" s="1">
        <v>730</v>
      </c>
      <c r="N7" s="1">
        <v>1572</v>
      </c>
      <c r="O7" s="1">
        <v>398</v>
      </c>
      <c r="P7" s="1">
        <v>1562</v>
      </c>
      <c r="Q7" s="6"/>
      <c r="R7" s="1">
        <v>1059</v>
      </c>
      <c r="S7" s="1">
        <v>389</v>
      </c>
      <c r="T7" s="1">
        <v>4384</v>
      </c>
      <c r="U7" s="1">
        <v>255</v>
      </c>
      <c r="V7" s="6"/>
      <c r="W7" s="1">
        <v>602</v>
      </c>
      <c r="X7" s="6"/>
      <c r="Y7" s="1">
        <v>330</v>
      </c>
      <c r="Z7" s="1">
        <v>794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12677</v>
      </c>
      <c r="AN7" s="4">
        <f t="shared" si="0"/>
        <v>7710</v>
      </c>
    </row>
    <row r="8" spans="1:40" x14ac:dyDescent="0.35">
      <c r="B8" s="1" t="s">
        <v>8</v>
      </c>
      <c r="C8" s="2">
        <v>120</v>
      </c>
      <c r="D8" s="1">
        <v>15754</v>
      </c>
      <c r="E8" s="1"/>
      <c r="F8" s="1">
        <v>12000</v>
      </c>
      <c r="G8" s="1">
        <v>12000</v>
      </c>
      <c r="H8" s="1">
        <f t="shared" si="1"/>
        <v>27754</v>
      </c>
      <c r="I8" s="1">
        <v>187</v>
      </c>
      <c r="J8" s="6"/>
      <c r="K8" s="1">
        <v>235</v>
      </c>
      <c r="L8" s="1">
        <v>220</v>
      </c>
      <c r="M8" s="1">
        <v>753</v>
      </c>
      <c r="N8" s="1">
        <v>2315</v>
      </c>
      <c r="O8" s="1">
        <v>946</v>
      </c>
      <c r="P8" s="1">
        <v>2794</v>
      </c>
      <c r="Q8" s="6"/>
      <c r="R8" s="1">
        <v>1402</v>
      </c>
      <c r="S8" s="1">
        <v>602</v>
      </c>
      <c r="T8" s="1">
        <v>6549</v>
      </c>
      <c r="U8" s="1">
        <v>330</v>
      </c>
      <c r="V8" s="6"/>
      <c r="W8" s="1">
        <v>648</v>
      </c>
      <c r="X8" s="6"/>
      <c r="Y8" s="1">
        <v>370</v>
      </c>
      <c r="Z8" s="1">
        <v>834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18185</v>
      </c>
      <c r="AN8" s="4">
        <f t="shared" si="0"/>
        <v>9569</v>
      </c>
    </row>
    <row r="9" spans="1:40" x14ac:dyDescent="0.35">
      <c r="B9" s="1" t="s">
        <v>9</v>
      </c>
      <c r="C9" s="2">
        <v>60</v>
      </c>
      <c r="D9" s="1">
        <v>34015</v>
      </c>
      <c r="E9" s="1"/>
      <c r="F9" s="1"/>
      <c r="G9" s="1"/>
      <c r="H9" s="1">
        <f t="shared" si="1"/>
        <v>34015</v>
      </c>
      <c r="I9" s="1">
        <v>252</v>
      </c>
      <c r="J9" s="6"/>
      <c r="K9" s="1">
        <v>255</v>
      </c>
      <c r="L9" s="1">
        <v>292</v>
      </c>
      <c r="M9" s="1">
        <v>447</v>
      </c>
      <c r="N9" s="1">
        <v>2234</v>
      </c>
      <c r="O9" s="1">
        <v>263</v>
      </c>
      <c r="P9" s="1">
        <v>148</v>
      </c>
      <c r="Q9" s="6"/>
      <c r="R9" s="1">
        <v>652</v>
      </c>
      <c r="S9" s="1">
        <v>472</v>
      </c>
      <c r="T9" s="1">
        <v>4366</v>
      </c>
      <c r="U9" s="1">
        <v>332</v>
      </c>
      <c r="V9" s="6"/>
      <c r="W9" s="1">
        <v>484</v>
      </c>
      <c r="X9" s="6"/>
      <c r="Y9" s="1">
        <v>364</v>
      </c>
      <c r="Z9" s="1">
        <v>391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10952</v>
      </c>
      <c r="AN9" s="4">
        <f t="shared" si="0"/>
        <v>23063</v>
      </c>
    </row>
    <row r="10" spans="1:40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40000</v>
      </c>
      <c r="G10" s="5">
        <f>SUM(G3:G9)</f>
        <v>40000</v>
      </c>
      <c r="H10" s="5">
        <f>SUM(H3:H9)</f>
        <v>160561</v>
      </c>
      <c r="I10" s="5">
        <f t="shared" ref="I10:AN10" si="3">SUM(I3:I9)</f>
        <v>1039</v>
      </c>
      <c r="J10" s="5">
        <f t="shared" si="3"/>
        <v>0</v>
      </c>
      <c r="K10" s="5">
        <f t="shared" si="3"/>
        <v>1112</v>
      </c>
      <c r="L10" s="5">
        <f t="shared" si="3"/>
        <v>1106</v>
      </c>
      <c r="M10" s="5">
        <f t="shared" si="3"/>
        <v>3337</v>
      </c>
      <c r="N10" s="5">
        <f t="shared" si="3"/>
        <v>9729</v>
      </c>
      <c r="O10" s="5">
        <f t="shared" si="3"/>
        <v>3085</v>
      </c>
      <c r="P10" s="5">
        <f t="shared" si="3"/>
        <v>11305</v>
      </c>
      <c r="Q10" s="5">
        <f t="shared" si="3"/>
        <v>0</v>
      </c>
      <c r="R10" s="5">
        <f t="shared" si="3"/>
        <v>6284</v>
      </c>
      <c r="S10" s="5">
        <f t="shared" si="3"/>
        <v>2889</v>
      </c>
      <c r="T10" s="5">
        <f t="shared" si="3"/>
        <v>26531</v>
      </c>
      <c r="U10" s="5">
        <f t="shared" si="3"/>
        <v>1965</v>
      </c>
      <c r="V10" s="5">
        <f t="shared" si="3"/>
        <v>0</v>
      </c>
      <c r="W10" s="5">
        <f t="shared" si="3"/>
        <v>3041</v>
      </c>
      <c r="X10" s="5">
        <f t="shared" si="3"/>
        <v>0</v>
      </c>
      <c r="Y10" s="5">
        <f t="shared" si="3"/>
        <v>2053</v>
      </c>
      <c r="Z10" s="5">
        <f t="shared" si="3"/>
        <v>4221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77697</v>
      </c>
      <c r="AN10" s="5">
        <f t="shared" si="3"/>
        <v>82864</v>
      </c>
    </row>
    <row r="11" spans="1:40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1000</v>
      </c>
      <c r="G11" s="5">
        <f>G10/40</f>
        <v>1000</v>
      </c>
      <c r="H11" s="16">
        <f>H10/40</f>
        <v>4014.0250000000001</v>
      </c>
      <c r="I11" s="5">
        <f t="shared" ref="I11:AN11" si="4">I10/40</f>
        <v>25.975000000000001</v>
      </c>
      <c r="J11" s="5">
        <f t="shared" si="4"/>
        <v>0</v>
      </c>
      <c r="K11" s="5">
        <f t="shared" si="4"/>
        <v>27.8</v>
      </c>
      <c r="L11" s="5">
        <f t="shared" si="4"/>
        <v>27.65</v>
      </c>
      <c r="M11" s="5">
        <f t="shared" si="4"/>
        <v>83.424999999999997</v>
      </c>
      <c r="N11" s="5">
        <f t="shared" si="4"/>
        <v>243.22499999999999</v>
      </c>
      <c r="O11" s="5">
        <f t="shared" si="4"/>
        <v>77.125</v>
      </c>
      <c r="P11" s="5">
        <f t="shared" si="4"/>
        <v>282.625</v>
      </c>
      <c r="Q11" s="5">
        <f t="shared" si="4"/>
        <v>0</v>
      </c>
      <c r="R11" s="5">
        <f t="shared" si="4"/>
        <v>157.1</v>
      </c>
      <c r="S11" s="5">
        <f t="shared" si="4"/>
        <v>72.224999999999994</v>
      </c>
      <c r="T11" s="5">
        <f t="shared" si="4"/>
        <v>663.27499999999998</v>
      </c>
      <c r="U11" s="5">
        <f t="shared" si="4"/>
        <v>49.125</v>
      </c>
      <c r="V11" s="5">
        <f t="shared" si="4"/>
        <v>0</v>
      </c>
      <c r="W11" s="5">
        <f t="shared" si="4"/>
        <v>76.025000000000006</v>
      </c>
      <c r="X11" s="5">
        <f t="shared" si="4"/>
        <v>0</v>
      </c>
      <c r="Y11" s="5">
        <f t="shared" si="4"/>
        <v>51.325000000000003</v>
      </c>
      <c r="Z11" s="5">
        <f t="shared" si="4"/>
        <v>105.52500000000001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6">
        <f t="shared" si="4"/>
        <v>1942.425</v>
      </c>
      <c r="AN11" s="17">
        <f t="shared" si="4"/>
        <v>2071.6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>
        <v>46239</v>
      </c>
      <c r="B14" s="1" t="s">
        <v>21</v>
      </c>
      <c r="C14" s="1">
        <v>5</v>
      </c>
      <c r="D14" s="1" t="s">
        <v>22</v>
      </c>
    </row>
    <row r="15" spans="1:40" x14ac:dyDescent="0.35">
      <c r="A15" s="7">
        <v>46239</v>
      </c>
      <c r="B15" s="1" t="s">
        <v>23</v>
      </c>
      <c r="C15" s="1">
        <v>24</v>
      </c>
      <c r="D15" s="1" t="s">
        <v>22</v>
      </c>
    </row>
    <row r="16" spans="1:40" x14ac:dyDescent="0.35">
      <c r="A16" s="7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7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7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7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7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7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7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7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7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7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7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7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7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7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7">
        <v>46244</v>
      </c>
      <c r="B30" s="1" t="s">
        <v>38</v>
      </c>
      <c r="C30" s="1">
        <v>15</v>
      </c>
      <c r="D30" s="1" t="s">
        <v>22</v>
      </c>
    </row>
    <row r="31" spans="1:4" x14ac:dyDescent="0.35">
      <c r="A31" s="7">
        <v>46244</v>
      </c>
      <c r="B31" s="1" t="s">
        <v>39</v>
      </c>
      <c r="C31" s="1">
        <v>27</v>
      </c>
      <c r="D31" s="1" t="s">
        <v>22</v>
      </c>
    </row>
    <row r="32" spans="1:4" x14ac:dyDescent="0.35">
      <c r="A32" s="7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7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7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7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7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7">
        <v>46246</v>
      </c>
      <c r="B37" s="1" t="s">
        <v>45</v>
      </c>
      <c r="C37" s="1">
        <v>5.5</v>
      </c>
      <c r="D37" s="1" t="s">
        <v>22</v>
      </c>
    </row>
    <row r="38" spans="1:4" x14ac:dyDescent="0.35">
      <c r="A38" s="7">
        <v>46246</v>
      </c>
      <c r="B38" s="1" t="s">
        <v>46</v>
      </c>
      <c r="C38" s="1">
        <v>30</v>
      </c>
      <c r="D38" s="1" t="s">
        <v>22</v>
      </c>
    </row>
    <row r="39" spans="1:4" x14ac:dyDescent="0.35">
      <c r="A39" s="7">
        <v>46246</v>
      </c>
      <c r="B39" s="1" t="s">
        <v>47</v>
      </c>
      <c r="C39" s="1">
        <v>6</v>
      </c>
      <c r="D39" s="1" t="s">
        <v>22</v>
      </c>
    </row>
    <row r="40" spans="1:4" x14ac:dyDescent="0.35">
      <c r="A40" s="7">
        <v>46246</v>
      </c>
      <c r="B40" s="1" t="s">
        <v>48</v>
      </c>
      <c r="C40" s="1">
        <v>16</v>
      </c>
      <c r="D40" s="1" t="s">
        <v>22</v>
      </c>
    </row>
    <row r="41" spans="1:4" x14ac:dyDescent="0.35">
      <c r="A41" s="7">
        <v>46246</v>
      </c>
      <c r="B41" s="1" t="s">
        <v>31</v>
      </c>
      <c r="C41" s="1">
        <v>17</v>
      </c>
      <c r="D41" s="1" t="s">
        <v>22</v>
      </c>
    </row>
    <row r="42" spans="1:4" x14ac:dyDescent="0.35">
      <c r="A42" s="7">
        <v>46246</v>
      </c>
      <c r="B42" s="1" t="s">
        <v>49</v>
      </c>
      <c r="C42" s="1">
        <v>450</v>
      </c>
      <c r="D42" s="1" t="s">
        <v>22</v>
      </c>
    </row>
    <row r="43" spans="1:4" x14ac:dyDescent="0.35">
      <c r="A43" s="7">
        <v>46246</v>
      </c>
      <c r="B43" s="15" t="s">
        <v>50</v>
      </c>
      <c r="C43" s="1">
        <v>60</v>
      </c>
      <c r="D43" s="1" t="s">
        <v>22</v>
      </c>
    </row>
    <row r="44" spans="1:4" x14ac:dyDescent="0.35">
      <c r="A44" s="7">
        <v>46247</v>
      </c>
      <c r="B44" s="1" t="s">
        <v>51</v>
      </c>
      <c r="C44" s="1">
        <v>10</v>
      </c>
      <c r="D44" s="1" t="s">
        <v>22</v>
      </c>
    </row>
    <row r="45" spans="1:4" x14ac:dyDescent="0.35">
      <c r="A45" s="7">
        <v>46247</v>
      </c>
      <c r="B45" s="1" t="s">
        <v>52</v>
      </c>
      <c r="C45" s="1">
        <v>7</v>
      </c>
      <c r="D45" s="1" t="s">
        <v>22</v>
      </c>
    </row>
    <row r="46" spans="1:4" x14ac:dyDescent="0.35">
      <c r="A46" s="7">
        <v>46247</v>
      </c>
      <c r="B46" s="1" t="s">
        <v>53</v>
      </c>
      <c r="C46" s="1">
        <v>6</v>
      </c>
      <c r="D46" s="1" t="s">
        <v>22</v>
      </c>
    </row>
    <row r="47" spans="1:4" x14ac:dyDescent="0.35">
      <c r="A47" s="7">
        <v>46249</v>
      </c>
      <c r="B47" s="1" t="s">
        <v>54</v>
      </c>
      <c r="C47" s="1">
        <v>5</v>
      </c>
      <c r="D47" s="1" t="s">
        <v>22</v>
      </c>
    </row>
    <row r="48" spans="1:4" x14ac:dyDescent="0.35">
      <c r="A48" s="7">
        <v>46249</v>
      </c>
      <c r="B48" s="1" t="s">
        <v>55</v>
      </c>
      <c r="C48" s="1">
        <v>12.975</v>
      </c>
      <c r="D48" s="1" t="s">
        <v>22</v>
      </c>
    </row>
    <row r="49" spans="1:4" x14ac:dyDescent="0.35">
      <c r="A49" s="7">
        <v>46249</v>
      </c>
      <c r="B49" s="1" t="s">
        <v>56</v>
      </c>
      <c r="C49" s="1">
        <v>23</v>
      </c>
      <c r="D49" s="1" t="s">
        <v>22</v>
      </c>
    </row>
    <row r="50" spans="1:4" x14ac:dyDescent="0.35">
      <c r="A50" s="7">
        <v>46251</v>
      </c>
      <c r="B50" s="1" t="s">
        <v>53</v>
      </c>
      <c r="C50" s="1">
        <v>6</v>
      </c>
      <c r="D50" s="1" t="s">
        <v>22</v>
      </c>
    </row>
    <row r="51" spans="1:4" x14ac:dyDescent="0.35">
      <c r="A51" s="7">
        <v>46252</v>
      </c>
      <c r="B51" s="1" t="s">
        <v>57</v>
      </c>
      <c r="C51" s="1">
        <v>4.9749999999999996</v>
      </c>
      <c r="D51" s="1" t="s">
        <v>22</v>
      </c>
    </row>
    <row r="52" spans="1:4" x14ac:dyDescent="0.35">
      <c r="A52" s="7">
        <v>46252</v>
      </c>
      <c r="B52" s="1" t="s">
        <v>58</v>
      </c>
      <c r="C52" s="1">
        <v>10.199999999999999</v>
      </c>
      <c r="D52" s="1" t="s">
        <v>22</v>
      </c>
    </row>
    <row r="53" spans="1:4" x14ac:dyDescent="0.35">
      <c r="A53" s="7">
        <v>46252</v>
      </c>
      <c r="B53" s="1" t="s">
        <v>59</v>
      </c>
      <c r="C53" s="1">
        <v>15</v>
      </c>
      <c r="D53" s="1" t="s">
        <v>22</v>
      </c>
    </row>
    <row r="54" spans="1:4" x14ac:dyDescent="0.35">
      <c r="A54" s="7">
        <v>46252</v>
      </c>
      <c r="B54" s="1" t="s">
        <v>60</v>
      </c>
      <c r="C54" s="1">
        <v>12</v>
      </c>
      <c r="D54" s="1" t="s">
        <v>22</v>
      </c>
    </row>
    <row r="55" spans="1:4" x14ac:dyDescent="0.35">
      <c r="A55" s="7">
        <v>46252</v>
      </c>
      <c r="B55" s="1" t="s">
        <v>61</v>
      </c>
      <c r="C55" s="1">
        <v>30</v>
      </c>
      <c r="D55" s="1" t="s">
        <v>22</v>
      </c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1387.9749999999999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2026-08-24T06:43:05Z</dcterms:modified>
</cp:coreProperties>
</file>