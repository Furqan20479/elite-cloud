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95530359-8A25-4764-9A80-143E193FA604}" xr6:coauthVersionLast="47" xr6:coauthVersionMax="47" xr10:uidLastSave="{00000000-0000-0000-0000-000000000000}"/>
  <bookViews>
    <workbookView xWindow="-110" yWindow="-110" windowWidth="19420" windowHeight="10420" xr2:uid="{3E645682-E893-4F6E-94AA-185947CE66D6}"/>
  </bookViews>
  <sheets>
    <sheet name="Sheet1" sheetId="1" r:id="rId1"/>
  </sheets>
  <definedNames>
    <definedName name="_xlnm.Print_Area" localSheetId="0">Sheet1!$A$12:$D$118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8" i="1" l="1"/>
  <c r="H4" i="1"/>
  <c r="H5" i="1"/>
  <c r="H6" i="1"/>
  <c r="H7" i="1"/>
  <c r="H8" i="1"/>
  <c r="H9" i="1"/>
  <c r="H3" i="1"/>
  <c r="G10" i="1"/>
  <c r="G11" i="1" s="1"/>
  <c r="AA10" i="1" l="1"/>
  <c r="AA11" i="1" s="1"/>
  <c r="AB10" i="1"/>
  <c r="AB11" i="1" s="1"/>
  <c r="AC10" i="1"/>
  <c r="AC11" i="1" s="1"/>
  <c r="AD10" i="1"/>
  <c r="AD11" i="1" s="1"/>
  <c r="AE10" i="1"/>
  <c r="AE11" i="1" s="1"/>
  <c r="AF10" i="1"/>
  <c r="AF11" i="1" s="1"/>
  <c r="AG10" i="1"/>
  <c r="AG11" i="1" s="1"/>
  <c r="AH10" i="1"/>
  <c r="AH11" i="1" s="1"/>
  <c r="AI10" i="1"/>
  <c r="AI11" i="1" s="1"/>
  <c r="AJ10" i="1"/>
  <c r="AJ11" i="1" s="1"/>
  <c r="AK10" i="1"/>
  <c r="AK11" i="1" s="1"/>
  <c r="AL10" i="1"/>
  <c r="AL11" i="1" s="1"/>
  <c r="F10" i="1" l="1"/>
  <c r="F11" i="1" s="1"/>
  <c r="E10" i="1"/>
  <c r="E11" i="1" s="1"/>
  <c r="H10" i="1" l="1"/>
  <c r="H11" i="1" s="1"/>
  <c r="AM4" i="1"/>
  <c r="AN4" i="1" s="1"/>
  <c r="AM5" i="1"/>
  <c r="AN5" i="1" s="1"/>
  <c r="AM6" i="1"/>
  <c r="AN6" i="1" s="1"/>
  <c r="AM7" i="1"/>
  <c r="AN7" i="1" s="1"/>
  <c r="AM8" i="1"/>
  <c r="AN8" i="1" s="1"/>
  <c r="AM9" i="1"/>
  <c r="AN9" i="1" s="1"/>
  <c r="AM3" i="1"/>
  <c r="I10" i="1"/>
  <c r="I11" i="1" s="1"/>
  <c r="J10" i="1"/>
  <c r="J11" i="1" s="1"/>
  <c r="K10" i="1"/>
  <c r="K11" i="1" s="1"/>
  <c r="L10" i="1"/>
  <c r="L11" i="1" s="1"/>
  <c r="M10" i="1"/>
  <c r="M11" i="1" s="1"/>
  <c r="N10" i="1"/>
  <c r="N11" i="1" s="1"/>
  <c r="O10" i="1"/>
  <c r="O11" i="1" s="1"/>
  <c r="P10" i="1"/>
  <c r="P11" i="1" s="1"/>
  <c r="Q10" i="1"/>
  <c r="Q11" i="1" s="1"/>
  <c r="R10" i="1"/>
  <c r="R11" i="1" s="1"/>
  <c r="S10" i="1"/>
  <c r="S11" i="1" s="1"/>
  <c r="T10" i="1"/>
  <c r="T11" i="1" s="1"/>
  <c r="U10" i="1"/>
  <c r="U11" i="1" s="1"/>
  <c r="V10" i="1"/>
  <c r="V11" i="1" s="1"/>
  <c r="W10" i="1"/>
  <c r="W11" i="1" s="1"/>
  <c r="X10" i="1"/>
  <c r="X11" i="1" s="1"/>
  <c r="Y10" i="1"/>
  <c r="Y11" i="1" s="1"/>
  <c r="Z10" i="1"/>
  <c r="Z11" i="1" s="1"/>
  <c r="D10" i="1"/>
  <c r="D11" i="1" s="1"/>
  <c r="AN3" i="1" l="1"/>
  <c r="AN10" i="1" s="1"/>
  <c r="AN11" i="1" s="1"/>
  <c r="AM10" i="1"/>
  <c r="AM11" i="1" s="1"/>
</calcChain>
</file>

<file path=xl/sharedStrings.xml><?xml version="1.0" encoding="utf-8"?>
<sst xmlns="http://schemas.openxmlformats.org/spreadsheetml/2006/main" count="230" uniqueCount="114">
  <si>
    <t xml:space="preserve">Opening </t>
  </si>
  <si>
    <t>PRODUCT</t>
  </si>
  <si>
    <t>GM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</si>
  <si>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</si>
  <si>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</si>
  <si>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</si>
  <si>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</si>
  <si>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</si>
  <si>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</si>
  <si>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</si>
  <si>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Pc's</t>
  </si>
  <si>
    <t>Ctn's</t>
  </si>
  <si>
    <t>Secondary</t>
  </si>
  <si>
    <t>In Hand</t>
  </si>
  <si>
    <t xml:space="preserve">Monthly Sale &amp; Inventry </t>
  </si>
  <si>
    <t xml:space="preserve">Dated </t>
  </si>
  <si>
    <t>LMT's</t>
  </si>
  <si>
    <t xml:space="preserve">Shops </t>
  </si>
  <si>
    <t>Ctns</t>
  </si>
  <si>
    <t xml:space="preserve">Status </t>
  </si>
  <si>
    <t xml:space="preserve">Total </t>
  </si>
  <si>
    <t xml:space="preserve">HA Mega Mart </t>
  </si>
  <si>
    <t>Delivered</t>
  </si>
  <si>
    <t xml:space="preserve">LUTF Mart </t>
  </si>
  <si>
    <t>Aslam Mart LDA</t>
  </si>
  <si>
    <t>Ss Departmental Store</t>
  </si>
  <si>
    <t xml:space="preserve">Raheem </t>
  </si>
  <si>
    <t>Risen Gajumata</t>
  </si>
  <si>
    <t>Zohra Mart</t>
  </si>
  <si>
    <t xml:space="preserve">Clinix </t>
  </si>
  <si>
    <t xml:space="preserve">Gourmet Foods </t>
  </si>
  <si>
    <t xml:space="preserve">Gourmet Behria Town </t>
  </si>
  <si>
    <t>Imperia Departmental Store</t>
  </si>
  <si>
    <t xml:space="preserve">Rainbow Shadra </t>
  </si>
  <si>
    <t>Rainbow Shikhupura</t>
  </si>
  <si>
    <t>Rainbow Gujranwala</t>
  </si>
  <si>
    <t>Zubaida Associates</t>
  </si>
  <si>
    <t>Green Velly</t>
  </si>
  <si>
    <t>Rainbow Defence Road</t>
  </si>
  <si>
    <t>Rainbow EME</t>
  </si>
  <si>
    <t xml:space="preserve">Rainbow Wapda Town </t>
  </si>
  <si>
    <t xml:space="preserve">Rainbow Model Town </t>
  </si>
  <si>
    <t>Primary</t>
  </si>
  <si>
    <t xml:space="preserve">Rainbow Behria Town </t>
  </si>
  <si>
    <t xml:space="preserve">24/7 Mart </t>
  </si>
  <si>
    <t xml:space="preserve">Euro Rachna Block </t>
  </si>
  <si>
    <t>HKB</t>
  </si>
  <si>
    <t xml:space="preserve">Risen Gajumata </t>
  </si>
  <si>
    <t xml:space="preserve">Goutmet MIX </t>
  </si>
  <si>
    <t>Rainbow Barki Road</t>
  </si>
  <si>
    <t>Euro Fateh Ghar</t>
  </si>
  <si>
    <t xml:space="preserve">Jalal Sons </t>
  </si>
  <si>
    <t xml:space="preserve">Arshad Sons </t>
  </si>
  <si>
    <t xml:space="preserve">Euro Model Town </t>
  </si>
  <si>
    <t xml:space="preserve">4 Season </t>
  </si>
  <si>
    <t>Crown Market Singh pura</t>
  </si>
  <si>
    <t>Jalal sons  Main Market</t>
  </si>
  <si>
    <t xml:space="preserve">Raja Saab Wapda Town </t>
  </si>
  <si>
    <t xml:space="preserve">Mb/SB Traders  Shadbagh </t>
  </si>
  <si>
    <t>Sweera GT Road</t>
  </si>
  <si>
    <t xml:space="preserve">Zubaida Traders </t>
  </si>
  <si>
    <t xml:space="preserve">Gourmet Food </t>
  </si>
  <si>
    <t>Raheem Store</t>
  </si>
  <si>
    <t xml:space="preserve">Lutaf Mart </t>
  </si>
  <si>
    <t>Vip</t>
  </si>
  <si>
    <t xml:space="preserve">Al Rehmat </t>
  </si>
  <si>
    <t>Clinic</t>
  </si>
  <si>
    <t xml:space="preserve">Jala Sons Behria </t>
  </si>
  <si>
    <t>Jalal Sons Izmir</t>
  </si>
  <si>
    <t xml:space="preserve">Prime </t>
  </si>
  <si>
    <t xml:space="preserve">RI Mart </t>
  </si>
  <si>
    <t xml:space="preserve">Rainbow C NC </t>
  </si>
  <si>
    <t>Jalal Sons Behria Orchard</t>
  </si>
  <si>
    <t>Rainbow CNC DHA</t>
  </si>
  <si>
    <t>LGS</t>
  </si>
  <si>
    <t xml:space="preserve">RI Mart Jore Pull </t>
  </si>
  <si>
    <t xml:space="preserve">Risen Manawan </t>
  </si>
  <si>
    <t>Rainbow Sheikhupura</t>
  </si>
  <si>
    <t xml:space="preserve">Pak Madina </t>
  </si>
  <si>
    <t xml:space="preserve">Askari Punjab Society </t>
  </si>
  <si>
    <t xml:space="preserve">Risen Shadbagh </t>
  </si>
  <si>
    <t>Risen Sabzazaar</t>
  </si>
  <si>
    <t xml:space="preserve">Risen Thoker </t>
  </si>
  <si>
    <t>Risen Askari 11</t>
  </si>
  <si>
    <t>Gourmet Food</t>
  </si>
  <si>
    <t>Clinix Werehouse</t>
  </si>
  <si>
    <t xml:space="preserve">Raheem Wapda </t>
  </si>
  <si>
    <t xml:space="preserve">Cario Mart </t>
  </si>
  <si>
    <t xml:space="preserve">Risen Fateh Gher </t>
  </si>
  <si>
    <t xml:space="preserve">Zohra Mart </t>
  </si>
  <si>
    <t xml:space="preserve">Gourmet Food Johar Town </t>
  </si>
  <si>
    <t xml:space="preserve">Gourmet Food 12G Johar Town </t>
  </si>
  <si>
    <t>Gourmet Food Naseer Abad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</si>
  <si>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</si>
  <si>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</si>
  <si>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</si>
  <si>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</si>
  <si>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</si>
  <si>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</si>
  <si>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</si>
  <si>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</si>
  <si>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</si>
  <si>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>Gourmet Food Walton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</si>
  <si>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</si>
  <si>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</si>
  <si>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</si>
  <si>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</si>
  <si>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</si>
  <si>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</si>
  <si>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Link Road Model Town 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</si>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</sst>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16" fontId="0" fillId="0" borderId="1" xfId="0" applyNumberFormat="1" applyBorder="1"/>
    <xf numFmtId="16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3771-1E8D-4C4A-A561-EB9042DCC7D5}">
  <sheetPr>
    <pageSetUpPr fitToPage="1"/>
  </sheetPr>
  <dimension ref="A1:AN118"/>
  <sheetViews>
    <sheetView tabSelected="1" topLeftCell="A73" zoomScaleNormal="100" workbookViewId="0">
      <pane xSplit="1" topLeftCell="B1" activePane="topRight" state="frozen"/>
      <selection pane="topRight" activeCell="H90" sqref="H90"/>
    </sheetView>
  </sheetViews>
  <sheetFormatPr defaultRowHeight="14.5" x14ac:dyDescent="0.35"/>
  <cols>
    <col min="1" max="1" width="6.6328125" bestFit="1" customWidth="1"/>
    <col min="2" max="2" width="36.26953125" bestFit="1" customWidth="1"/>
    <col min="3" max="3" width="8.81640625" bestFit="1" customWidth="1"/>
    <col min="4" max="8" width="8.7265625" customWidth="1"/>
    <col min="9" max="9" width="7.36328125" bestFit="1" customWidth="1"/>
    <col min="10" max="10" width="1.90625" bestFit="1" customWidth="1"/>
    <col min="11" max="11" width="5.81640625" bestFit="1" customWidth="1"/>
    <col min="12" max="12" width="6.26953125" bestFit="1" customWidth="1"/>
    <col min="13" max="13" width="7.36328125" bestFit="1" customWidth="1"/>
    <col min="14" max="16" width="9.453125" customWidth="1"/>
    <col min="17" max="17" width="2" bestFit="1" customWidth="1"/>
    <col min="18" max="21" width="9.453125" customWidth="1"/>
    <col min="22" max="22" width="3.08984375" bestFit="1" customWidth="1"/>
    <col min="23" max="23" width="9.453125" customWidth="1"/>
    <col min="24" max="24" width="3.08984375" bestFit="1" customWidth="1"/>
    <col min="25" max="28" width="9.453125" customWidth="1"/>
    <col min="29" max="29" width="8.6328125" bestFit="1" customWidth="1"/>
    <col min="30" max="30" width="5.26953125" bestFit="1" customWidth="1"/>
    <col min="31" max="31" width="2.90625" bestFit="1" customWidth="1"/>
    <col min="32" max="32" width="7.54296875" bestFit="1" customWidth="1"/>
    <col min="33" max="33" width="6.453125" bestFit="1" customWidth="1"/>
    <col min="34" max="34" width="2.90625" bestFit="1" customWidth="1"/>
    <col min="35" max="35" width="8.6328125" bestFit="1" customWidth="1"/>
    <col min="36" max="36" width="6.453125" bestFit="1" customWidth="1"/>
    <col min="37" max="37" width="8.6328125" bestFit="1" customWidth="1"/>
    <col min="38" max="38" width="7.54296875" bestFit="1" customWidth="1"/>
    <col min="39" max="39" width="9.453125" bestFit="1" customWidth="1"/>
  </cols>
  <sheetData>
    <row r="1" spans="1:40" ht="36.5" customHeight="1" x14ac:dyDescent="0.35">
      <c r="A1" s="8">
        <v>46260</v>
      </c>
      <c r="B1" s="18" t="s">
        <v>14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2.5" customHeight="1" x14ac:dyDescent="0.35">
      <c r="B2" s="3" t="s">
        <v>1</v>
      </c>
      <c r="C2" s="2" t="s">
        <v>2</v>
      </c>
      <c r="D2" s="3" t="s">
        <v>0</v>
      </c>
      <c r="E2" s="14">
        <v>46243</v>
      </c>
      <c r="F2" s="14">
        <v>46253</v>
      </c>
      <c r="G2" s="14">
        <v>46257</v>
      </c>
      <c r="H2" s="14" t="s">
        <v>42</v>
      </c>
      <c r="I2" s="9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9">
        <v>7</v>
      </c>
      <c r="P2" s="9">
        <v>8</v>
      </c>
      <c r="Q2" s="9">
        <v>9</v>
      </c>
      <c r="R2" s="9">
        <v>10</v>
      </c>
      <c r="S2" s="9">
        <v>11</v>
      </c>
      <c r="T2" s="9">
        <v>12</v>
      </c>
      <c r="U2" s="9">
        <v>13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19</v>
      </c>
      <c r="AB2" s="9">
        <v>20</v>
      </c>
      <c r="AC2" s="9">
        <v>21</v>
      </c>
      <c r="AD2" s="9">
        <v>22</v>
      </c>
      <c r="AE2" s="9">
        <v>23</v>
      </c>
      <c r="AF2" s="9">
        <v>24</v>
      </c>
      <c r="AG2" s="9">
        <v>25</v>
      </c>
      <c r="AH2" s="9">
        <v>26</v>
      </c>
      <c r="AI2" s="9">
        <v>27</v>
      </c>
      <c r="AJ2" s="9">
        <v>28</v>
      </c>
      <c r="AK2" s="9">
        <v>29</v>
      </c>
      <c r="AL2" s="9">
        <v>30</v>
      </c>
      <c r="AM2" s="10" t="s">
        <v>12</v>
      </c>
      <c r="AN2" s="11" t="s">
        <v>13</v>
      </c>
    </row>
    <row r="3" spans="1:40" x14ac:dyDescent="0.35">
      <c r="B3" s="1" t="s">
        <v>3</v>
      </c>
      <c r="C3" s="2">
        <v>70</v>
      </c>
      <c r="D3" s="1">
        <v>6769</v>
      </c>
      <c r="E3" s="1">
        <v>8000</v>
      </c>
      <c r="F3" s="1">
        <v>4000</v>
      </c>
      <c r="G3" s="1">
        <v>2000</v>
      </c>
      <c r="H3" s="1">
        <f>SUM(D3:G3)</f>
        <v>20769</v>
      </c>
      <c r="I3" s="1">
        <v>75</v>
      </c>
      <c r="J3" s="6"/>
      <c r="K3" s="1">
        <v>144</v>
      </c>
      <c r="L3" s="1">
        <v>92</v>
      </c>
      <c r="M3" s="1">
        <v>260</v>
      </c>
      <c r="N3" s="1">
        <v>770</v>
      </c>
      <c r="O3" s="1">
        <v>279</v>
      </c>
      <c r="P3" s="1">
        <v>939</v>
      </c>
      <c r="Q3" s="6"/>
      <c r="R3" s="1">
        <v>642</v>
      </c>
      <c r="S3" s="1">
        <v>300</v>
      </c>
      <c r="T3" s="1">
        <v>2268</v>
      </c>
      <c r="U3" s="1">
        <v>184</v>
      </c>
      <c r="V3" s="6"/>
      <c r="W3" s="1">
        <v>250</v>
      </c>
      <c r="X3" s="6"/>
      <c r="Y3" s="1">
        <v>250</v>
      </c>
      <c r="Z3" s="1">
        <v>390</v>
      </c>
      <c r="AA3" s="1">
        <v>1041</v>
      </c>
      <c r="AB3" s="1">
        <v>422</v>
      </c>
      <c r="AC3" s="1">
        <v>622</v>
      </c>
      <c r="AD3" s="1">
        <v>270</v>
      </c>
      <c r="AE3" s="6"/>
      <c r="AF3" s="1">
        <v>337</v>
      </c>
      <c r="AG3" s="1">
        <v>310</v>
      </c>
      <c r="AH3" s="6"/>
      <c r="AI3" s="1">
        <v>771</v>
      </c>
      <c r="AJ3" s="1">
        <v>205</v>
      </c>
      <c r="AK3" s="1">
        <v>1469</v>
      </c>
      <c r="AL3" s="1">
        <v>622</v>
      </c>
      <c r="AM3" s="2">
        <f>SUM(I3:AL3)</f>
        <v>12912</v>
      </c>
      <c r="AN3" s="4">
        <f t="shared" ref="AN3:AN9" si="0">H3-AM3</f>
        <v>7857</v>
      </c>
    </row>
    <row r="4" spans="1:40" x14ac:dyDescent="0.35">
      <c r="B4" s="1" t="s">
        <v>4</v>
      </c>
      <c r="C4" s="2">
        <v>70</v>
      </c>
      <c r="D4" s="1">
        <v>3137</v>
      </c>
      <c r="E4" s="1">
        <v>8000</v>
      </c>
      <c r="F4" s="1">
        <v>4000</v>
      </c>
      <c r="G4" s="1">
        <v>4000</v>
      </c>
      <c r="H4" s="1">
        <f t="shared" ref="H4:H9" si="1">SUM(D4:G4)</f>
        <v>19137</v>
      </c>
      <c r="I4" s="1">
        <v>40</v>
      </c>
      <c r="J4" s="6"/>
      <c r="K4" s="1">
        <v>113</v>
      </c>
      <c r="L4" s="1">
        <v>92</v>
      </c>
      <c r="M4" s="1">
        <v>240</v>
      </c>
      <c r="N4" s="1">
        <v>582</v>
      </c>
      <c r="O4" s="1">
        <v>481</v>
      </c>
      <c r="P4" s="1">
        <v>1041</v>
      </c>
      <c r="Q4" s="6"/>
      <c r="R4" s="1">
        <v>812</v>
      </c>
      <c r="S4" s="1">
        <v>337</v>
      </c>
      <c r="T4" s="1">
        <v>2028</v>
      </c>
      <c r="U4" s="1">
        <v>158</v>
      </c>
      <c r="V4" s="6"/>
      <c r="W4" s="1">
        <v>363</v>
      </c>
      <c r="X4" s="6"/>
      <c r="Y4" s="1">
        <v>258</v>
      </c>
      <c r="Z4" s="1">
        <v>421</v>
      </c>
      <c r="AA4" s="1">
        <v>1102</v>
      </c>
      <c r="AB4" s="1">
        <v>224</v>
      </c>
      <c r="AC4" s="1">
        <v>648</v>
      </c>
      <c r="AD4" s="1">
        <v>390</v>
      </c>
      <c r="AE4" s="6"/>
      <c r="AF4" s="1">
        <v>292</v>
      </c>
      <c r="AG4" s="1">
        <v>196</v>
      </c>
      <c r="AH4" s="6"/>
      <c r="AI4" s="1">
        <v>1198</v>
      </c>
      <c r="AJ4" s="1">
        <v>240</v>
      </c>
      <c r="AK4" s="1">
        <v>1509</v>
      </c>
      <c r="AL4" s="1">
        <v>673</v>
      </c>
      <c r="AM4" s="2">
        <f t="shared" ref="AM4:AM9" si="2">SUM(I4:AL4)</f>
        <v>13438</v>
      </c>
      <c r="AN4" s="4">
        <f t="shared" si="0"/>
        <v>5699</v>
      </c>
    </row>
    <row r="5" spans="1:40" x14ac:dyDescent="0.35">
      <c r="B5" s="1" t="s">
        <v>5</v>
      </c>
      <c r="C5" s="2">
        <v>70</v>
      </c>
      <c r="D5" s="1">
        <v>7361</v>
      </c>
      <c r="E5" s="1">
        <v>8000</v>
      </c>
      <c r="F5" s="1">
        <v>4000</v>
      </c>
      <c r="G5" s="1">
        <v>2000</v>
      </c>
      <c r="H5" s="1">
        <f t="shared" si="1"/>
        <v>21361</v>
      </c>
      <c r="I5" s="1">
        <v>0</v>
      </c>
      <c r="J5" s="6"/>
      <c r="K5" s="1">
        <v>0</v>
      </c>
      <c r="L5" s="1">
        <v>0</v>
      </c>
      <c r="M5" s="1">
        <v>240</v>
      </c>
      <c r="N5" s="1">
        <v>679</v>
      </c>
      <c r="O5" s="1">
        <v>179</v>
      </c>
      <c r="P5" s="1">
        <v>3557</v>
      </c>
      <c r="Q5" s="6"/>
      <c r="R5" s="1">
        <v>770</v>
      </c>
      <c r="S5" s="1">
        <v>215</v>
      </c>
      <c r="T5" s="1">
        <v>1290</v>
      </c>
      <c r="U5" s="1">
        <v>339</v>
      </c>
      <c r="V5" s="6"/>
      <c r="W5" s="1">
        <v>305</v>
      </c>
      <c r="X5" s="6"/>
      <c r="Y5" s="1">
        <v>116</v>
      </c>
      <c r="Z5" s="1">
        <v>742</v>
      </c>
      <c r="AA5" s="1">
        <v>1882</v>
      </c>
      <c r="AB5" s="1">
        <v>1066</v>
      </c>
      <c r="AC5" s="1">
        <v>519</v>
      </c>
      <c r="AD5" s="1">
        <v>159</v>
      </c>
      <c r="AE5" s="6"/>
      <c r="AF5" s="1">
        <v>447</v>
      </c>
      <c r="AG5" s="1">
        <v>539</v>
      </c>
      <c r="AH5" s="6"/>
      <c r="AI5" s="1">
        <v>1384</v>
      </c>
      <c r="AJ5" s="1">
        <v>627</v>
      </c>
      <c r="AK5" s="1">
        <v>1859</v>
      </c>
      <c r="AL5" s="1">
        <v>577</v>
      </c>
      <c r="AM5" s="2">
        <f t="shared" si="2"/>
        <v>17491</v>
      </c>
      <c r="AN5" s="4">
        <f t="shared" si="0"/>
        <v>3870</v>
      </c>
    </row>
    <row r="6" spans="1:40" x14ac:dyDescent="0.35">
      <c r="B6" s="1" t="s">
        <v>6</v>
      </c>
      <c r="C6" s="2">
        <v>120</v>
      </c>
      <c r="D6" s="1">
        <v>13138</v>
      </c>
      <c r="E6" s="1"/>
      <c r="F6" s="1">
        <v>12000</v>
      </c>
      <c r="G6" s="1">
        <v>8000</v>
      </c>
      <c r="H6" s="1">
        <f t="shared" si="1"/>
        <v>33138</v>
      </c>
      <c r="I6" s="1">
        <v>228</v>
      </c>
      <c r="J6" s="6"/>
      <c r="K6" s="1">
        <v>190</v>
      </c>
      <c r="L6" s="1">
        <v>240</v>
      </c>
      <c r="M6" s="1">
        <v>667</v>
      </c>
      <c r="N6" s="1">
        <v>1577</v>
      </c>
      <c r="O6" s="1">
        <v>539</v>
      </c>
      <c r="P6" s="1">
        <v>1264</v>
      </c>
      <c r="Q6" s="6"/>
      <c r="R6" s="1">
        <v>947</v>
      </c>
      <c r="S6" s="1">
        <v>574</v>
      </c>
      <c r="T6" s="1">
        <v>5646</v>
      </c>
      <c r="U6" s="1">
        <v>367</v>
      </c>
      <c r="V6" s="6"/>
      <c r="W6" s="1">
        <v>389</v>
      </c>
      <c r="X6" s="6"/>
      <c r="Y6" s="1">
        <v>365</v>
      </c>
      <c r="Z6" s="1">
        <v>649</v>
      </c>
      <c r="AA6" s="1">
        <v>1304</v>
      </c>
      <c r="AB6" s="1">
        <v>1184</v>
      </c>
      <c r="AC6" s="1">
        <v>1052</v>
      </c>
      <c r="AD6" s="1">
        <v>520</v>
      </c>
      <c r="AE6" s="6"/>
      <c r="AF6" s="1">
        <v>621</v>
      </c>
      <c r="AG6" s="1">
        <v>462</v>
      </c>
      <c r="AH6" s="6"/>
      <c r="AI6" s="1">
        <v>1383</v>
      </c>
      <c r="AJ6" s="1">
        <v>504</v>
      </c>
      <c r="AK6" s="1">
        <v>5341</v>
      </c>
      <c r="AL6" s="1">
        <v>612</v>
      </c>
      <c r="AM6" s="2">
        <f t="shared" si="2"/>
        <v>26625</v>
      </c>
      <c r="AN6" s="4">
        <f t="shared" si="0"/>
        <v>6513</v>
      </c>
    </row>
    <row r="7" spans="1:40" x14ac:dyDescent="0.35">
      <c r="B7" s="1" t="s">
        <v>7</v>
      </c>
      <c r="C7" s="2">
        <v>120</v>
      </c>
      <c r="D7" s="1">
        <v>4387</v>
      </c>
      <c r="E7" s="1">
        <v>12000</v>
      </c>
      <c r="F7" s="1">
        <v>4000</v>
      </c>
      <c r="G7" s="1">
        <v>12000</v>
      </c>
      <c r="H7" s="1">
        <f t="shared" si="1"/>
        <v>32387</v>
      </c>
      <c r="I7" s="1">
        <v>257</v>
      </c>
      <c r="J7" s="6"/>
      <c r="K7" s="1">
        <v>175</v>
      </c>
      <c r="L7" s="1">
        <v>170</v>
      </c>
      <c r="M7" s="1">
        <v>730</v>
      </c>
      <c r="N7" s="1">
        <v>1572</v>
      </c>
      <c r="O7" s="1">
        <v>398</v>
      </c>
      <c r="P7" s="1">
        <v>1562</v>
      </c>
      <c r="Q7" s="6"/>
      <c r="R7" s="1">
        <v>1059</v>
      </c>
      <c r="S7" s="1">
        <v>389</v>
      </c>
      <c r="T7" s="1">
        <v>4384</v>
      </c>
      <c r="U7" s="1">
        <v>255</v>
      </c>
      <c r="V7" s="6"/>
      <c r="W7" s="1">
        <v>602</v>
      </c>
      <c r="X7" s="6"/>
      <c r="Y7" s="1">
        <v>330</v>
      </c>
      <c r="Z7" s="1">
        <v>794</v>
      </c>
      <c r="AA7" s="1">
        <v>1452</v>
      </c>
      <c r="AB7" s="1">
        <v>639</v>
      </c>
      <c r="AC7" s="1">
        <v>745</v>
      </c>
      <c r="AD7" s="1">
        <v>395</v>
      </c>
      <c r="AE7" s="6"/>
      <c r="AF7" s="1">
        <v>565</v>
      </c>
      <c r="AG7" s="1">
        <v>322</v>
      </c>
      <c r="AH7" s="6"/>
      <c r="AI7" s="1">
        <v>1482</v>
      </c>
      <c r="AJ7" s="1">
        <v>216</v>
      </c>
      <c r="AK7" s="1">
        <v>5156</v>
      </c>
      <c r="AL7" s="1">
        <v>556</v>
      </c>
      <c r="AM7" s="2">
        <f t="shared" si="2"/>
        <v>24205</v>
      </c>
      <c r="AN7" s="4">
        <f t="shared" si="0"/>
        <v>8182</v>
      </c>
    </row>
    <row r="8" spans="1:40" x14ac:dyDescent="0.35">
      <c r="B8" s="1" t="s">
        <v>8</v>
      </c>
      <c r="C8" s="2">
        <v>120</v>
      </c>
      <c r="D8" s="1">
        <v>15754</v>
      </c>
      <c r="E8" s="1"/>
      <c r="F8" s="1">
        <v>12000</v>
      </c>
      <c r="G8" s="1">
        <v>12000</v>
      </c>
      <c r="H8" s="1">
        <f t="shared" si="1"/>
        <v>39754</v>
      </c>
      <c r="I8" s="1">
        <v>187</v>
      </c>
      <c r="J8" s="6"/>
      <c r="K8" s="1">
        <v>235</v>
      </c>
      <c r="L8" s="1">
        <v>220</v>
      </c>
      <c r="M8" s="1">
        <v>753</v>
      </c>
      <c r="N8" s="1">
        <v>2315</v>
      </c>
      <c r="O8" s="1">
        <v>946</v>
      </c>
      <c r="P8" s="1">
        <v>2794</v>
      </c>
      <c r="Q8" s="6"/>
      <c r="R8" s="1">
        <v>1402</v>
      </c>
      <c r="S8" s="1">
        <v>602</v>
      </c>
      <c r="T8" s="1">
        <v>6549</v>
      </c>
      <c r="U8" s="1">
        <v>330</v>
      </c>
      <c r="V8" s="6"/>
      <c r="W8" s="1">
        <v>648</v>
      </c>
      <c r="X8" s="6"/>
      <c r="Y8" s="1">
        <v>370</v>
      </c>
      <c r="Z8" s="1">
        <v>834</v>
      </c>
      <c r="AA8" s="1">
        <v>2908</v>
      </c>
      <c r="AB8" s="1">
        <v>1416</v>
      </c>
      <c r="AC8" s="1">
        <v>1246</v>
      </c>
      <c r="AD8" s="1">
        <v>702</v>
      </c>
      <c r="AE8" s="6"/>
      <c r="AF8" s="1">
        <v>735</v>
      </c>
      <c r="AG8" s="1">
        <v>840</v>
      </c>
      <c r="AH8" s="6"/>
      <c r="AI8" s="1">
        <v>2829</v>
      </c>
      <c r="AJ8" s="1">
        <v>591</v>
      </c>
      <c r="AK8" s="1">
        <v>5645</v>
      </c>
      <c r="AL8" s="1">
        <v>726</v>
      </c>
      <c r="AM8" s="2">
        <f t="shared" si="2"/>
        <v>35823</v>
      </c>
      <c r="AN8" s="4">
        <f t="shared" si="0"/>
        <v>3931</v>
      </c>
    </row>
    <row r="9" spans="1:40" x14ac:dyDescent="0.35">
      <c r="B9" s="1" t="s">
        <v>9</v>
      </c>
      <c r="C9" s="2">
        <v>60</v>
      </c>
      <c r="D9" s="1">
        <v>34015</v>
      </c>
      <c r="E9" s="1"/>
      <c r="F9" s="1"/>
      <c r="G9" s="1"/>
      <c r="H9" s="1">
        <f t="shared" si="1"/>
        <v>34015</v>
      </c>
      <c r="I9" s="1">
        <v>252</v>
      </c>
      <c r="J9" s="6"/>
      <c r="K9" s="1">
        <v>255</v>
      </c>
      <c r="L9" s="1">
        <v>292</v>
      </c>
      <c r="M9" s="1">
        <v>447</v>
      </c>
      <c r="N9" s="1">
        <v>2234</v>
      </c>
      <c r="O9" s="1">
        <v>263</v>
      </c>
      <c r="P9" s="1">
        <v>148</v>
      </c>
      <c r="Q9" s="6"/>
      <c r="R9" s="1">
        <v>652</v>
      </c>
      <c r="S9" s="1">
        <v>472</v>
      </c>
      <c r="T9" s="1">
        <v>4366</v>
      </c>
      <c r="U9" s="1">
        <v>332</v>
      </c>
      <c r="V9" s="6"/>
      <c r="W9" s="1">
        <v>484</v>
      </c>
      <c r="X9" s="6"/>
      <c r="Y9" s="1">
        <v>364</v>
      </c>
      <c r="Z9" s="1">
        <v>391</v>
      </c>
      <c r="AA9" s="1">
        <v>587</v>
      </c>
      <c r="AB9" s="1">
        <v>495</v>
      </c>
      <c r="AC9" s="1">
        <v>787</v>
      </c>
      <c r="AD9" s="1">
        <v>256</v>
      </c>
      <c r="AE9" s="6"/>
      <c r="AF9" s="1">
        <v>494</v>
      </c>
      <c r="AG9" s="1">
        <v>521</v>
      </c>
      <c r="AH9" s="6"/>
      <c r="AI9" s="1">
        <v>778</v>
      </c>
      <c r="AJ9" s="1">
        <v>379</v>
      </c>
      <c r="AK9" s="1">
        <v>2360</v>
      </c>
      <c r="AL9" s="1">
        <v>1360</v>
      </c>
      <c r="AM9" s="2">
        <f t="shared" si="2"/>
        <v>18969</v>
      </c>
      <c r="AN9" s="4">
        <f t="shared" si="0"/>
        <v>15046</v>
      </c>
    </row>
    <row r="10" spans="1:40" ht="18" customHeight="1" x14ac:dyDescent="0.35">
      <c r="B10" s="1" t="s">
        <v>10</v>
      </c>
      <c r="C10" s="1"/>
      <c r="D10" s="5">
        <f>SUM(D3:D9)</f>
        <v>84561</v>
      </c>
      <c r="E10" s="5">
        <f>SUM(E3:E9)</f>
        <v>36000</v>
      </c>
      <c r="F10" s="5">
        <f>SUM(F3:F9)</f>
        <v>40000</v>
      </c>
      <c r="G10" s="5">
        <f>SUM(G3:G9)</f>
        <v>40000</v>
      </c>
      <c r="H10" s="5">
        <f>SUM(H3:H9)</f>
        <v>200561</v>
      </c>
      <c r="I10" s="5">
        <f t="shared" ref="I10:AN10" si="3">SUM(I3:I9)</f>
        <v>1039</v>
      </c>
      <c r="J10" s="5">
        <f t="shared" si="3"/>
        <v>0</v>
      </c>
      <c r="K10" s="5">
        <f t="shared" si="3"/>
        <v>1112</v>
      </c>
      <c r="L10" s="5">
        <f t="shared" si="3"/>
        <v>1106</v>
      </c>
      <c r="M10" s="5">
        <f t="shared" si="3"/>
        <v>3337</v>
      </c>
      <c r="N10" s="5">
        <f t="shared" si="3"/>
        <v>9729</v>
      </c>
      <c r="O10" s="5">
        <f t="shared" si="3"/>
        <v>3085</v>
      </c>
      <c r="P10" s="5">
        <f t="shared" si="3"/>
        <v>11305</v>
      </c>
      <c r="Q10" s="5">
        <f t="shared" si="3"/>
        <v>0</v>
      </c>
      <c r="R10" s="5">
        <f t="shared" si="3"/>
        <v>6284</v>
      </c>
      <c r="S10" s="5">
        <f t="shared" si="3"/>
        <v>2889</v>
      </c>
      <c r="T10" s="5">
        <f t="shared" si="3"/>
        <v>26531</v>
      </c>
      <c r="U10" s="5">
        <f t="shared" si="3"/>
        <v>1965</v>
      </c>
      <c r="V10" s="5">
        <f t="shared" si="3"/>
        <v>0</v>
      </c>
      <c r="W10" s="5">
        <f t="shared" si="3"/>
        <v>3041</v>
      </c>
      <c r="X10" s="5">
        <f t="shared" si="3"/>
        <v>0</v>
      </c>
      <c r="Y10" s="5">
        <f t="shared" si="3"/>
        <v>2053</v>
      </c>
      <c r="Z10" s="5">
        <f t="shared" si="3"/>
        <v>4221</v>
      </c>
      <c r="AA10" s="5">
        <f t="shared" si="3"/>
        <v>10276</v>
      </c>
      <c r="AB10" s="5">
        <f t="shared" si="3"/>
        <v>5446</v>
      </c>
      <c r="AC10" s="5">
        <f t="shared" si="3"/>
        <v>5619</v>
      </c>
      <c r="AD10" s="5">
        <f t="shared" si="3"/>
        <v>2692</v>
      </c>
      <c r="AE10" s="5">
        <f t="shared" si="3"/>
        <v>0</v>
      </c>
      <c r="AF10" s="5">
        <f t="shared" si="3"/>
        <v>3491</v>
      </c>
      <c r="AG10" s="5">
        <f t="shared" si="3"/>
        <v>3190</v>
      </c>
      <c r="AH10" s="5">
        <f t="shared" si="3"/>
        <v>0</v>
      </c>
      <c r="AI10" s="5">
        <f t="shared" si="3"/>
        <v>9825</v>
      </c>
      <c r="AJ10" s="5">
        <f t="shared" si="3"/>
        <v>2762</v>
      </c>
      <c r="AK10" s="5">
        <f t="shared" si="3"/>
        <v>23339</v>
      </c>
      <c r="AL10" s="5">
        <f t="shared" si="3"/>
        <v>5126</v>
      </c>
      <c r="AM10" s="5">
        <f t="shared" si="3"/>
        <v>149463</v>
      </c>
      <c r="AN10" s="5">
        <f t="shared" si="3"/>
        <v>51098</v>
      </c>
    </row>
    <row r="11" spans="1:40" ht="19" customHeight="1" x14ac:dyDescent="0.35">
      <c r="B11" s="1" t="s">
        <v>11</v>
      </c>
      <c r="C11" s="1"/>
      <c r="D11" s="5">
        <f>D10/40</f>
        <v>2114.0250000000001</v>
      </c>
      <c r="E11" s="5">
        <f>E10/40</f>
        <v>900</v>
      </c>
      <c r="F11" s="5">
        <f>F10/40</f>
        <v>1000</v>
      </c>
      <c r="G11" s="5">
        <f>G10/40</f>
        <v>1000</v>
      </c>
      <c r="H11" s="16">
        <f>H10/40</f>
        <v>5014.0249999999996</v>
      </c>
      <c r="I11" s="5">
        <f t="shared" ref="I11:AN11" si="4">I10/40</f>
        <v>25.975000000000001</v>
      </c>
      <c r="J11" s="5">
        <f t="shared" si="4"/>
        <v>0</v>
      </c>
      <c r="K11" s="5">
        <f t="shared" si="4"/>
        <v>27.8</v>
      </c>
      <c r="L11" s="5">
        <f t="shared" si="4"/>
        <v>27.65</v>
      </c>
      <c r="M11" s="5">
        <f t="shared" si="4"/>
        <v>83.424999999999997</v>
      </c>
      <c r="N11" s="5">
        <f t="shared" si="4"/>
        <v>243.22499999999999</v>
      </c>
      <c r="O11" s="5">
        <f t="shared" si="4"/>
        <v>77.125</v>
      </c>
      <c r="P11" s="5">
        <f t="shared" si="4"/>
        <v>282.625</v>
      </c>
      <c r="Q11" s="5">
        <f t="shared" si="4"/>
        <v>0</v>
      </c>
      <c r="R11" s="5">
        <f t="shared" si="4"/>
        <v>157.1</v>
      </c>
      <c r="S11" s="5">
        <f t="shared" si="4"/>
        <v>72.224999999999994</v>
      </c>
      <c r="T11" s="5">
        <f t="shared" si="4"/>
        <v>663.27499999999998</v>
      </c>
      <c r="U11" s="5">
        <f t="shared" si="4"/>
        <v>49.125</v>
      </c>
      <c r="V11" s="5">
        <f t="shared" si="4"/>
        <v>0</v>
      </c>
      <c r="W11" s="5">
        <f t="shared" si="4"/>
        <v>76.025000000000006</v>
      </c>
      <c r="X11" s="5">
        <f t="shared" si="4"/>
        <v>0</v>
      </c>
      <c r="Y11" s="5">
        <f t="shared" si="4"/>
        <v>51.325000000000003</v>
      </c>
      <c r="Z11" s="5">
        <f t="shared" si="4"/>
        <v>105.52500000000001</v>
      </c>
      <c r="AA11" s="5">
        <f t="shared" si="4"/>
        <v>256.89999999999998</v>
      </c>
      <c r="AB11" s="5">
        <f t="shared" si="4"/>
        <v>136.15</v>
      </c>
      <c r="AC11" s="5">
        <f t="shared" si="4"/>
        <v>140.47499999999999</v>
      </c>
      <c r="AD11" s="5">
        <f t="shared" si="4"/>
        <v>67.3</v>
      </c>
      <c r="AE11" s="5">
        <f t="shared" si="4"/>
        <v>0</v>
      </c>
      <c r="AF11" s="5">
        <f t="shared" si="4"/>
        <v>87.275000000000006</v>
      </c>
      <c r="AG11" s="5">
        <f t="shared" si="4"/>
        <v>79.75</v>
      </c>
      <c r="AH11" s="5">
        <f t="shared" si="4"/>
        <v>0</v>
      </c>
      <c r="AI11" s="5">
        <f t="shared" si="4"/>
        <v>245.625</v>
      </c>
      <c r="AJ11" s="5">
        <f t="shared" si="4"/>
        <v>69.05</v>
      </c>
      <c r="AK11" s="5">
        <f t="shared" si="4"/>
        <v>583.47500000000002</v>
      </c>
      <c r="AL11" s="5">
        <f t="shared" si="4"/>
        <v>128.15</v>
      </c>
      <c r="AM11" s="16">
        <f t="shared" si="4"/>
        <v>3736.5749999999998</v>
      </c>
      <c r="AN11" s="17">
        <f t="shared" si="4"/>
        <v>1277.45</v>
      </c>
    </row>
    <row r="12" spans="1:40" x14ac:dyDescent="0.35">
      <c r="A12" s="19" t="s">
        <v>16</v>
      </c>
      <c r="B12" s="19"/>
      <c r="C12" s="19"/>
      <c r="D12" s="19"/>
      <c r="E12" s="12"/>
      <c r="F12" s="12"/>
      <c r="G12" s="12"/>
      <c r="H12" s="12"/>
    </row>
    <row r="13" spans="1:40" x14ac:dyDescent="0.35">
      <c r="A13" s="2" t="s">
        <v>15</v>
      </c>
      <c r="B13" s="2" t="s">
        <v>17</v>
      </c>
      <c r="C13" s="2" t="s">
        <v>18</v>
      </c>
      <c r="D13" s="2" t="s">
        <v>19</v>
      </c>
      <c r="E13" s="13"/>
      <c r="F13" s="13"/>
      <c r="G13" s="13"/>
      <c r="H13" s="13"/>
    </row>
    <row r="14" spans="1:40" x14ac:dyDescent="0.35">
      <c r="A14" s="7">
        <v>46239</v>
      </c>
      <c r="B14" s="1" t="s">
        <v>21</v>
      </c>
      <c r="C14" s="2">
        <v>5</v>
      </c>
      <c r="D14" s="1" t="s">
        <v>22</v>
      </c>
    </row>
    <row r="15" spans="1:40" x14ac:dyDescent="0.35">
      <c r="A15" s="7">
        <v>46239</v>
      </c>
      <c r="B15" s="1" t="s">
        <v>23</v>
      </c>
      <c r="C15" s="2">
        <v>24</v>
      </c>
      <c r="D15" s="1" t="s">
        <v>22</v>
      </c>
    </row>
    <row r="16" spans="1:40" x14ac:dyDescent="0.35">
      <c r="A16" s="7">
        <v>46240</v>
      </c>
      <c r="B16" s="1" t="s">
        <v>24</v>
      </c>
      <c r="C16" s="2">
        <v>35</v>
      </c>
      <c r="D16" s="1" t="s">
        <v>22</v>
      </c>
    </row>
    <row r="17" spans="1:4" x14ac:dyDescent="0.35">
      <c r="A17" s="7">
        <v>46240</v>
      </c>
      <c r="B17" s="1" t="s">
        <v>25</v>
      </c>
      <c r="C17" s="2">
        <v>6</v>
      </c>
      <c r="D17" s="1" t="s">
        <v>22</v>
      </c>
    </row>
    <row r="18" spans="1:4" x14ac:dyDescent="0.35">
      <c r="A18" s="7">
        <v>46240</v>
      </c>
      <c r="B18" s="1" t="s">
        <v>26</v>
      </c>
      <c r="C18" s="2">
        <v>48</v>
      </c>
      <c r="D18" s="1" t="s">
        <v>22</v>
      </c>
    </row>
    <row r="19" spans="1:4" x14ac:dyDescent="0.35">
      <c r="A19" s="7">
        <v>46240</v>
      </c>
      <c r="B19" s="1" t="s">
        <v>27</v>
      </c>
      <c r="C19" s="2">
        <v>16</v>
      </c>
      <c r="D19" s="1" t="s">
        <v>22</v>
      </c>
    </row>
    <row r="20" spans="1:4" x14ac:dyDescent="0.35">
      <c r="A20" s="7">
        <v>46240</v>
      </c>
      <c r="B20" s="1" t="s">
        <v>28</v>
      </c>
      <c r="C20" s="2">
        <v>9</v>
      </c>
      <c r="D20" s="1" t="s">
        <v>22</v>
      </c>
    </row>
    <row r="21" spans="1:4" x14ac:dyDescent="0.35">
      <c r="A21" s="7">
        <v>46241</v>
      </c>
      <c r="B21" s="1" t="s">
        <v>29</v>
      </c>
      <c r="C21" s="2">
        <v>35</v>
      </c>
      <c r="D21" s="1" t="s">
        <v>22</v>
      </c>
    </row>
    <row r="22" spans="1:4" x14ac:dyDescent="0.35">
      <c r="A22" s="7">
        <v>46241</v>
      </c>
      <c r="B22" s="1" t="s">
        <v>30</v>
      </c>
      <c r="C22" s="2">
        <v>16.5</v>
      </c>
      <c r="D22" s="1" t="s">
        <v>22</v>
      </c>
    </row>
    <row r="23" spans="1:4" x14ac:dyDescent="0.35">
      <c r="A23" s="7">
        <v>46242</v>
      </c>
      <c r="B23" s="1" t="s">
        <v>31</v>
      </c>
      <c r="C23" s="2">
        <v>21.3</v>
      </c>
      <c r="D23" s="1" t="s">
        <v>22</v>
      </c>
    </row>
    <row r="24" spans="1:4" x14ac:dyDescent="0.35">
      <c r="A24" s="7">
        <v>46242</v>
      </c>
      <c r="B24" s="1" t="s">
        <v>32</v>
      </c>
      <c r="C24" s="2">
        <v>6.55</v>
      </c>
      <c r="D24" s="1" t="s">
        <v>22</v>
      </c>
    </row>
    <row r="25" spans="1:4" x14ac:dyDescent="0.35">
      <c r="A25" s="7">
        <v>46242</v>
      </c>
      <c r="B25" s="1" t="s">
        <v>33</v>
      </c>
      <c r="C25" s="2">
        <v>21.975000000000001</v>
      </c>
      <c r="D25" s="1" t="s">
        <v>22</v>
      </c>
    </row>
    <row r="26" spans="1:4" x14ac:dyDescent="0.35">
      <c r="A26" s="7">
        <v>46242</v>
      </c>
      <c r="B26" s="1" t="s">
        <v>34</v>
      </c>
      <c r="C26" s="2">
        <v>13</v>
      </c>
      <c r="D26" s="1" t="s">
        <v>22</v>
      </c>
    </row>
    <row r="27" spans="1:4" x14ac:dyDescent="0.35">
      <c r="A27" s="7">
        <v>46242</v>
      </c>
      <c r="B27" s="1" t="s">
        <v>35</v>
      </c>
      <c r="C27" s="2">
        <v>15</v>
      </c>
      <c r="D27" s="1" t="s">
        <v>22</v>
      </c>
    </row>
    <row r="28" spans="1:4" x14ac:dyDescent="0.35">
      <c r="A28" s="7">
        <v>46242</v>
      </c>
      <c r="B28" s="1" t="s">
        <v>36</v>
      </c>
      <c r="C28" s="2">
        <v>190</v>
      </c>
      <c r="D28" s="1" t="s">
        <v>22</v>
      </c>
    </row>
    <row r="29" spans="1:4" x14ac:dyDescent="0.35">
      <c r="A29" s="7">
        <v>46244</v>
      </c>
      <c r="B29" s="1" t="s">
        <v>37</v>
      </c>
      <c r="C29" s="2">
        <v>15</v>
      </c>
      <c r="D29" s="1" t="s">
        <v>22</v>
      </c>
    </row>
    <row r="30" spans="1:4" x14ac:dyDescent="0.35">
      <c r="A30" s="7">
        <v>46244</v>
      </c>
      <c r="B30" s="1" t="s">
        <v>38</v>
      </c>
      <c r="C30" s="2">
        <v>27</v>
      </c>
      <c r="D30" s="1" t="s">
        <v>22</v>
      </c>
    </row>
    <row r="31" spans="1:4" x14ac:dyDescent="0.35">
      <c r="A31" s="7">
        <v>46244</v>
      </c>
      <c r="B31" s="1" t="s">
        <v>39</v>
      </c>
      <c r="C31" s="2">
        <v>10</v>
      </c>
      <c r="D31" s="1" t="s">
        <v>22</v>
      </c>
    </row>
    <row r="32" spans="1:4" x14ac:dyDescent="0.35">
      <c r="A32" s="7">
        <v>46244</v>
      </c>
      <c r="B32" s="1" t="s">
        <v>40</v>
      </c>
      <c r="C32" s="2">
        <v>17</v>
      </c>
      <c r="D32" s="1" t="s">
        <v>22</v>
      </c>
    </row>
    <row r="33" spans="1:4" x14ac:dyDescent="0.35">
      <c r="A33" s="7">
        <v>46244</v>
      </c>
      <c r="B33" s="1" t="s">
        <v>41</v>
      </c>
      <c r="C33" s="2">
        <v>9</v>
      </c>
      <c r="D33" s="1" t="s">
        <v>22</v>
      </c>
    </row>
    <row r="34" spans="1:4" x14ac:dyDescent="0.35">
      <c r="A34" s="7">
        <v>46245</v>
      </c>
      <c r="B34" s="1" t="s">
        <v>21</v>
      </c>
      <c r="C34" s="2">
        <v>7</v>
      </c>
      <c r="D34" s="1" t="s">
        <v>22</v>
      </c>
    </row>
    <row r="35" spans="1:4" x14ac:dyDescent="0.35">
      <c r="A35" s="7">
        <v>46245</v>
      </c>
      <c r="B35" s="1" t="s">
        <v>43</v>
      </c>
      <c r="C35" s="2">
        <v>14</v>
      </c>
      <c r="D35" s="1" t="s">
        <v>22</v>
      </c>
    </row>
    <row r="36" spans="1:4" x14ac:dyDescent="0.35">
      <c r="A36" s="7">
        <v>46246</v>
      </c>
      <c r="B36" s="1" t="s">
        <v>44</v>
      </c>
      <c r="C36" s="2">
        <v>5.5</v>
      </c>
      <c r="D36" s="1" t="s">
        <v>22</v>
      </c>
    </row>
    <row r="37" spans="1:4" x14ac:dyDescent="0.35">
      <c r="A37" s="7">
        <v>46246</v>
      </c>
      <c r="B37" s="1" t="s">
        <v>45</v>
      </c>
      <c r="C37" s="2">
        <v>30</v>
      </c>
      <c r="D37" s="1" t="s">
        <v>22</v>
      </c>
    </row>
    <row r="38" spans="1:4" x14ac:dyDescent="0.35">
      <c r="A38" s="7">
        <v>46246</v>
      </c>
      <c r="B38" s="1" t="s">
        <v>46</v>
      </c>
      <c r="C38" s="2">
        <v>6</v>
      </c>
      <c r="D38" s="1" t="s">
        <v>22</v>
      </c>
    </row>
    <row r="39" spans="1:4" x14ac:dyDescent="0.35">
      <c r="A39" s="7">
        <v>46246</v>
      </c>
      <c r="B39" s="1" t="s">
        <v>47</v>
      </c>
      <c r="C39" s="2">
        <v>16</v>
      </c>
      <c r="D39" s="1" t="s">
        <v>22</v>
      </c>
    </row>
    <row r="40" spans="1:4" x14ac:dyDescent="0.35">
      <c r="A40" s="7">
        <v>46246</v>
      </c>
      <c r="B40" s="1" t="s">
        <v>30</v>
      </c>
      <c r="C40" s="2">
        <v>17</v>
      </c>
      <c r="D40" s="1" t="s">
        <v>22</v>
      </c>
    </row>
    <row r="41" spans="1:4" x14ac:dyDescent="0.35">
      <c r="A41" s="7">
        <v>46246</v>
      </c>
      <c r="B41" s="15" t="s">
        <v>48</v>
      </c>
      <c r="C41" s="2">
        <v>60</v>
      </c>
      <c r="D41" s="1" t="s">
        <v>22</v>
      </c>
    </row>
    <row r="42" spans="1:4" x14ac:dyDescent="0.35">
      <c r="A42" s="7">
        <v>46247</v>
      </c>
      <c r="B42" s="1" t="s">
        <v>49</v>
      </c>
      <c r="C42" s="2">
        <v>10</v>
      </c>
      <c r="D42" s="1" t="s">
        <v>22</v>
      </c>
    </row>
    <row r="43" spans="1:4" x14ac:dyDescent="0.35">
      <c r="A43" s="7">
        <v>46247</v>
      </c>
      <c r="B43" s="1" t="s">
        <v>50</v>
      </c>
      <c r="C43" s="2">
        <v>7</v>
      </c>
      <c r="D43" s="1" t="s">
        <v>22</v>
      </c>
    </row>
    <row r="44" spans="1:4" x14ac:dyDescent="0.35">
      <c r="A44" s="7">
        <v>46247</v>
      </c>
      <c r="B44" s="1" t="s">
        <v>51</v>
      </c>
      <c r="C44" s="2">
        <v>6</v>
      </c>
      <c r="D44" s="1" t="s">
        <v>22</v>
      </c>
    </row>
    <row r="45" spans="1:4" x14ac:dyDescent="0.35">
      <c r="A45" s="7">
        <v>46249</v>
      </c>
      <c r="B45" s="1" t="s">
        <v>52</v>
      </c>
      <c r="C45" s="2">
        <v>5</v>
      </c>
      <c r="D45" s="1" t="s">
        <v>22</v>
      </c>
    </row>
    <row r="46" spans="1:4" x14ac:dyDescent="0.35">
      <c r="A46" s="7">
        <v>46249</v>
      </c>
      <c r="B46" s="1" t="s">
        <v>53</v>
      </c>
      <c r="C46" s="2">
        <v>12.975</v>
      </c>
      <c r="D46" s="1" t="s">
        <v>22</v>
      </c>
    </row>
    <row r="47" spans="1:4" x14ac:dyDescent="0.35">
      <c r="A47" s="7">
        <v>46249</v>
      </c>
      <c r="B47" s="1" t="s">
        <v>54</v>
      </c>
      <c r="C47" s="2">
        <v>23</v>
      </c>
      <c r="D47" s="1" t="s">
        <v>22</v>
      </c>
    </row>
    <row r="48" spans="1:4" x14ac:dyDescent="0.35">
      <c r="A48" s="7">
        <v>46251</v>
      </c>
      <c r="B48" s="1" t="s">
        <v>51</v>
      </c>
      <c r="C48" s="2">
        <v>6</v>
      </c>
      <c r="D48" s="1" t="s">
        <v>22</v>
      </c>
    </row>
    <row r="49" spans="1:4" x14ac:dyDescent="0.35">
      <c r="A49" s="7">
        <v>46252</v>
      </c>
      <c r="B49" s="1" t="s">
        <v>55</v>
      </c>
      <c r="C49" s="2">
        <v>4.9749999999999996</v>
      </c>
      <c r="D49" s="1" t="s">
        <v>22</v>
      </c>
    </row>
    <row r="50" spans="1:4" x14ac:dyDescent="0.35">
      <c r="A50" s="7">
        <v>46252</v>
      </c>
      <c r="B50" s="1" t="s">
        <v>56</v>
      </c>
      <c r="C50" s="2">
        <v>10.199999999999999</v>
      </c>
      <c r="D50" s="1" t="s">
        <v>22</v>
      </c>
    </row>
    <row r="51" spans="1:4" x14ac:dyDescent="0.35">
      <c r="A51" s="7">
        <v>46252</v>
      </c>
      <c r="B51" s="1" t="s">
        <v>57</v>
      </c>
      <c r="C51" s="2">
        <v>15</v>
      </c>
      <c r="D51" s="1" t="s">
        <v>22</v>
      </c>
    </row>
    <row r="52" spans="1:4" x14ac:dyDescent="0.35">
      <c r="A52" s="7">
        <v>46252</v>
      </c>
      <c r="B52" s="1" t="s">
        <v>58</v>
      </c>
      <c r="C52" s="2">
        <v>12</v>
      </c>
      <c r="D52" s="1" t="s">
        <v>22</v>
      </c>
    </row>
    <row r="53" spans="1:4" x14ac:dyDescent="0.35">
      <c r="A53" s="7">
        <v>46252</v>
      </c>
      <c r="B53" s="1" t="s">
        <v>59</v>
      </c>
      <c r="C53" s="2">
        <v>30</v>
      </c>
      <c r="D53" s="1" t="s">
        <v>22</v>
      </c>
    </row>
    <row r="54" spans="1:4" x14ac:dyDescent="0.35">
      <c r="A54" s="7">
        <v>46253</v>
      </c>
      <c r="B54" s="1" t="s">
        <v>51</v>
      </c>
      <c r="C54" s="2">
        <v>89.65</v>
      </c>
      <c r="D54" s="1" t="s">
        <v>22</v>
      </c>
    </row>
    <row r="55" spans="1:4" x14ac:dyDescent="0.35">
      <c r="A55" s="7">
        <v>46253</v>
      </c>
      <c r="B55" s="1" t="s">
        <v>60</v>
      </c>
      <c r="C55" s="2">
        <v>125</v>
      </c>
      <c r="D55" s="1" t="s">
        <v>22</v>
      </c>
    </row>
    <row r="56" spans="1:4" x14ac:dyDescent="0.35">
      <c r="A56" s="7">
        <v>46254</v>
      </c>
      <c r="B56" s="1" t="s">
        <v>61</v>
      </c>
      <c r="C56" s="2">
        <v>32.975000000000001</v>
      </c>
      <c r="D56" s="1" t="s">
        <v>22</v>
      </c>
    </row>
    <row r="57" spans="1:4" x14ac:dyDescent="0.35">
      <c r="A57" s="7">
        <v>46254</v>
      </c>
      <c r="B57" s="1" t="s">
        <v>32</v>
      </c>
      <c r="C57" s="2">
        <v>9</v>
      </c>
      <c r="D57" s="1" t="s">
        <v>22</v>
      </c>
    </row>
    <row r="58" spans="1:4" x14ac:dyDescent="0.35">
      <c r="A58" s="7">
        <v>46254</v>
      </c>
      <c r="B58" s="1" t="s">
        <v>62</v>
      </c>
      <c r="C58" s="2">
        <v>15</v>
      </c>
      <c r="D58" s="1" t="s">
        <v>22</v>
      </c>
    </row>
    <row r="59" spans="1:4" x14ac:dyDescent="0.35">
      <c r="A59" s="7">
        <v>46254</v>
      </c>
      <c r="B59" s="1" t="s">
        <v>63</v>
      </c>
      <c r="C59" s="2">
        <v>19.350000000000001</v>
      </c>
      <c r="D59" s="1" t="s">
        <v>22</v>
      </c>
    </row>
    <row r="60" spans="1:4" x14ac:dyDescent="0.35">
      <c r="A60" s="7">
        <v>46254</v>
      </c>
      <c r="B60" s="1" t="s">
        <v>64</v>
      </c>
      <c r="C60" s="2">
        <v>30</v>
      </c>
      <c r="D60" s="1" t="s">
        <v>22</v>
      </c>
    </row>
    <row r="61" spans="1:4" x14ac:dyDescent="0.35">
      <c r="A61" s="7">
        <v>46255</v>
      </c>
      <c r="B61" s="1" t="s">
        <v>65</v>
      </c>
      <c r="C61" s="2">
        <v>7.05</v>
      </c>
      <c r="D61" s="1" t="s">
        <v>22</v>
      </c>
    </row>
    <row r="62" spans="1:4" x14ac:dyDescent="0.35">
      <c r="A62" s="7">
        <v>46255</v>
      </c>
      <c r="B62" s="1" t="s">
        <v>66</v>
      </c>
      <c r="C62" s="2">
        <v>44</v>
      </c>
      <c r="D62" s="1" t="s">
        <v>22</v>
      </c>
    </row>
    <row r="63" spans="1:4" x14ac:dyDescent="0.35">
      <c r="A63" s="7">
        <v>46255</v>
      </c>
      <c r="B63" s="1" t="s">
        <v>67</v>
      </c>
      <c r="C63" s="2">
        <v>9</v>
      </c>
      <c r="D63" s="1" t="s">
        <v>22</v>
      </c>
    </row>
    <row r="64" spans="1:4" x14ac:dyDescent="0.35">
      <c r="A64" s="7">
        <v>46255</v>
      </c>
      <c r="B64" s="1" t="s">
        <v>68</v>
      </c>
      <c r="C64" s="2">
        <v>4</v>
      </c>
      <c r="D64" s="1" t="s">
        <v>22</v>
      </c>
    </row>
    <row r="65" spans="1:4" x14ac:dyDescent="0.35">
      <c r="A65" s="7">
        <v>46255</v>
      </c>
      <c r="B65" s="1" t="s">
        <v>69</v>
      </c>
      <c r="C65" s="2">
        <v>2</v>
      </c>
      <c r="D65" s="1" t="s">
        <v>22</v>
      </c>
    </row>
    <row r="66" spans="1:4" x14ac:dyDescent="0.35">
      <c r="A66" s="7">
        <v>46255</v>
      </c>
      <c r="B66" s="1" t="s">
        <v>70</v>
      </c>
      <c r="C66" s="2">
        <v>22</v>
      </c>
      <c r="D66" s="1" t="s">
        <v>22</v>
      </c>
    </row>
    <row r="67" spans="1:4" x14ac:dyDescent="0.35">
      <c r="A67" s="7">
        <v>46256</v>
      </c>
      <c r="B67" s="1" t="s">
        <v>71</v>
      </c>
      <c r="C67" s="2">
        <v>14</v>
      </c>
      <c r="D67" s="1" t="s">
        <v>22</v>
      </c>
    </row>
    <row r="68" spans="1:4" x14ac:dyDescent="0.35">
      <c r="A68" s="7">
        <v>46256</v>
      </c>
      <c r="B68" s="1" t="s">
        <v>72</v>
      </c>
      <c r="C68" s="2">
        <v>11</v>
      </c>
      <c r="D68" s="1" t="s">
        <v>22</v>
      </c>
    </row>
    <row r="69" spans="1:4" x14ac:dyDescent="0.35">
      <c r="A69" s="7">
        <v>46256</v>
      </c>
      <c r="B69" s="1" t="s">
        <v>73</v>
      </c>
      <c r="C69" s="2">
        <v>14</v>
      </c>
      <c r="D69" s="1" t="s">
        <v>22</v>
      </c>
    </row>
    <row r="70" spans="1:4" x14ac:dyDescent="0.35">
      <c r="A70" s="7">
        <v>46258</v>
      </c>
      <c r="B70" s="1" t="s">
        <v>61</v>
      </c>
      <c r="C70" s="2">
        <v>16.5</v>
      </c>
      <c r="D70" s="1" t="s">
        <v>22</v>
      </c>
    </row>
    <row r="71" spans="1:4" x14ac:dyDescent="0.35">
      <c r="A71" s="7">
        <v>46258</v>
      </c>
      <c r="B71" s="1" t="s">
        <v>74</v>
      </c>
      <c r="C71" s="2">
        <v>3</v>
      </c>
      <c r="D71" s="1" t="s">
        <v>22</v>
      </c>
    </row>
    <row r="72" spans="1:4" x14ac:dyDescent="0.35">
      <c r="A72" s="7">
        <v>46258</v>
      </c>
      <c r="B72" s="1" t="s">
        <v>41</v>
      </c>
      <c r="C72" s="2">
        <v>3.9750000000000001</v>
      </c>
      <c r="D72" s="1" t="s">
        <v>22</v>
      </c>
    </row>
    <row r="73" spans="1:4" x14ac:dyDescent="0.35">
      <c r="A73" s="7">
        <v>46258</v>
      </c>
      <c r="B73" s="1" t="s">
        <v>39</v>
      </c>
      <c r="C73" s="2">
        <v>4</v>
      </c>
      <c r="D73" s="1" t="s">
        <v>22</v>
      </c>
    </row>
    <row r="74" spans="1:4" x14ac:dyDescent="0.35">
      <c r="A74" s="7">
        <v>46258</v>
      </c>
      <c r="B74" s="1" t="s">
        <v>75</v>
      </c>
      <c r="C74" s="2">
        <v>13</v>
      </c>
      <c r="D74" s="1" t="s">
        <v>22</v>
      </c>
    </row>
    <row r="75" spans="1:4" x14ac:dyDescent="0.35">
      <c r="A75" s="7">
        <v>46259</v>
      </c>
      <c r="B75" s="1" t="s">
        <v>76</v>
      </c>
      <c r="C75" s="2">
        <v>4</v>
      </c>
      <c r="D75" s="1" t="s">
        <v>22</v>
      </c>
    </row>
    <row r="76" spans="1:4" x14ac:dyDescent="0.35">
      <c r="A76" s="7">
        <v>46259</v>
      </c>
      <c r="B76" s="1" t="s">
        <v>35</v>
      </c>
      <c r="C76" s="2">
        <v>4</v>
      </c>
      <c r="D76" s="1" t="s">
        <v>22</v>
      </c>
    </row>
    <row r="77" spans="1:4" x14ac:dyDescent="0.35">
      <c r="A77" s="7">
        <v>46259</v>
      </c>
      <c r="B77" s="1" t="s">
        <v>33</v>
      </c>
      <c r="C77" s="2">
        <v>6</v>
      </c>
      <c r="D77" s="1" t="s">
        <v>22</v>
      </c>
    </row>
    <row r="78" spans="1:4" x14ac:dyDescent="0.35">
      <c r="A78" s="7">
        <v>46259</v>
      </c>
      <c r="B78" s="1" t="s">
        <v>77</v>
      </c>
      <c r="C78" s="2">
        <v>5</v>
      </c>
      <c r="D78" s="1" t="s">
        <v>22</v>
      </c>
    </row>
    <row r="79" spans="1:4" x14ac:dyDescent="0.35">
      <c r="A79" s="7">
        <v>46259</v>
      </c>
      <c r="B79" s="1" t="s">
        <v>78</v>
      </c>
      <c r="C79" s="2">
        <v>13</v>
      </c>
      <c r="D79" s="1" t="s">
        <v>22</v>
      </c>
    </row>
    <row r="80" spans="1:4" x14ac:dyDescent="0.35">
      <c r="A80" s="7">
        <v>46259</v>
      </c>
      <c r="B80" s="1" t="s">
        <v>61</v>
      </c>
      <c r="C80" s="2">
        <v>13</v>
      </c>
      <c r="D80" s="1" t="s">
        <v>22</v>
      </c>
    </row>
    <row r="81" spans="1:4" x14ac:dyDescent="0.35">
      <c r="A81" s="7">
        <v>46261</v>
      </c>
      <c r="B81" s="1" t="s">
        <v>79</v>
      </c>
      <c r="C81" s="2">
        <v>18</v>
      </c>
      <c r="D81" s="1" t="s">
        <v>22</v>
      </c>
    </row>
    <row r="82" spans="1:4" x14ac:dyDescent="0.35">
      <c r="A82" s="7">
        <v>46261</v>
      </c>
      <c r="B82" s="1" t="s">
        <v>62</v>
      </c>
      <c r="C82" s="2">
        <v>19.95</v>
      </c>
      <c r="D82" s="1" t="s">
        <v>22</v>
      </c>
    </row>
    <row r="83" spans="1:4" x14ac:dyDescent="0.35">
      <c r="A83" s="7">
        <v>46261</v>
      </c>
      <c r="B83" s="1" t="s">
        <v>80</v>
      </c>
      <c r="C83" s="2">
        <v>13</v>
      </c>
      <c r="D83" s="1" t="s">
        <v>22</v>
      </c>
    </row>
    <row r="84" spans="1:4" x14ac:dyDescent="0.35">
      <c r="A84" s="7">
        <v>46261</v>
      </c>
      <c r="B84" s="1" t="s">
        <v>81</v>
      </c>
      <c r="C84" s="2">
        <v>11</v>
      </c>
      <c r="D84" s="1" t="s">
        <v>22</v>
      </c>
    </row>
    <row r="85" spans="1:4" x14ac:dyDescent="0.35">
      <c r="A85" s="7">
        <v>46261</v>
      </c>
      <c r="B85" s="1" t="s">
        <v>82</v>
      </c>
      <c r="C85" s="2">
        <v>5.9749999999999996</v>
      </c>
      <c r="D85" s="1" t="s">
        <v>22</v>
      </c>
    </row>
    <row r="86" spans="1:4" x14ac:dyDescent="0.35">
      <c r="A86" s="7">
        <v>46261</v>
      </c>
      <c r="B86" s="1" t="s">
        <v>83</v>
      </c>
      <c r="C86" s="2">
        <v>6.9749999999999996</v>
      </c>
      <c r="D86" s="1" t="s">
        <v>22</v>
      </c>
    </row>
    <row r="87" spans="1:4" x14ac:dyDescent="0.35">
      <c r="A87" s="7">
        <v>46261</v>
      </c>
      <c r="B87" s="1" t="s">
        <v>60</v>
      </c>
      <c r="C87" s="2">
        <v>140</v>
      </c>
      <c r="D87" s="1" t="s">
        <v>22</v>
      </c>
    </row>
    <row r="88" spans="1:4" x14ac:dyDescent="0.35">
      <c r="A88" s="7">
        <v>46262</v>
      </c>
      <c r="B88" s="1" t="s">
        <v>84</v>
      </c>
      <c r="C88" s="2">
        <v>20.5</v>
      </c>
      <c r="D88" s="1" t="s">
        <v>22</v>
      </c>
    </row>
    <row r="89" spans="1:4" x14ac:dyDescent="0.35">
      <c r="A89" s="7">
        <v>46262</v>
      </c>
      <c r="B89" s="1" t="s">
        <v>85</v>
      </c>
      <c r="C89" s="2">
        <v>18</v>
      </c>
      <c r="D89" s="1" t="s">
        <v>22</v>
      </c>
    </row>
    <row r="90" spans="1:4" x14ac:dyDescent="0.35">
      <c r="A90" s="7">
        <v>46263</v>
      </c>
      <c r="B90" s="1" t="s">
        <v>86</v>
      </c>
      <c r="C90" s="2">
        <v>26</v>
      </c>
      <c r="D90" s="1" t="s">
        <v>22</v>
      </c>
    </row>
    <row r="91" spans="1:4" x14ac:dyDescent="0.35">
      <c r="A91" s="7">
        <v>46265</v>
      </c>
      <c r="B91" s="1" t="s">
        <v>87</v>
      </c>
      <c r="C91" s="2">
        <v>12</v>
      </c>
      <c r="D91" s="1" t="s">
        <v>22</v>
      </c>
    </row>
    <row r="92" spans="1:4" x14ac:dyDescent="0.35">
      <c r="A92" s="7">
        <v>46265</v>
      </c>
      <c r="B92" s="1" t="s">
        <v>88</v>
      </c>
      <c r="C92" s="2">
        <v>12.9</v>
      </c>
      <c r="D92" s="1" t="s">
        <v>22</v>
      </c>
    </row>
    <row r="93" spans="1:4" x14ac:dyDescent="0.35">
      <c r="A93" s="7">
        <v>46265</v>
      </c>
      <c r="B93" s="1" t="s">
        <v>89</v>
      </c>
      <c r="C93" s="2">
        <v>5</v>
      </c>
      <c r="D93" s="1" t="s">
        <v>22</v>
      </c>
    </row>
    <row r="94" spans="1:4" x14ac:dyDescent="0.35">
      <c r="A94" s="7">
        <v>46265</v>
      </c>
      <c r="B94" s="1" t="s">
        <v>90</v>
      </c>
      <c r="C94" s="2">
        <v>3.5</v>
      </c>
      <c r="D94" s="1" t="s">
        <v>22</v>
      </c>
    </row>
    <row r="95" spans="1:4" x14ac:dyDescent="0.35">
      <c r="A95" s="7">
        <v>46265</v>
      </c>
      <c r="B95" s="1" t="s">
        <v>91</v>
      </c>
      <c r="C95" s="2">
        <v>1</v>
      </c>
      <c r="D95" s="1" t="s">
        <v>22</v>
      </c>
    </row>
    <row r="96" spans="1:4" x14ac:dyDescent="0.35">
      <c r="A96" s="7">
        <v>46265</v>
      </c>
      <c r="B96" s="1" t="s">
        <v>92</v>
      </c>
      <c r="C96" s="2">
        <v>30</v>
      </c>
      <c r="D96" s="1" t="s">
        <v>22</v>
      </c>
    </row>
    <row r="97" spans="1:4" x14ac:dyDescent="0.35">
      <c r="A97" s="7">
        <v>46265</v>
      </c>
      <c r="B97" s="1" t="s">
        <v>93</v>
      </c>
      <c r="C97" s="2">
        <v>1</v>
      </c>
      <c r="D97" s="1" t="s">
        <v>22</v>
      </c>
    </row>
    <row r="98" spans="1:4" x14ac:dyDescent="0.35">
      <c r="A98" s="7">
        <v>46265</v>
      </c>
      <c r="B98" s="1" t="s">
        <v>94</v>
      </c>
      <c r="C98" s="2">
        <v>0.75</v>
      </c>
      <c r="D98" s="1" t="s">
        <v>22</v>
      </c>
    </row>
    <row r="99" spans="1:4" x14ac:dyDescent="0.35">
      <c r="A99" s="7">
        <v>46265</v>
      </c>
      <c r="B99" s="1" t="s">
        <v>95</v>
      </c>
      <c r="C99" s="2">
        <v>1</v>
      </c>
      <c r="D99" s="1" t="s">
        <v>22</v>
      </c>
    </row>
    <row r="100" spans="1:4" x14ac:dyDescent="0.35">
      <c r="A100" s="7">
        <v>46265</v>
      </c>
      <c r="B100" s="1" t="s">
        <v>96</v>
      </c>
      <c r="C100" s="2">
        <v>1</v>
      </c>
      <c r="D100" s="1" t="s">
        <v>22</v>
      </c>
    </row>
    <row r="101" spans="1:4" x14ac:dyDescent="0.35">
      <c r="A101" s="7">
        <v>46265</v>
      </c>
      <c r="B101" s="1" t="s">
        <v>97</v>
      </c>
      <c r="C101" s="2">
        <v>0.5</v>
      </c>
      <c r="D101" s="1" t="s">
        <v>22</v>
      </c>
    </row>
    <row r="102" spans="1:4" x14ac:dyDescent="0.35">
      <c r="A102" s="7">
        <v>46265</v>
      </c>
      <c r="B102" s="1" t="s">
        <v>98</v>
      </c>
      <c r="C102" s="2">
        <v>1.75</v>
      </c>
      <c r="D102" s="1" t="s">
        <v>22</v>
      </c>
    </row>
    <row r="103" spans="1:4" x14ac:dyDescent="0.35">
      <c r="A103" s="7">
        <v>46265</v>
      </c>
      <c r="B103" s="1" t="s">
        <v>99</v>
      </c>
      <c r="C103" s="2">
        <v>0.75</v>
      </c>
      <c r="D103" s="1" t="s">
        <v>22</v>
      </c>
    </row>
    <row r="104" spans="1:4" x14ac:dyDescent="0.35">
      <c r="A104" s="7">
        <v>46265</v>
      </c>
      <c r="B104" s="1" t="s">
        <v>100</v>
      </c>
      <c r="C104" s="2">
        <v>1</v>
      </c>
      <c r="D104" s="1" t="s">
        <v>22</v>
      </c>
    </row>
    <row r="105" spans="1:4" x14ac:dyDescent="0.35">
      <c r="A105" s="7">
        <v>46265</v>
      </c>
      <c r="B105" s="1" t="s">
        <v>101</v>
      </c>
      <c r="C105" s="2">
        <v>0.75</v>
      </c>
      <c r="D105" s="1" t="s">
        <v>22</v>
      </c>
    </row>
    <row r="106" spans="1:4" x14ac:dyDescent="0.35">
      <c r="A106" s="7">
        <v>46265</v>
      </c>
      <c r="B106" s="1" t="s">
        <v>102</v>
      </c>
      <c r="C106" s="2">
        <v>0.5</v>
      </c>
      <c r="D106" s="1" t="s">
        <v>22</v>
      </c>
    </row>
    <row r="107" spans="1:4" x14ac:dyDescent="0.35">
      <c r="A107" s="7">
        <v>46265</v>
      </c>
      <c r="B107" s="1" t="s">
        <v>103</v>
      </c>
      <c r="C107" s="2">
        <v>0.5</v>
      </c>
      <c r="D107" s="1" t="s">
        <v>22</v>
      </c>
    </row>
    <row r="108" spans="1:4" x14ac:dyDescent="0.35">
      <c r="A108" s="7">
        <v>46265</v>
      </c>
      <c r="B108" s="1" t="s">
        <v>104</v>
      </c>
      <c r="C108" s="2">
        <v>1</v>
      </c>
      <c r="D108" s="1" t="s">
        <v>22</v>
      </c>
    </row>
    <row r="109" spans="1:4" x14ac:dyDescent="0.35">
      <c r="A109" s="7">
        <v>46265</v>
      </c>
      <c r="B109" s="1" t="s">
        <v>105</v>
      </c>
      <c r="C109" s="2">
        <v>1.25</v>
      </c>
      <c r="D109" s="1" t="s">
        <v>22</v>
      </c>
    </row>
    <row r="110" spans="1:4" x14ac:dyDescent="0.35">
      <c r="A110" s="7">
        <v>46265</v>
      </c>
      <c r="B110" s="1" t="s">
        <v>106</v>
      </c>
      <c r="C110" s="2">
        <v>0.5</v>
      </c>
      <c r="D110" s="1" t="s">
        <v>22</v>
      </c>
    </row>
    <row r="111" spans="1:4" x14ac:dyDescent="0.35">
      <c r="A111" s="7">
        <v>46265</v>
      </c>
      <c r="B111" s="1" t="s">
        <v>107</v>
      </c>
      <c r="C111" s="2">
        <v>2</v>
      </c>
      <c r="D111" s="1" t="s">
        <v>22</v>
      </c>
    </row>
    <row r="112" spans="1:4" x14ac:dyDescent="0.35">
      <c r="A112" s="7">
        <v>46265</v>
      </c>
      <c r="B112" s="1" t="s">
        <v>108</v>
      </c>
      <c r="C112" s="2">
        <v>0.5</v>
      </c>
      <c r="D112" s="1" t="s">
        <v>22</v>
      </c>
    </row>
    <row r="113" spans="1:4" x14ac:dyDescent="0.35">
      <c r="A113" s="7">
        <v>46265</v>
      </c>
      <c r="B113" s="1" t="s">
        <v>109</v>
      </c>
      <c r="C113" s="2">
        <v>2.5</v>
      </c>
      <c r="D113" s="1" t="s">
        <v>22</v>
      </c>
    </row>
    <row r="114" spans="1:4" x14ac:dyDescent="0.35">
      <c r="A114" s="7">
        <v>46265</v>
      </c>
      <c r="B114" s="1" t="s">
        <v>110</v>
      </c>
      <c r="C114" s="2">
        <v>1</v>
      </c>
      <c r="D114" s="1" t="s">
        <v>22</v>
      </c>
    </row>
    <row r="115" spans="1:4" x14ac:dyDescent="0.35">
      <c r="A115" s="7">
        <v>46265</v>
      </c>
      <c r="B115" s="1" t="s">
        <v>111</v>
      </c>
      <c r="C115" s="2">
        <v>1</v>
      </c>
      <c r="D115" s="1" t="s">
        <v>22</v>
      </c>
    </row>
    <row r="116" spans="1:4" x14ac:dyDescent="0.35">
      <c r="A116" s="7">
        <v>46265</v>
      </c>
      <c r="B116" s="1" t="s">
        <v>112</v>
      </c>
      <c r="C116" s="2">
        <v>1.75</v>
      </c>
      <c r="D116" s="1" t="s">
        <v>22</v>
      </c>
    </row>
    <row r="117" spans="1:4" x14ac:dyDescent="0.35">
      <c r="A117" s="7">
        <v>46265</v>
      </c>
      <c r="B117" s="1" t="s">
        <v>113</v>
      </c>
      <c r="C117" s="2">
        <v>1</v>
      </c>
      <c r="D117" s="1" t="s">
        <v>22</v>
      </c>
    </row>
    <row r="118" spans="1:4" ht="25.5" customHeight="1" x14ac:dyDescent="0.35">
      <c r="A118" s="7"/>
      <c r="B118" s="20" t="s">
        <v>20</v>
      </c>
      <c r="C118" s="10">
        <f>SUM(C14:C117)</f>
        <v>1737.2749999999996</v>
      </c>
      <c r="D118" s="1"/>
    </row>
  </sheetData>
  <mergeCells count="2">
    <mergeCell ref="B1:AN1"/>
    <mergeCell ref="A12:D12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2026-09-14T05:26:56Z</cp:lastPrinted>
  <dcterms:created xsi:type="dcterms:W3CDTF">2026-08-01T05:49:07Z</dcterms:created>
  <dcterms:modified xsi:type="dcterms:W3CDTF">2026-09-14T05:29:21Z</dcterms:modified>
</cp:coreProperties>
</file>