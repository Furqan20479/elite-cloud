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51C0E2F-A332-4BC8-8A0E-E9F9E6A72D1D}" xr6:coauthVersionLast="47" xr6:coauthVersionMax="47" xr10:uidLastSave="{00000000-0000-0000-0000-000000000000}"/>
  <bookViews>
    <workbookView xWindow="-110" yWindow="-110" windowWidth="19420" windowHeight="10420" tabRatio="87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7" i="45"/>
  <c r="P17" i="45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<sst xmlns="http://schemas.openxmlformats.org/spreadsheetml/2006/main" count="3948" uniqueCount="545">
  <si>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</si>
  <si>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</si>
  <si>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</si>
  <si>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</si>
  <si>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</si>
  <si>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</si>
  <si>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</si>
  <si>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</si>
  <si>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</si>
  <si>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</si>
  <si>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</si>
  <si>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</si>
  <si>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</si>
  <si>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</si>
  <si>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</si>
  <si>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</si>
  <si>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</si>
  <si>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</si>
  <si>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</si>
  <si>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</si>
  <si>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</si>
  <si>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</si>
  <si>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</si>
  <si>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</si>
  <si>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</si>
  <si>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</si>
  <si>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</si>
  <si>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</si>
  <si>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</si>
  <si>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</si>
  <si>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</si>
  <si>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</si>
  <si>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</si>
  <si>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</si>
  <si>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</si>
  <si>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</si>
  <si>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</si>
  <si>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</si>
  <si>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</si>
  <si>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</si>
  <si>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</si>
  <si>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</si>
  <si>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</si>
  <si>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</si>
  <si>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</si>
  <si>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</si>
  <si>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</si>
  <si>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</si>
  <si>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</si>
  <si>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</si>
  <si>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</si>
  <si>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</si>
  <si>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</si>
  <si>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</si>
  <si>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</si>
  <si>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</si>
  <si>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</si>
  <si>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</si>
  <si>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</si>
  <si>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</si>
  <si>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</si>
  <si>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</si>
  <si>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</si>
  <si>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</si>
  <si>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</si>
  <si>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</si>
  <si>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</si>
  <si>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</si>
  <si>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</si>
  <si>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</si>
  <si>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</si>
  <si>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</si>
  <si>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</si>
  <si>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</si>
  <si>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</si>
  <si>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</si>
  <si>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</si>
  <si>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</si>
  <si>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</si>
  <si>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</si>
  <si>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</si>
  <si>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</si>
  <si>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</si>
  <si>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</si>
  <si>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</si>
  <si>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</si>
  <si>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</si>
  <si>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</si>
  <si>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</si>
  <si>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</si>
  <si>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</si>
  <si>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</si>
  <si>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</si>
  <si>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</si>
  <si>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</si>
  <si>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</si>
  <si>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</si>
  <si>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</si>
  <si>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</si>
  <si>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</si>
  <si>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</si>
  <si>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</si>
  <si>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</si>
  <si>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</si>
  <si>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</si>
  <si>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</si>
  <si>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</si>
  <si>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</si>
  <si>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</si>
  <si>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</si>
  <si>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</si>
  <si>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</si>
  <si>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</si>
  <si>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</si>
  <si>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</si>
  <si>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</si>
  <si>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</si>
  <si>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</si>
  <si>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</si>
  <si>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</si>
  <si>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</si>
  <si>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</si>
  <si>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</si>
  <si>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</si>
  <si>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</si>
  <si>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</si>
  <si>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</si>
  <si>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</si>
  <si>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</si>
  <si>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</si>
  <si>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</si>
  <si>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</si>
  <si>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</si>
  <si>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</si>
  <si>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</si>
  <si>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</si>
  <si>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</si>
  <si>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</si>
  <si>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</si>
  <si>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</si>
  <si>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</si>
  <si>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</si>
  <si>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</si>
  <si>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</si>
  <si>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</si>
  <si>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</si>
  <si>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</si>
  <si>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</si>
  <si>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</si>
  <si>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</si>
  <si>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</si>
  <si>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</si>
  <si>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</si>
  <si>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</si>
  <si>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</si>
  <si>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</si>
  <si>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</si>
  <si>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</si>
  <si>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</si>
  <si>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</si>
  <si>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</si>
  <si>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</si>
  <si>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</si>
  <si>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</si>
  <si>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</si>
  <si>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</si>
  <si>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</si>
  <si>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</si>
  <si>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</si>
  <si>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</si>
  <si>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</si>
  <si>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</si>
  <si>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</si>
  <si>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</si>
  <si>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</si>
  <si>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</si>
  <si>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</si>
  <si>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</si>
  <si>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</si>
  <si>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</si>
  <si>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</si>
  <si>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</si>
  <si>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</si>
  <si>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</si>
  <si>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</si>
  <si>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</si>
  <si>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</si>
  <si>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</si>
  <si>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</si>
  <si>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</si>
  <si>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</si>
  <si>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</si>
  <si>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</si>
  <si>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</si>
  <si>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</si>
  <si>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</si>
  <si>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</si>
  <si>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</si>
  <si>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</si>
  <si>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</si>
  <si>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</si>
  <si>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</si>
  <si>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</si>
  <si>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</si>
  <si>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</si>
  <si>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</si>
  <si>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</si>
  <si>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</si>
  <si>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</si>
  <si>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</si>
  <si>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</si>
  <si>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</si>
  <si>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</si>
  <si>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</si>
  <si>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</si>
  <si>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</si>
  <si>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</si>
  <si>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</si>
  <si>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</si>
  <si>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</si>
  <si>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</si>
  <si>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</si>
  <si>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</si>
  <si>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</si>
  <si>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</si>
  <si>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</si>
  <si>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</si>
  <si>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</si>
  <si>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</si>
  <si>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</si>
  <si>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</si>
  <si>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</si>
  <si>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</si>
  <si>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</si>
  <si>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</si>
  <si>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</si>
  <si>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</si>
  <si>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</si>
  <si>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</si>
  <si>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</si>
  <si>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</si>
  <si>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</si>
  <si>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</si>
  <si>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</si>
  <si>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</si>
  <si>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</si>
  <si>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</si>
  <si>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</si>
  <si>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</si>
  <si>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</si>
  <si>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</si>
  <si>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</si>
  <si>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</si>
  <si>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</si>
  <si>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</si>
  <si>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</si>
  <si>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</si>
  <si>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</si>
  <si>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</si>
  <si>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</si>
  <si>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</si>
  <si>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</si>
  <si>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</si>
  <si>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</si>
  <si>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</si>
  <si>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</si>
  <si>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</si>
  <si>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</si>
  <si>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</si>
  <si>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</si>
  <si>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</si>
  <si>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</si>
  <si>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</si>
  <si>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</si>
  <si>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</si>
  <si>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</si>
  <si>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</si>
  <si>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</si>
  <si>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</si>
  <si>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</si>
  <si>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</si>
  <si>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</si>
  <si>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</si>
  <si>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</si>
  <si>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</si>
  <si>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</si>
  <si>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</si>
  <si>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</si>
  <si>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</si>
  <si>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</si>
  <si>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</si>
  <si>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</si>
  <si>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</si>
  <si>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</si>
  <si>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</si>
  <si>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</si>
  <si>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</si>
  <si>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</si>
  <si>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</si>
  <si>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</si>
  <si>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</si>
  <si>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</si>
  <si>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</si>
  <si>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</si>
  <si>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</si>
  <si>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</si>
  <si>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</si>
  <si>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</si>
  <si>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</si>
  <si>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</si>
  <si>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</si>
  <si>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</si>
  <si>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</si>
  <si>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</si>
  <si>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</si>
  <si>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</si>
  <si>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</si>
  <si>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</si>
  <si>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</si>
  <si>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</si>
  <si>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</si>
  <si>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</si>
  <si>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</si>
  <si>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</si>
  <si>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</si>
  <si>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</si>
  <si>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</si>
  <si>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</si>
  <si>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</si>
  <si>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</si>
  <si>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</si>
  <si>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</si>
  <si>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</si>
  <si>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</si>
  <si>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</si>
  <si>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</si>
  <si>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</si>
  <si>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</si>
  <si>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</si>
  <si>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</si>
  <si>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</si>
  <si>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</si>
  <si>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</si>
  <si>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</si>
  <si>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</si>
  <si>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</si>
  <si>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</si>
  <si>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</si>
  <si>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</si>
  <si>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</si>
  <si>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</si>
  <si>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</si>
  <si>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</si>
  <si>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</si>
  <si>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</si>
  <si>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</si>
  <si>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</si>
  <si>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</si>
  <si>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</si>
  <si>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</si>
  <si>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</si>
  <si>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</si>
  <si>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</si>
  <si>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</si>
  <si>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</si>
  <si>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</si>
  <si>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</si>
  <si>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</si>
  <si>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</si>
  <si>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</si>
  <si>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</si>
  <si>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</si>
  <si>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</si>
  <si>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</si>
  <si>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</si>
  <si>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</si>
  <si>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</si>
  <si>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</si>
  <si>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</si>
  <si>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</si>
  <si>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</si>
  <si>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</si>
  <si>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</si>
  <si>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</si>
  <si>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</si>
  <si>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</si>
  <si>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</si>
  <si>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</si>
  <si>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</si>
  <si>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</si>
  <si>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</si>
  <si>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</si>
  <si>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</si>
  <si>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</si>
  <si>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</si>
  <si>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</si>
  <si>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</si>
  <si>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</si>
  <si>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</si>
  <si>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</si>
  <si>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</si>
  <si>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</si>
  <si>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</si>
  <si>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</si>
  <si>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</si>
  <si>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</si>
  <si>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</si>
  <si>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</si>
  <si>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</si>
  <si>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</si>
  <si>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</si>
  <si>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</si>
  <si>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</si>
  <si>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</si>
  <si>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</si>
  <si>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</si>
  <si>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</si>
  <si>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</si>
  <si>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</si>
  <si>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</si>
  <si>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</si>
  <si>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</si>
  <si>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</si>
  <si>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</si>
  <si>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</si>
  <si>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</si>
  <si>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</si>
  <si>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</si>
  <si>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</si>
  <si>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</si>
  <si>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</si>
  <si>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</si>
  <si>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</si>
  <si>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</si>
  <si>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</si>
  <si>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</si>
  <si>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</si>
  <si>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</si>
  <si>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</si>
  <si>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</si>
  <si>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</si>
  <si>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</si>
  <si>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</si>
  <si>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</si>
  <si>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</si>
  <si>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</si>
  <si>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</si>
  <si>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</si>
  <si>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</si>
  <si>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</si>
  <si>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</si>
  <si>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</si>
  <si>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</si>
  <si>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</si>
  <si>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</si>
  <si>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</si>
  <si>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</si>
  <si>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</si>
  <si>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</si>
  <si>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</si>
  <si>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</si>
  <si>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</si>
  <si>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</si>
  <si>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</si>
  <si>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</si>
  <si>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</si>
  <si>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</si>
  <si>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</si>
  <si>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</si>
  <si>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</si>
  <si>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</si>
  <si>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</si>
  <si>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</si>
  <si>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</si>
  <si>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</si>
  <si>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</si>
  <si>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</si>
  <si>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</si>
  <si>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</si>
  <si>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</si>
  <si>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</si>
  <si>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</si>
  <si>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</si>
  <si>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</si>
  <si>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</si>
  <si>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</si>
  <si>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</si>
  <si>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</si>
  <si>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</si>
  <si>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</si>
  <si>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</si>
  <si>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</si>
  <si>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</si>
  <si>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</si>
  <si>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</si>
  <si>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</si>
  <si>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</si>
  <si>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</si>
  <si>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</si>
  <si>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</si>
  <si>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</si>
  <si>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</si>
  <si>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</si>
  <si>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</si>
  <si>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</si>
  <si>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</si>
  <si>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</si>
  <si>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</si>
  <si>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</si>
  <si>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</si>
  <si>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</si>
  <si>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</si>
  <si>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</si>
  <si>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</si>
  <si>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</si>
  <si>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Gourmet Food Johar Town </t>
  </si>
  <si>
    <t xml:space="preserve">Gourmet Food 12G Johar Town </t>
  </si>
  <si>
    <t>Gourmet Food Naseer Abad</t>
  </si>
  <si>
    <t>Gourmet Food Davis Road</t>
  </si>
  <si>
    <t>Gourmet Food Shadman Road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</si>
  <si>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</si>
  <si>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</si>
  <si>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</si>
  <si>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</si>
  <si>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</si>
  <si>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Nisbat Road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</si>
  <si>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</si>
  <si>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</si>
  <si>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</si>
  <si>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</si>
  <si>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</si>
  <si>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</si>
  <si>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</si>
  <si>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</si>
  <si>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</si>
  <si>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</si>
  <si>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</si>
  <si>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</si>
  <si>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</si>
  <si>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</si>
  <si>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</si>
  <si>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</si>
  <si>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</si>
  <si>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</si>
  <si>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Shakoor Husain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</si>
</sst>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19" workbookViewId="0">
      <selection activeCell="E32" sqref="E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46266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Gourmet Food Johar Town </v>
      </c>
      <c r="T3" s="301">
        <f>+'1'!P35</f>
        <v>8374.6028433050833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Gourmet Food 12G Johar Town </v>
      </c>
      <c r="T4" s="301">
        <f>+'2'!P35</f>
        <v>2844.1987850847459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19" t="str">
        <f>+'3'!A6:A6</f>
        <v>Gourmet Food Naseer Abad</v>
      </c>
      <c r="T5" s="301">
        <f>+'3'!P35</f>
        <v>73475.26676885593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Gourmet Food Davis Road</v>
      </c>
      <c r="T6" s="301">
        <f>+'4'!P35</f>
        <v>2054.1523328389831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470</v>
      </c>
      <c r="I7" s="235">
        <f>(G7*D7)*F7+H7*F7</f>
        <v>24657.375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4438.3274999999994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863.00812499999995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19356.039375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4660.1694915254211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120.08104433262712</v>
      </c>
      <c r="P7" s="310">
        <f>M7+N7+O7</f>
        <v>24136.289910858046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4">
        <v>5</v>
      </c>
      <c r="S7" s="300" t="str">
        <f>+'5'!A6:A6</f>
        <v>Gourmet Food Shadman Road</v>
      </c>
      <c r="T7" s="301">
        <f>+'5'!P35</f>
        <v>1422.0993925423729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420</v>
      </c>
      <c r="I8" s="236">
        <f t="shared" ref="I8:I14" si="0">(G8*D8)*F8+H8*F8</f>
        <v>22034.25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3966.165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771.19875000000002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17296.88625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4164.4067796610143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107.30646514830508</v>
      </c>
      <c r="P8" s="311">
        <f t="shared" ref="P8:P15" si="2">M8+N8+O8</f>
        <v>21568.599494809318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4">
        <v>6</v>
      </c>
      <c r="S8" s="319" t="str">
        <f>+'6'!A6:A6</f>
        <v>Gourmet Food Multan Road Fwara Chowk</v>
      </c>
      <c r="T8" s="301">
        <f>+'6'!P35</f>
        <v>2844.1987850847459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680</v>
      </c>
      <c r="I9" s="236">
        <f t="shared" si="0"/>
        <v>35674.5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6421.4099999999971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1248.6075000000001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28004.482500000002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6742.3728813559273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173.73427690677971</v>
      </c>
      <c r="P9" s="311">
        <f t="shared" si="2"/>
        <v>34920.589658262703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4">
        <v>7</v>
      </c>
      <c r="S9" s="300" t="str">
        <f>+'7'!A6:A6</f>
        <v xml:space="preserve">Gourmet Food Faisal Town </v>
      </c>
      <c r="T9" s="301">
        <f>+'7'!P35</f>
        <v>2054.1523328389831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22808.959999999999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141.50242711864405</v>
      </c>
      <c r="P10" s="311">
        <f t="shared" si="2"/>
        <v>28441.987850847458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19" t="str">
        <f>+'8'!A6:A6</f>
        <v xml:space="preserve">Gourmet Food 18G Iqbal Town </v>
      </c>
      <c r="T10" s="301">
        <f>+'8'!P35</f>
        <v>2054.1523328389831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360</v>
      </c>
      <c r="I11" s="236">
        <f t="shared" si="0"/>
        <v>26150.400000000001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4707.0719999999992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915.2639999999999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20528.064000000002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4942.3728813559328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127.35218440677964</v>
      </c>
      <c r="P11" s="311">
        <f t="shared" si="2"/>
        <v>25597.789065762714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19" t="str">
        <f>+'9'!A6:A6</f>
        <v>Gourmet Food Samnabad Lhr</v>
      </c>
      <c r="T11" s="301">
        <f>+'9'!P35</f>
        <v>2054.1523328389831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440</v>
      </c>
      <c r="I12" s="236">
        <f t="shared" si="0"/>
        <v>31961.599999999999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5753.0879999999988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1118.6559999999999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25089.856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6040.6779661016963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155.65266983050844</v>
      </c>
      <c r="P12" s="311">
        <f t="shared" si="2"/>
        <v>31286.186635932205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19" t="str">
        <f>+'10'!A6:A6</f>
        <v>Gourmet Food Ghalib Market</v>
      </c>
      <c r="T12" s="301">
        <f>+'10'!P35</f>
        <v>1422.0993925423729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Gourmet Food Nisbat Road</v>
      </c>
      <c r="T13" s="301">
        <f>+'11'!P35</f>
        <v>3476.2517253813558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19" t="str">
        <f>+'12'!A6:A6</f>
        <v>Gourmet Food Islam Pura</v>
      </c>
      <c r="T14" s="301">
        <f>+'12'!P35</f>
        <v>3594.7665824682203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Gourmet Food Jinnah Hospital </v>
      </c>
      <c r="T15" s="301">
        <f>+'13'!P35</f>
        <v>2054.1523328389831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69.25</v>
      </c>
      <c r="H16" s="113">
        <f t="shared" ref="H16:M16" si="3">SUM(H7:H15)</f>
        <v>2770</v>
      </c>
      <c r="I16" s="114">
        <f t="shared" si="3"/>
        <v>169534.125</v>
      </c>
      <c r="J16" s="274">
        <f>SUM(J7:J15)</f>
        <v>30516.142499999994</v>
      </c>
      <c r="K16" s="275">
        <f t="shared" si="3"/>
        <v>5933.694375</v>
      </c>
      <c r="L16" s="276">
        <f t="shared" si="3"/>
        <v>0</v>
      </c>
      <c r="M16" s="232">
        <f t="shared" si="3"/>
        <v>133084.28812500002</v>
      </c>
      <c r="N16" s="233">
        <f>SUM(N7:N15)</f>
        <v>32041.525423728803</v>
      </c>
      <c r="O16" s="101">
        <f>SUM(O7:O15)</f>
        <v>825.6290677436441</v>
      </c>
      <c r="P16" s="113">
        <f>SUM(P7:P15)</f>
        <v>165951.44261647246</v>
      </c>
      <c r="Q16" s="128">
        <f>SUM(Q7:Q15)</f>
        <v>50</v>
      </c>
      <c r="R16" s="314">
        <v>14</v>
      </c>
      <c r="S16" s="319" t="str">
        <f>+'14'!A6:A6</f>
        <v xml:space="preserve">Gourmet Food Shama Cenima </v>
      </c>
      <c r="T16" s="301">
        <f>+'14'!P35</f>
        <v>2844.1987850847459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9" t="str">
        <f>+'15'!A6:A6</f>
        <v xml:space="preserve">Gourmet Food Muslim Town Ayubia </v>
      </c>
      <c r="T17" s="301">
        <f>+'15'!P35</f>
        <v>1540.6142496292373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Gourmet Food Muslim Town Ayubia </v>
      </c>
      <c r="T18" s="301">
        <f>+'16'!P35</f>
        <v>1422.0993925423729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169534.125</v>
      </c>
      <c r="R19" s="299">
        <v>17</v>
      </c>
      <c r="S19" s="300" t="str">
        <f>+'17'!A6:A6</f>
        <v xml:space="preserve">Gourmet Food C Block Model Town </v>
      </c>
      <c r="T19" s="301">
        <f>+'17'!P35</f>
        <v>1422.0993925423729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30516.142499999994</v>
      </c>
      <c r="R20" s="299">
        <v>18</v>
      </c>
      <c r="S20" s="319" t="str">
        <f>+'18'!A6:A6</f>
        <v xml:space="preserve">Gourmet Food Liyaqat Chowk </v>
      </c>
      <c r="T20" s="301">
        <f>+'18'!P35</f>
        <v>2054.1523328389831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5933.694375</v>
      </c>
      <c r="R21" s="299">
        <v>19</v>
      </c>
      <c r="S21" s="320" t="str">
        <f>+'19'!A6:A6</f>
        <v>Gourmet Food Krishan Nagar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133084.28812500002</v>
      </c>
      <c r="R22" s="299">
        <v>20</v>
      </c>
      <c r="S22" s="319" t="str">
        <f>+'20'!A6:A6</f>
        <v>Gourmet Food Poonch Road</v>
      </c>
      <c r="T22" s="301">
        <f>+'20'!P35</f>
        <v>2962.71364217161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32041.525423728803</v>
      </c>
      <c r="R23" s="299">
        <v>21</v>
      </c>
      <c r="S23" s="319" t="str">
        <f>+'21'!A6:A6</f>
        <v xml:space="preserve">Gourmet Food Nadeem Shaheed </v>
      </c>
      <c r="T23" s="301">
        <f>+'21'!P35</f>
        <v>1422.0993925423729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165125.81354872882</v>
      </c>
      <c r="R24" s="299">
        <v>22</v>
      </c>
      <c r="S24" s="319" t="str">
        <f>+'22'!A6:A6</f>
        <v xml:space="preserve">Gourmet Food Gulshan Ravi </v>
      </c>
      <c r="T24" s="301">
        <f>+'22'!P35</f>
        <v>5688.3975701694917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825.6290677436441</v>
      </c>
      <c r="R25" s="299">
        <v>23</v>
      </c>
      <c r="S25" s="300" t="str">
        <f>+'23'!A6:A6</f>
        <v xml:space="preserve">Gourmet Food Riwind City </v>
      </c>
      <c r="T25" s="301">
        <f>+'23'!P35</f>
        <v>14695.053353771185</v>
      </c>
    </row>
    <row r="26" spans="1:20" ht="21.75" customHeight="1" thickBot="1" x14ac:dyDescent="0.4">
      <c r="N26" s="374" t="s">
        <v>88</v>
      </c>
      <c r="O26" s="375"/>
      <c r="P26" s="297">
        <f>+P24+P25</f>
        <v>165951.44261647246</v>
      </c>
      <c r="R26" s="299">
        <v>24</v>
      </c>
      <c r="S26" s="300" t="str">
        <f>+'24'!A6:A6</f>
        <v xml:space="preserve">Gourmet Food Link Road Model Town </v>
      </c>
      <c r="T26" s="301">
        <f>+'24'!P35</f>
        <v>6320.450510466103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Gourmet Food Batapur</v>
      </c>
      <c r="T27" s="301">
        <f>+'25'!P35</f>
        <v>2054.1523328389831</v>
      </c>
    </row>
    <row r="28" spans="1:20" ht="21.75" customHeight="1" x14ac:dyDescent="0.35">
      <c r="R28" s="299">
        <v>26</v>
      </c>
      <c r="S28" s="300" t="str">
        <f>+'26'!A6:A6</f>
        <v xml:space="preserve">Gourmet Food Jauray Pull </v>
      </c>
      <c r="T28" s="301">
        <f>+'26'!P35</f>
        <v>5530.4040582203379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Gourmet Food Bhatta Chowk </v>
      </c>
      <c r="T29" s="301">
        <f>+'27'!P35</f>
        <v>2054.1523328389831</v>
      </c>
    </row>
    <row r="30" spans="1:20" ht="21.75" customHeight="1" x14ac:dyDescent="0.35">
      <c r="R30" s="299">
        <v>28</v>
      </c>
      <c r="S30" s="300" t="str">
        <f>+'28'!A6:A6</f>
        <v xml:space="preserve">Gourmet Food EME Society </v>
      </c>
      <c r="T30" s="301">
        <f>+'28'!P35</f>
        <v>2054.1523328389831</v>
      </c>
    </row>
    <row r="31" spans="1:20" ht="21.75" customHeight="1" x14ac:dyDescent="0.35">
      <c r="R31" s="299">
        <v>29</v>
      </c>
      <c r="S31" s="300" t="str">
        <f>+'29'!A6:A6</f>
        <v xml:space="preserve">Gourmet Food  DHA XX- Block </v>
      </c>
      <c r="T31" s="301">
        <f>+'29'!P35</f>
        <v>4108.3046656779661</v>
      </c>
    </row>
    <row r="32" spans="1:20" ht="21.75" customHeight="1" x14ac:dyDescent="0.35">
      <c r="R32" s="299">
        <v>30</v>
      </c>
      <c r="S32" s="300" t="str">
        <f>+'30'!A6:A6</f>
        <v>Gourmet Food Riwind Road Thokar</v>
      </c>
      <c r="T32" s="301">
        <f>+'30'!P35</f>
        <v>2054.1523328389831</v>
      </c>
    </row>
    <row r="33" spans="2:20" ht="21.75" customHeight="1" thickBot="1" x14ac:dyDescent="0.6">
      <c r="R33" s="303"/>
      <c r="S33" s="302" t="s">
        <v>496</v>
      </c>
      <c r="T33" s="304">
        <f>SUM(T3:T32)</f>
        <v>165951.44261647243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zoomScaleNormal="10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311">
        <f t="shared" si="5"/>
        <v>2844.1987850847454</v>
      </c>
      <c r="Q20" s="156"/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140</v>
      </c>
      <c r="I25" s="114">
        <f t="shared" ref="I25:M25" si="10">SUM(I16:I24)</f>
        <v>8555.4</v>
      </c>
      <c r="J25" s="274">
        <f>SUM(J16:J24)</f>
        <v>1539.9719999999998</v>
      </c>
      <c r="K25" s="275">
        <f t="shared" si="10"/>
        <v>299.43900000000002</v>
      </c>
      <c r="L25" s="276">
        <f t="shared" si="10"/>
        <v>0</v>
      </c>
      <c r="M25" s="232">
        <f t="shared" si="10"/>
        <v>6715.9889999999996</v>
      </c>
      <c r="N25" s="233">
        <f>SUM(N16:N24)</f>
        <v>1616.9491525423728</v>
      </c>
      <c r="O25" s="101">
        <f>SUM(O16:O24)</f>
        <v>41.664690762711864</v>
      </c>
      <c r="P25" s="113">
        <f>SUM(P16:P24)</f>
        <v>8374.6028433050851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8555.4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1539.9719999999998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299.43900000000002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6715.9889999999996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1616.9491525423728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8332.9381525423723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41.664690762711864</v>
      </c>
    </row>
    <row r="35" spans="2:16" ht="15.75" customHeight="1" thickBot="1" x14ac:dyDescent="0.4">
      <c r="N35" s="374" t="s">
        <v>88</v>
      </c>
      <c r="O35" s="375"/>
      <c r="P35" s="297">
        <f>+P33+P34</f>
        <v>8374.6028433050833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3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523.00799999999992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2280.8960000000002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2830.0485423728815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2844.1987850847459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1888.6499999999999</v>
      </c>
      <c r="K16" s="127">
        <f>$I16*T16</f>
        <v>367.23750000000001</v>
      </c>
      <c r="L16" s="118">
        <f>$I16*U16</f>
        <v>0</v>
      </c>
      <c r="M16" s="229">
        <f>I16-SUM(J16:L16)</f>
        <v>8236.6124999999993</v>
      </c>
      <c r="N16" s="248">
        <f>+(G16*D16+H16)*V16</f>
        <v>1983.0508474576263</v>
      </c>
      <c r="O16" s="238">
        <f>(N16+M16)*$O$15</f>
        <v>51.098316737288137</v>
      </c>
      <c r="P16" s="310">
        <f>M16+N16+O16</f>
        <v>10270.761664194915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1888.6499999999999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8236.6124999999993</v>
      </c>
      <c r="N17" s="277">
        <f t="shared" ref="N17:N24" si="3">+(G17*D17+H17)*V17</f>
        <v>1983.0508474576263</v>
      </c>
      <c r="O17" s="239">
        <f t="shared" ref="O17:O24" si="4">(N17+M17)*$O$15</f>
        <v>51.098316737288137</v>
      </c>
      <c r="P17" s="311">
        <f t="shared" ref="P17:P24" si="5">M17+N17+O17</f>
        <v>10270.761664194915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1888.6499999999999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8236.6124999999993</v>
      </c>
      <c r="N18" s="277">
        <f t="shared" si="3"/>
        <v>1983.0508474576263</v>
      </c>
      <c r="O18" s="239">
        <f t="shared" si="4"/>
        <v>51.098316737288137</v>
      </c>
      <c r="P18" s="311">
        <f t="shared" si="5"/>
        <v>10270.761664194915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2615.04</v>
      </c>
      <c r="K19" s="128">
        <f t="shared" si="1"/>
        <v>508.48000000000008</v>
      </c>
      <c r="L19" s="119">
        <f t="shared" si="1"/>
        <v>0</v>
      </c>
      <c r="M19" s="230">
        <f t="shared" si="2"/>
        <v>11404.48</v>
      </c>
      <c r="N19" s="277">
        <f t="shared" si="3"/>
        <v>2745.7627118644068</v>
      </c>
      <c r="O19" s="239">
        <f t="shared" si="4"/>
        <v>70.751213559322039</v>
      </c>
      <c r="P19" s="311">
        <f t="shared" si="5"/>
        <v>14220.993925423729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2615.04</v>
      </c>
      <c r="K20" s="128">
        <f t="shared" si="1"/>
        <v>508.48000000000008</v>
      </c>
      <c r="L20" s="119">
        <f t="shared" si="1"/>
        <v>0</v>
      </c>
      <c r="M20" s="230">
        <f t="shared" si="2"/>
        <v>11404.48</v>
      </c>
      <c r="N20" s="277">
        <f t="shared" si="3"/>
        <v>2745.7627118644068</v>
      </c>
      <c r="O20" s="239">
        <f t="shared" si="4"/>
        <v>70.751213559322039</v>
      </c>
      <c r="P20" s="311">
        <f t="shared" si="5"/>
        <v>14220.993925423729</v>
      </c>
      <c r="Q20" s="156"/>
      <c r="R20">
        <f>P20/21</f>
        <v>677.19018692493944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2615.04</v>
      </c>
      <c r="K21" s="128">
        <f t="shared" si="1"/>
        <v>508.48000000000008</v>
      </c>
      <c r="L21" s="119">
        <f t="shared" si="1"/>
        <v>0</v>
      </c>
      <c r="M21" s="230">
        <f t="shared" si="2"/>
        <v>11404.48</v>
      </c>
      <c r="N21" s="277">
        <f t="shared" si="3"/>
        <v>2745.7627118644068</v>
      </c>
      <c r="O21" s="239">
        <f t="shared" si="4"/>
        <v>70.751213559322039</v>
      </c>
      <c r="P21" s="311">
        <f t="shared" si="5"/>
        <v>14220.993925423729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1200</v>
      </c>
      <c r="I25" s="114">
        <f t="shared" si="7"/>
        <v>75061.5</v>
      </c>
      <c r="J25" s="274">
        <f>SUM(J16:J24)</f>
        <v>13511.07</v>
      </c>
      <c r="K25" s="275">
        <f t="shared" si="7"/>
        <v>2627.1525000000001</v>
      </c>
      <c r="L25" s="276">
        <f t="shared" si="7"/>
        <v>0</v>
      </c>
      <c r="M25" s="232">
        <f t="shared" si="7"/>
        <v>58923.277499999997</v>
      </c>
      <c r="N25" s="233">
        <f>SUM(N16:N24)</f>
        <v>14186.4406779661</v>
      </c>
      <c r="O25" s="101">
        <f>SUM(O16:O24)</f>
        <v>365.54859088983051</v>
      </c>
      <c r="P25" s="113">
        <f>SUM(P16:P24)</f>
        <v>73475.26676885593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75061.5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13511.07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2627.1525000000001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58923.277499999997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14186.4406779661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73109.718177966104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365.54859088983051</v>
      </c>
    </row>
    <row r="35" spans="2:16" ht="15.75" customHeight="1" thickBot="1" x14ac:dyDescent="0.4">
      <c r="N35" s="374" t="s">
        <v>88</v>
      </c>
      <c r="O35" s="375"/>
      <c r="P35" s="297">
        <f>+P33+P34</f>
        <v>73475.26676885593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50.848000000000006</v>
      </c>
      <c r="L25" s="276">
        <f t="shared" si="7"/>
        <v>0</v>
      </c>
      <c r="M25" s="232">
        <f t="shared" si="7"/>
        <v>1140.4479999999999</v>
      </c>
      <c r="N25" s="233">
        <f>SUM(N16:N24)</f>
        <v>274.57627118644069</v>
      </c>
      <c r="O25" s="101">
        <f>SUM(O16:O24)</f>
        <v>7.075121355932203</v>
      </c>
      <c r="P25" s="113">
        <f>SUM(P16:P24)</f>
        <v>1422.0993925423727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261.50399999999996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1140.4480000000001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1415.0242711864407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7.0751213559322039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1422.0993925423729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10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523.00799999999992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2280.8960000000002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2830.0485423728815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2844.1987850847459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zoomScale="110" zoomScaleNormal="1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50.848000000000006</v>
      </c>
      <c r="L25" s="276">
        <f t="shared" si="7"/>
        <v>0</v>
      </c>
      <c r="M25" s="232">
        <f t="shared" si="7"/>
        <v>1140.4479999999999</v>
      </c>
      <c r="N25" s="233">
        <f>SUM(N16:N24)</f>
        <v>274.57627118644069</v>
      </c>
      <c r="O25" s="101">
        <f>SUM(O16:O24)</f>
        <v>7.075121355932203</v>
      </c>
      <c r="P25" s="113">
        <f>SUM(P16:P24)</f>
        <v>1422.0993925423727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261.50399999999996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1140.4480000000001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1415.0242711864407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7.0751213559322039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1422.0993925423729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3551.3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639.23399999999992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124.2955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2787.7705000000001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3458.956940677966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74" t="s">
        <v>88</v>
      </c>
      <c r="O35" s="375"/>
      <c r="P35" s="297">
        <f>+P33+P34</f>
        <v>3476.2517253813558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55.085625000000007</v>
      </c>
      <c r="L17" s="119">
        <f>$I17*U17</f>
        <v>0</v>
      </c>
      <c r="M17" s="230">
        <f t="shared" ref="M17:M24" si="2">I17-SUM(J17:L17)</f>
        <v>1235.4918749999999</v>
      </c>
      <c r="N17" s="277">
        <f t="shared" ref="N17:N24" si="3">+(G17*D17+H17)*V17</f>
        <v>297.45762711864393</v>
      </c>
      <c r="O17" s="239">
        <f t="shared" ref="O17:O24" si="4">(N17+M17)*$O$15</f>
        <v>7.6647475105932203</v>
      </c>
      <c r="P17" s="311">
        <f t="shared" ref="P17:P24" si="5">M17+N17+O17</f>
        <v>1540.6142496292373</v>
      </c>
      <c r="Q17" s="156">
        <v>10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70</v>
      </c>
      <c r="I25" s="114">
        <f t="shared" si="7"/>
        <v>3672.375</v>
      </c>
      <c r="J25" s="274">
        <f>SUM(J16:J24)</f>
        <v>661.02749999999992</v>
      </c>
      <c r="K25" s="275">
        <f t="shared" si="7"/>
        <v>128.53312500000001</v>
      </c>
      <c r="L25" s="276">
        <f t="shared" si="7"/>
        <v>0</v>
      </c>
      <c r="M25" s="232">
        <f t="shared" si="7"/>
        <v>2882.8143749999999</v>
      </c>
      <c r="N25" s="233">
        <f>SUM(N16:N24)</f>
        <v>694.06779661016913</v>
      </c>
      <c r="O25" s="101">
        <f>SUM(O16:O24)</f>
        <v>17.884410858050845</v>
      </c>
      <c r="P25" s="113">
        <f>SUM(P16:P24)</f>
        <v>3594.7665824682203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3672.375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661.02749999999992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128.53312500000001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2882.8143749999999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694.06779661016913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3576.8821716101693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17.884410858050845</v>
      </c>
    </row>
    <row r="35" spans="2:16" ht="15.75" customHeight="1" thickBot="1" x14ac:dyDescent="0.4">
      <c r="N35" s="374" t="s">
        <v>88</v>
      </c>
      <c r="O35" s="375"/>
      <c r="P35" s="297">
        <f>+P33+P34</f>
        <v>3594.7665824682203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523.00799999999992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2280.8960000000002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2830.0485423728815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2844.1987850847459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55.085625000000007</v>
      </c>
      <c r="L16" s="118">
        <f>$I16*U16</f>
        <v>0</v>
      </c>
      <c r="M16" s="229">
        <f>I16-SUM(J16:L16)</f>
        <v>1235.4918749999999</v>
      </c>
      <c r="N16" s="248">
        <f>+(G16*D16+H16)*V16</f>
        <v>297.45762711864393</v>
      </c>
      <c r="O16" s="238">
        <f>(N16+M16)*$O$15</f>
        <v>7.6647475105932203</v>
      </c>
      <c r="P16" s="310">
        <f>M16+N16+O16</f>
        <v>1540.6142496292373</v>
      </c>
      <c r="Q16" s="313">
        <v>10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283.29750000000001</v>
      </c>
      <c r="K25" s="275">
        <f t="shared" si="7"/>
        <v>55.085625000000007</v>
      </c>
      <c r="L25" s="276">
        <f t="shared" si="7"/>
        <v>0</v>
      </c>
      <c r="M25" s="232">
        <f t="shared" si="7"/>
        <v>1235.4918749999999</v>
      </c>
      <c r="N25" s="233">
        <f>SUM(N16:N24)</f>
        <v>297.45762711864393</v>
      </c>
      <c r="O25" s="101">
        <f>SUM(O16:O24)</f>
        <v>7.6647475105932203</v>
      </c>
      <c r="P25" s="113">
        <f>SUM(P16:P24)</f>
        <v>1540.6142496292373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283.29750000000001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1235.4918749999999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1532.949502118644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7.6647475105932203</v>
      </c>
    </row>
    <row r="35" spans="2:16" ht="15.75" customHeight="1" thickBot="1" x14ac:dyDescent="0.4">
      <c r="N35" s="374" t="s">
        <v>88</v>
      </c>
      <c r="O35" s="375"/>
      <c r="P35" s="297">
        <f>+P33+P34</f>
        <v>1540.6142496292373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50.848000000000006</v>
      </c>
      <c r="L25" s="276">
        <f t="shared" si="7"/>
        <v>0</v>
      </c>
      <c r="M25" s="232">
        <f t="shared" si="7"/>
        <v>1140.4479999999999</v>
      </c>
      <c r="N25" s="233">
        <f>SUM(N16:N24)</f>
        <v>274.57627118644069</v>
      </c>
      <c r="O25" s="101">
        <f>SUM(O16:O24)</f>
        <v>7.075121355932203</v>
      </c>
      <c r="P25" s="113">
        <f>SUM(P16:P24)</f>
        <v>1422.0993925423727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261.50399999999996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1140.4480000000001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1415.0242711864407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7.0751213559322039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1422.0993925423729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50.848000000000006</v>
      </c>
      <c r="L25" s="276">
        <f t="shared" si="7"/>
        <v>0</v>
      </c>
      <c r="M25" s="232">
        <f t="shared" si="7"/>
        <v>1140.4479999999999</v>
      </c>
      <c r="N25" s="233">
        <f>SUM(N16:N24)</f>
        <v>274.57627118644069</v>
      </c>
      <c r="O25" s="101">
        <f>SUM(O16:O24)</f>
        <v>7.075121355932203</v>
      </c>
      <c r="P25" s="113">
        <f>SUM(P16:P24)</f>
        <v>1422.0993925423727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261.50399999999996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1140.4480000000001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1415.0242711864407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7.0751213559322039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1422.0993925423729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20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55.085625000000007</v>
      </c>
      <c r="L17" s="119">
        <f>$I17*U17</f>
        <v>0</v>
      </c>
      <c r="M17" s="230">
        <f t="shared" ref="M17:M24" si="2">I17-SUM(J17:L17)</f>
        <v>1235.4918749999999</v>
      </c>
      <c r="N17" s="277">
        <f t="shared" ref="N17:N24" si="3">+(G17*D17+H17)*V17</f>
        <v>297.45762711864393</v>
      </c>
      <c r="O17" s="239">
        <f t="shared" ref="O17:O24" si="4">(N17+M17)*$O$15</f>
        <v>7.6647475105932203</v>
      </c>
      <c r="P17" s="311">
        <f t="shared" ref="P17:P24" si="5">M17+N17+O17</f>
        <v>1540.6142496292373</v>
      </c>
      <c r="Q17" s="156">
        <v>10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50</v>
      </c>
      <c r="I25" s="114">
        <f t="shared" si="7"/>
        <v>3026.6750000000002</v>
      </c>
      <c r="J25" s="274">
        <f>SUM(J16:J24)</f>
        <v>544.80150000000003</v>
      </c>
      <c r="K25" s="275">
        <f t="shared" si="7"/>
        <v>105.93362500000001</v>
      </c>
      <c r="L25" s="276">
        <f t="shared" si="7"/>
        <v>0</v>
      </c>
      <c r="M25" s="232">
        <f t="shared" si="7"/>
        <v>2375.939875</v>
      </c>
      <c r="N25" s="233">
        <f>SUM(N16:N24)</f>
        <v>572.03389830508468</v>
      </c>
      <c r="O25" s="101">
        <f>SUM(O16:O24)</f>
        <v>14.739868866525423</v>
      </c>
      <c r="P25" s="113">
        <f>SUM(P16:P24)</f>
        <v>2962.71364217161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3026.6750000000002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544.80150000000003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105.93362500000001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2375.939875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572.03389830508468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2947.9737733050847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14.739868866525423</v>
      </c>
    </row>
    <row r="35" spans="2:16" ht="15.75" customHeight="1" thickBot="1" x14ac:dyDescent="0.4">
      <c r="N35" s="374" t="s">
        <v>88</v>
      </c>
      <c r="O35" s="375"/>
      <c r="P35" s="297">
        <f>+P33+P34</f>
        <v>2962.71364217161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50.848000000000006</v>
      </c>
      <c r="L25" s="276">
        <f t="shared" si="7"/>
        <v>0</v>
      </c>
      <c r="M25" s="232">
        <f t="shared" si="7"/>
        <v>1140.4479999999999</v>
      </c>
      <c r="N25" s="233">
        <f>SUM(N16:N24)</f>
        <v>274.57627118644069</v>
      </c>
      <c r="O25" s="101">
        <f>SUM(O16:O24)</f>
        <v>7.075121355932203</v>
      </c>
      <c r="P25" s="113">
        <f>SUM(P16:P24)</f>
        <v>1422.0993925423727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261.50399999999996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1140.4480000000001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1415.0242711864407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7.0751213559322039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1422.0993925423729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203.39200000000002</v>
      </c>
      <c r="L25" s="276">
        <f t="shared" si="7"/>
        <v>0</v>
      </c>
      <c r="M25" s="232">
        <f t="shared" si="7"/>
        <v>4561.7919999999995</v>
      </c>
      <c r="N25" s="233">
        <f>SUM(N16:N24)</f>
        <v>1098.3050847457628</v>
      </c>
      <c r="O25" s="101">
        <f>SUM(O16:O24)</f>
        <v>28.300485423728812</v>
      </c>
      <c r="P25" s="113">
        <f>SUM(P16:P24)</f>
        <v>5688.3975701694908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1046.0159999999998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4561.7920000000004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5660.0970847457629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28.300485423728816</v>
      </c>
    </row>
    <row r="35" spans="2:16" ht="15.75" customHeight="1" thickBot="1" x14ac:dyDescent="0.4">
      <c r="N35" s="374" t="s">
        <v>88</v>
      </c>
      <c r="O35" s="375"/>
      <c r="P35" s="297">
        <f>+P33+P34</f>
        <v>5688.3975701694917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311">
        <f t="shared" si="5"/>
        <v>2844.1987850847454</v>
      </c>
      <c r="Q20" s="156"/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525.43050000000005</v>
      </c>
      <c r="L25" s="276">
        <f t="shared" si="7"/>
        <v>0</v>
      </c>
      <c r="M25" s="232">
        <f t="shared" si="7"/>
        <v>11784.655500000001</v>
      </c>
      <c r="N25" s="233">
        <f>SUM(N16:N24)</f>
        <v>2837.2881355932195</v>
      </c>
      <c r="O25" s="101">
        <f>SUM(O16:O24)</f>
        <v>73.109718177966101</v>
      </c>
      <c r="P25" s="113">
        <f>SUM(P16:P24)</f>
        <v>14695.053353771185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2702.2139999999995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11784.655500000001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14621.943635593219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73.109718177966101</v>
      </c>
    </row>
    <row r="35" spans="2:16" ht="15.75" customHeight="1" thickBot="1" x14ac:dyDescent="0.4">
      <c r="N35" s="374" t="s">
        <v>88</v>
      </c>
      <c r="O35" s="375"/>
      <c r="P35" s="297">
        <f>+P33+P34</f>
        <v>14695.053353771185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6456.9000000000005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1162.2419999999997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225.99150000000003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5068.6665000000012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6289.0054830508489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74" t="s">
        <v>88</v>
      </c>
      <c r="O35" s="375"/>
      <c r="P35" s="297">
        <f>+P33+P34</f>
        <v>6320.450510466103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5649.8</v>
      </c>
      <c r="J25" s="274">
        <f>SUM(J16:J24)</f>
        <v>1016.9639999999999</v>
      </c>
      <c r="K25" s="275">
        <f t="shared" si="7"/>
        <v>197.74300000000002</v>
      </c>
      <c r="L25" s="276">
        <f t="shared" si="7"/>
        <v>0</v>
      </c>
      <c r="M25" s="232">
        <f t="shared" si="7"/>
        <v>4435.0929999999998</v>
      </c>
      <c r="N25" s="233">
        <f>SUM(N16:N24)</f>
        <v>1067.7966101694913</v>
      </c>
      <c r="O25" s="101">
        <f>SUM(O16:O24)</f>
        <v>27.514448050847456</v>
      </c>
      <c r="P25" s="113">
        <f>SUM(P16:P24)</f>
        <v>5530.4040582203388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5649.8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1016.9639999999999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197.74300000000002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4435.0929999999998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1067.7966101694913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5502.8896101694909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27.514448050847456</v>
      </c>
    </row>
    <row r="35" spans="2:16" ht="15.75" customHeight="1" thickBot="1" x14ac:dyDescent="0.4">
      <c r="N35" s="374" t="s">
        <v>88</v>
      </c>
      <c r="O35" s="375"/>
      <c r="P35" s="297">
        <f>+P33+P34</f>
        <v>5530.4040582203379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541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542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755.45999999999992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146.89500000000001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3294.645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4087.8653389830506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74" t="s">
        <v>88</v>
      </c>
      <c r="O35" s="375"/>
      <c r="P35" s="297">
        <f>+P33+P34</f>
        <v>4108.3046656779661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543</v>
      </c>
      <c r="B6" s="400"/>
      <c r="C6" s="400"/>
      <c r="F6" s="85"/>
      <c r="G6" s="86"/>
      <c r="K6" s="395" t="s">
        <v>69</v>
      </c>
      <c r="L6" s="395"/>
      <c r="M6" s="395"/>
      <c r="N6" s="397" t="s">
        <v>544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8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377.72999999999996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1647.3225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2043.9326694915253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4" t="s">
        <v>88</v>
      </c>
      <c r="O35" s="375"/>
      <c r="P35" s="297">
        <f>+P33+P34</f>
        <v>2054.1523328389831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46267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46266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2026-09-01T05:57:31Z</dcterms:modified>
</cp:coreProperties>
</file>