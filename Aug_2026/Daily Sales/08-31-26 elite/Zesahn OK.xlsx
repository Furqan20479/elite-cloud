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986384F-1247-4346-B9E2-E46979027A1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5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<sst xmlns="http://schemas.openxmlformats.org/spreadsheetml/2006/main" count="3947" uniqueCount="535">
  <si>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</si>
  <si>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</si>
  <si>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</si>
  <si>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</si>
  <si>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</si>
  <si>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</si>
  <si>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</si>
  <si>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</si>
  <si>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</si>
  <si>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</si>
  <si>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</si>
  <si>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</si>
  <si>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</si>
  <si>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</si>
  <si>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</si>
  <si>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</si>
  <si>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</si>
  <si>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</si>
  <si>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</si>
  <si>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</si>
  <si>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</si>
  <si>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</si>
  <si>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</si>
  <si>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</si>
  <si>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</si>
  <si>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</si>
  <si>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</si>
  <si>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</si>
  <si>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</si>
  <si>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</si>
  <si>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</si>
  <si>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</si>
  <si>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</si>
  <si>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</si>
  <si>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</si>
  <si>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</si>
  <si>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</si>
  <si>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</si>
  <si>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</si>
  <si>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</si>
  <si>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</si>
  <si>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</si>
  <si>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</si>
  <si>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</si>
  <si>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</si>
  <si>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</si>
  <si>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</si>
  <si>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</si>
  <si>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</si>
  <si>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</si>
  <si>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</si>
  <si>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</si>
  <si>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</si>
  <si>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</si>
  <si>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</si>
  <si>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</si>
  <si>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</si>
  <si>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</si>
  <si>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</si>
  <si>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</si>
  <si>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</si>
  <si>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</si>
  <si>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</si>
  <si>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</si>
  <si>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</si>
  <si>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</si>
  <si>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</si>
  <si>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</si>
  <si>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</si>
  <si>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</si>
  <si>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</si>
  <si>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</si>
  <si>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</si>
  <si>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</si>
  <si>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</si>
  <si>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</si>
  <si>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</si>
  <si>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</si>
  <si>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</si>
  <si>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</si>
  <si>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</si>
  <si>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</si>
  <si>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</si>
  <si>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</si>
  <si>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</si>
  <si>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</si>
  <si>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</si>
  <si>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</si>
  <si>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</si>
  <si>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</si>
  <si>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</si>
  <si>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</si>
  <si>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</si>
  <si>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</si>
  <si>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</si>
  <si>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</si>
  <si>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</si>
  <si>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</si>
  <si>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</si>
  <si>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</si>
  <si>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</si>
  <si>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</si>
  <si>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</si>
  <si>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</si>
  <si>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</si>
  <si>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</si>
  <si>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</si>
  <si>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</si>
  <si>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</si>
  <si>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</si>
  <si>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</si>
  <si>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</si>
  <si>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</si>
  <si>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</si>
  <si>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</si>
  <si>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</si>
  <si>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</si>
  <si>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</si>
  <si>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</si>
  <si>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</si>
  <si>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</si>
  <si>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</si>
  <si>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</si>
  <si>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</si>
  <si>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</si>
  <si>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</si>
  <si>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</si>
  <si>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</si>
  <si>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</si>
  <si>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</si>
  <si>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</si>
  <si>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</si>
  <si>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</si>
  <si>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</si>
  <si>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</si>
  <si>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</si>
  <si>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</si>
  <si>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</si>
  <si>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</si>
  <si>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</si>
  <si>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</si>
  <si>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</si>
  <si>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</si>
  <si>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</si>
  <si>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</si>
  <si>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</si>
  <si>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</si>
  <si>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</si>
  <si>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</si>
  <si>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</si>
  <si>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</si>
  <si>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</si>
  <si>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</si>
  <si>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</si>
  <si>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</si>
  <si>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</si>
  <si>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</si>
  <si>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</si>
  <si>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</si>
  <si>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</si>
  <si>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</si>
  <si>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</si>
  <si>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</si>
  <si>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</si>
  <si>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</si>
  <si>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</si>
  <si>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</si>
  <si>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</si>
  <si>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</si>
  <si>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</si>
  <si>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</si>
  <si>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</si>
  <si>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</si>
  <si>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</si>
  <si>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</si>
  <si>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</si>
  <si>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</si>
  <si>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</si>
  <si>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</si>
  <si>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</si>
  <si>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</si>
  <si>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</si>
  <si>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</si>
  <si>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</si>
  <si>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</si>
  <si>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</si>
  <si>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</si>
  <si>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</si>
  <si>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</si>
  <si>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</si>
  <si>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</si>
  <si>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</si>
  <si>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</si>
  <si>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</si>
  <si>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</si>
  <si>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</si>
  <si>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</si>
  <si>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</si>
  <si>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</si>
  <si>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</si>
  <si>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</si>
  <si>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</si>
  <si>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</si>
  <si>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</si>
  <si>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</si>
  <si>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</si>
  <si>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</si>
  <si>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</si>
  <si>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</si>
  <si>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</si>
  <si>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</si>
  <si>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</si>
  <si>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</si>
  <si>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</si>
  <si>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</si>
  <si>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</si>
  <si>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</si>
  <si>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</si>
  <si>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</si>
  <si>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</si>
  <si>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</si>
  <si>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</si>
  <si>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</si>
  <si>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</si>
  <si>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</si>
  <si>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</si>
  <si>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</si>
  <si>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</si>
  <si>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</si>
  <si>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</si>
  <si>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</si>
  <si>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</si>
  <si>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</si>
  <si>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</si>
  <si>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</si>
  <si>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</si>
  <si>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</si>
  <si>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</si>
  <si>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</si>
  <si>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</si>
  <si>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</si>
  <si>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</si>
  <si>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</si>
  <si>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</si>
  <si>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</si>
  <si>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</si>
  <si>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</si>
  <si>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</si>
  <si>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</si>
  <si>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</si>
  <si>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</si>
  <si>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</si>
  <si>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</si>
  <si>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</si>
  <si>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</si>
  <si>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</si>
  <si>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</si>
  <si>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</si>
  <si>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</si>
  <si>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</si>
  <si>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</si>
  <si>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</si>
  <si>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</si>
  <si>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</si>
  <si>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</si>
  <si>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</si>
  <si>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</si>
  <si>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</si>
  <si>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</si>
  <si>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</si>
  <si>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</si>
  <si>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</si>
  <si>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</si>
  <si>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</si>
  <si>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</si>
  <si>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</si>
  <si>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</si>
  <si>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</si>
  <si>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</si>
  <si>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</si>
  <si>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</si>
  <si>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</si>
  <si>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</si>
  <si>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</si>
  <si>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</si>
  <si>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</si>
  <si>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</si>
  <si>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</si>
  <si>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</si>
  <si>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</si>
  <si>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</si>
  <si>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</si>
  <si>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</si>
  <si>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</si>
  <si>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</si>
  <si>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</si>
  <si>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</si>
  <si>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</si>
  <si>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</si>
  <si>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</si>
  <si>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</si>
  <si>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</si>
  <si>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</si>
  <si>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</si>
  <si>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</si>
  <si>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</si>
  <si>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</si>
  <si>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</si>
  <si>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</si>
  <si>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</si>
  <si>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</si>
  <si>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</si>
  <si>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</si>
  <si>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</si>
  <si>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</si>
  <si>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</si>
  <si>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</si>
  <si>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</si>
  <si>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</si>
  <si>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</si>
  <si>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</si>
  <si>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</si>
  <si>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</si>
  <si>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</si>
  <si>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</si>
  <si>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</si>
  <si>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</si>
  <si>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</si>
  <si>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</si>
  <si>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</si>
  <si>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</si>
  <si>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</si>
  <si>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</si>
  <si>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</si>
  <si>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</si>
  <si>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</si>
  <si>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</si>
  <si>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</si>
  <si>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</si>
  <si>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</si>
  <si>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</si>
  <si>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</si>
  <si>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</si>
  <si>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</si>
  <si>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</si>
  <si>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</si>
  <si>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</si>
  <si>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</si>
  <si>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</si>
  <si>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</si>
  <si>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</si>
  <si>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</si>
  <si>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</si>
  <si>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</si>
  <si>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</si>
  <si>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</si>
  <si>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</si>
  <si>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</si>
  <si>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</si>
  <si>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</si>
  <si>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</si>
  <si>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</si>
  <si>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</si>
  <si>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</si>
  <si>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</si>
  <si>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</si>
  <si>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</si>
  <si>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</si>
  <si>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</si>
  <si>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</si>
  <si>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</si>
  <si>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</si>
  <si>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</si>
  <si>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</si>
  <si>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</si>
  <si>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</si>
  <si>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</si>
  <si>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</si>
  <si>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</si>
  <si>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</si>
  <si>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</si>
  <si>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</si>
  <si>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</si>
  <si>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</si>
  <si>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</si>
  <si>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</si>
  <si>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</si>
  <si>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</si>
  <si>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</si>
  <si>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</si>
  <si>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</si>
  <si>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</si>
  <si>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</si>
  <si>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</si>
  <si>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</si>
  <si>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</si>
  <si>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</si>
  <si>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</si>
  <si>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</si>
  <si>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</si>
  <si>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</si>
  <si>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</si>
  <si>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</si>
  <si>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</si>
  <si>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</si>
  <si>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</si>
  <si>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</si>
  <si>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</si>
  <si>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</si>
  <si>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</si>
  <si>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</si>
  <si>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</si>
  <si>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</si>
  <si>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</si>
  <si>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</si>
  <si>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</si>
  <si>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</si>
  <si>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</si>
  <si>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</si>
  <si>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</si>
  <si>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</si>
  <si>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</si>
  <si>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</si>
  <si>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</si>
  <si>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</si>
  <si>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</si>
  <si>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</si>
  <si>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</si>
  <si>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</si>
  <si>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</si>
  <si>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</si>
  <si>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</si>
  <si>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</si>
  <si>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</si>
  <si>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</si>
  <si>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</si>
  <si>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</si>
  <si>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</si>
  <si>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</si>
  <si>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</si>
  <si>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</si>
  <si>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</si>
  <si>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</si>
  <si>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</si>
  <si>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</si>
  <si>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</si>
  <si>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</si>
  <si>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</si>
  <si>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</si>
  <si>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</si>
  <si>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</si>
  <si>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</si>
  <si>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</si>
  <si>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</si>
  <si>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</si>
  <si>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</si>
  <si>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</si>
  <si>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</si>
  <si>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</si>
  <si>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</si>
  <si>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</si>
  <si>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</si>
  <si>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</si>
  <si>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</si>
  <si>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</si>
  <si>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</si>
  <si>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</si>
  <si>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</si>
  <si>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</si>
  <si>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</si>
  <si>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</si>
  <si>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</si>
  <si>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</si>
  <si>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</si>
  <si>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</si>
  <si>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</si>
  <si>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</si>
  <si>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</si>
  <si>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</si>
  <si>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</si>
  <si>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</si>
  <si>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</si>
  <si>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</si>
  <si>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</si>
  <si>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</si>
  <si>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</si>
  <si>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</si>
  <si>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</si>
  <si>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</si>
  <si>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</si>
  <si>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</si>
  <si>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</si>
  <si>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</si>
  <si>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</si>
  <si>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</si>
  <si>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</si>
  <si>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</si>
  <si>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</si>
  <si>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</si>
  <si>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</si>
  <si>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</si>
  <si>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</si>
  <si>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</si>
  <si>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</si>
  <si>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</si>
  <si>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</si>
  <si>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</si>
  <si>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</si>
  <si>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</si>
  <si>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</si>
  <si>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</si>
  <si>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</si>
  <si>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</si>
  <si>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Askari 11</t>
  </si>
  <si>
    <t>Green Mart</t>
  </si>
  <si>
    <t xml:space="preserve">Bread &amp; Butter </t>
  </si>
  <si>
    <t>Address: Rifal Range Road\</t>
  </si>
  <si>
    <t>Khan Store</t>
  </si>
  <si>
    <t>Address: Rifal Range Road</t>
  </si>
  <si>
    <t xml:space="preserve">Al Makkah </t>
  </si>
  <si>
    <t>Hyker Store</t>
  </si>
  <si>
    <t>Daim Store</t>
  </si>
  <si>
    <t>A1 Store</t>
  </si>
  <si>
    <t>Toheed Store</t>
  </si>
  <si>
    <t xml:space="preserve">Best Mart </t>
  </si>
  <si>
    <t>Khwaja Store</t>
  </si>
  <si>
    <t xml:space="preserve">Shamza Bakery </t>
  </si>
  <si>
    <t>Azan Store</t>
  </si>
  <si>
    <t>Awan Store</t>
  </si>
  <si>
    <t>Al madina Store</t>
  </si>
  <si>
    <t>Rana Store</t>
  </si>
  <si>
    <t>Ahmad Store</t>
  </si>
  <si>
    <t>Al Barkat Store</t>
  </si>
  <si>
    <t>Defence Store</t>
  </si>
  <si>
    <t xml:space="preserve">Zeshan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</si>
</sst>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7" workbookViewId="0">
      <selection activeCell="S20" sqref="S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534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Green Mart</v>
      </c>
      <c r="T3" s="301">
        <f>+'1'!P35</f>
        <v>16444.525095655932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Bread &amp; Butter </v>
      </c>
      <c r="T4" s="301">
        <f>+'2'!P35</f>
        <v>5937.9152899957626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Khan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Al Makkah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70</v>
      </c>
      <c r="I7" s="235">
        <f>(G7*D7)*F7+H7*F7</f>
        <v>3672.375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128.53312500000001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3208.0818749999999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694.06779661016924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19.510748358050847</v>
      </c>
      <c r="P7" s="310">
        <f>M7+N7+O7</f>
        <v>3921.6604199682201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Hyker Store</v>
      </c>
      <c r="T7" s="301">
        <f>+'5'!P35</f>
        <v>627.24231701694919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3208.0818749999999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19.510748358050847</v>
      </c>
      <c r="P8" s="311">
        <f t="shared" ref="P8:P15" si="2">M8+N8+O8</f>
        <v>3921.6604199682201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Daim Store</v>
      </c>
      <c r="T8" s="301">
        <f>+'6'!P35</f>
        <v>627.24231701694919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3672.375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22.32797669491525</v>
      </c>
      <c r="P9" s="311">
        <f t="shared" si="2"/>
        <v>4487.9233156779655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A1 Store</v>
      </c>
      <c r="T9" s="301">
        <f>+'7'!P35</f>
        <v>627.24231701694919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103</v>
      </c>
      <c r="I10" s="236">
        <f t="shared" si="0"/>
        <v>7481.92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656.66560000000004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261.86720000000003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6563.3872000000001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1414.0677966101696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39.887274983050844</v>
      </c>
      <c r="P10" s="311">
        <f t="shared" si="2"/>
        <v>8017.3422715932202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Toheed Store</v>
      </c>
      <c r="T10" s="301">
        <f>+'8'!P35</f>
        <v>6199.2810791694919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627.60960000000011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6241.9552000000003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37.936894644067799</v>
      </c>
      <c r="P11" s="311">
        <f t="shared" si="2"/>
        <v>7625.3158234576276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Best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193</v>
      </c>
      <c r="I12" s="236">
        <f t="shared" si="0"/>
        <v>14019.52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1179.6736000000001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490.68320000000006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12349.163200000001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2649.6610169491528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74.994121084745757</v>
      </c>
      <c r="P12" s="311">
        <f t="shared" si="2"/>
        <v>15073.8183380339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90</v>
      </c>
      <c r="R12" s="314">
        <v>10</v>
      </c>
      <c r="S12" s="300" t="str">
        <f>+'10'!A6:A6</f>
        <v>Khwaja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693</v>
      </c>
      <c r="I13" s="236">
        <f t="shared" si="0"/>
        <v>27186.390000000003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1673.1595000000002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951.52365000000032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1386.5058900000001</v>
      </c>
      <c r="M13" s="230">
        <f t="shared" si="1"/>
        <v>23175.200960000002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5285.5932203389802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142.30397090169492</v>
      </c>
      <c r="P13" s="311">
        <f t="shared" si="2"/>
        <v>28603.09815124068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Shamza Bakery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Azan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Awan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32.674999999999997</v>
      </c>
      <c r="H16" s="113">
        <f t="shared" ref="H16:M16" si="3">SUM(H7:H15)</f>
        <v>1307</v>
      </c>
      <c r="I16" s="114">
        <f t="shared" si="3"/>
        <v>67348.3</v>
      </c>
      <c r="J16" s="274">
        <f>SUM(J7:J15)</f>
        <v>5186.3582999999999</v>
      </c>
      <c r="K16" s="275">
        <f t="shared" si="3"/>
        <v>2357.1905000000006</v>
      </c>
      <c r="L16" s="276">
        <f t="shared" si="3"/>
        <v>1386.5058900000001</v>
      </c>
      <c r="M16" s="232">
        <f t="shared" si="3"/>
        <v>58418.245310000006</v>
      </c>
      <c r="N16" s="233">
        <f>SUM(N7:N15)</f>
        <v>12876.101694915251</v>
      </c>
      <c r="O16" s="101">
        <f>SUM(O7:O15)</f>
        <v>356.47173502457628</v>
      </c>
      <c r="P16" s="113">
        <f>SUM(P7:P15)</f>
        <v>71650.81873993983</v>
      </c>
      <c r="Q16" s="128">
        <f>SUM(Q7:Q15)</f>
        <v>90</v>
      </c>
      <c r="R16" s="314">
        <v>14</v>
      </c>
      <c r="S16" s="318" t="str">
        <f>+'14'!A6:A6</f>
        <v>Al madina Store</v>
      </c>
      <c r="T16" s="301">
        <f>+'14'!P35</f>
        <v>3136.2115850847458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Rana Store</v>
      </c>
      <c r="T17" s="301">
        <f>+'15'!P35</f>
        <v>6272.4231701694916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Ahmad Store</v>
      </c>
      <c r="T18" s="301">
        <f>+'16'!P35</f>
        <v>16376.369934915252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67348.3</v>
      </c>
      <c r="R19" s="299">
        <v>17</v>
      </c>
      <c r="S19" s="300" t="str">
        <f>+'17'!A6:A6</f>
        <v>Al Barkat Store</v>
      </c>
      <c r="T19" s="301">
        <f>+'17'!P35</f>
        <v>8345.889567457627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5186.3582999999999</v>
      </c>
      <c r="R20" s="299">
        <v>18</v>
      </c>
      <c r="S20" s="300" t="str">
        <f>+'18'!A6:A6</f>
        <v>Defence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3743.696390000001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58418.245309999998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12876.101694915251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71294.347004915253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356.47173502457628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71650.81873993983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71650.818739939816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13</v>
      </c>
      <c r="I22" s="236">
        <f t="shared" si="0"/>
        <v>509.99000000000007</v>
      </c>
      <c r="J22" s="272">
        <f t="shared" si="1"/>
        <v>25.499500000000005</v>
      </c>
      <c r="K22" s="128">
        <f t="shared" si="1"/>
        <v>17.849650000000004</v>
      </c>
      <c r="L22" s="119">
        <f t="shared" si="1"/>
        <v>26.009490000000003</v>
      </c>
      <c r="M22" s="230">
        <f t="shared" si="2"/>
        <v>440.63136000000009</v>
      </c>
      <c r="N22" s="277">
        <f t="shared" si="3"/>
        <v>99.1525423728813</v>
      </c>
      <c r="O22" s="239">
        <f t="shared" si="4"/>
        <v>2.6989195118644069</v>
      </c>
      <c r="P22" s="311">
        <f t="shared" si="5"/>
        <v>542.48282188474582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253</v>
      </c>
      <c r="I25" s="114">
        <f t="shared" ref="I25:M25" si="10">SUM(I16:I24)</f>
        <v>15522.29</v>
      </c>
      <c r="J25" s="274">
        <f>SUM(J16:J24)</f>
        <v>1526.7294999999999</v>
      </c>
      <c r="K25" s="275">
        <f t="shared" si="10"/>
        <v>543.28015000000005</v>
      </c>
      <c r="L25" s="276">
        <f t="shared" si="10"/>
        <v>26.009490000000003</v>
      </c>
      <c r="M25" s="232">
        <f t="shared" si="10"/>
        <v>13426.270860000001</v>
      </c>
      <c r="N25" s="233">
        <f>SUM(N16:N24)</f>
        <v>2936.4406779661008</v>
      </c>
      <c r="O25" s="101">
        <f>SUM(O16:O24)</f>
        <v>81.813557689830503</v>
      </c>
      <c r="P25" s="113">
        <f>SUM(P16:P24)</f>
        <v>16444.525095655928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15522.29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1526.7294999999999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569.28964000000008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13426.270860000001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2936.4406779661008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16362.711537966101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81.813557689830503</v>
      </c>
    </row>
    <row r="35" spans="2:16" ht="15.75" customHeight="1" thickBot="1" x14ac:dyDescent="0.4">
      <c r="N35" s="345" t="s">
        <v>88</v>
      </c>
      <c r="O35" s="346"/>
      <c r="P35" s="297">
        <f>+P33+P34</f>
        <v>16444.525095655932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29.541867114406781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5524.05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394.84800000000001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273.37095000000005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4855.8310499999998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5908.3734228813555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29.541867114406777</v>
      </c>
    </row>
    <row r="35" spans="2:16" ht="15.75" customHeight="1" thickBot="1" x14ac:dyDescent="0.4">
      <c r="N35" s="345" t="s">
        <v>88</v>
      </c>
      <c r="O35" s="346"/>
      <c r="P35" s="297">
        <f>+P33+P34</f>
        <v>5937.9152899957626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311">
        <f t="shared" si="5"/>
        <v>627.24231701694919</v>
      </c>
      <c r="Q20" s="156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311">
        <f t="shared" si="5"/>
        <v>627.24231701694919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113">
        <f>SUM(P16:P24)</f>
        <v>627.24231701694919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5766.2000000000007</v>
      </c>
      <c r="J25" s="274">
        <f>SUM(J16:J24)</f>
        <v>414.22</v>
      </c>
      <c r="K25" s="275">
        <f t="shared" si="7"/>
        <v>201.81700000000001</v>
      </c>
      <c r="L25" s="276">
        <f t="shared" si="7"/>
        <v>80.029200000000003</v>
      </c>
      <c r="M25" s="232">
        <f t="shared" si="7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5766.2000000000007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414.22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281.84620000000001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5070.1338000000005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6168.4388847457631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45" t="s">
        <v>88</v>
      </c>
      <c r="O35" s="346"/>
      <c r="P35" s="297">
        <f>+P33+P34</f>
        <v>6199.2810791694919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B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400</v>
      </c>
      <c r="I22" s="236">
        <f t="shared" si="0"/>
        <v>15692.000000000002</v>
      </c>
      <c r="J22" s="272">
        <f t="shared" si="1"/>
        <v>1098.4400000000003</v>
      </c>
      <c r="K22" s="128">
        <f t="shared" si="1"/>
        <v>549.22000000000014</v>
      </c>
      <c r="L22" s="119">
        <f t="shared" si="1"/>
        <v>800.29200000000003</v>
      </c>
      <c r="M22" s="230">
        <f t="shared" si="2"/>
        <v>13244.048000000003</v>
      </c>
      <c r="N22" s="277">
        <f t="shared" si="3"/>
        <v>3050.8474576271169</v>
      </c>
      <c r="O22" s="239">
        <f t="shared" si="4"/>
        <v>81.474477288135603</v>
      </c>
      <c r="P22" s="311">
        <f t="shared" si="5"/>
        <v>16376.369934915254</v>
      </c>
      <c r="Q22" s="156"/>
      <c r="S22" s="269">
        <v>7.0000000000000007E-2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400</v>
      </c>
      <c r="I25" s="114">
        <f t="shared" si="7"/>
        <v>15692.000000000002</v>
      </c>
      <c r="J25" s="274">
        <f>SUM(J16:J24)</f>
        <v>1098.4400000000003</v>
      </c>
      <c r="K25" s="275">
        <f t="shared" si="7"/>
        <v>549.22000000000014</v>
      </c>
      <c r="L25" s="276">
        <f t="shared" si="7"/>
        <v>800.29200000000003</v>
      </c>
      <c r="M25" s="232">
        <f t="shared" si="7"/>
        <v>13244.048000000003</v>
      </c>
      <c r="N25" s="233">
        <f>SUM(N16:N24)</f>
        <v>3050.8474576271169</v>
      </c>
      <c r="O25" s="101">
        <f>SUM(O16:O24)</f>
        <v>81.474477288135603</v>
      </c>
      <c r="P25" s="113">
        <f>SUM(P16:P24)</f>
        <v>16376.369934915254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15692.000000000002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1098.4400000000003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1349.5120000000002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13244.048000000001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3050.8474576271169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16294.895457627117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81.474477288135589</v>
      </c>
    </row>
    <row r="35" spans="2:16" ht="15.75" customHeight="1" thickBot="1" x14ac:dyDescent="0.4">
      <c r="N35" s="345" t="s">
        <v>88</v>
      </c>
      <c r="O35" s="346"/>
      <c r="P35" s="297">
        <f>+P33+P34</f>
        <v>16376.369934915252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7846.0000000000009</v>
      </c>
      <c r="J25" s="274">
        <f>SUM(J16:J24)</f>
        <v>392.30000000000007</v>
      </c>
      <c r="K25" s="275">
        <f t="shared" si="7"/>
        <v>274.61000000000007</v>
      </c>
      <c r="L25" s="276">
        <f t="shared" si="7"/>
        <v>400.14600000000002</v>
      </c>
      <c r="M25" s="232">
        <f t="shared" si="7"/>
        <v>6778.9440000000013</v>
      </c>
      <c r="N25" s="233">
        <f>SUM(N16:N24)</f>
        <v>1525.4237288135585</v>
      </c>
      <c r="O25" s="101">
        <f>SUM(O16:O24)</f>
        <v>41.521838644067806</v>
      </c>
      <c r="P25" s="113">
        <f>SUM(P16:P24)</f>
        <v>8345.8895674576288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7846.0000000000009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392.30000000000007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674.75600000000009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6778.9440000000004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1525.4237288135585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8304.3677288135586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41.521838644067792</v>
      </c>
    </row>
    <row r="35" spans="2:16" ht="15.75" customHeight="1" thickBot="1" x14ac:dyDescent="0.4">
      <c r="N35" s="345" t="s">
        <v>88</v>
      </c>
      <c r="O35" s="346"/>
      <c r="P35" s="297">
        <f>+P33+P34</f>
        <v>8345.889567457627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>
        <v>80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46267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46266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2026-09-01T16:15:05Z</dcterms:modified>
</cp:coreProperties>
</file>