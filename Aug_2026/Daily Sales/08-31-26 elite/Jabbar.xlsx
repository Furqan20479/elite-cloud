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523FE00-5123-4D0F-A5C5-867EA175764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5" i="66" s="1"/>
  <c r="N4" i="70"/>
  <c r="N5" i="70" s="1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<sst xmlns="http://schemas.openxmlformats.org/spreadsheetml/2006/main" count="3948" uniqueCount="526">
  <si>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</si>
  <si>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</si>
  <si>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</si>
  <si>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</si>
  <si>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</si>
  <si>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</si>
  <si>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</si>
  <si>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</si>
  <si>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</si>
  <si>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</si>
  <si>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</si>
  <si>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</si>
  <si>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</si>
  <si>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</si>
  <si>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</si>
  <si>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</si>
  <si>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</si>
  <si>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</si>
  <si>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</si>
  <si>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</si>
  <si>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</si>
  <si>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</si>
  <si>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</si>
  <si>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</si>
  <si>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</si>
  <si>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</si>
  <si>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</si>
  <si>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</si>
  <si>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</si>
  <si>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</si>
  <si>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</si>
  <si>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</si>
  <si>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</si>
  <si>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</si>
  <si>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</si>
  <si>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</si>
  <si>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</si>
  <si>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</si>
  <si>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</si>
  <si>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</si>
  <si>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</si>
  <si>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</si>
  <si>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</si>
  <si>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</si>
  <si>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</si>
  <si>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</si>
  <si>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</si>
  <si>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</si>
  <si>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</si>
  <si>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</si>
  <si>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</si>
  <si>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</si>
  <si>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</si>
  <si>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</si>
  <si>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</si>
  <si>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</si>
  <si>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</si>
  <si>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</si>
  <si>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</si>
  <si>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</si>
  <si>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</si>
  <si>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</si>
  <si>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</si>
  <si>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</si>
  <si>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</si>
  <si>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</si>
  <si>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</si>
  <si>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</si>
  <si>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</si>
  <si>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</si>
  <si>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</si>
  <si>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</si>
  <si>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</si>
  <si>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</si>
  <si>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</si>
  <si>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</si>
  <si>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</si>
  <si>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</si>
  <si>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</si>
  <si>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</si>
  <si>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</si>
  <si>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</si>
  <si>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</si>
  <si>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</si>
  <si>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</si>
  <si>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</si>
  <si>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</si>
  <si>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</si>
  <si>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</si>
  <si>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</si>
  <si>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</si>
  <si>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</si>
  <si>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</si>
  <si>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</si>
  <si>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</si>
  <si>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</si>
  <si>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</si>
  <si>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</si>
  <si>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</si>
  <si>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</si>
  <si>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</si>
  <si>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</si>
  <si>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</si>
  <si>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</si>
  <si>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</si>
  <si>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</si>
  <si>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</si>
  <si>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</si>
  <si>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</si>
  <si>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</si>
  <si>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</si>
  <si>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</si>
  <si>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</si>
  <si>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</si>
  <si>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</si>
  <si>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</si>
  <si>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</si>
  <si>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</si>
  <si>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</si>
  <si>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</si>
  <si>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</si>
  <si>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</si>
  <si>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</si>
  <si>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</si>
  <si>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</si>
  <si>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</si>
  <si>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</si>
  <si>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</si>
  <si>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</si>
  <si>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</si>
  <si>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</si>
  <si>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</si>
  <si>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</si>
  <si>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</si>
  <si>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</si>
  <si>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</si>
  <si>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</si>
  <si>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</si>
  <si>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</si>
  <si>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</si>
  <si>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</si>
  <si>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</si>
  <si>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</si>
  <si>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</si>
  <si>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</si>
  <si>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</si>
  <si>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</si>
  <si>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</si>
  <si>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</si>
  <si>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</si>
  <si>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</si>
  <si>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</si>
  <si>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</si>
  <si>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</si>
  <si>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</si>
  <si>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</si>
  <si>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</si>
  <si>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</si>
  <si>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</si>
  <si>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</si>
  <si>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</si>
  <si>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</si>
  <si>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</si>
  <si>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</si>
  <si>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</si>
  <si>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</si>
  <si>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</si>
  <si>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</si>
  <si>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</si>
  <si>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</si>
  <si>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</si>
  <si>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</si>
  <si>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</si>
  <si>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</si>
  <si>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</si>
  <si>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</si>
  <si>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</si>
  <si>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</si>
  <si>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</si>
  <si>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</si>
  <si>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</si>
  <si>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</si>
  <si>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</si>
  <si>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</si>
  <si>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</si>
  <si>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</si>
  <si>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</si>
  <si>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</si>
  <si>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</si>
  <si>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</si>
  <si>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</si>
  <si>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</si>
  <si>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</si>
  <si>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</si>
  <si>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</si>
  <si>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</si>
  <si>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</si>
  <si>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</si>
  <si>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</si>
  <si>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</si>
  <si>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</si>
  <si>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</si>
  <si>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</si>
  <si>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</si>
  <si>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</si>
  <si>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</si>
  <si>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</si>
  <si>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</si>
  <si>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</si>
  <si>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</si>
  <si>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</si>
  <si>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</si>
  <si>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</si>
  <si>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</si>
  <si>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</si>
  <si>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</si>
  <si>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</si>
  <si>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</si>
  <si>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</si>
  <si>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</si>
  <si>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</si>
  <si>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</si>
  <si>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</si>
  <si>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</si>
  <si>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</si>
  <si>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</si>
  <si>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</si>
  <si>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</si>
  <si>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</si>
  <si>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</si>
  <si>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</si>
  <si>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</si>
  <si>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</si>
  <si>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</si>
  <si>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</si>
  <si>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</si>
  <si>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</si>
  <si>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</si>
  <si>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</si>
  <si>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</si>
  <si>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</si>
  <si>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</si>
  <si>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</si>
  <si>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</si>
  <si>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</si>
  <si>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</si>
  <si>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</si>
  <si>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</si>
  <si>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</si>
  <si>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</si>
  <si>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</si>
  <si>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</si>
  <si>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</si>
  <si>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</si>
  <si>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</si>
  <si>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</si>
  <si>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</si>
  <si>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</si>
  <si>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</si>
  <si>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</si>
  <si>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</si>
  <si>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</si>
  <si>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</si>
  <si>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</si>
  <si>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</si>
  <si>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</si>
  <si>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</si>
  <si>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</si>
  <si>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</si>
  <si>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</si>
  <si>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</si>
  <si>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</si>
  <si>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</si>
  <si>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</si>
  <si>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</si>
  <si>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</si>
  <si>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</si>
  <si>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</si>
  <si>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</si>
  <si>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</si>
  <si>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</si>
  <si>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</si>
  <si>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</si>
  <si>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</si>
  <si>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</si>
  <si>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</si>
  <si>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</si>
  <si>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</si>
  <si>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</si>
  <si>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</si>
  <si>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</si>
  <si>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</si>
  <si>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</si>
  <si>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</si>
  <si>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</si>
  <si>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</si>
  <si>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</si>
  <si>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</si>
  <si>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</si>
  <si>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</si>
  <si>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</si>
  <si>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</si>
  <si>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</si>
  <si>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</si>
  <si>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</si>
  <si>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</si>
  <si>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</si>
  <si>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</si>
  <si>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</si>
  <si>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</si>
  <si>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</si>
  <si>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</si>
  <si>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</si>
  <si>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</si>
  <si>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</si>
  <si>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</si>
  <si>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</si>
  <si>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</si>
  <si>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</si>
  <si>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</si>
  <si>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</si>
  <si>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</si>
  <si>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</si>
  <si>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</si>
  <si>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</si>
  <si>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</si>
  <si>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</si>
  <si>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</si>
  <si>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</si>
  <si>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</si>
  <si>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</si>
  <si>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</si>
  <si>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</si>
  <si>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</si>
  <si>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</si>
  <si>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</si>
  <si>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</si>
  <si>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</si>
  <si>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</si>
  <si>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</si>
  <si>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</si>
  <si>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</si>
  <si>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</si>
  <si>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</si>
  <si>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</si>
  <si>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</si>
  <si>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</si>
  <si>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</si>
  <si>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</si>
  <si>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</si>
  <si>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</si>
  <si>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</si>
  <si>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</si>
  <si>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</si>
  <si>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</si>
  <si>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</si>
  <si>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</si>
  <si>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</si>
  <si>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</si>
  <si>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</si>
  <si>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</si>
  <si>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</si>
  <si>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</si>
  <si>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</si>
  <si>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</si>
  <si>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</si>
  <si>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</si>
  <si>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</si>
  <si>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</si>
  <si>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</si>
  <si>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</si>
  <si>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</si>
  <si>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</si>
  <si>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</si>
  <si>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</si>
  <si>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</si>
  <si>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</si>
  <si>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</si>
  <si>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</si>
  <si>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</si>
  <si>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</si>
  <si>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</si>
  <si>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</si>
  <si>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</si>
  <si>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</si>
  <si>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</si>
  <si>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</si>
  <si>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</si>
  <si>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</si>
  <si>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</si>
  <si>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</si>
  <si>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</si>
  <si>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</si>
  <si>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</si>
  <si>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</si>
  <si>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</si>
  <si>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</si>
  <si>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</si>
  <si>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</si>
  <si>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</si>
  <si>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</si>
  <si>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</si>
  <si>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</si>
  <si>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</si>
  <si>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</si>
  <si>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</si>
  <si>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</si>
  <si>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</si>
  <si>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</si>
  <si>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</si>
  <si>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</si>
  <si>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</si>
  <si>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</si>
  <si>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</si>
  <si>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</si>
  <si>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</si>
  <si>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</si>
  <si>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</si>
  <si>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</si>
  <si>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</si>
  <si>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</si>
  <si>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</si>
  <si>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</si>
  <si>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</si>
  <si>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</si>
  <si>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</si>
  <si>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</si>
  <si>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</si>
  <si>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</si>
  <si>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</si>
  <si>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</si>
  <si>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</si>
  <si>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</si>
  <si>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</si>
  <si>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</si>
  <si>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</si>
  <si>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</si>
  <si>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</si>
  <si>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</si>
  <si>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</si>
  <si>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</si>
  <si>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</si>
  <si>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</si>
  <si>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</si>
  <si>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</si>
  <si>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</si>
  <si>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</si>
  <si>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</si>
  <si>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</si>
  <si>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</si>
  <si>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</si>
  <si>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</si>
  <si>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</si>
  <si>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</si>
  <si>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</si>
  <si>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</si>
  <si>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</si>
  <si>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</si>
  <si>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</si>
  <si>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</si>
  <si>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</si>
  <si>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</si>
  <si>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</si>
  <si>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</si>
  <si>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</si>
  <si>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</si>
  <si>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</si>
  <si>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</si>
  <si>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</si>
  <si>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</si>
  <si>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</si>
  <si>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</si>
  <si>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</si>
  <si>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</si>
  <si>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</si>
  <si>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</si>
  <si>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</si>
  <si>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</si>
  <si>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</si>
  <si>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</si>
  <si>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</si>
  <si>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</si>
  <si>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</si>
  <si>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</si>
  <si>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</si>
  <si>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</si>
  <si>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</si>
  <si>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</si>
  <si>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</si>
  <si>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</si>
  <si>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</si>
  <si>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</si>
  <si>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</si>
  <si>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</si>
  <si>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</si>
  <si>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</si>
  <si>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</si>
  <si>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</si>
  <si>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</si>
  <si>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</si>
  <si>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</si>
  <si>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</si>
  <si>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</si>
  <si>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</si>
  <si>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</si>
  <si>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</si>
  <si>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</si>
  <si>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</si>
  <si>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</si>
  <si>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</si>
  <si>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</si>
  <si>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</si>
  <si>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</si>
  <si>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</si>
  <si>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Address: Ghosia Colony</t>
  </si>
  <si>
    <t>Ali Ice Cream</t>
  </si>
  <si>
    <t xml:space="preserve">Rehman Bakery </t>
  </si>
  <si>
    <t>Bismillah Store</t>
  </si>
  <si>
    <t>Al Zeshan Store</t>
  </si>
  <si>
    <t>Address: DHA Phase 8</t>
  </si>
  <si>
    <t xml:space="preserve">Raheem Mart </t>
  </si>
  <si>
    <t xml:space="preserve">Prograssive Mart </t>
  </si>
  <si>
    <t>Rahat Store</t>
  </si>
  <si>
    <t>Address: Askari 10</t>
  </si>
  <si>
    <t>Ch Store</t>
  </si>
  <si>
    <t xml:space="preserve">Address: Sammi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</si>
</sst>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I37" sqref="I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46265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Ali Ice Cream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Rehman Bakery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Bismillah Store</v>
      </c>
      <c r="T5" s="301">
        <f>+'3'!P35</f>
        <v>2466.8122165779664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Al Zeshan Store</v>
      </c>
      <c r="T6" s="301">
        <f>+'4'!P35</f>
        <v>9408.6347552542375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Raheem Mart </v>
      </c>
      <c r="T7" s="301">
        <f>+'5'!P35</f>
        <v>1912.0485873355931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Prograssive Mart </v>
      </c>
      <c r="T8" s="301">
        <f>+'6'!P35</f>
        <v>4704.3173776271187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Rahat Store</v>
      </c>
      <c r="T9" s="301">
        <f>+'7'!P35</f>
        <v>1411.2952132881355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102</v>
      </c>
      <c r="I10" s="236">
        <f t="shared" si="0"/>
        <v>7409.28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592.74240000000009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259.32480000000004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6557.2127999999993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1400.3389830508474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39.787758915254237</v>
      </c>
      <c r="P10" s="311">
        <f t="shared" si="2"/>
        <v>7997.339541966101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Ch Store</v>
      </c>
      <c r="T10" s="301">
        <f>+'8'!P35</f>
        <v>679.51547485169476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98</v>
      </c>
      <c r="I11" s="236">
        <f t="shared" si="0"/>
        <v>7118.72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569.49760000000015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249.15520000000004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6300.0672000000004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1345.4237288135594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38.227454644067798</v>
      </c>
      <c r="P11" s="311">
        <f t="shared" si="2"/>
        <v>7683.7183834576272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108</v>
      </c>
      <c r="I12" s="236">
        <f t="shared" si="0"/>
        <v>7845.12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627.60960000000011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274.57920000000001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6942.9312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1482.7118644067796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42.128215322033896</v>
      </c>
      <c r="P12" s="311">
        <f t="shared" si="2"/>
        <v>8467.771279728815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56</v>
      </c>
      <c r="I13" s="236">
        <f t="shared" si="0"/>
        <v>2196.88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109.84400000000002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76.890800000000013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112.04088000000002</v>
      </c>
      <c r="M13" s="230">
        <f t="shared" si="1"/>
        <v>1898.1043199999999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427.11864406779637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11.626114820338984</v>
      </c>
      <c r="P13" s="311">
        <f t="shared" si="2"/>
        <v>2336.849078888135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10</v>
      </c>
      <c r="H16" s="113">
        <f t="shared" ref="H16:M16" si="3">SUM(H7:H15)</f>
        <v>400</v>
      </c>
      <c r="I16" s="114">
        <f t="shared" si="3"/>
        <v>26458.65</v>
      </c>
      <c r="J16" s="274">
        <f>SUM(J7:J15)</f>
        <v>2050.7856000000006</v>
      </c>
      <c r="K16" s="275">
        <f t="shared" si="3"/>
        <v>926.05275000000006</v>
      </c>
      <c r="L16" s="276">
        <f t="shared" si="3"/>
        <v>112.04088000000002</v>
      </c>
      <c r="M16" s="232">
        <f t="shared" si="3"/>
        <v>23369.770769999999</v>
      </c>
      <c r="N16" s="233">
        <f>SUM(N7:N15)</f>
        <v>5012.5423728813557</v>
      </c>
      <c r="O16" s="101">
        <f>SUM(O7:O15)</f>
        <v>141.91156571440678</v>
      </c>
      <c r="P16" s="113">
        <f>SUM(P7:P15)</f>
        <v>28524.224708595764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26458.65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2050.7856000000006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1038.0936300000001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23369.770770000003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5012.5423728813557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28382.313142881358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141.91156571440678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28524.224708595764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28524.224708595764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156.61799999999999</v>
      </c>
      <c r="L25" s="276">
        <f t="shared" si="10"/>
        <v>80.029200000000003</v>
      </c>
      <c r="M25" s="232">
        <f t="shared" si="10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4474.8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310.90800000000002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236.6472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3927.2447999999999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4781.4820881355927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4" t="s">
        <v>88</v>
      </c>
      <c r="O35" s="345"/>
      <c r="P35" s="297">
        <f>+P33+P34</f>
        <v>4805.3894985762709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232.44799999999998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</v>
      </c>
      <c r="I22" s="236">
        <f t="shared" si="0"/>
        <v>156.92000000000002</v>
      </c>
      <c r="J22" s="272">
        <f t="shared" si="1"/>
        <v>7.846000000000001</v>
      </c>
      <c r="K22" s="128">
        <f t="shared" si="1"/>
        <v>5.4922000000000013</v>
      </c>
      <c r="L22" s="119">
        <f t="shared" si="1"/>
        <v>8.0029199999999996</v>
      </c>
      <c r="M22" s="230">
        <f t="shared" si="2"/>
        <v>135.57888000000003</v>
      </c>
      <c r="N22" s="277">
        <f t="shared" si="3"/>
        <v>30.508474576271169</v>
      </c>
      <c r="O22" s="239">
        <f t="shared" si="4"/>
        <v>0.83043677288135598</v>
      </c>
      <c r="P22" s="311">
        <f t="shared" si="5"/>
        <v>166.91779134915254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2287.7000000000003</v>
      </c>
      <c r="J25" s="274">
        <f>SUM(J16:J24)</f>
        <v>178.30840000000001</v>
      </c>
      <c r="K25" s="275">
        <f t="shared" si="7"/>
        <v>80.069500000000005</v>
      </c>
      <c r="L25" s="276">
        <f t="shared" si="7"/>
        <v>8.0029199999999996</v>
      </c>
      <c r="M25" s="232">
        <f t="shared" si="7"/>
        <v>2021.31918</v>
      </c>
      <c r="N25" s="233">
        <f>SUM(N16:N24)</f>
        <v>433.22033898305074</v>
      </c>
      <c r="O25" s="101">
        <f>SUM(O16:O24)</f>
        <v>12.272697594915254</v>
      </c>
      <c r="P25" s="113">
        <f>SUM(P16:P24)</f>
        <v>2466.812216577966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2287.7000000000003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178.30840000000001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88.072420000000008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2021.3191800000004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433.22033898305074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2454.539518983051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12.272697594915256</v>
      </c>
    </row>
    <row r="35" spans="2:16" ht="15.75" customHeight="1" thickBot="1" x14ac:dyDescent="0.4">
      <c r="N35" s="344" t="s">
        <v>88</v>
      </c>
      <c r="O35" s="345"/>
      <c r="P35" s="297">
        <f>+P33+P34</f>
        <v>2466.8122165779664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697.34400000000005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305.08800000000002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7714.3679999999995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9361.8256271186438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4" t="s">
        <v>88</v>
      </c>
      <c r="O35" s="345"/>
      <c r="P35" s="297">
        <f>+P33+P34</f>
        <v>9408.6347552542375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30</v>
      </c>
      <c r="I25" s="114">
        <f t="shared" si="7"/>
        <v>1778.28</v>
      </c>
      <c r="J25" s="274">
        <f>SUM(J16:J24)</f>
        <v>128.13960000000003</v>
      </c>
      <c r="K25" s="275">
        <f t="shared" si="7"/>
        <v>62.23980000000001</v>
      </c>
      <c r="L25" s="276">
        <f t="shared" si="7"/>
        <v>24.008760000000002</v>
      </c>
      <c r="M25" s="232">
        <f t="shared" si="7"/>
        <v>1563.8918400000002</v>
      </c>
      <c r="N25" s="233">
        <f>SUM(N16:N24)</f>
        <v>338.6440677966101</v>
      </c>
      <c r="O25" s="101">
        <f>SUM(O16:O24)</f>
        <v>9.5126795389830505</v>
      </c>
      <c r="P25" s="113">
        <f>SUM(P16:P24)</f>
        <v>1912.0485873355931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1778.28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128.13960000000003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86.248560000000012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1563.89184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338.6440677966101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1902.53590779661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9.5126795389830505</v>
      </c>
    </row>
    <row r="35" spans="2:16" ht="15.75" customHeight="1" thickBot="1" x14ac:dyDescent="0.4">
      <c r="N35" s="344" t="s">
        <v>88</v>
      </c>
      <c r="O35" s="345"/>
      <c r="P35" s="297">
        <f>+P33+P34</f>
        <v>1912.0485873355931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60</v>
      </c>
      <c r="I25" s="114">
        <f t="shared" si="7"/>
        <v>4358.3999999999996</v>
      </c>
      <c r="J25" s="274">
        <f>SUM(J16:J24)</f>
        <v>348.67200000000003</v>
      </c>
      <c r="K25" s="275">
        <f t="shared" si="7"/>
        <v>152.54400000000001</v>
      </c>
      <c r="L25" s="276">
        <f t="shared" si="7"/>
        <v>0</v>
      </c>
      <c r="M25" s="232">
        <f t="shared" si="7"/>
        <v>3857.1840000000002</v>
      </c>
      <c r="N25" s="233">
        <f>SUM(N16:N24)</f>
        <v>823.72881355932213</v>
      </c>
      <c r="O25" s="101">
        <f>SUM(O16:O24)</f>
        <v>23.404564067796613</v>
      </c>
      <c r="P25" s="113">
        <f>SUM(P16:P24)</f>
        <v>4704.3173776271187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4358.3999999999996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348.67200000000003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152.54400000000001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3857.1839999999997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823.72881355932213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4680.9128135593219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23.40456406779661</v>
      </c>
    </row>
    <row r="35" spans="2:16" ht="15.75" customHeight="1" thickBot="1" x14ac:dyDescent="0.4">
      <c r="N35" s="344" t="s">
        <v>88</v>
      </c>
      <c r="O35" s="345"/>
      <c r="P35" s="297">
        <f>+P33+P34</f>
        <v>4704.3173776271187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113">
        <f>SUM(P16:P24)</f>
        <v>1411.2952132881355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1307.52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104.60160000000002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45.763200000000005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1157.1551999999999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1404.2738440677965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44" t="s">
        <v>88</v>
      </c>
      <c r="O35" s="345"/>
      <c r="P35" s="297">
        <f>+P33+P34</f>
        <v>1411.2952132881355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629.54999999999995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50.363999999999997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22.03425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557.15174999999988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676.13480084745743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4" t="s">
        <v>88</v>
      </c>
      <c r="O35" s="345"/>
      <c r="P35" s="297">
        <f>+P33+P34</f>
        <v>679.51547485169476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46266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46265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2026-08-31T12:45:11Z</dcterms:modified>
</cp:coreProperties>
</file>