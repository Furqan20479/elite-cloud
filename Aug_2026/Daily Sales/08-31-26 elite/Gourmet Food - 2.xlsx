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3329D62-7189-49E3-8A59-5EE877A02DA5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 s="1"/>
  <c r="O24" i="56" s="1"/>
  <c r="P24" i="56" s="1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3" l="1"/>
  <c r="O24" i="43" s="1"/>
  <c r="P24" i="43" s="1"/>
  <c r="M24" i="48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O16" i="65" s="1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O16" i="66" s="1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O22" i="51"/>
  <c r="P22" i="51" s="1"/>
  <c r="O16" i="64"/>
  <c r="P16" i="64" s="1"/>
  <c r="O17" i="45"/>
  <c r="P17" i="45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69"/>
  <c r="O25" i="54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<sst xmlns="http://schemas.openxmlformats.org/spreadsheetml/2006/main" count="3948" uniqueCount="545">
  <si>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</si>
  <si>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</si>
  <si>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</si>
  <si>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</si>
  <si>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</si>
  <si>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</si>
  <si>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</si>
  <si>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</si>
  <si>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</si>
  <si>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</si>
  <si>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</si>
  <si>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</si>
  <si>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</si>
  <si>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</si>
  <si>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</si>
  <si>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</si>
  <si>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</si>
  <si>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</si>
  <si>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</si>
  <si>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</si>
  <si>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</si>
  <si>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</si>
  <si>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</si>
  <si>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</si>
  <si>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</si>
  <si>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</si>
  <si>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</si>
  <si>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</si>
  <si>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</si>
  <si>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</si>
  <si>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</si>
  <si>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</si>
  <si>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</si>
  <si>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</si>
  <si>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</si>
  <si>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</si>
  <si>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</si>
  <si>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</si>
  <si>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</si>
  <si>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</si>
  <si>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</si>
  <si>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</si>
  <si>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</si>
  <si>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</si>
  <si>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</si>
  <si>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</si>
  <si>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</si>
  <si>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</si>
  <si>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</si>
  <si>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</si>
  <si>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</si>
  <si>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</si>
  <si>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</si>
  <si>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</si>
  <si>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</si>
  <si>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</si>
  <si>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</si>
  <si>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</si>
  <si>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</si>
  <si>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</si>
  <si>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</si>
  <si>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</si>
  <si>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</si>
  <si>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</si>
  <si>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</si>
  <si>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</si>
  <si>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</si>
  <si>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</si>
  <si>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</si>
  <si>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</si>
  <si>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</si>
  <si>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</si>
  <si>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</si>
  <si>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</si>
  <si>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</si>
  <si>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</si>
  <si>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</si>
  <si>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</si>
  <si>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</si>
  <si>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</si>
  <si>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</si>
  <si>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</si>
  <si>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</si>
  <si>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</si>
  <si>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</si>
  <si>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</si>
  <si>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</si>
  <si>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</si>
  <si>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</si>
  <si>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</si>
  <si>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</si>
  <si>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</si>
  <si>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</si>
  <si>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</si>
  <si>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</si>
  <si>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</si>
  <si>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</si>
  <si>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</si>
  <si>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</si>
  <si>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</si>
  <si>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</si>
  <si>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</si>
  <si>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</si>
  <si>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</si>
  <si>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</si>
  <si>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</si>
  <si>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</si>
  <si>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</si>
  <si>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</si>
  <si>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</si>
  <si>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</si>
  <si>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</si>
  <si>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</si>
  <si>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</si>
  <si>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</si>
  <si>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</si>
  <si>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</si>
  <si>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</si>
  <si>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</si>
  <si>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</si>
  <si>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</si>
  <si>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</si>
  <si>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</si>
  <si>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</si>
  <si>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</si>
  <si>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</si>
  <si>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</si>
  <si>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</si>
  <si>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</si>
  <si>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</si>
  <si>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</si>
  <si>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</si>
  <si>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</si>
  <si>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</si>
  <si>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</si>
  <si>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</si>
  <si>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</si>
  <si>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</si>
  <si>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</si>
  <si>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</si>
  <si>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</si>
  <si>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</si>
  <si>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</si>
  <si>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</si>
  <si>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</si>
  <si>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</si>
  <si>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</si>
  <si>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</si>
  <si>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</si>
  <si>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</si>
  <si>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</si>
  <si>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</si>
  <si>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</si>
  <si>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</si>
  <si>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</si>
  <si>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</si>
  <si>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</si>
  <si>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</si>
  <si>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</si>
  <si>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</si>
  <si>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</si>
  <si>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</si>
  <si>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</si>
  <si>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</si>
  <si>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</si>
  <si>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</si>
  <si>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</si>
  <si>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</si>
  <si>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</si>
  <si>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</si>
  <si>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</si>
  <si>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</si>
  <si>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</si>
  <si>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</si>
  <si>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</si>
  <si>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</si>
  <si>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</si>
  <si>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</si>
  <si>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</si>
  <si>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</si>
  <si>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</si>
  <si>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</si>
  <si>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</si>
  <si>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</si>
  <si>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</si>
  <si>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</si>
  <si>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</si>
  <si>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</si>
  <si>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</si>
  <si>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</si>
  <si>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</si>
  <si>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</si>
  <si>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</si>
  <si>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</si>
  <si>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</si>
  <si>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</si>
  <si>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</si>
  <si>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</si>
  <si>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</si>
  <si>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</si>
  <si>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</si>
  <si>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</si>
  <si>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</si>
  <si>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</si>
  <si>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</si>
  <si>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</si>
  <si>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</si>
  <si>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</si>
  <si>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</si>
  <si>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</si>
  <si>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</si>
  <si>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</si>
  <si>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</si>
  <si>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</si>
  <si>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</si>
  <si>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</si>
  <si>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</si>
  <si>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</si>
  <si>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</si>
  <si>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</si>
  <si>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</si>
  <si>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</si>
  <si>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</si>
  <si>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</si>
  <si>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</si>
  <si>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</si>
  <si>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</si>
  <si>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</si>
  <si>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</si>
  <si>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</si>
  <si>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</si>
  <si>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</si>
  <si>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</si>
  <si>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</si>
  <si>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</si>
  <si>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</si>
  <si>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</si>
  <si>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</si>
  <si>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</si>
  <si>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</si>
  <si>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</si>
  <si>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</si>
  <si>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</si>
  <si>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</si>
  <si>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</si>
  <si>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</si>
  <si>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</si>
  <si>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</si>
  <si>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</si>
  <si>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</si>
  <si>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</si>
  <si>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</si>
  <si>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</si>
  <si>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</si>
  <si>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</si>
  <si>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</si>
  <si>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</si>
  <si>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</si>
  <si>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</si>
  <si>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</si>
  <si>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</si>
  <si>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</si>
  <si>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</si>
  <si>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</si>
  <si>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</si>
  <si>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</si>
  <si>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</si>
  <si>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</si>
  <si>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</si>
  <si>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</si>
  <si>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</si>
  <si>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</si>
  <si>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</si>
  <si>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</si>
  <si>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</si>
  <si>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</si>
  <si>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</si>
  <si>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</si>
  <si>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</si>
  <si>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</si>
  <si>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</si>
  <si>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</si>
  <si>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</si>
  <si>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</si>
  <si>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</si>
  <si>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</si>
  <si>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</si>
  <si>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</si>
  <si>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</si>
  <si>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</si>
  <si>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</si>
  <si>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</si>
  <si>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</si>
  <si>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</si>
  <si>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</si>
  <si>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</si>
  <si>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</si>
  <si>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</si>
  <si>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</si>
  <si>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</si>
  <si>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</si>
  <si>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</si>
  <si>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</si>
  <si>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</si>
  <si>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</si>
  <si>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</si>
  <si>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</si>
  <si>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</si>
  <si>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</si>
  <si>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</si>
  <si>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</si>
  <si>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</si>
  <si>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</si>
  <si>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</si>
  <si>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</si>
  <si>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</si>
  <si>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</si>
  <si>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</si>
  <si>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</si>
  <si>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</si>
  <si>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</si>
  <si>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</si>
  <si>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</si>
  <si>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</si>
  <si>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</si>
  <si>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</si>
  <si>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</si>
  <si>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</si>
  <si>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</si>
  <si>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</si>
  <si>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</si>
  <si>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</si>
  <si>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</si>
  <si>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</si>
  <si>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</si>
  <si>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</si>
  <si>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</si>
  <si>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</si>
  <si>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</si>
  <si>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</si>
  <si>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</si>
  <si>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</si>
  <si>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</si>
  <si>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</si>
  <si>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</si>
  <si>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</si>
  <si>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</si>
  <si>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</si>
  <si>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</si>
  <si>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</si>
  <si>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</si>
  <si>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</si>
  <si>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</si>
  <si>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</si>
  <si>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</si>
  <si>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</si>
  <si>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</si>
  <si>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</si>
  <si>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</si>
  <si>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</si>
  <si>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</si>
  <si>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</si>
  <si>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</si>
  <si>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</si>
  <si>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</si>
  <si>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</si>
  <si>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</si>
  <si>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</si>
  <si>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</si>
  <si>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</si>
  <si>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</si>
  <si>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</si>
  <si>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</si>
  <si>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</si>
  <si>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</si>
  <si>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</si>
  <si>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</si>
  <si>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</si>
  <si>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</si>
  <si>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</si>
  <si>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</si>
  <si>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</si>
  <si>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</si>
  <si>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</si>
  <si>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</si>
  <si>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</si>
  <si>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</si>
  <si>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</si>
  <si>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</si>
  <si>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</si>
  <si>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</si>
  <si>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</si>
  <si>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</si>
  <si>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</si>
  <si>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</si>
  <si>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</si>
  <si>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</si>
  <si>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</si>
  <si>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</si>
  <si>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</si>
  <si>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</si>
  <si>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</si>
  <si>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</si>
  <si>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</si>
  <si>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</si>
  <si>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</si>
  <si>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</si>
  <si>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</si>
  <si>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</si>
  <si>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</si>
  <si>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</si>
  <si>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</si>
  <si>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</si>
  <si>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</si>
  <si>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</si>
  <si>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</si>
  <si>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</si>
  <si>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</si>
  <si>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</si>
  <si>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</si>
  <si>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</si>
  <si>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</si>
  <si>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</si>
  <si>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</si>
  <si>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</si>
  <si>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</si>
  <si>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</si>
  <si>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</si>
  <si>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</si>
  <si>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</si>
  <si>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</si>
  <si>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</si>
  <si>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</si>
  <si>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</si>
  <si>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</si>
  <si>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</si>
  <si>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</si>
  <si>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</si>
  <si>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</si>
  <si>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</si>
  <si>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</si>
  <si>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</si>
  <si>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</si>
  <si>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</si>
  <si>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</si>
  <si>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</si>
  <si>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</si>
  <si>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</si>
  <si>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</si>
  <si>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</si>
  <si>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</si>
  <si>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</si>
  <si>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</si>
  <si>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</si>
  <si>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</si>
  <si>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</si>
  <si>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</si>
  <si>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</si>
  <si>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</si>
  <si>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</si>
  <si>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</si>
  <si>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</si>
  <si>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</si>
  <si>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</si>
  <si>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</si>
  <si>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</si>
  <si>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</si>
  <si>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</si>
  <si>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</si>
  <si>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</si>
  <si>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</si>
  <si>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</si>
  <si>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</si>
  <si>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</si>
  <si>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</si>
  <si>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</si>
  <si>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</si>
  <si>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</si>
  <si>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</si>
  <si>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</si>
  <si>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</si>
  <si>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</si>
  <si>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</si>
  <si>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</si>
  <si>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</si>
  <si>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</si>
  <si>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</si>
  <si>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</si>
  <si>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</si>
  <si>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</si>
  <si>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</si>
  <si>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</si>
  <si>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</si>
  <si>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</si>
  <si>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</si>
  <si>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</si>
  <si>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</si>
  <si>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</si>
  <si>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</si>
  <si>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</si>
  <si>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</si>
  <si>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</si>
  <si>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</si>
  <si>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</si>
  <si>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</si>
  <si>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</si>
  <si>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</si>
  <si>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</si>
  <si>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</si>
  <si>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</si>
  <si>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</si>
  <si>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</si>
  <si>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</si>
  <si>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</si>
  <si>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</si>
  <si>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 xml:space="preserve">Shakoor Husain </t>
  </si>
  <si>
    <t xml:space="preserve">Gourmet Food Neelam Cenima </t>
  </si>
  <si>
    <t xml:space="preserve">Gourmet Food DHA K Block </t>
  </si>
  <si>
    <t xml:space="preserve">Gourmet Food DHA Z Block </t>
  </si>
  <si>
    <t>Gourmet Food Shadbagh LHR</t>
  </si>
  <si>
    <t>Gourmet Food Zarar Shaheed Road</t>
  </si>
  <si>
    <t>Gourmet Food Bedian Road</t>
  </si>
  <si>
    <t>Gourmet Food Begum Kot</t>
  </si>
  <si>
    <t xml:space="preserve">Gourmet Food Kot Abdul Malik </t>
  </si>
  <si>
    <t xml:space="preserve">Gourmet Food Shadra </t>
  </si>
  <si>
    <t>Gourmet Food Bilal Ganjh</t>
  </si>
  <si>
    <t>Gourmet Food Kot Khuwaja Saeed</t>
  </si>
  <si>
    <t>Gourmet Food Kareem Park</t>
  </si>
  <si>
    <t xml:space="preserve">Gourmet Food Lakshman Singh </t>
  </si>
  <si>
    <t>Gourmet Food Imamia Colony</t>
  </si>
  <si>
    <t xml:space="preserve">Gourmet Food Badami Bagh </t>
  </si>
  <si>
    <t xml:space="preserve">Gourmet Food Dharampura </t>
  </si>
  <si>
    <t xml:space="preserve">Gourmet Food Baghbanpura </t>
  </si>
  <si>
    <t xml:space="preserve">Gourmet Food Nadra Abad </t>
  </si>
  <si>
    <t>Gourmet Food Ghazi Road</t>
  </si>
  <si>
    <t xml:space="preserve">Gourmet Food Dha FF Block </t>
  </si>
  <si>
    <t>Gourmet Food Sultan pura</t>
  </si>
  <si>
    <t>Gourmet Food Rahbar DHA</t>
  </si>
  <si>
    <t xml:space="preserve">Gourmet Food Militiry </t>
  </si>
  <si>
    <t>Gourmet Food Nishat Colony</t>
  </si>
  <si>
    <t xml:space="preserve">Gourmet Food Al Rehman Garden </t>
  </si>
  <si>
    <t>Gourmet Food Shadi Pura</t>
  </si>
  <si>
    <t xml:space="preserve">Gourmet Food Bankers co-oprative Housing Society </t>
  </si>
  <si>
    <t>Gourmet Food Manawan GT Road</t>
  </si>
  <si>
    <t>Invoice No # :10015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</si>
</sst>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C4" sqref="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513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46265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Gourmet Food Neelam Cenima </v>
      </c>
      <c r="T3" s="301">
        <f>+'1'!P35</f>
        <v>4898.3511179237294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Gourmet Food DHA K Block </v>
      </c>
      <c r="T4" s="301">
        <f>+'2'!P35</f>
        <v>4108.3046656779661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Gourmet Food DHA Z Block </v>
      </c>
      <c r="T5" s="301">
        <f>+'3'!P35</f>
        <v>1422.0993925423729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Gourmet Food Shadbagh LHR</v>
      </c>
      <c r="T6" s="301">
        <f>+'4'!P35</f>
        <v>8532.5963552542362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240</v>
      </c>
      <c r="I7" s="235">
        <f>(G7*D7)*F7+H7*F7</f>
        <v>12591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2266.3799999999997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440.685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9883.9350000000013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2379.6610169491514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61.317980084745756</v>
      </c>
      <c r="P7" s="310">
        <f>M7+N7+O7</f>
        <v>12324.913997033898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Gourmet Food Zarar Shaheed Road</v>
      </c>
      <c r="T7" s="301">
        <f>+'5'!P35</f>
        <v>14695.053353771185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1133.1899999999998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4941.9675000000007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30.658990042372878</v>
      </c>
      <c r="P8" s="311">
        <f t="shared" ref="P8:P15" si="2">M8+N8+O8</f>
        <v>6162.4569985169492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Gourmet Food Bedian Road</v>
      </c>
      <c r="T8" s="301">
        <f>+'6'!P35</f>
        <v>3476.2517253813558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880</v>
      </c>
      <c r="I9" s="236">
        <f t="shared" si="0"/>
        <v>46167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8310.0599999999959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1615.845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36241.095000000001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8725.4237288135537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224.83259364406791</v>
      </c>
      <c r="P9" s="311">
        <f t="shared" si="2"/>
        <v>45191.351322457624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Gourmet Food Begum Kot</v>
      </c>
      <c r="T9" s="301">
        <f>+'7'!P35</f>
        <v>2054.1523328389831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240</v>
      </c>
      <c r="I10" s="236">
        <f t="shared" si="0"/>
        <v>17433.599999999999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3138.0479999999993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610.17600000000004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13685.376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3294.9152542372885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84.901456271186433</v>
      </c>
      <c r="P10" s="311">
        <f t="shared" si="2"/>
        <v>17065.192710508472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Gourmet Food Kot Abdul Malik </v>
      </c>
      <c r="T10" s="301">
        <f>+'8'!P35</f>
        <v>2054.1523328389831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180</v>
      </c>
      <c r="I11" s="236">
        <f t="shared" si="0"/>
        <v>13075.2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2353.5359999999996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457.63200000000006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10264.032000000001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2471.1864406779659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63.676092203389828</v>
      </c>
      <c r="P11" s="311">
        <f t="shared" si="2"/>
        <v>12798.894532881357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Gourmet Food Shadra </v>
      </c>
      <c r="T11" s="301">
        <f>+'9'!P35</f>
        <v>3476.2517253813558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280</v>
      </c>
      <c r="I12" s="236">
        <f t="shared" si="0"/>
        <v>20339.2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3661.0559999999991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711.87200000000007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15966.272000000001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3844.0677966101694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99.051698983050841</v>
      </c>
      <c r="P12" s="311">
        <f t="shared" si="2"/>
        <v>19909.39149559322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Gourmet Food Bilal Ganjh</v>
      </c>
      <c r="T12" s="301">
        <f>+'10'!P35</f>
        <v>3476.2517253813558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Gourmet Food Kot Khuwaja Saeed</v>
      </c>
      <c r="T13" s="301">
        <f>+'11'!P35</f>
        <v>5530.4040582203379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Gourmet Food Kareem Park</v>
      </c>
      <c r="T14" s="301">
        <f>+'12'!P35</f>
        <v>2054.1523328389831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Gourmet Food Lakshman Singh </v>
      </c>
      <c r="T15" s="301">
        <f>+'13'!P35</f>
        <v>2054.1523328389831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48.5</v>
      </c>
      <c r="H16" s="113">
        <f t="shared" ref="H16:M16" si="3">SUM(H7:H15)</f>
        <v>1940</v>
      </c>
      <c r="I16" s="114">
        <f t="shared" si="3"/>
        <v>115901.5</v>
      </c>
      <c r="J16" s="274">
        <f>SUM(J7:J15)</f>
        <v>20862.269999999993</v>
      </c>
      <c r="K16" s="275">
        <f t="shared" si="3"/>
        <v>4056.5524999999998</v>
      </c>
      <c r="L16" s="276">
        <f t="shared" si="3"/>
        <v>0</v>
      </c>
      <c r="M16" s="232">
        <f t="shared" si="3"/>
        <v>90982.677500000005</v>
      </c>
      <c r="N16" s="233">
        <f>SUM(N7:N15)</f>
        <v>21905.084745762706</v>
      </c>
      <c r="O16" s="101">
        <f>SUM(O7:O15)</f>
        <v>564.43881122881362</v>
      </c>
      <c r="P16" s="113">
        <f>SUM(P7:P15)</f>
        <v>113452.20105699153</v>
      </c>
      <c r="Q16" s="128">
        <f>SUM(Q7:Q15)</f>
        <v>0</v>
      </c>
      <c r="R16" s="314">
        <v>14</v>
      </c>
      <c r="S16" s="300" t="str">
        <f>+'14'!A6:A6</f>
        <v>Gourmet Food Imamia Colony</v>
      </c>
      <c r="T16" s="301">
        <f>+'14'!P35</f>
        <v>2054.1523328389831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Gourmet Food Badami Bagh </v>
      </c>
      <c r="T17" s="301">
        <f>+'15'!P35</f>
        <v>2054.1523328389831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Gourmet Food Dharampura </v>
      </c>
      <c r="T18" s="301">
        <f>+'16'!P35</f>
        <v>5688.3975701694917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115901.5</v>
      </c>
      <c r="R19" s="299">
        <v>17</v>
      </c>
      <c r="S19" s="300" t="str">
        <f>+'17'!A6:A6</f>
        <v xml:space="preserve">Gourmet Food Baghbanpura </v>
      </c>
      <c r="T19" s="301">
        <f>+'17'!P35</f>
        <v>4108.3046656779661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20862.269999999993</v>
      </c>
      <c r="R20" s="299">
        <v>18</v>
      </c>
      <c r="S20" s="300" t="str">
        <f>+'18'!A6:A6</f>
        <v xml:space="preserve">Gourmet Food Nadra Abad </v>
      </c>
      <c r="T20" s="301">
        <f>+'18'!P35</f>
        <v>2054.1523328389831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4056.5524999999998</v>
      </c>
      <c r="R21" s="299">
        <v>19</v>
      </c>
      <c r="S21" s="300" t="str">
        <f>+'19'!A6:A6</f>
        <v>Gourmet Food Ghazi Road</v>
      </c>
      <c r="T21" s="301">
        <f>+'19'!P35</f>
        <v>2054.1523328389831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90982.677500000005</v>
      </c>
      <c r="R22" s="299">
        <v>20</v>
      </c>
      <c r="S22" s="300" t="str">
        <f>+'20'!A6:A6</f>
        <v xml:space="preserve">Gourmet Food Dha FF Block </v>
      </c>
      <c r="T22" s="301">
        <f>+'20'!P35</f>
        <v>2054.1523328389831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21905.084745762706</v>
      </c>
      <c r="R23" s="299">
        <v>21</v>
      </c>
      <c r="S23" s="300" t="str">
        <f>+'21'!A6:A6</f>
        <v>Gourmet Food Sultan pura</v>
      </c>
      <c r="T23" s="301">
        <f>+'21'!P35</f>
        <v>4898.3511179237294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112887.76224576271</v>
      </c>
      <c r="R24" s="299">
        <v>22</v>
      </c>
      <c r="S24" s="300" t="str">
        <f>+'22'!A6:A6</f>
        <v>Gourmet Food Rahbar DHA</v>
      </c>
      <c r="T24" s="301">
        <f>+'22'!P35</f>
        <v>4898.3511179237294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564.43881122881362</v>
      </c>
      <c r="R25" s="299">
        <v>23</v>
      </c>
      <c r="S25" s="300" t="str">
        <f>+'23'!A6:A6</f>
        <v xml:space="preserve">Gourmet Food Militiry </v>
      </c>
      <c r="T25" s="301">
        <f>+'23'!P35</f>
        <v>4108.3046656779661</v>
      </c>
    </row>
    <row r="26" spans="1:20" ht="21.75" customHeight="1" thickBot="1" x14ac:dyDescent="0.4">
      <c r="N26" s="372" t="s">
        <v>88</v>
      </c>
      <c r="O26" s="373"/>
      <c r="P26" s="297">
        <f>+P24+P25</f>
        <v>113452.20105699153</v>
      </c>
      <c r="R26" s="299">
        <v>24</v>
      </c>
      <c r="S26" s="300" t="str">
        <f>+'24'!A6:A6</f>
        <v>Gourmet Food Nishat Colony</v>
      </c>
      <c r="T26" s="301">
        <f>+'24'!P35</f>
        <v>2054.1523328389831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Gourmet Food Al Rehman Garden </v>
      </c>
      <c r="T27" s="301">
        <f>+'25'!P35</f>
        <v>2054.1523328389831</v>
      </c>
    </row>
    <row r="28" spans="1:20" ht="21.75" customHeight="1" x14ac:dyDescent="0.35">
      <c r="R28" s="299">
        <v>26</v>
      </c>
      <c r="S28" s="300" t="str">
        <f>+'26'!A6:A6</f>
        <v>Gourmet Food Shadi Pura</v>
      </c>
      <c r="T28" s="301">
        <f>+'26'!P35</f>
        <v>7742.5499030084766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Gourmet Food Bankers co-oprative Housing Society </v>
      </c>
      <c r="T29" s="301">
        <f>+'27'!P35</f>
        <v>4898.3511179237294</v>
      </c>
    </row>
    <row r="30" spans="1:20" ht="21.75" customHeight="1" x14ac:dyDescent="0.35">
      <c r="R30" s="299">
        <v>28</v>
      </c>
      <c r="S30" s="300" t="str">
        <f>+'28'!A6:A6</f>
        <v>Gourmet Food Manawan GT Road</v>
      </c>
      <c r="T30" s="301">
        <f>+'28'!P35</f>
        <v>4898.3511179237294</v>
      </c>
    </row>
    <row r="31" spans="1:20" ht="21.75" customHeight="1" x14ac:dyDescent="0.35">
      <c r="R31" s="299">
        <v>29</v>
      </c>
      <c r="S31" s="300" t="str">
        <f>+'29'!A6:A6</f>
        <v>Gourmet Food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Gourmet Food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113452.20105699151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zoomScaleNormal="10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7.25" customHeight="1" x14ac:dyDescent="0.4">
      <c r="A6" s="398" t="s">
        <v>516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900.73799999999983</v>
      </c>
      <c r="K25" s="275">
        <f t="shared" si="10"/>
        <v>175.14350000000002</v>
      </c>
      <c r="L25" s="276">
        <f t="shared" si="10"/>
        <v>0</v>
      </c>
      <c r="M25" s="232">
        <f t="shared" si="10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5004.1000000000004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900.73799999999983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175.14350000000002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3928.2185000000009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4873.9812118644077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72" t="s">
        <v>88</v>
      </c>
      <c r="O35" s="373"/>
      <c r="P35" s="297">
        <f>+P33+P34</f>
        <v>4898.3511179237294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146.89500000000001</v>
      </c>
      <c r="L25" s="276">
        <f t="shared" si="7"/>
        <v>0</v>
      </c>
      <c r="M25" s="232">
        <f t="shared" si="7"/>
        <v>3294.645</v>
      </c>
      <c r="N25" s="233">
        <f>SUM(N16:N24)</f>
        <v>793.22033898305051</v>
      </c>
      <c r="O25" s="101">
        <f>SUM(O16:O24)</f>
        <v>20.439326694915252</v>
      </c>
      <c r="P25" s="113">
        <f>SUM(P16:P24)</f>
        <v>4108.3046656779661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4197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755.45999999999992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146.89500000000001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3294.645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4087.8653389830506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20.439326694915252</v>
      </c>
    </row>
    <row r="35" spans="2:16" ht="15.75" customHeight="1" thickBot="1" x14ac:dyDescent="0.4">
      <c r="N35" s="372" t="s">
        <v>88</v>
      </c>
      <c r="O35" s="373"/>
      <c r="P35" s="297">
        <f>+P33+P34</f>
        <v>4108.3046656779661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8.75" customHeight="1" x14ac:dyDescent="0.4">
      <c r="A6" s="398" t="s">
        <v>518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261.50399999999996</v>
      </c>
      <c r="K25" s="275">
        <f t="shared" si="7"/>
        <v>50.848000000000006</v>
      </c>
      <c r="L25" s="276">
        <f t="shared" si="7"/>
        <v>0</v>
      </c>
      <c r="M25" s="232">
        <f t="shared" si="7"/>
        <v>1140.4479999999999</v>
      </c>
      <c r="N25" s="233">
        <f>SUM(N16:N24)</f>
        <v>274.57627118644069</v>
      </c>
      <c r="O25" s="101">
        <f>SUM(O16:O24)</f>
        <v>7.075121355932203</v>
      </c>
      <c r="P25" s="113">
        <f>SUM(P16:P24)</f>
        <v>1422.0993925423727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1452.8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261.50399999999996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50.848000000000006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1140.4480000000001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1415.0242711864407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7.0751213559322039</v>
      </c>
    </row>
    <row r="35" spans="2:16" ht="15.75" customHeight="1" thickBot="1" x14ac:dyDescent="0.4">
      <c r="N35" s="372" t="s">
        <v>88</v>
      </c>
      <c r="O35" s="373"/>
      <c r="P35" s="297">
        <f>+P33+P34</f>
        <v>1422.0993925423729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101.69600000000001</v>
      </c>
      <c r="L20" s="119">
        <f t="shared" si="1"/>
        <v>0</v>
      </c>
      <c r="M20" s="230">
        <f t="shared" si="2"/>
        <v>2280.8959999999997</v>
      </c>
      <c r="N20" s="277">
        <f t="shared" si="3"/>
        <v>549.15254237288138</v>
      </c>
      <c r="O20" s="239">
        <f t="shared" si="4"/>
        <v>14.150242711864406</v>
      </c>
      <c r="P20" s="311">
        <f t="shared" si="5"/>
        <v>2844.1987850847454</v>
      </c>
      <c r="Q20" s="156"/>
      <c r="R20">
        <f>P20/21</f>
        <v>135.43803738498787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0</v>
      </c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305.08800000000002</v>
      </c>
      <c r="L25" s="276">
        <f t="shared" si="7"/>
        <v>0</v>
      </c>
      <c r="M25" s="232">
        <f t="shared" si="7"/>
        <v>6842.6879999999992</v>
      </c>
      <c r="N25" s="233">
        <f>SUM(N16:N24)</f>
        <v>1647.4576271186443</v>
      </c>
      <c r="O25" s="101">
        <f>SUM(O16:O24)</f>
        <v>42.450728135593216</v>
      </c>
      <c r="P25" s="113">
        <f>SUM(P16:P24)</f>
        <v>8532.5963552542362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8716.7999999999993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1569.0239999999999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305.08800000000002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6842.6880000000001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8490.1456271186435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42.450728135593216</v>
      </c>
    </row>
    <row r="35" spans="2:16" ht="15.75" customHeight="1" thickBot="1" x14ac:dyDescent="0.4">
      <c r="N35" s="372" t="s">
        <v>88</v>
      </c>
      <c r="O35" s="373"/>
      <c r="P35" s="297">
        <f>+P33+P34</f>
        <v>8532.5963552542362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zoomScaleNormal="10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101.69600000000001</v>
      </c>
      <c r="L20" s="119">
        <f t="shared" si="1"/>
        <v>0</v>
      </c>
      <c r="M20" s="230">
        <f t="shared" si="2"/>
        <v>2280.8959999999997</v>
      </c>
      <c r="N20" s="277">
        <f t="shared" si="3"/>
        <v>549.15254237288138</v>
      </c>
      <c r="O20" s="239">
        <f t="shared" si="4"/>
        <v>14.150242711864406</v>
      </c>
      <c r="P20" s="311">
        <f t="shared" si="5"/>
        <v>2844.1987850847454</v>
      </c>
      <c r="Q20" s="156"/>
      <c r="R20">
        <f>P20/21</f>
        <v>135.43803738498787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525.43050000000005</v>
      </c>
      <c r="L25" s="276">
        <f t="shared" si="7"/>
        <v>0</v>
      </c>
      <c r="M25" s="232">
        <f t="shared" si="7"/>
        <v>11784.655500000001</v>
      </c>
      <c r="N25" s="233">
        <f>SUM(N16:N24)</f>
        <v>2837.2881355932195</v>
      </c>
      <c r="O25" s="101">
        <f>SUM(O16:O24)</f>
        <v>73.109718177966101</v>
      </c>
      <c r="P25" s="113">
        <f>SUM(P16:P24)</f>
        <v>14695.053353771185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15012.300000000001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2702.2139999999995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525.43050000000005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11784.655500000001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14621.943635593219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73.109718177966101</v>
      </c>
    </row>
    <row r="35" spans="2:16" ht="15.75" customHeight="1" thickBot="1" x14ac:dyDescent="0.4">
      <c r="N35" s="372" t="s">
        <v>88</v>
      </c>
      <c r="O35" s="373"/>
      <c r="P35" s="297">
        <f>+P33+P34</f>
        <v>14695.053353771185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60</v>
      </c>
      <c r="I25" s="114">
        <f t="shared" si="7"/>
        <v>3551.3</v>
      </c>
      <c r="J25" s="274">
        <f>SUM(J16:J24)</f>
        <v>639.23399999999992</v>
      </c>
      <c r="K25" s="275">
        <f t="shared" si="7"/>
        <v>124.2955</v>
      </c>
      <c r="L25" s="276">
        <f t="shared" si="7"/>
        <v>0</v>
      </c>
      <c r="M25" s="232">
        <f t="shared" si="7"/>
        <v>2787.7704999999996</v>
      </c>
      <c r="N25" s="233">
        <f>SUM(N16:N24)</f>
        <v>671.18644067796595</v>
      </c>
      <c r="O25" s="101">
        <f>SUM(O16:O24)</f>
        <v>17.29478470338983</v>
      </c>
      <c r="P25" s="113">
        <f>SUM(P16:P24)</f>
        <v>3476.2517253813558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3551.3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639.23399999999992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124.2955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2787.7705000000001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671.18644067796595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3458.956940677966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17.29478470338983</v>
      </c>
    </row>
    <row r="35" spans="2:16" ht="15.75" customHeight="1" thickBot="1" x14ac:dyDescent="0.4">
      <c r="N35" s="372" t="s">
        <v>88</v>
      </c>
      <c r="O35" s="373"/>
      <c r="P35" s="297">
        <f>+P33+P34</f>
        <v>3476.2517253813558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zoomScale="110" zoomScaleNormal="110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60</v>
      </c>
      <c r="I25" s="114">
        <f t="shared" si="7"/>
        <v>3551.3</v>
      </c>
      <c r="J25" s="274">
        <f>SUM(J16:J24)</f>
        <v>639.23399999999992</v>
      </c>
      <c r="K25" s="275">
        <f t="shared" si="7"/>
        <v>124.2955</v>
      </c>
      <c r="L25" s="276">
        <f t="shared" si="7"/>
        <v>0</v>
      </c>
      <c r="M25" s="232">
        <f t="shared" si="7"/>
        <v>2787.7704999999996</v>
      </c>
      <c r="N25" s="233">
        <f>SUM(N16:N24)</f>
        <v>671.18644067796595</v>
      </c>
      <c r="O25" s="101">
        <f>SUM(O16:O24)</f>
        <v>17.29478470338983</v>
      </c>
      <c r="P25" s="113">
        <f>SUM(P16:P24)</f>
        <v>3476.2517253813558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3551.3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639.23399999999992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124.2955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2787.7705000000001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671.18644067796595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3458.956940677966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17.29478470338983</v>
      </c>
    </row>
    <row r="35" spans="2:16" ht="15.75" customHeight="1" thickBot="1" x14ac:dyDescent="0.4">
      <c r="N35" s="372" t="s">
        <v>88</v>
      </c>
      <c r="O35" s="373"/>
      <c r="P35" s="297">
        <f>+P33+P34</f>
        <v>3476.2517253813558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50.848000000000006</v>
      </c>
      <c r="L21" s="119">
        <f t="shared" si="1"/>
        <v>0</v>
      </c>
      <c r="M21" s="230">
        <f t="shared" si="2"/>
        <v>1140.4479999999999</v>
      </c>
      <c r="N21" s="277">
        <f t="shared" si="3"/>
        <v>274.57627118644069</v>
      </c>
      <c r="O21" s="239">
        <f t="shared" si="4"/>
        <v>7.075121355932203</v>
      </c>
      <c r="P21" s="311">
        <f t="shared" si="5"/>
        <v>1422.0993925423727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60</v>
      </c>
      <c r="I25" s="114">
        <f t="shared" si="7"/>
        <v>3551.3</v>
      </c>
      <c r="J25" s="274">
        <f>SUM(J16:J24)</f>
        <v>639.23399999999992</v>
      </c>
      <c r="K25" s="275">
        <f t="shared" si="7"/>
        <v>124.2955</v>
      </c>
      <c r="L25" s="276">
        <f t="shared" si="7"/>
        <v>0</v>
      </c>
      <c r="M25" s="232">
        <f t="shared" si="7"/>
        <v>2787.7704999999996</v>
      </c>
      <c r="N25" s="233">
        <f>SUM(N16:N24)</f>
        <v>671.18644067796595</v>
      </c>
      <c r="O25" s="101">
        <f>SUM(O16:O24)</f>
        <v>17.29478470338983</v>
      </c>
      <c r="P25" s="113">
        <f>SUM(P16:P24)</f>
        <v>3476.2517253813558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3551.3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639.23399999999992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124.2955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2787.7705000000001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671.18644067796595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3458.956940677966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17.29478470338983</v>
      </c>
    </row>
    <row r="35" spans="2:16" ht="15.75" customHeight="1" thickBot="1" x14ac:dyDescent="0.4">
      <c r="N35" s="372" t="s">
        <v>88</v>
      </c>
      <c r="O35" s="373"/>
      <c r="P35" s="297">
        <f>+P33+P34</f>
        <v>3476.2517253813558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100</v>
      </c>
      <c r="I25" s="114">
        <f t="shared" si="7"/>
        <v>5649.8</v>
      </c>
      <c r="J25" s="274">
        <f>SUM(J16:J24)</f>
        <v>1016.9639999999999</v>
      </c>
      <c r="K25" s="275">
        <f t="shared" si="7"/>
        <v>197.74300000000002</v>
      </c>
      <c r="L25" s="276">
        <f t="shared" si="7"/>
        <v>0</v>
      </c>
      <c r="M25" s="232">
        <f t="shared" si="7"/>
        <v>4435.0929999999998</v>
      </c>
      <c r="N25" s="233">
        <f>SUM(N16:N24)</f>
        <v>1067.7966101694913</v>
      </c>
      <c r="O25" s="101">
        <f>SUM(O16:O24)</f>
        <v>27.514448050847456</v>
      </c>
      <c r="P25" s="113">
        <f>SUM(P16:P24)</f>
        <v>5530.4040582203388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5649.8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1016.9639999999999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197.74300000000002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4435.0929999999998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1067.7966101694913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5502.8896101694909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27.514448050847456</v>
      </c>
    </row>
    <row r="35" spans="2:16" ht="15.75" customHeight="1" thickBot="1" x14ac:dyDescent="0.4">
      <c r="N35" s="372" t="s">
        <v>88</v>
      </c>
      <c r="O35" s="373"/>
      <c r="P35" s="297">
        <f>+P33+P34</f>
        <v>5530.4040582203379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9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203.39200000000002</v>
      </c>
      <c r="L25" s="276">
        <f t="shared" si="7"/>
        <v>0</v>
      </c>
      <c r="M25" s="232">
        <f t="shared" si="7"/>
        <v>4561.7919999999995</v>
      </c>
      <c r="N25" s="233">
        <f>SUM(N16:N24)</f>
        <v>1098.3050847457628</v>
      </c>
      <c r="O25" s="101">
        <f>SUM(O16:O24)</f>
        <v>28.300485423728812</v>
      </c>
      <c r="P25" s="113">
        <f>SUM(P16:P24)</f>
        <v>5688.3975701694908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5811.2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1046.0159999999998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203.39200000000002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4561.7920000000004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5660.0970847457629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28.300485423728816</v>
      </c>
    </row>
    <row r="35" spans="2:16" ht="15.75" customHeight="1" thickBot="1" x14ac:dyDescent="0.4">
      <c r="N35" s="372" t="s">
        <v>88</v>
      </c>
      <c r="O35" s="373"/>
      <c r="P35" s="297">
        <f>+P33+P34</f>
        <v>5688.3975701694917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146.89500000000001</v>
      </c>
      <c r="L25" s="276">
        <f t="shared" si="7"/>
        <v>0</v>
      </c>
      <c r="M25" s="232">
        <f t="shared" si="7"/>
        <v>3294.645</v>
      </c>
      <c r="N25" s="233">
        <f>SUM(N16:N24)</f>
        <v>793.22033898305051</v>
      </c>
      <c r="O25" s="101">
        <f>SUM(O16:O24)</f>
        <v>20.439326694915252</v>
      </c>
      <c r="P25" s="113">
        <f>SUM(P16:P24)</f>
        <v>4108.3046656779661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4197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755.45999999999992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146.89500000000001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3294.645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4087.8653389830506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20.439326694915252</v>
      </c>
    </row>
    <row r="35" spans="2:16" ht="15.75" customHeight="1" thickBot="1" x14ac:dyDescent="0.4">
      <c r="N35" s="372" t="s">
        <v>88</v>
      </c>
      <c r="O35" s="373"/>
      <c r="P35" s="297">
        <f>+P33+P34</f>
        <v>4108.3046656779661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2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2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8.75" customHeight="1" x14ac:dyDescent="0.4">
      <c r="A6" s="398" t="s">
        <v>535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536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50.848000000000006</v>
      </c>
      <c r="L19" s="119">
        <f t="shared" si="1"/>
        <v>0</v>
      </c>
      <c r="M19" s="230">
        <f t="shared" si="2"/>
        <v>1140.4479999999999</v>
      </c>
      <c r="N19" s="277">
        <f t="shared" si="3"/>
        <v>274.57627118644069</v>
      </c>
      <c r="O19" s="239">
        <f t="shared" si="4"/>
        <v>7.075121355932203</v>
      </c>
      <c r="P19" s="311">
        <f t="shared" si="5"/>
        <v>1422.0993925423727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3928.2184999999995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5004.1000000000004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900.73799999999983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175.14350000000002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3928.2185000000009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4873.9812118644077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72" t="s">
        <v>88</v>
      </c>
      <c r="O35" s="373"/>
      <c r="P35" s="297">
        <f>+P33+P34</f>
        <v>4898.3511179237294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537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5004.1000000000004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900.73799999999983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175.14350000000002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3928.2185000000009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4873.9812118644077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72" t="s">
        <v>88</v>
      </c>
      <c r="O35" s="373"/>
      <c r="P35" s="297">
        <f>+P33+P34</f>
        <v>4898.3511179237294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538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73.447500000000005</v>
      </c>
      <c r="L16" s="118">
        <f>$I16*U16</f>
        <v>0</v>
      </c>
      <c r="M16" s="229">
        <f>I16-SUM(J16:L16)</f>
        <v>1647.3225</v>
      </c>
      <c r="N16" s="248">
        <f>+(G16*D16+H16)*V16</f>
        <v>396.61016949152526</v>
      </c>
      <c r="O16" s="238">
        <f>(N16+M16)*$O$15</f>
        <v>10.219663347457626</v>
      </c>
      <c r="P16" s="310">
        <f>M16+N16+O16</f>
        <v>2054.1523328389831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1647.3225</v>
      </c>
      <c r="N17" s="277">
        <f t="shared" ref="N17:N24" si="3">+(G17*D17+H17)*V17</f>
        <v>396.61016949152526</v>
      </c>
      <c r="O17" s="239">
        <f t="shared" ref="O17:O24" si="4">(N17+M17)*$O$15</f>
        <v>10.219663347457626</v>
      </c>
      <c r="P17" s="311">
        <f t="shared" ref="P17:P24" si="5">M17+N17+O17</f>
        <v>2054.1523328389831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146.89500000000001</v>
      </c>
      <c r="L25" s="276">
        <f t="shared" si="7"/>
        <v>0</v>
      </c>
      <c r="M25" s="232">
        <f t="shared" si="7"/>
        <v>3294.645</v>
      </c>
      <c r="N25" s="233">
        <f>SUM(N16:N24)</f>
        <v>793.22033898305051</v>
      </c>
      <c r="O25" s="101">
        <f>SUM(O16:O24)</f>
        <v>20.439326694915252</v>
      </c>
      <c r="P25" s="113">
        <f>SUM(P16:P24)</f>
        <v>4108.3046656779661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4197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755.45999999999992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146.89500000000001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3294.645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4087.8653389830506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20.439326694915252</v>
      </c>
    </row>
    <row r="35" spans="2:16" ht="15.75" customHeight="1" thickBot="1" x14ac:dyDescent="0.4">
      <c r="N35" s="372" t="s">
        <v>88</v>
      </c>
      <c r="O35" s="373"/>
      <c r="P35" s="297">
        <f>+P33+P34</f>
        <v>4108.3046656779661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539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2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540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73.447500000000005</v>
      </c>
      <c r="L25" s="276">
        <f t="shared" si="7"/>
        <v>0</v>
      </c>
      <c r="M25" s="232">
        <f t="shared" si="7"/>
        <v>1647.3225</v>
      </c>
      <c r="N25" s="233">
        <f>SUM(N16:N24)</f>
        <v>396.61016949152526</v>
      </c>
      <c r="O25" s="101">
        <f>SUM(O16:O24)</f>
        <v>10.219663347457626</v>
      </c>
      <c r="P25" s="113">
        <f>SUM(P16:P24)</f>
        <v>2054.1523328389831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2098.5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377.72999999999996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73.447500000000005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1647.3225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2043.9326694915253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10.219663347457626</v>
      </c>
    </row>
    <row r="35" spans="2:16" ht="15.75" customHeight="1" thickBot="1" x14ac:dyDescent="0.4">
      <c r="N35" s="372" t="s">
        <v>88</v>
      </c>
      <c r="O35" s="373"/>
      <c r="P35" s="297">
        <f>+P33+P34</f>
        <v>2054.1523328389831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541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101.69600000000001</v>
      </c>
      <c r="L19" s="119">
        <f t="shared" si="1"/>
        <v>0</v>
      </c>
      <c r="M19" s="230">
        <f t="shared" si="2"/>
        <v>2280.8959999999997</v>
      </c>
      <c r="N19" s="277">
        <f t="shared" si="3"/>
        <v>549.15254237288138</v>
      </c>
      <c r="O19" s="239">
        <f t="shared" si="4"/>
        <v>14.150242711864406</v>
      </c>
      <c r="P19" s="311">
        <f t="shared" si="5"/>
        <v>2844.1987850847454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101.69600000000001</v>
      </c>
      <c r="L20" s="119">
        <f t="shared" si="1"/>
        <v>0</v>
      </c>
      <c r="M20" s="230">
        <f t="shared" si="2"/>
        <v>2280.8959999999997</v>
      </c>
      <c r="N20" s="277">
        <f t="shared" si="3"/>
        <v>549.15254237288138</v>
      </c>
      <c r="O20" s="239">
        <f t="shared" si="4"/>
        <v>14.150242711864406</v>
      </c>
      <c r="P20" s="311">
        <f t="shared" si="5"/>
        <v>2844.1987850847454</v>
      </c>
      <c r="Q20" s="156"/>
      <c r="R20">
        <f>P20/21</f>
        <v>135.43803738498787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0</v>
      </c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276.83950000000004</v>
      </c>
      <c r="L25" s="276">
        <f t="shared" si="7"/>
        <v>0</v>
      </c>
      <c r="M25" s="232">
        <f t="shared" si="7"/>
        <v>6209.1144999999997</v>
      </c>
      <c r="N25" s="233">
        <f>SUM(N16:N24)</f>
        <v>1494.9152542372881</v>
      </c>
      <c r="O25" s="101">
        <f>SUM(O16:O24)</f>
        <v>38.520148771186442</v>
      </c>
      <c r="P25" s="113">
        <f>SUM(P16:P24)</f>
        <v>7742.5499030084738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7909.7000000000007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1423.7459999999996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276.83950000000004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6209.1145000000015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7704.02975423729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38.520148771186449</v>
      </c>
    </row>
    <row r="35" spans="2:16" ht="15.75" customHeight="1" thickBot="1" x14ac:dyDescent="0.4">
      <c r="N35" s="372" t="s">
        <v>88</v>
      </c>
      <c r="O35" s="373"/>
      <c r="P35" s="297">
        <f>+P33+P34</f>
        <v>7742.5499030084766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3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542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5004.1000000000004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900.73799999999983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175.14350000000002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3928.2185000000009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4873.9812118644077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72" t="s">
        <v>88</v>
      </c>
      <c r="O35" s="373"/>
      <c r="P35" s="297">
        <f>+P33+P34</f>
        <v>4898.3511179237294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544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543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73.447500000000005</v>
      </c>
      <c r="L18" s="119">
        <f t="shared" si="1"/>
        <v>0</v>
      </c>
      <c r="M18" s="230">
        <f t="shared" si="2"/>
        <v>1647.3225</v>
      </c>
      <c r="N18" s="277">
        <f t="shared" si="3"/>
        <v>396.61016949152526</v>
      </c>
      <c r="O18" s="239">
        <f t="shared" si="4"/>
        <v>10.219663347457626</v>
      </c>
      <c r="P18" s="311">
        <f t="shared" si="5"/>
        <v>2054.1523328389831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101.69600000000001</v>
      </c>
      <c r="L21" s="119">
        <f t="shared" si="1"/>
        <v>0</v>
      </c>
      <c r="M21" s="230">
        <f t="shared" si="2"/>
        <v>2280.8959999999997</v>
      </c>
      <c r="N21" s="277">
        <f t="shared" si="3"/>
        <v>549.15254237288138</v>
      </c>
      <c r="O21" s="239">
        <f t="shared" si="4"/>
        <v>14.150242711864406</v>
      </c>
      <c r="P21" s="311">
        <f t="shared" si="5"/>
        <v>2844.1987850847454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175.14350000000002</v>
      </c>
      <c r="L25" s="276">
        <f t="shared" si="7"/>
        <v>0</v>
      </c>
      <c r="M25" s="232">
        <f t="shared" si="7"/>
        <v>3928.2184999999999</v>
      </c>
      <c r="N25" s="233">
        <f>SUM(N16:N24)</f>
        <v>945.76271186440658</v>
      </c>
      <c r="O25" s="101">
        <f>SUM(O16:O24)</f>
        <v>24.369906059322034</v>
      </c>
      <c r="P25" s="113">
        <f>SUM(P16:P24)</f>
        <v>4898.3511179237285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5004.1000000000004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900.73799999999983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175.14350000000002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3928.2185000000009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4873.9812118644077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24.369906059322037</v>
      </c>
    </row>
    <row r="35" spans="2:16" ht="15.75" customHeight="1" thickBot="1" x14ac:dyDescent="0.4">
      <c r="N35" s="372" t="s">
        <v>88</v>
      </c>
      <c r="O35" s="373"/>
      <c r="P35" s="297">
        <f>+P33+P34</f>
        <v>4898.3511179237294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514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46265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46264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515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512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95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0.18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46266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46265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2026-08-31T06:49:29Z</dcterms:modified>
</cp:coreProperties>
</file>