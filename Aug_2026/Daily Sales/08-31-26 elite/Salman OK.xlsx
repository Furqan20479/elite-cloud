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962DA7-856C-4274-96FD-2818D079DBC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3" l="1"/>
  <c r="O21" i="43" s="1"/>
  <c r="P21" i="43" s="1"/>
  <c r="M20" i="57"/>
  <c r="O20" i="57" s="1"/>
  <c r="P20" i="57" s="1"/>
  <c r="R20" i="57" s="1"/>
  <c r="M21" i="53"/>
  <c r="O21" i="53" s="1"/>
  <c r="P21" i="53" s="1"/>
  <c r="M20" i="53"/>
  <c r="O20" i="53" s="1"/>
  <c r="P20" i="53" s="1"/>
  <c r="R20" i="53" s="1"/>
  <c r="J7" i="62"/>
  <c r="M17" i="44"/>
  <c r="O17" i="44" s="1"/>
  <c r="P17" i="44" s="1"/>
  <c r="M16" i="44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<sst xmlns="http://schemas.openxmlformats.org/spreadsheetml/2006/main" count="3948" uniqueCount="534">
  <si>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</si>
  <si>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</si>
  <si>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</si>
  <si>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</si>
  <si>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</si>
  <si>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</si>
  <si>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</si>
  <si>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</si>
  <si>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</si>
  <si>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</si>
  <si>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</si>
  <si>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</si>
  <si>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</si>
  <si>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</si>
  <si>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</si>
  <si>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</si>
  <si>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</si>
  <si>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</si>
  <si>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</si>
  <si>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</si>
  <si>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</si>
  <si>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</si>
  <si>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</si>
  <si>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</si>
  <si>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</si>
  <si>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</si>
  <si>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</si>
  <si>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</si>
  <si>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</si>
  <si>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</si>
  <si>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</si>
  <si>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</si>
  <si>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</si>
  <si>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</si>
  <si>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</si>
  <si>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</si>
  <si>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</si>
  <si>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</si>
  <si>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</si>
  <si>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</si>
  <si>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</si>
  <si>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</si>
  <si>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</si>
  <si>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</si>
  <si>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</si>
  <si>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</si>
  <si>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</si>
  <si>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</si>
  <si>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</si>
  <si>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</si>
  <si>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</si>
  <si>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</si>
  <si>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</si>
  <si>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</si>
  <si>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</si>
  <si>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</si>
  <si>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</si>
  <si>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</si>
  <si>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</si>
  <si>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</si>
  <si>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</si>
  <si>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</si>
  <si>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</si>
  <si>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</si>
  <si>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</si>
  <si>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</si>
  <si>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</si>
  <si>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</si>
  <si>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</si>
  <si>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</si>
  <si>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</si>
  <si>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</si>
  <si>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</si>
  <si>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</si>
  <si>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</si>
  <si>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</si>
  <si>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</si>
  <si>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</si>
  <si>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</si>
  <si>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</si>
  <si>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</si>
  <si>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</si>
  <si>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</si>
  <si>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</si>
  <si>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</si>
  <si>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</si>
  <si>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</si>
  <si>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</si>
  <si>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</si>
  <si>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</si>
  <si>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</si>
  <si>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</si>
  <si>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</si>
  <si>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</si>
  <si>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</si>
  <si>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</si>
  <si>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</si>
  <si>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</si>
  <si>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</si>
  <si>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</si>
  <si>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</si>
  <si>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</si>
  <si>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</si>
  <si>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</si>
  <si>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</si>
  <si>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</si>
  <si>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</si>
  <si>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</si>
  <si>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</si>
  <si>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</si>
  <si>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</si>
  <si>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</si>
  <si>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</si>
  <si>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</si>
  <si>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</si>
  <si>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</si>
  <si>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</si>
  <si>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</si>
  <si>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</si>
  <si>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</si>
  <si>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</si>
  <si>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</si>
  <si>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</si>
  <si>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</si>
  <si>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</si>
  <si>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</si>
  <si>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</si>
  <si>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</si>
  <si>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</si>
  <si>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</si>
  <si>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</si>
  <si>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</si>
  <si>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</si>
  <si>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</si>
  <si>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</si>
  <si>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</si>
  <si>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</si>
  <si>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</si>
  <si>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</si>
  <si>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</si>
  <si>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</si>
  <si>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</si>
  <si>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</si>
  <si>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</si>
  <si>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</si>
  <si>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</si>
  <si>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</si>
  <si>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</si>
  <si>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</si>
  <si>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</si>
  <si>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</si>
  <si>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</si>
  <si>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</si>
  <si>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</si>
  <si>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</si>
  <si>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</si>
  <si>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</si>
  <si>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</si>
  <si>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</si>
  <si>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</si>
  <si>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</si>
  <si>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</si>
  <si>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</si>
  <si>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</si>
  <si>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</si>
  <si>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</si>
  <si>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</si>
  <si>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</si>
  <si>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</si>
  <si>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</si>
  <si>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</si>
  <si>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</si>
  <si>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</si>
  <si>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</si>
  <si>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</si>
  <si>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</si>
  <si>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</si>
  <si>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</si>
  <si>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</si>
  <si>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</si>
  <si>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</si>
  <si>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</si>
  <si>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</si>
  <si>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</si>
  <si>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</si>
  <si>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</si>
  <si>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</si>
  <si>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</si>
  <si>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</si>
  <si>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</si>
  <si>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</si>
  <si>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</si>
  <si>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</si>
  <si>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</si>
  <si>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</si>
  <si>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</si>
  <si>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</si>
  <si>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</si>
  <si>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</si>
  <si>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</si>
  <si>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</si>
  <si>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</si>
  <si>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</si>
  <si>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</si>
  <si>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</si>
  <si>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</si>
  <si>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</si>
  <si>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</si>
  <si>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</si>
  <si>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</si>
  <si>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</si>
  <si>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</si>
  <si>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</si>
  <si>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</si>
  <si>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</si>
  <si>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</si>
  <si>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</si>
  <si>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</si>
  <si>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</si>
  <si>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</si>
  <si>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</si>
  <si>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</si>
  <si>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</si>
  <si>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</si>
  <si>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</si>
  <si>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</si>
  <si>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</si>
  <si>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</si>
  <si>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</si>
  <si>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</si>
  <si>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</si>
  <si>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</si>
  <si>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</si>
  <si>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</si>
  <si>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</si>
  <si>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</si>
  <si>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</si>
  <si>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</si>
  <si>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</si>
  <si>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</si>
  <si>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</si>
  <si>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</si>
  <si>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</si>
  <si>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</si>
  <si>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</si>
  <si>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</si>
  <si>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</si>
  <si>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</si>
  <si>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</si>
  <si>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</si>
  <si>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</si>
  <si>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</si>
  <si>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</si>
  <si>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</si>
  <si>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</si>
  <si>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</si>
  <si>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</si>
  <si>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</si>
  <si>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</si>
  <si>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</si>
  <si>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</si>
  <si>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</si>
  <si>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</si>
  <si>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</si>
  <si>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</si>
  <si>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</si>
  <si>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</si>
  <si>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</si>
  <si>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</si>
  <si>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</si>
  <si>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</si>
  <si>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</si>
  <si>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</si>
  <si>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</si>
  <si>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</si>
  <si>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</si>
  <si>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</si>
  <si>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</si>
  <si>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</si>
  <si>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</si>
  <si>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</si>
  <si>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</si>
  <si>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</si>
  <si>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</si>
  <si>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</si>
  <si>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</si>
  <si>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</si>
  <si>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</si>
  <si>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</si>
  <si>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</si>
  <si>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</si>
  <si>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</si>
  <si>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</si>
  <si>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</si>
  <si>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</si>
  <si>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</si>
  <si>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</si>
  <si>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</si>
  <si>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</si>
  <si>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</si>
  <si>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</si>
  <si>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</si>
  <si>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</si>
  <si>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</si>
  <si>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</si>
  <si>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</si>
  <si>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</si>
  <si>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</si>
  <si>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</si>
  <si>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</si>
  <si>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</si>
  <si>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</si>
  <si>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</si>
  <si>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</si>
  <si>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</si>
  <si>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</si>
  <si>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</si>
  <si>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</si>
  <si>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</si>
  <si>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</si>
  <si>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</si>
  <si>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</si>
  <si>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</si>
  <si>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</si>
  <si>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</si>
  <si>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</si>
  <si>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</si>
  <si>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</si>
  <si>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</si>
  <si>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</si>
  <si>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</si>
  <si>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</si>
  <si>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</si>
  <si>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</si>
  <si>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</si>
  <si>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</si>
  <si>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</si>
  <si>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</si>
  <si>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</si>
  <si>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</si>
  <si>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</si>
  <si>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</si>
  <si>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</si>
  <si>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</si>
  <si>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</si>
  <si>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</si>
  <si>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</si>
  <si>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</si>
  <si>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</si>
  <si>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</si>
  <si>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</si>
  <si>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</si>
  <si>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</si>
  <si>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</si>
  <si>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</si>
  <si>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</si>
  <si>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</si>
  <si>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</si>
  <si>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</si>
  <si>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</si>
  <si>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</si>
  <si>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</si>
  <si>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</si>
  <si>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</si>
  <si>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</si>
  <si>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</si>
  <si>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</si>
  <si>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</si>
  <si>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</si>
  <si>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</si>
  <si>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</si>
  <si>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</si>
  <si>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</si>
  <si>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</si>
  <si>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</si>
  <si>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</si>
  <si>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</si>
  <si>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</si>
  <si>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</si>
  <si>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</si>
  <si>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</si>
  <si>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</si>
  <si>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</si>
  <si>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</si>
  <si>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</si>
  <si>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</si>
  <si>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</si>
  <si>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</si>
  <si>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</si>
  <si>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</si>
  <si>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</si>
  <si>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</si>
  <si>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</si>
  <si>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</si>
  <si>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</si>
  <si>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</si>
  <si>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</si>
  <si>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</si>
  <si>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</si>
  <si>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</si>
  <si>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</si>
  <si>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</si>
  <si>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</si>
  <si>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</si>
  <si>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</si>
  <si>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</si>
  <si>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</si>
  <si>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</si>
  <si>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</si>
  <si>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</si>
  <si>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</si>
  <si>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</si>
  <si>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</si>
  <si>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</si>
  <si>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</si>
  <si>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</si>
  <si>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</si>
  <si>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</si>
  <si>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</si>
  <si>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</si>
  <si>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</si>
  <si>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</si>
  <si>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</si>
  <si>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</si>
  <si>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</si>
  <si>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</si>
  <si>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</si>
  <si>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</si>
  <si>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</si>
  <si>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</si>
  <si>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</si>
  <si>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</si>
  <si>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</si>
  <si>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</si>
  <si>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</si>
  <si>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</si>
  <si>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</si>
  <si>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</si>
  <si>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</si>
  <si>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</si>
  <si>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</si>
  <si>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</si>
  <si>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</si>
  <si>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</si>
  <si>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</si>
  <si>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</si>
  <si>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</si>
  <si>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</si>
  <si>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</si>
  <si>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</si>
  <si>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</si>
  <si>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</si>
  <si>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</si>
  <si>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</si>
  <si>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</si>
  <si>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</si>
  <si>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</si>
  <si>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</si>
  <si>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</si>
  <si>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</si>
  <si>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</si>
  <si>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</si>
  <si>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</si>
  <si>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</si>
  <si>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</si>
  <si>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</si>
  <si>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</si>
  <si>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</si>
  <si>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</si>
  <si>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</si>
  <si>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</si>
  <si>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</si>
  <si>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</si>
  <si>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</si>
  <si>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</si>
  <si>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</si>
  <si>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</si>
  <si>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</si>
  <si>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</si>
  <si>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</si>
  <si>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</si>
  <si>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</si>
  <si>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</si>
  <si>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</si>
  <si>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</si>
  <si>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</si>
  <si>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</si>
  <si>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</si>
  <si>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</si>
  <si>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</si>
  <si>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</si>
  <si>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</si>
  <si>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</si>
  <si>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</si>
  <si>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</si>
  <si>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</si>
  <si>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</si>
  <si>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</si>
  <si>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</si>
  <si>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</si>
  <si>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</si>
  <si>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</si>
  <si>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</si>
  <si>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</si>
  <si>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</si>
  <si>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</si>
  <si>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</si>
  <si>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</si>
  <si>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</si>
  <si>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</si>
  <si>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</si>
  <si>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</si>
  <si>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</si>
  <si>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</si>
  <si>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>Address: Cant Shami Road</t>
  </si>
  <si>
    <t xml:space="preserve">Ahmad Mart </t>
  </si>
  <si>
    <t xml:space="preserve">Al Falah Bakers </t>
  </si>
  <si>
    <t>Wali Super Store</t>
  </si>
  <si>
    <t>Najeeb Khatak Stoer</t>
  </si>
  <si>
    <t>Tanveer Store</t>
  </si>
  <si>
    <t>Mahmood Store</t>
  </si>
  <si>
    <t>Ali Store</t>
  </si>
  <si>
    <t>Rehan Store</t>
  </si>
  <si>
    <t>Kazi Store</t>
  </si>
  <si>
    <t>Gujejr Store</t>
  </si>
  <si>
    <t>Kashmir  Store</t>
  </si>
  <si>
    <t>Shadid Sons Store</t>
  </si>
  <si>
    <t>Hafiz Waseen Store</t>
  </si>
  <si>
    <t>Iftkhat Store</t>
  </si>
  <si>
    <t>Lala GS</t>
  </si>
  <si>
    <t>Zubair Store</t>
  </si>
  <si>
    <t>Faizan Store</t>
  </si>
  <si>
    <t>Nazar Ali Store</t>
  </si>
  <si>
    <t>Ayub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</si>
</sst>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Ahmad Mart </v>
      </c>
      <c r="T3" s="301">
        <f>+'1'!P35</f>
        <v>10667.494756649361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Al Falah Bakers </v>
      </c>
      <c r="T4" s="301">
        <f>+'2'!P35</f>
        <v>4021.3366023050849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Wali Super Store</v>
      </c>
      <c r="T5" s="301">
        <f>+'3'!P35</f>
        <v>4530.103165677966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Najeeb Khatak Stoer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69</v>
      </c>
      <c r="I7" s="235">
        <f>(G7*D7)*F7+H7*F7</f>
        <v>3619.9124999999999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289.59300000000002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126.69693749999998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3203.6225624999997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684.15254237288093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19.438875524364409</v>
      </c>
      <c r="P7" s="310">
        <f>M7+N7+O7</f>
        <v>3907.213980397245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14</v>
      </c>
      <c r="R7" s="314">
        <v>5</v>
      </c>
      <c r="S7" s="300" t="str">
        <f>+'5'!A6:A6</f>
        <v>Tanveer Store</v>
      </c>
      <c r="T7" s="301">
        <f>+'5'!P35</f>
        <v>169.87886871292369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91.809374999999989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495.76271186440664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14.086141684322037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>Mahmood Store</v>
      </c>
      <c r="T8" s="301">
        <f>+'6'!P35</f>
        <v>169.87886871292369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70</v>
      </c>
      <c r="I9" s="236">
        <f t="shared" si="0"/>
        <v>3672.375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128.53312500000001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3250.0518750000001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694.06779661016901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19.72059835805085</v>
      </c>
      <c r="P9" s="311">
        <f t="shared" si="2"/>
        <v>3963.8402699682197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4">
        <v>7</v>
      </c>
      <c r="S9" s="300" t="str">
        <f>+'7'!A6:A6</f>
        <v>Ali Store</v>
      </c>
      <c r="T9" s="301">
        <f>+'7'!P35</f>
        <v>169.87886871292369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59</v>
      </c>
      <c r="I10" s="236">
        <f t="shared" si="0"/>
        <v>4285.76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342.86079999999998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150.00159999999997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3792.8976000000002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809.99999999999989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23.014487999999997</v>
      </c>
      <c r="P10" s="311">
        <f t="shared" si="2"/>
        <v>4625.912088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14</v>
      </c>
      <c r="R10" s="314">
        <v>8</v>
      </c>
      <c r="S10" s="300" t="str">
        <f>+'8'!A6:A6</f>
        <v>Rehan Store</v>
      </c>
      <c r="T10" s="301">
        <f>+'8'!P35</f>
        <v>339.75773742584738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</v>
      </c>
      <c r="I11" s="236">
        <f t="shared" si="0"/>
        <v>2542.4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88.984000000000009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2250.0239999999999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480.50847457627106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13.652662372881352</v>
      </c>
      <c r="P11" s="311">
        <f t="shared" si="2"/>
        <v>2744.1851369491524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4">
        <v>9</v>
      </c>
      <c r="S11" s="300" t="str">
        <f>+'9'!A6:A6</f>
        <v>Kazi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45</v>
      </c>
      <c r="I12" s="236">
        <f t="shared" si="0"/>
        <v>3268.8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114.40800000000002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2892.8879999999999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617.79661016949137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17.553423050847453</v>
      </c>
      <c r="P12" s="311">
        <f t="shared" si="2"/>
        <v>3528.2380332203388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25</v>
      </c>
      <c r="R12" s="314">
        <v>10</v>
      </c>
      <c r="S12" s="300" t="str">
        <f>+'10'!A6:A6</f>
        <v>Gujejr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Kashmir  Store</v>
      </c>
      <c r="T13" s="301">
        <f>+'11'!P35</f>
        <v>169.87886871292369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Shadid Sons Store</v>
      </c>
      <c r="T14" s="301">
        <f>+'12'!P35</f>
        <v>235.21586888135593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Hafiz Waseen Store</v>
      </c>
      <c r="T15" s="301">
        <f>+'13'!P35</f>
        <v>235.21586888135593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9.1999999999999993</v>
      </c>
      <c r="H16" s="113">
        <f t="shared" ref="H16:M16" si="3">SUM(H7:H15)</f>
        <v>368</v>
      </c>
      <c r="I16" s="114">
        <f t="shared" si="3"/>
        <v>21581.572500000002</v>
      </c>
      <c r="J16" s="274">
        <f>SUM(J7:J15)</f>
        <v>1679.4498000000003</v>
      </c>
      <c r="K16" s="275">
        <f t="shared" si="3"/>
        <v>755.35503749999998</v>
      </c>
      <c r="L16" s="276">
        <f t="shared" si="3"/>
        <v>80.029200000000003</v>
      </c>
      <c r="M16" s="232">
        <f t="shared" si="3"/>
        <v>19066.738462499998</v>
      </c>
      <c r="N16" s="233">
        <f>SUM(N7:N15)</f>
        <v>4087.372881355931</v>
      </c>
      <c r="O16" s="101">
        <f>SUM(O7:O15)</f>
        <v>115.77055671927967</v>
      </c>
      <c r="P16" s="113">
        <f>SUM(P7:P15)</f>
        <v>23269.881900575212</v>
      </c>
      <c r="Q16" s="128">
        <f>SUM(Q7:Q15)</f>
        <v>92</v>
      </c>
      <c r="R16" s="314">
        <v>14</v>
      </c>
      <c r="S16" s="318" t="str">
        <f>+'14'!A6:A6</f>
        <v>Iftkhat Store</v>
      </c>
      <c r="T16" s="301">
        <f>+'14'!P35</f>
        <v>235.21586888135593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Lala GS</v>
      </c>
      <c r="T17" s="301">
        <f>+'15'!P35</f>
        <v>235.21586888135593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Zubair Store</v>
      </c>
      <c r="T18" s="301">
        <f>+'16'!P35</f>
        <v>235.21586888135593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21581.572500000002</v>
      </c>
      <c r="R19" s="299">
        <v>17</v>
      </c>
      <c r="S19" s="300" t="str">
        <f>+'17'!A6:A6</f>
        <v>Faizan Store</v>
      </c>
      <c r="T19" s="301">
        <f>+'17'!P35</f>
        <v>470.43173776271186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1679.4498000000003</v>
      </c>
      <c r="R20" s="299">
        <v>18</v>
      </c>
      <c r="S20" s="300" t="str">
        <f>+'18'!A6:A6</f>
        <v>Nazar Ali Store</v>
      </c>
      <c r="T20" s="301">
        <f>+'18'!P35</f>
        <v>235.21586888135593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835.38423749999993</v>
      </c>
      <c r="R21" s="299">
        <v>19</v>
      </c>
      <c r="S21" s="300" t="str">
        <f>+'19'!A6:A6</f>
        <v>Ayub Store</v>
      </c>
      <c r="T21" s="301">
        <f>+'19'!P35</f>
        <v>470.43173776271186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19066.738462500001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4087.372881355931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23154.111343855933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115.77055671927967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23269.881900575212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23269.881900575198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P35" sqref="P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39</v>
      </c>
      <c r="I16" s="235">
        <f>(G16*D16)*F16+H16*F16</f>
        <v>2046.0374999999999</v>
      </c>
      <c r="J16" s="271">
        <f>$I16*S16</f>
        <v>163.68299999999999</v>
      </c>
      <c r="K16" s="127">
        <f>$I16*T16</f>
        <v>71.611312499999997</v>
      </c>
      <c r="L16" s="118">
        <f>$I16*U16</f>
        <v>0</v>
      </c>
      <c r="M16" s="229">
        <f>I16-SUM(J16:L16)</f>
        <v>1810.7431875</v>
      </c>
      <c r="N16" s="248">
        <f>+(G16*D16+H16)*V16</f>
        <v>386.69491525423712</v>
      </c>
      <c r="O16" s="238">
        <f>(N16+M16)*$O$15</f>
        <v>10.987190513771186</v>
      </c>
      <c r="P16" s="310">
        <f>M16+N16+O16</f>
        <v>2208.4252932680083</v>
      </c>
      <c r="Q16" s="156">
        <v>1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39</v>
      </c>
      <c r="I19" s="236">
        <f t="shared" si="7"/>
        <v>2832.96</v>
      </c>
      <c r="J19" s="272">
        <f t="shared" si="1"/>
        <v>226.63679999999999</v>
      </c>
      <c r="K19" s="128">
        <f t="shared" si="1"/>
        <v>99.153600000000012</v>
      </c>
      <c r="L19" s="119">
        <f t="shared" si="1"/>
        <v>0</v>
      </c>
      <c r="M19" s="230">
        <f t="shared" si="2"/>
        <v>2507.1696000000002</v>
      </c>
      <c r="N19" s="277">
        <f t="shared" si="3"/>
        <v>535.42372881355936</v>
      </c>
      <c r="O19" s="239">
        <f t="shared" si="4"/>
        <v>15.212966644067796</v>
      </c>
      <c r="P19" s="311">
        <f t="shared" si="5"/>
        <v>3057.8062954576271</v>
      </c>
      <c r="Q19" s="15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7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311">
        <f t="shared" si="5"/>
        <v>1960.1322406779661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158</v>
      </c>
      <c r="I25" s="114">
        <f t="shared" ref="I25:M25" si="10">SUM(I16:I24)</f>
        <v>9883.0974999999999</v>
      </c>
      <c r="J25" s="274">
        <f>SUM(J16:J24)</f>
        <v>790.64779999999996</v>
      </c>
      <c r="K25" s="275">
        <f t="shared" si="10"/>
        <v>345.9084125</v>
      </c>
      <c r="L25" s="276">
        <f t="shared" si="10"/>
        <v>0</v>
      </c>
      <c r="M25" s="232">
        <f t="shared" si="10"/>
        <v>8746.5412875000002</v>
      </c>
      <c r="N25" s="233">
        <f>SUM(N16:N24)</f>
        <v>1867.8813559322032</v>
      </c>
      <c r="O25" s="101">
        <f>SUM(O16:O24)</f>
        <v>53.072113217161011</v>
      </c>
      <c r="P25" s="113">
        <f>SUM(P16:P24)</f>
        <v>10667.494756649365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9883.0974999999999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790.64779999999996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345.9084125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8746.5412874999984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1867.8813559322032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10614.422643432201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53.072113217161004</v>
      </c>
    </row>
    <row r="35" spans="2:16" ht="15.75" customHeight="1" thickBot="1" x14ac:dyDescent="0.4">
      <c r="N35" s="373" t="s">
        <v>88</v>
      </c>
      <c r="O35" s="374"/>
      <c r="P35" s="297">
        <f>+P33+P34</f>
        <v>10667.494756649361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70</v>
      </c>
      <c r="I25" s="114">
        <f t="shared" si="7"/>
        <v>3748.4</v>
      </c>
      <c r="J25" s="274">
        <f>SUM(J16:J24)</f>
        <v>252.79600000000005</v>
      </c>
      <c r="K25" s="275">
        <f t="shared" si="7"/>
        <v>131.19400000000002</v>
      </c>
      <c r="L25" s="276">
        <f t="shared" si="7"/>
        <v>80.029200000000003</v>
      </c>
      <c r="M25" s="232">
        <f t="shared" si="7"/>
        <v>3284.3808000000004</v>
      </c>
      <c r="N25" s="233">
        <f>SUM(N16:N24)</f>
        <v>716.94915254237276</v>
      </c>
      <c r="O25" s="101">
        <f>SUM(O16:O24)</f>
        <v>20.006649762711866</v>
      </c>
      <c r="P25" s="113">
        <f>SUM(P16:P24)</f>
        <v>4021.3366023050849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3748.4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252.79600000000005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211.22320000000002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3284.3808000000004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716.94915254237276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4001.3299525423731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20.006649762711866</v>
      </c>
    </row>
    <row r="35" spans="2:16" ht="15.75" customHeight="1" thickBot="1" x14ac:dyDescent="0.4">
      <c r="N35" s="373" t="s">
        <v>88</v>
      </c>
      <c r="O35" s="374"/>
      <c r="P35" s="297">
        <f>+P33+P34</f>
        <v>4021.3366023050849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113">
        <f>SUM(P16:P24)</f>
        <v>4530.103165677966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335.76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146.89500000000001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3714.3449999999998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4507.5653389830504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3" t="s">
        <v>88</v>
      </c>
      <c r="O35" s="374"/>
      <c r="P35" s="297">
        <f>+P33+P34</f>
        <v>4530.103165677966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157.38749999999999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12.591000000000001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5.5085625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139.28793749999997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169.03370021186436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73" t="s">
        <v>88</v>
      </c>
      <c r="O35" s="374"/>
      <c r="P35" s="297">
        <f>+P33+P34</f>
        <v>169.87886871292369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157.38749999999999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12.591000000000001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5.5085625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139.28793749999997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169.03370021186436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73" t="s">
        <v>88</v>
      </c>
      <c r="O35" s="374"/>
      <c r="P35" s="297">
        <f>+P33+P34</f>
        <v>169.87886871292369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157.38749999999999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12.591000000000001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5.5085625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139.28793749999997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169.03370021186436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73" t="s">
        <v>88</v>
      </c>
      <c r="O35" s="374"/>
      <c r="P35" s="297">
        <f>+P33+P34</f>
        <v>169.87886871292369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157.38749999999999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12.591000000000001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5.5085625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139.28793749999997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169.03370021186436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73" t="s">
        <v>88</v>
      </c>
      <c r="O35" s="374"/>
      <c r="P35" s="297">
        <f>+P33+P34</f>
        <v>169.87886871292369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2026-09-01T13:52:03Z</dcterms:modified>
</cp:coreProperties>
</file>