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7B02E95-2C1B-4B73-B5F6-D4069D9604D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G16" i="62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53"/>
  <c r="O21" i="53" s="1"/>
  <c r="P21" i="53" s="1"/>
  <c r="M20" i="53"/>
  <c r="O20" i="53" s="1"/>
  <c r="P20" i="53" s="1"/>
  <c r="R20" i="53" s="1"/>
  <c r="J7" i="62"/>
  <c r="M17" i="44"/>
  <c r="O17" i="44" s="1"/>
  <c r="P17" i="44" s="1"/>
  <c r="M16" i="44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<sst xmlns="http://schemas.openxmlformats.org/spreadsheetml/2006/main" count="3948" uniqueCount="534">
  <si>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</si>
  <si>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</si>
  <si>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</si>
  <si>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</si>
  <si>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</si>
  <si>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</si>
  <si>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</si>
  <si>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</si>
  <si>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</si>
  <si>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</si>
  <si>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</si>
  <si>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</si>
  <si>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</si>
  <si>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</si>
  <si>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</si>
  <si>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</si>
  <si>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</si>
  <si>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</si>
  <si>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</si>
  <si>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</si>
  <si>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</si>
  <si>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</si>
  <si>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</si>
  <si>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</si>
  <si>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</si>
  <si>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</si>
  <si>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</si>
  <si>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</si>
  <si>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</si>
  <si>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</si>
  <si>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</si>
  <si>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</si>
  <si>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</si>
  <si>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</si>
  <si>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</si>
  <si>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</si>
  <si>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</si>
  <si>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</si>
  <si>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</si>
  <si>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</si>
  <si>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</si>
  <si>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</si>
  <si>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</si>
  <si>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</si>
  <si>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</si>
  <si>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</si>
  <si>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</si>
  <si>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</si>
  <si>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</si>
  <si>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</si>
  <si>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</si>
  <si>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</si>
  <si>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</si>
  <si>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</si>
  <si>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</si>
  <si>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</si>
  <si>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</si>
  <si>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</si>
  <si>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</si>
  <si>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</si>
  <si>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</si>
  <si>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</si>
  <si>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</si>
  <si>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</si>
  <si>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</si>
  <si>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</si>
  <si>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</si>
  <si>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</si>
  <si>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</si>
  <si>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</si>
  <si>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</si>
  <si>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</si>
  <si>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</si>
  <si>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</si>
  <si>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</si>
  <si>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</si>
  <si>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</si>
  <si>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</si>
  <si>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</si>
  <si>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</si>
  <si>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</si>
  <si>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</si>
  <si>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</si>
  <si>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</si>
  <si>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</si>
  <si>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</si>
  <si>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</si>
  <si>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</si>
  <si>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</si>
  <si>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</si>
  <si>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</si>
  <si>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</si>
  <si>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</si>
  <si>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</si>
  <si>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</si>
  <si>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</si>
  <si>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</si>
  <si>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</si>
  <si>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</si>
  <si>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</si>
  <si>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</si>
  <si>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</si>
  <si>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</si>
  <si>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</si>
  <si>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</si>
  <si>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</si>
  <si>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</si>
  <si>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</si>
  <si>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</si>
  <si>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</si>
  <si>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</si>
  <si>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</si>
  <si>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</si>
  <si>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</si>
  <si>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</si>
  <si>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</si>
  <si>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</si>
  <si>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</si>
  <si>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</si>
  <si>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</si>
  <si>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</si>
  <si>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</si>
  <si>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</si>
  <si>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</si>
  <si>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</si>
  <si>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</si>
  <si>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</si>
  <si>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</si>
  <si>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</si>
  <si>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</si>
  <si>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</si>
  <si>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</si>
  <si>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</si>
  <si>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</si>
  <si>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</si>
  <si>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</si>
  <si>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</si>
  <si>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</si>
  <si>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</si>
  <si>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</si>
  <si>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</si>
  <si>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</si>
  <si>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</si>
  <si>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</si>
  <si>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</si>
  <si>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</si>
  <si>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</si>
  <si>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</si>
  <si>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</si>
  <si>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</si>
  <si>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</si>
  <si>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</si>
  <si>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</si>
  <si>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</si>
  <si>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</si>
  <si>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</si>
  <si>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</si>
  <si>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</si>
  <si>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</si>
  <si>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</si>
  <si>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</si>
  <si>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</si>
  <si>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</si>
  <si>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</si>
  <si>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</si>
  <si>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</si>
  <si>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</si>
  <si>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</si>
  <si>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</si>
  <si>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</si>
  <si>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</si>
  <si>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</si>
  <si>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</si>
  <si>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</si>
  <si>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</si>
  <si>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</si>
  <si>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</si>
  <si>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</si>
  <si>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</si>
  <si>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</si>
  <si>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</si>
  <si>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</si>
  <si>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</si>
  <si>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</si>
  <si>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</si>
  <si>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</si>
  <si>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</si>
  <si>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</si>
  <si>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</si>
  <si>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</si>
  <si>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</si>
  <si>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</si>
  <si>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</si>
  <si>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</si>
  <si>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</si>
  <si>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</si>
  <si>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</si>
  <si>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</si>
  <si>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</si>
  <si>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</si>
  <si>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</si>
  <si>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</si>
  <si>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</si>
  <si>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</si>
  <si>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</si>
  <si>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</si>
  <si>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</si>
  <si>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</si>
  <si>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</si>
  <si>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</si>
  <si>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</si>
  <si>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</si>
  <si>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</si>
  <si>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</si>
  <si>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</si>
  <si>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</si>
  <si>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</si>
  <si>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</si>
  <si>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</si>
  <si>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</si>
  <si>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</si>
  <si>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</si>
  <si>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</si>
  <si>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</si>
  <si>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</si>
  <si>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</si>
  <si>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</si>
  <si>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</si>
  <si>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</si>
  <si>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</si>
  <si>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</si>
  <si>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</si>
  <si>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</si>
  <si>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</si>
  <si>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</si>
  <si>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</si>
  <si>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</si>
  <si>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</si>
  <si>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</si>
  <si>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</si>
  <si>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</si>
  <si>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</si>
  <si>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</si>
  <si>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</si>
  <si>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</si>
  <si>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</si>
  <si>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</si>
  <si>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</si>
  <si>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</si>
  <si>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</si>
  <si>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</si>
  <si>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</si>
  <si>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</si>
  <si>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</si>
  <si>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</si>
  <si>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</si>
  <si>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</si>
  <si>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</si>
  <si>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</si>
  <si>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</si>
  <si>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</si>
  <si>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</si>
  <si>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</si>
  <si>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</si>
  <si>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</si>
  <si>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</si>
  <si>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</si>
  <si>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</si>
  <si>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</si>
  <si>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</si>
  <si>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</si>
  <si>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</si>
  <si>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</si>
  <si>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</si>
  <si>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</si>
  <si>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</si>
  <si>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</si>
  <si>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</si>
  <si>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</si>
  <si>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</si>
  <si>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</si>
  <si>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</si>
  <si>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</si>
  <si>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</si>
  <si>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</si>
  <si>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</si>
  <si>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</si>
  <si>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</si>
  <si>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</si>
  <si>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</si>
  <si>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</si>
  <si>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</si>
  <si>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</si>
  <si>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</si>
  <si>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</si>
  <si>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</si>
  <si>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</si>
  <si>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</si>
  <si>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</si>
  <si>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</si>
  <si>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</si>
  <si>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</si>
  <si>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</si>
  <si>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</si>
  <si>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</si>
  <si>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</si>
  <si>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</si>
  <si>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</si>
  <si>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</si>
  <si>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</si>
  <si>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</si>
  <si>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</si>
  <si>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</si>
  <si>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</si>
  <si>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</si>
  <si>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</si>
  <si>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</si>
  <si>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</si>
  <si>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</si>
  <si>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</si>
  <si>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</si>
  <si>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</si>
  <si>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</si>
  <si>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</si>
  <si>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</si>
  <si>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</si>
  <si>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</si>
  <si>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</si>
  <si>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</si>
  <si>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</si>
  <si>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</si>
  <si>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</si>
  <si>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</si>
  <si>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</si>
  <si>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</si>
  <si>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</si>
  <si>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</si>
  <si>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</si>
  <si>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</si>
  <si>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</si>
  <si>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</si>
  <si>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</si>
  <si>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</si>
  <si>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</si>
  <si>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</si>
  <si>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</si>
  <si>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</si>
  <si>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</si>
  <si>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</si>
  <si>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</si>
  <si>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</si>
  <si>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</si>
  <si>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</si>
  <si>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</si>
  <si>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</si>
  <si>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</si>
  <si>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</si>
  <si>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</si>
  <si>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</si>
  <si>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</si>
  <si>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</si>
  <si>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</si>
  <si>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</si>
  <si>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</si>
  <si>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</si>
  <si>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</si>
  <si>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</si>
  <si>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</si>
  <si>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</si>
  <si>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</si>
  <si>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</si>
  <si>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</si>
  <si>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</si>
  <si>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</si>
  <si>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</si>
  <si>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</si>
  <si>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</si>
  <si>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</si>
  <si>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</si>
  <si>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</si>
  <si>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</si>
  <si>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</si>
  <si>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</si>
  <si>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</si>
  <si>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</si>
  <si>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</si>
  <si>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</si>
  <si>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</si>
  <si>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</si>
  <si>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</si>
  <si>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</si>
  <si>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</si>
  <si>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</si>
  <si>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</si>
  <si>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</si>
  <si>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</si>
  <si>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</si>
  <si>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</si>
  <si>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</si>
  <si>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</si>
  <si>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</si>
  <si>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</si>
  <si>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</si>
  <si>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</si>
  <si>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</si>
  <si>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</si>
  <si>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</si>
  <si>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</si>
  <si>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</si>
  <si>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</si>
  <si>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</si>
  <si>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</si>
  <si>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</si>
  <si>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</si>
  <si>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</si>
  <si>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</si>
  <si>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</si>
  <si>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</si>
  <si>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</si>
  <si>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</si>
  <si>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</si>
  <si>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</si>
  <si>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</si>
  <si>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</si>
  <si>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</si>
  <si>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</si>
  <si>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</si>
  <si>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</si>
  <si>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</si>
  <si>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</si>
  <si>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</si>
  <si>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</si>
  <si>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</si>
  <si>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</si>
  <si>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</si>
  <si>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</si>
  <si>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</si>
  <si>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</si>
  <si>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</si>
  <si>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</si>
  <si>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</si>
  <si>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</si>
  <si>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</si>
  <si>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</si>
  <si>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</si>
  <si>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</si>
  <si>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</si>
  <si>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</si>
  <si>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</si>
  <si>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</si>
  <si>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</si>
  <si>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</si>
  <si>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</si>
  <si>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</si>
  <si>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</si>
  <si>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</si>
  <si>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</si>
  <si>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</si>
  <si>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</si>
  <si>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</si>
  <si>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</si>
  <si>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</si>
  <si>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</si>
  <si>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</si>
  <si>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</si>
  <si>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</si>
  <si>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</si>
  <si>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</si>
  <si>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</si>
  <si>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</si>
  <si>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</si>
  <si>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</si>
  <si>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</si>
  <si>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</si>
  <si>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</si>
  <si>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</si>
  <si>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</si>
  <si>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</si>
  <si>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</si>
  <si>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</si>
  <si>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</si>
  <si>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</si>
  <si>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</si>
  <si>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</si>
  <si>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</si>
  <si>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</si>
  <si>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</si>
  <si>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</si>
  <si>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</si>
  <si>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</si>
  <si>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</si>
  <si>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</si>
  <si>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</si>
  <si>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</si>
  <si>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</si>
  <si>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</si>
  <si>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</si>
  <si>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</si>
  <si>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</si>
  <si>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</si>
  <si>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</si>
  <si>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</si>
  <si>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</si>
  <si>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</si>
  <si>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</si>
  <si>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</si>
  <si>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</si>
  <si>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</si>
  <si>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</si>
  <si>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</si>
  <si>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</si>
  <si>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</si>
  <si>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</si>
  <si>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</si>
  <si>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>Address: Cant Shami Road</t>
  </si>
  <si>
    <t xml:space="preserve">Ahmad Mart </t>
  </si>
  <si>
    <t xml:space="preserve">Al Falah Bakers </t>
  </si>
  <si>
    <t>Wali Super Store</t>
  </si>
  <si>
    <t>Najeeb Khatak Stoer</t>
  </si>
  <si>
    <t>Tanveer Store</t>
  </si>
  <si>
    <t>Mahmood Store</t>
  </si>
  <si>
    <t>Ali Store</t>
  </si>
  <si>
    <t>Rehan Store</t>
  </si>
  <si>
    <t>Kazi Store</t>
  </si>
  <si>
    <t>Gujejr Store</t>
  </si>
  <si>
    <t>Kashmir  Store</t>
  </si>
  <si>
    <t>Shadid Sons Store</t>
  </si>
  <si>
    <t>Hafiz Waseen Store</t>
  </si>
  <si>
    <t>Iftkhat Store</t>
  </si>
  <si>
    <t>Lala GS</t>
  </si>
  <si>
    <t>Zubair Store</t>
  </si>
  <si>
    <t>Faizan Store</t>
  </si>
  <si>
    <t>Nazar Ali Store</t>
  </si>
  <si>
    <t>Ayub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</si>
</sst>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Ahmad Mart 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Al Falah Bakers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Wali Super Store</v>
      </c>
      <c r="T5" s="301">
        <f>+'3'!P35</f>
        <v>4530.103165677966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Najeeb Khatak Stoer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83</v>
      </c>
      <c r="I7" s="235">
        <f>(G7*D7)*F7+H7*F7</f>
        <v>4354.3874999999998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348.351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152.40356249999996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3853.6329375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822.96610169491476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23.38299519597458</v>
      </c>
      <c r="P7" s="310">
        <f>M7+N7+O7</f>
        <v>4699.9820343908887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Tanveer Store</v>
      </c>
      <c r="T7" s="301">
        <f>+'5'!P35</f>
        <v>169.87886871292369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62</v>
      </c>
      <c r="I8" s="236">
        <f t="shared" ref="I8:I14" si="0">(G8*D8)*F8+H8*F8</f>
        <v>3252.6749999999997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260.214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113.84362499999999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2878.6173749999998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614.74576271186402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17.466815688559326</v>
      </c>
      <c r="P8" s="311">
        <f t="shared" ref="P8:P15" si="2">M8+N8+O8</f>
        <v>3510.8299534004227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Mahmood Store</v>
      </c>
      <c r="T8" s="301">
        <f>+'6'!P35</f>
        <v>169.87886871292369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85</v>
      </c>
      <c r="I9" s="236">
        <f t="shared" si="0"/>
        <v>4459.3125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356.745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156.07593749999995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3946.4915625000003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842.79661016949092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23.946440863347462</v>
      </c>
      <c r="P9" s="311">
        <f t="shared" si="2"/>
        <v>4813.2346135328389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Store</v>
      </c>
      <c r="T9" s="301">
        <f>+'7'!P35</f>
        <v>169.87886871292369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73</v>
      </c>
      <c r="I10" s="236">
        <f t="shared" si="0"/>
        <v>5302.72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424.21759999999995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185.59519999999995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4692.9072000000006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1002.2033898305083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28.47555294915254</v>
      </c>
      <c r="P10" s="311">
        <f t="shared" si="2"/>
        <v>5723.5861427796608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Rehan Store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47</v>
      </c>
      <c r="I11" s="236">
        <f t="shared" si="0"/>
        <v>3414.08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273.1264000000001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119.49280000000002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3021.4607999999998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645.25423728813553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18.333575186440676</v>
      </c>
      <c r="P11" s="311">
        <f t="shared" si="2"/>
        <v>3685.0486124745757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Kazi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177.96799999999993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27.305324745762707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Gujejr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Kashmir  Store</v>
      </c>
      <c r="T13" s="301">
        <f>+'11'!P35</f>
        <v>169.87886871292369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Shadid Sons Store</v>
      </c>
      <c r="T14" s="301">
        <f>+'12'!P35</f>
        <v>235.21586888135593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Hafiz Waseen Store</v>
      </c>
      <c r="T15" s="301">
        <f>+'13'!P35</f>
        <v>235.21586888135593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11.5</v>
      </c>
      <c r="H16" s="113">
        <f t="shared" ref="H16:M16" si="3">SUM(H7:H15)</f>
        <v>460</v>
      </c>
      <c r="I16" s="114">
        <f t="shared" si="3"/>
        <v>27437.175000000003</v>
      </c>
      <c r="J16" s="274">
        <f>SUM(J7:J15)</f>
        <v>2147.8980000000001</v>
      </c>
      <c r="K16" s="275">
        <f t="shared" si="3"/>
        <v>960.30112499999984</v>
      </c>
      <c r="L16" s="276">
        <f t="shared" si="3"/>
        <v>80.029200000000003</v>
      </c>
      <c r="M16" s="232">
        <f t="shared" si="3"/>
        <v>24248.946675000007</v>
      </c>
      <c r="N16" s="233">
        <f>SUM(N7:N15)</f>
        <v>5194.0677966101666</v>
      </c>
      <c r="O16" s="101">
        <f>SUM(O7:O15)</f>
        <v>147.21507235805086</v>
      </c>
      <c r="P16" s="113">
        <f>SUM(P7:P15)</f>
        <v>29590.22954396822</v>
      </c>
      <c r="Q16" s="128">
        <f>SUM(Q7:Q15)</f>
        <v>0</v>
      </c>
      <c r="R16" s="314">
        <v>14</v>
      </c>
      <c r="S16" s="318" t="str">
        <f>+'14'!A6:A6</f>
        <v>Iftkhat Store</v>
      </c>
      <c r="T16" s="301">
        <f>+'14'!P35</f>
        <v>235.21586888135593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Lala GS</v>
      </c>
      <c r="T17" s="301">
        <f>+'15'!P35</f>
        <v>235.21586888135593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Zubair Store</v>
      </c>
      <c r="T18" s="301">
        <f>+'16'!P35</f>
        <v>235.21586888135593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27437.175000000003</v>
      </c>
      <c r="R19" s="299">
        <v>17</v>
      </c>
      <c r="S19" s="300" t="str">
        <f>+'17'!A6:A6</f>
        <v>Faizan Store</v>
      </c>
      <c r="T19" s="301">
        <f>+'17'!P35</f>
        <v>470.43173776271186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2147.8980000000001</v>
      </c>
      <c r="R20" s="299">
        <v>18</v>
      </c>
      <c r="S20" s="300" t="str">
        <f>+'18'!A6:A6</f>
        <v>Nazar Ali Store</v>
      </c>
      <c r="T20" s="301">
        <f>+'18'!P35</f>
        <v>235.21586888135593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1040.3303249999999</v>
      </c>
      <c r="R21" s="299">
        <v>19</v>
      </c>
      <c r="S21" s="300" t="str">
        <f>+'19'!A6:A6</f>
        <v>Ayub Store</v>
      </c>
      <c r="T21" s="301">
        <f>+'19'!P35</f>
        <v>470.43173776271186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24248.946675000003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5194.0677966101666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29443.014471610171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147.21507235805086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29590.229543968224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29590.229543968209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7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311">
        <f t="shared" si="5"/>
        <v>1960.1322406779661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1891.5254237288134</v>
      </c>
      <c r="O25" s="101">
        <f>SUM(O16:O24)</f>
        <v>53.743912118644062</v>
      </c>
      <c r="P25" s="113">
        <f>SUM(P16:P24)</f>
        <v>10802.526335847457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800.65599999999995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350.28700000000003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8857.2570000000014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10748.782423728815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4" t="s">
        <v>88</v>
      </c>
      <c r="O35" s="345"/>
      <c r="P35" s="297">
        <f>+P33+P34</f>
        <v>10802.526335847459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113">
        <f>SUM(P16:P24)</f>
        <v>4530.103165677966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335.76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146.89500000000001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3714.3449999999998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4507.5653389830504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44" t="s">
        <v>88</v>
      </c>
      <c r="O35" s="345"/>
      <c r="P35" s="297">
        <f>+P33+P34</f>
        <v>4530.103165677966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945.7627118644067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5004.1000000000004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400.32800000000003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175.14350000000002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4428.6284999999998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5374.3912118644066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4" t="s">
        <v>88</v>
      </c>
      <c r="O35" s="345"/>
      <c r="P35" s="297">
        <f>+P33+P34</f>
        <v>5401.2631679237284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157.38749999999999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12.591000000000001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5.5085625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139.28793749999997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169.03370021186436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44" t="s">
        <v>88</v>
      </c>
      <c r="O35" s="345"/>
      <c r="P35" s="297">
        <f>+P33+P34</f>
        <v>169.87886871292369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157.38749999999999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12.591000000000001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5.5085625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139.28793749999997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169.03370021186436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44" t="s">
        <v>88</v>
      </c>
      <c r="O35" s="345"/>
      <c r="P35" s="297">
        <f>+P33+P34</f>
        <v>169.87886871292369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157.38749999999999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12.591000000000001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5.5085625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139.28793749999997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169.03370021186436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44" t="s">
        <v>88</v>
      </c>
      <c r="O35" s="345"/>
      <c r="P35" s="297">
        <f>+P33+P34</f>
        <v>169.87886871292369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314.77499999999998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25.182000000000002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11.017125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278.57587499999994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338.06740042372871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4" t="s">
        <v>88</v>
      </c>
      <c r="O35" s="345"/>
      <c r="P35" s="297">
        <f>+P33+P34</f>
        <v>339.75773742584738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314.77499999999998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25.182000000000002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11.017125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278.57587499999994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338.06740042372871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4" t="s">
        <v>88</v>
      </c>
      <c r="O35" s="345"/>
      <c r="P35" s="297">
        <f>+P33+P34</f>
        <v>339.75773742584738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311">
        <f t="shared" si="5"/>
        <v>113.25257914194913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113">
        <f>SUM(P16:P24)</f>
        <v>339.75773742584738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314.77499999999998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25.182000000000002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11.017125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278.57587499999994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338.06740042372871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4" t="s">
        <v>88</v>
      </c>
      <c r="O35" s="345"/>
      <c r="P35" s="297">
        <f>+P33+P34</f>
        <v>339.75773742584738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157.38749999999999</v>
      </c>
      <c r="J25" s="274">
        <f>SUM(J16:J24)</f>
        <v>12.591000000000001</v>
      </c>
      <c r="K25" s="275">
        <f t="shared" si="7"/>
        <v>5.5085625</v>
      </c>
      <c r="L25" s="276">
        <f t="shared" si="7"/>
        <v>0</v>
      </c>
      <c r="M25" s="232">
        <f t="shared" si="7"/>
        <v>139.2879375</v>
      </c>
      <c r="N25" s="233">
        <f>SUM(N16:N24)</f>
        <v>29.745762711864394</v>
      </c>
      <c r="O25" s="101">
        <f>SUM(O16:O24)</f>
        <v>0.84516850105932195</v>
      </c>
      <c r="P25" s="113">
        <f>SUM(P16:P24)</f>
        <v>169.87886871292369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157.38749999999999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12.591000000000001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5.5085625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139.28793749999997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29.745762711864394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169.03370021186436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0.84516850105932184</v>
      </c>
    </row>
    <row r="35" spans="2:16" ht="15.75" customHeight="1" thickBot="1" x14ac:dyDescent="0.4">
      <c r="N35" s="344" t="s">
        <v>88</v>
      </c>
      <c r="O35" s="345"/>
      <c r="P35" s="297">
        <f>+P33+P34</f>
        <v>169.87886871292369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Salman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2026-08-31T11:59:39Z</dcterms:modified>
</cp:coreProperties>
</file>