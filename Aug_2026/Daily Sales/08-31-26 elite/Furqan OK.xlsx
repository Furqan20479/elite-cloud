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20AA2D8-121E-4460-89FB-E89B16273E4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<sst xmlns="http://schemas.openxmlformats.org/spreadsheetml/2006/main" count="3948" uniqueCount="535">
  <si>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</si>
  <si>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</si>
  <si>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</si>
  <si>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</si>
  <si>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</si>
  <si>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</si>
  <si>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</si>
  <si>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</si>
  <si>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</si>
  <si>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</si>
  <si>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</si>
  <si>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</si>
  <si>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</si>
  <si>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</si>
  <si>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</si>
  <si>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</si>
  <si>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</si>
  <si>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</si>
  <si>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</si>
  <si>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</si>
  <si>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</si>
  <si>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</si>
  <si>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</si>
  <si>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</si>
  <si>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</si>
  <si>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</si>
  <si>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</si>
  <si>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</si>
  <si>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</si>
  <si>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</si>
  <si>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</si>
  <si>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</si>
  <si>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</si>
  <si>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</si>
  <si>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</si>
  <si>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</si>
  <si>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</si>
  <si>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</si>
  <si>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</si>
  <si>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</si>
  <si>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</si>
  <si>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</si>
  <si>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</si>
  <si>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</si>
  <si>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</si>
  <si>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</si>
  <si>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</si>
  <si>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</si>
  <si>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</si>
  <si>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</si>
  <si>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</si>
  <si>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</si>
  <si>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</si>
  <si>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</si>
  <si>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</si>
  <si>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</si>
  <si>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</si>
  <si>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</si>
  <si>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</si>
  <si>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</si>
  <si>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</si>
  <si>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</si>
  <si>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</si>
  <si>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</si>
  <si>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</si>
  <si>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</si>
  <si>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</si>
  <si>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</si>
  <si>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</si>
  <si>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</si>
  <si>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</si>
  <si>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</si>
  <si>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</si>
  <si>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</si>
  <si>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</si>
  <si>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</si>
  <si>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</si>
  <si>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</si>
  <si>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</si>
  <si>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</si>
  <si>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</si>
  <si>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</si>
  <si>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</si>
  <si>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</si>
  <si>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</si>
  <si>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</si>
  <si>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</si>
  <si>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</si>
  <si>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</si>
  <si>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</si>
  <si>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</si>
  <si>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</si>
  <si>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</si>
  <si>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</si>
  <si>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</si>
  <si>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</si>
  <si>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</si>
  <si>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</si>
  <si>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</si>
  <si>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</si>
  <si>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</si>
  <si>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</si>
  <si>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</si>
  <si>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</si>
  <si>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</si>
  <si>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</si>
  <si>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</si>
  <si>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</si>
  <si>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</si>
  <si>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</si>
  <si>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</si>
  <si>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</si>
  <si>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</si>
  <si>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</si>
  <si>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</si>
  <si>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</si>
  <si>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</si>
  <si>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</si>
  <si>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</si>
  <si>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</si>
  <si>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</si>
  <si>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</si>
  <si>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</si>
  <si>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</si>
  <si>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</si>
  <si>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</si>
  <si>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</si>
  <si>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</si>
  <si>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</si>
  <si>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</si>
  <si>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</si>
  <si>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</si>
  <si>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</si>
  <si>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</si>
  <si>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</si>
  <si>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</si>
  <si>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</si>
  <si>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</si>
  <si>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</si>
  <si>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</si>
  <si>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</si>
  <si>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</si>
  <si>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</si>
  <si>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</si>
  <si>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</si>
  <si>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</si>
  <si>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</si>
  <si>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</si>
  <si>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</si>
  <si>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</si>
  <si>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</si>
  <si>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</si>
  <si>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</si>
  <si>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</si>
  <si>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</si>
  <si>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</si>
  <si>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</si>
  <si>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</si>
  <si>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</si>
  <si>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</si>
  <si>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</si>
  <si>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</si>
  <si>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</si>
  <si>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</si>
  <si>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</si>
  <si>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</si>
  <si>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</si>
  <si>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</si>
  <si>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</si>
  <si>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</si>
  <si>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</si>
  <si>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</si>
  <si>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</si>
  <si>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</si>
  <si>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</si>
  <si>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</si>
  <si>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</si>
  <si>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</si>
  <si>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</si>
  <si>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</si>
  <si>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</si>
  <si>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</si>
  <si>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</si>
  <si>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</si>
  <si>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</si>
  <si>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</si>
  <si>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</si>
  <si>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</si>
  <si>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</si>
  <si>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</si>
  <si>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</si>
  <si>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</si>
  <si>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</si>
  <si>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</si>
  <si>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</si>
  <si>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</si>
  <si>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</si>
  <si>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</si>
  <si>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</si>
  <si>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</si>
  <si>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</si>
  <si>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</si>
  <si>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</si>
  <si>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</si>
  <si>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</si>
  <si>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</si>
  <si>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</si>
  <si>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</si>
  <si>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</si>
  <si>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</si>
  <si>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</si>
  <si>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</si>
  <si>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</si>
  <si>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</si>
  <si>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</si>
  <si>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</si>
  <si>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</si>
  <si>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</si>
  <si>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</si>
  <si>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</si>
  <si>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</si>
  <si>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</si>
  <si>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</si>
  <si>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</si>
  <si>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</si>
  <si>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</si>
  <si>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</si>
  <si>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</si>
  <si>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</si>
  <si>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</si>
  <si>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</si>
  <si>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</si>
  <si>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</si>
  <si>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</si>
  <si>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</si>
  <si>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</si>
  <si>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</si>
  <si>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</si>
  <si>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</si>
  <si>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</si>
  <si>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</si>
  <si>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</si>
  <si>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</si>
  <si>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</si>
  <si>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</si>
  <si>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</si>
  <si>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</si>
  <si>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</si>
  <si>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</si>
  <si>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</si>
  <si>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</si>
  <si>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</si>
  <si>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</si>
  <si>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</si>
  <si>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</si>
  <si>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</si>
  <si>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</si>
  <si>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</si>
  <si>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</si>
  <si>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</si>
  <si>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</si>
  <si>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</si>
  <si>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</si>
  <si>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</si>
  <si>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</si>
  <si>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</si>
  <si>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</si>
  <si>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</si>
  <si>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</si>
  <si>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</si>
  <si>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</si>
  <si>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</si>
  <si>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</si>
  <si>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</si>
  <si>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</si>
  <si>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</si>
  <si>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</si>
  <si>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</si>
  <si>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</si>
  <si>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</si>
  <si>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</si>
  <si>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</si>
  <si>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</si>
  <si>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</si>
  <si>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</si>
  <si>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</si>
  <si>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</si>
  <si>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</si>
  <si>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</si>
  <si>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</si>
  <si>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</si>
  <si>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</si>
  <si>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</si>
  <si>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</si>
  <si>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</si>
  <si>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</si>
  <si>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</si>
  <si>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</si>
  <si>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</si>
  <si>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</si>
  <si>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</si>
  <si>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</si>
  <si>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</si>
  <si>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</si>
  <si>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</si>
  <si>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</si>
  <si>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</si>
  <si>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</si>
  <si>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</si>
  <si>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</si>
  <si>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</si>
  <si>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</si>
  <si>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</si>
  <si>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</si>
  <si>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</si>
  <si>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</si>
  <si>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</si>
  <si>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</si>
  <si>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</si>
  <si>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</si>
  <si>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</si>
  <si>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</si>
  <si>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</si>
  <si>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</si>
  <si>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</si>
  <si>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</si>
  <si>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</si>
  <si>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</si>
  <si>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</si>
  <si>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</si>
  <si>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</si>
  <si>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</si>
  <si>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</si>
  <si>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</si>
  <si>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</si>
  <si>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</si>
  <si>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</si>
  <si>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</si>
  <si>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</si>
  <si>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</si>
  <si>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</si>
  <si>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</si>
  <si>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</si>
  <si>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</si>
  <si>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</si>
  <si>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</si>
  <si>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</si>
  <si>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</si>
  <si>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</si>
  <si>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</si>
  <si>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</si>
  <si>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</si>
  <si>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</si>
  <si>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</si>
  <si>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</si>
  <si>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</si>
  <si>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</si>
  <si>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</si>
  <si>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</si>
  <si>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</si>
  <si>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</si>
  <si>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</si>
  <si>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</si>
  <si>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</si>
  <si>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</si>
  <si>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</si>
  <si>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</si>
  <si>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</si>
  <si>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</si>
  <si>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</si>
  <si>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</si>
  <si>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</si>
  <si>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</si>
  <si>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</si>
  <si>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</si>
  <si>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</si>
  <si>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</si>
  <si>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</si>
  <si>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</si>
  <si>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</si>
  <si>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</si>
  <si>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</si>
  <si>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</si>
  <si>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</si>
  <si>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</si>
  <si>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</si>
  <si>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</si>
  <si>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</si>
  <si>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</si>
  <si>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</si>
  <si>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</si>
  <si>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</si>
  <si>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</si>
  <si>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</si>
  <si>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</si>
  <si>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</si>
  <si>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</si>
  <si>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</si>
  <si>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</si>
  <si>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</si>
  <si>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</si>
  <si>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</si>
  <si>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</si>
  <si>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</si>
  <si>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</si>
  <si>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</si>
  <si>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</si>
  <si>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</si>
  <si>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</si>
  <si>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</si>
  <si>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</si>
  <si>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</si>
  <si>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</si>
  <si>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</si>
  <si>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</si>
  <si>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</si>
  <si>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</si>
  <si>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</si>
  <si>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</si>
  <si>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</si>
  <si>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</si>
  <si>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</si>
  <si>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</si>
  <si>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</si>
  <si>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</si>
  <si>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</si>
  <si>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</si>
  <si>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</si>
  <si>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</si>
  <si>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</si>
  <si>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</si>
  <si>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</si>
  <si>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</si>
  <si>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</si>
  <si>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</si>
  <si>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</si>
  <si>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</si>
  <si>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</si>
  <si>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</si>
  <si>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</si>
  <si>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</si>
  <si>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</si>
  <si>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</si>
  <si>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</si>
  <si>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</si>
  <si>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</si>
  <si>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</si>
  <si>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</si>
  <si>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</si>
  <si>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</si>
  <si>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</si>
  <si>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</si>
  <si>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</si>
  <si>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</si>
  <si>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</si>
  <si>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</si>
  <si>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</si>
  <si>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</si>
  <si>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</si>
  <si>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</si>
  <si>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</si>
  <si>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</si>
  <si>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</si>
  <si>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</si>
  <si>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</si>
  <si>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</si>
  <si>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</si>
  <si>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</si>
  <si>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</si>
  <si>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</si>
  <si>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</si>
  <si>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</si>
  <si>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</si>
  <si>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</si>
  <si>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</si>
  <si>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</si>
  <si>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</si>
  <si>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</si>
  <si>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</si>
  <si>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</si>
  <si>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</si>
  <si>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</si>
  <si>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</si>
  <si>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</si>
  <si>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</si>
  <si>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</si>
  <si>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</si>
  <si>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</si>
  <si>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</si>
  <si>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</si>
  <si>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</si>
  <si>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</si>
  <si>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</si>
  <si>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</si>
  <si>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</si>
  <si>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</si>
  <si>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</si>
  <si>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</si>
  <si>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</si>
  <si>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</si>
  <si>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</si>
  <si>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</si>
  <si>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</si>
  <si>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</si>
  <si>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</si>
  <si>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</si>
  <si>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</si>
  <si>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</si>
  <si>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</si>
  <si>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</si>
  <si>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</si>
  <si>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</si>
  <si>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</si>
  <si>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</si>
  <si>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</si>
  <si>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Ayan Pan Shop</t>
  </si>
  <si>
    <t>Address: Guru Mangat Road</t>
  </si>
  <si>
    <t>Waqas Store</t>
  </si>
  <si>
    <t>Address: Pepsi Gate no 3</t>
  </si>
  <si>
    <t>New Price Store</t>
  </si>
  <si>
    <t>Address: Sher Pao Bazar</t>
  </si>
  <si>
    <t>Abdul Razaq store</t>
  </si>
  <si>
    <t>Address: 114 C Kashmir Road</t>
  </si>
  <si>
    <t>Ali GS</t>
  </si>
  <si>
    <t>Address: Khan Colony</t>
  </si>
  <si>
    <t>Sawat Store</t>
  </si>
  <si>
    <t>Hiusnain Store</t>
  </si>
  <si>
    <t>Farooq Khan Store</t>
  </si>
  <si>
    <t>Address: Khan Coliny</t>
  </si>
  <si>
    <t>Fazle Kabeer Store</t>
  </si>
  <si>
    <t xml:space="preserve">New Kashmir Bakers </t>
  </si>
  <si>
    <t>Noman Store</t>
  </si>
  <si>
    <t>Address: Gopal Nagear Bazar</t>
  </si>
  <si>
    <t>AM Store</t>
  </si>
  <si>
    <t>Address: Gopal Nagar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</si>
</sst>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Ayan Pan Shop</v>
      </c>
      <c r="T3" s="301">
        <f>+'1'!P35</f>
        <v>1001.5067480949152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Waqas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New Price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Abdul Razaq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4">
        <v>5</v>
      </c>
      <c r="S7" s="300" t="str">
        <f>+'5'!A6:A6</f>
        <v>Ali GS</v>
      </c>
      <c r="T7" s="301">
        <f>+'5'!P35</f>
        <v>1060.5661622122882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38</v>
      </c>
      <c r="I8" s="236">
        <f t="shared" ref="I8:I14" si="0">(G8*D8)*F8+H8*F8</f>
        <v>1993.575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159.48599999999999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69.775125000000003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1764.3138750000001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376.77966101694898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10.705467680084746</v>
      </c>
      <c r="P8" s="311">
        <f t="shared" ref="P8:P15" si="2">M8+N8+O8</f>
        <v>2151.7990036970341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25</v>
      </c>
      <c r="R8" s="314">
        <v>6</v>
      </c>
      <c r="S8" s="300" t="str">
        <f>+'6'!A6:A6</f>
        <v>Sawat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4">
        <v>7</v>
      </c>
      <c r="S9" s="300" t="str">
        <f>+'7'!A6:A6</f>
        <v>Hiusnain Store</v>
      </c>
      <c r="T9" s="301">
        <f>+'7'!P35</f>
        <v>2184.9047487266948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53</v>
      </c>
      <c r="I10" s="236">
        <f t="shared" si="0"/>
        <v>3849.92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307.99360000000001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134.74720000000002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3407.1792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727.62711864406788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20.674031593220342</v>
      </c>
      <c r="P10" s="311">
        <f t="shared" si="2"/>
        <v>4155.4803502372879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4">
        <v>8</v>
      </c>
      <c r="S10" s="300" t="str">
        <f>+'8'!A6:A6</f>
        <v>Farooq Khan Store</v>
      </c>
      <c r="T10" s="301">
        <f>+'8'!P35</f>
        <v>625.941717559322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Fazle Kabeer Store</v>
      </c>
      <c r="T11" s="301">
        <f>+'9'!P35</f>
        <v>1310.9428492360169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232.44799999999998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New Kashmir Bakers </v>
      </c>
      <c r="T12" s="301">
        <f>+'10'!P35</f>
        <v>5143.3997503061428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145</v>
      </c>
      <c r="I13" s="236">
        <f t="shared" si="0"/>
        <v>5688.35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284.41750000000008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199.09225000000006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290.10585000000003</v>
      </c>
      <c r="M13" s="230">
        <f t="shared" si="1"/>
        <v>4914.7344000000003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1105.93220338983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30.103333016949154</v>
      </c>
      <c r="P13" s="311">
        <f t="shared" si="2"/>
        <v>6050.7699364067794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15</v>
      </c>
      <c r="R13" s="314">
        <v>11</v>
      </c>
      <c r="S13" s="300" t="str">
        <f>+'11'!A6:A6</f>
        <v>Noman Store</v>
      </c>
      <c r="T13" s="301">
        <f>+'11'!P35</f>
        <v>1060.5661622122882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7.7750000000000004</v>
      </c>
      <c r="H16" s="113">
        <f t="shared" ref="H16:M16" si="3">SUM(H7:H15)</f>
        <v>311</v>
      </c>
      <c r="I16" s="114">
        <f t="shared" si="3"/>
        <v>16475.407500000001</v>
      </c>
      <c r="J16" s="274">
        <f>SUM(J7:J15)</f>
        <v>1147.3821</v>
      </c>
      <c r="K16" s="275">
        <f t="shared" si="3"/>
        <v>576.63926250000009</v>
      </c>
      <c r="L16" s="276">
        <f t="shared" si="3"/>
        <v>290.10585000000003</v>
      </c>
      <c r="M16" s="232">
        <f t="shared" si="3"/>
        <v>14461.280287500002</v>
      </c>
      <c r="N16" s="233">
        <f>SUM(N7:N15)</f>
        <v>3144.6610169491514</v>
      </c>
      <c r="O16" s="101">
        <f>SUM(O7:O15)</f>
        <v>88.02970652224576</v>
      </c>
      <c r="P16" s="113">
        <f>SUM(P7:P15)</f>
        <v>17693.9710109714</v>
      </c>
      <c r="Q16" s="128">
        <f>SUM(Q7:Q15)</f>
        <v>80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16475.407500000001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1147.3821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866.74511250000012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14461.2802875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3144.6610169491514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17605.941304449152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88.02970652224576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17693.9710109714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17693.9710109714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941.5200000000001</v>
      </c>
      <c r="J25" s="274">
        <f>SUM(J16:J24)</f>
        <v>47.076000000000008</v>
      </c>
      <c r="K25" s="275">
        <f t="shared" si="10"/>
        <v>32.95320000000001</v>
      </c>
      <c r="L25" s="276">
        <f t="shared" si="10"/>
        <v>48.017520000000005</v>
      </c>
      <c r="M25" s="232">
        <f t="shared" si="10"/>
        <v>813.47328000000005</v>
      </c>
      <c r="N25" s="233">
        <f>SUM(N16:N24)</f>
        <v>183.05084745762701</v>
      </c>
      <c r="O25" s="101">
        <f>SUM(O16:O24)</f>
        <v>4.982620637288135</v>
      </c>
      <c r="P25" s="113">
        <f>SUM(P16:P24)</f>
        <v>1001.5067480949152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941.5200000000001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47.076000000000008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80.970720000000014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813.47328000000005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996.52412745762706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73" t="s">
        <v>88</v>
      </c>
      <c r="O35" s="374"/>
      <c r="P35" s="297">
        <f>+P33+P34</f>
        <v>1001.5067480949152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311">
        <f t="shared" si="5"/>
        <v>2352.1586888135594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985.995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71.818200000000004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46.514205000000004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867.66259500000001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1055.2897136440679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73" t="s">
        <v>88</v>
      </c>
      <c r="O35" s="374"/>
      <c r="P35" s="297">
        <f>+P33+P34</f>
        <v>1060.5661622122882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17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2035.6250000000002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139.31200000000001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111.26147500000002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1785.0515250000001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2174.0345758474577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73" t="s">
        <v>88</v>
      </c>
      <c r="O35" s="374"/>
      <c r="P35" s="297">
        <f>+P33+P34</f>
        <v>2184.9047487266948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15</v>
      </c>
      <c r="I25" s="114">
        <f t="shared" si="7"/>
        <v>588.45000000000005</v>
      </c>
      <c r="J25" s="274">
        <f>SUM(J16:J24)</f>
        <v>29.422500000000003</v>
      </c>
      <c r="K25" s="275">
        <f t="shared" si="7"/>
        <v>20.595750000000002</v>
      </c>
      <c r="L25" s="276">
        <f t="shared" si="7"/>
        <v>30.010950000000001</v>
      </c>
      <c r="M25" s="232">
        <f t="shared" si="7"/>
        <v>508.42080000000004</v>
      </c>
      <c r="N25" s="233">
        <f>SUM(N16:N24)</f>
        <v>114.40677966101688</v>
      </c>
      <c r="O25" s="101">
        <f>SUM(O16:O24)</f>
        <v>3.1141378983050845</v>
      </c>
      <c r="P25" s="113">
        <f>SUM(P16:P24)</f>
        <v>625.941717559322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588.45000000000005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29.422500000000003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50.606700000000004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508.42080000000004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114.40677966101688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622.8275796610169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3.1141378983050845</v>
      </c>
    </row>
    <row r="35" spans="2:16" ht="15.75" customHeight="1" thickBot="1" x14ac:dyDescent="0.4">
      <c r="N35" s="373" t="s">
        <v>88</v>
      </c>
      <c r="O35" s="374"/>
      <c r="P35" s="297">
        <f>+P33+P34</f>
        <v>625.941717559322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1221.375</v>
      </c>
      <c r="J25" s="274">
        <f>SUM(J16:J24)</f>
        <v>83.587199999999996</v>
      </c>
      <c r="K25" s="275">
        <f t="shared" si="7"/>
        <v>42.748125000000009</v>
      </c>
      <c r="L25" s="276">
        <f t="shared" si="7"/>
        <v>24.008760000000002</v>
      </c>
      <c r="M25" s="232">
        <f t="shared" si="7"/>
        <v>1071.030915</v>
      </c>
      <c r="N25" s="233">
        <f>SUM(N16:N24)</f>
        <v>233.38983050847452</v>
      </c>
      <c r="O25" s="101">
        <f>SUM(O16:O24)</f>
        <v>6.5221037275423726</v>
      </c>
      <c r="P25" s="113">
        <f>SUM(P16:P24)</f>
        <v>1310.9428492360169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1221.375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83.587199999999996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66.756885000000011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1071.030915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233.38983050847452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1304.4207455084745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6.5221037275423726</v>
      </c>
    </row>
    <row r="35" spans="2:16" ht="15.75" customHeight="1" thickBot="1" x14ac:dyDescent="0.4">
      <c r="N35" s="373" t="s">
        <v>88</v>
      </c>
      <c r="O35" s="374"/>
      <c r="P35" s="297">
        <f>+P33+P34</f>
        <v>1310.9428492360169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4770.8874999999998</v>
      </c>
      <c r="J25" s="274">
        <f>SUM(J16:J24)</f>
        <v>369.90200000000004</v>
      </c>
      <c r="K25" s="275">
        <f t="shared" si="7"/>
        <v>166.98106250000004</v>
      </c>
      <c r="L25" s="276">
        <f t="shared" si="7"/>
        <v>20.007300000000001</v>
      </c>
      <c r="M25" s="232">
        <f t="shared" si="7"/>
        <v>4213.9971375000005</v>
      </c>
      <c r="N25" s="233">
        <f>SUM(N16:N24)</f>
        <v>903.8135593220336</v>
      </c>
      <c r="O25" s="101">
        <f>SUM(O16:O24)</f>
        <v>25.589053484110167</v>
      </c>
      <c r="P25" s="113">
        <f>SUM(P16:P24)</f>
        <v>5143.3997503061446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4770.8874999999998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369.90200000000004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186.98836250000005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4213.9971374999996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903.8135593220336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5117.8106968220327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25.589053484110163</v>
      </c>
    </row>
    <row r="35" spans="2:16" ht="15.75" customHeight="1" thickBot="1" x14ac:dyDescent="0.4">
      <c r="N35" s="373" t="s">
        <v>88</v>
      </c>
      <c r="O35" s="374"/>
      <c r="P35" s="297">
        <f>+P33+P34</f>
        <v>5143.3997503061428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985.995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71.818200000000004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46.514205000000004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867.66259500000001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1055.2897136440679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73" t="s">
        <v>88</v>
      </c>
      <c r="O35" s="374"/>
      <c r="P35" s="297">
        <f>+P33+P34</f>
        <v>1060.5661622122882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9" workbookViewId="0">
      <selection activeCell="H16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2026-09-01T16:18:24Z</dcterms:modified>
</cp:coreProperties>
</file>