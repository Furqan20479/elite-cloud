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F8F76981-FDCC-467A-B98E-437C15D522B2}" xr6:coauthVersionLast="47" xr6:coauthVersionMax="47" xr10:uidLastSave="{00000000-0000-0000-0000-000000000000}"/>
  <bookViews>
    <workbookView xWindow="-110" yWindow="-110" windowWidth="19420" windowHeight="10420" tabRatio="878" firstSheet="3" activeTab="3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K16" i="57" l="1"/>
  <c r="H3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Q16" i="62" l="1"/>
  <c r="N5" i="11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E19" i="72"/>
  <c r="V19" i="72" s="1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N5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E19" i="71"/>
  <c r="V19" i="71" s="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N5" i="71"/>
  <c r="O34" i="70"/>
  <c r="C11" i="70" s="1"/>
  <c r="H25" i="70"/>
  <c r="G25" i="70"/>
  <c r="A25" i="70"/>
  <c r="E24" i="70"/>
  <c r="V24" i="70" s="1"/>
  <c r="D24" i="70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B20" i="70"/>
  <c r="C20" i="70" s="1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N5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N5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E22" i="68"/>
  <c r="V22" i="68" s="1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E16" i="68"/>
  <c r="V16" i="68" s="1"/>
  <c r="D16" i="68"/>
  <c r="C16" i="68"/>
  <c r="B16" i="68"/>
  <c r="O15" i="68"/>
  <c r="C12" i="68"/>
  <c r="C11" i="68"/>
  <c r="N5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E22" i="67"/>
  <c r="V22" i="67" s="1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N5" i="67"/>
  <c r="O34" i="66"/>
  <c r="C11" i="66" s="1"/>
  <c r="H25" i="66"/>
  <c r="G25" i="66"/>
  <c r="A25" i="66"/>
  <c r="E24" i="66"/>
  <c r="V24" i="66" s="1"/>
  <c r="D24" i="66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N5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E22" i="65"/>
  <c r="V22" i="65" s="1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E19" i="65"/>
  <c r="V19" i="65" s="1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N5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E19" i="64"/>
  <c r="V19" i="64" s="1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64"/>
  <c r="N24" i="66" l="1"/>
  <c r="N24" i="70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C11" i="63" s="1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E19" i="63"/>
  <c r="V19" i="63" s="1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E16" i="63"/>
  <c r="V16" i="63" s="1"/>
  <c r="D16" i="63"/>
  <c r="C16" i="63"/>
  <c r="B16" i="63"/>
  <c r="O15" i="63"/>
  <c r="C12" i="63"/>
  <c r="N5" i="63"/>
  <c r="S22" i="62"/>
  <c r="S21" i="62"/>
  <c r="S20" i="62"/>
  <c r="S19" i="62"/>
  <c r="S18" i="62"/>
  <c r="S17" i="62"/>
  <c r="S16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C11" i="60" s="1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E22" i="59"/>
  <c r="V22" i="59" s="1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C16" i="59"/>
  <c r="B16" i="59"/>
  <c r="O15" i="59"/>
  <c r="C12" i="59"/>
  <c r="C11" i="59"/>
  <c r="N5" i="59"/>
  <c r="O34" i="58"/>
  <c r="C11" i="58" s="1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E22" i="58"/>
  <c r="V22" i="58" s="1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E16" i="58"/>
  <c r="V16" i="58" s="1"/>
  <c r="D16" i="58"/>
  <c r="C16" i="58"/>
  <c r="B16" i="58"/>
  <c r="O15" i="58"/>
  <c r="C12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1" i="57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C11" i="56" s="1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E16" i="56"/>
  <c r="V16" i="56" s="1"/>
  <c r="D16" i="56"/>
  <c r="C16" i="56"/>
  <c r="B16" i="56"/>
  <c r="O15" i="56"/>
  <c r="C12" i="56"/>
  <c r="N5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C11" i="54" s="1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B20" i="54"/>
  <c r="C20" i="54" s="1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N5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E16" i="52"/>
  <c r="V16" i="52" s="1"/>
  <c r="D16" i="52"/>
  <c r="C16" i="52"/>
  <c r="B16" i="52"/>
  <c r="O15" i="52"/>
  <c r="C12" i="52"/>
  <c r="C11" i="52"/>
  <c r="N5" i="52"/>
  <c r="O34" i="51"/>
  <c r="C11" i="51" s="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N5" i="51"/>
  <c r="O34" i="50"/>
  <c r="C11" i="50" s="1"/>
  <c r="H25" i="50"/>
  <c r="G25" i="50"/>
  <c r="A25" i="50"/>
  <c r="E24" i="50"/>
  <c r="V24" i="50" s="1"/>
  <c r="D24" i="50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B20" i="49"/>
  <c r="C20" i="49" s="1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N5" i="49"/>
  <c r="O34" i="48"/>
  <c r="C11" i="48" s="1"/>
  <c r="H25" i="48"/>
  <c r="G25" i="48"/>
  <c r="A25" i="48"/>
  <c r="E24" i="48"/>
  <c r="V24" i="48" s="1"/>
  <c r="D24" i="48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C16" i="48"/>
  <c r="B16" i="48"/>
  <c r="O15" i="48"/>
  <c r="C12" i="48"/>
  <c r="N5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N5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C11" i="45" s="1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E16" i="45"/>
  <c r="V16" i="45" s="1"/>
  <c r="D16" i="45"/>
  <c r="C16" i="45"/>
  <c r="B16" i="45"/>
  <c r="O15" i="45"/>
  <c r="C12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C16" i="44"/>
  <c r="B16" i="44"/>
  <c r="O15" i="44"/>
  <c r="C12" i="44"/>
  <c r="N5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5" i="43"/>
  <c r="N16" i="48" l="1"/>
  <c r="N16" i="63"/>
  <c r="N16" i="44"/>
  <c r="N16" i="53"/>
  <c r="N24" i="50"/>
  <c r="N16" i="59"/>
  <c r="N24" i="48"/>
  <c r="N16" i="56"/>
  <c r="N16" i="58"/>
  <c r="N24" i="43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J39" i="41"/>
  <c r="L39" i="41" s="1"/>
  <c r="K39" i="41" s="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J30" i="41"/>
  <c r="L30" i="41" s="1"/>
  <c r="K30" i="41" s="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C11" i="16" s="1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M4" i="16"/>
  <c r="M5" i="16" s="1"/>
  <c r="N5" i="15"/>
  <c r="K5" i="15"/>
  <c r="I5" i="15" s="1"/>
  <c r="H5" i="15" s="1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O13" i="41" s="1"/>
  <c r="P13" i="41" s="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O50" i="41" s="1"/>
  <c r="P50" i="41" s="1"/>
  <c r="N15" i="41"/>
  <c r="M8" i="41"/>
  <c r="N9" i="41"/>
  <c r="O9" i="41" s="1"/>
  <c r="P9" i="41" s="1"/>
  <c r="L11" i="41"/>
  <c r="M12" i="41"/>
  <c r="N13" i="41"/>
  <c r="L16" i="41"/>
  <c r="M17" i="41"/>
  <c r="N18" i="41"/>
  <c r="L20" i="41"/>
  <c r="M21" i="41"/>
  <c r="N22" i="41"/>
  <c r="L24" i="41"/>
  <c r="M25" i="41"/>
  <c r="N26" i="41"/>
  <c r="O26" i="41" s="1"/>
  <c r="P26" i="41" s="1"/>
  <c r="M30" i="41"/>
  <c r="N31" i="41"/>
  <c r="M34" i="41"/>
  <c r="O34" i="41" s="1"/>
  <c r="P34" i="41" s="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N8" i="41"/>
  <c r="N12" i="41"/>
  <c r="N17" i="41"/>
  <c r="L19" i="41"/>
  <c r="N21" i="41"/>
  <c r="N25" i="41"/>
  <c r="N30" i="41"/>
  <c r="L32" i="41"/>
  <c r="N34" i="41"/>
  <c r="L36" i="41"/>
  <c r="N39" i="41"/>
  <c r="L42" i="41"/>
  <c r="N44" i="41"/>
  <c r="N49" i="41"/>
  <c r="N31" i="14"/>
  <c r="N24" i="14"/>
  <c r="N17" i="14"/>
  <c r="N11" i="14"/>
  <c r="O11" i="14" s="1"/>
  <c r="O5" i="14"/>
  <c r="O3" i="14"/>
  <c r="O4" i="14"/>
  <c r="M9" i="14"/>
  <c r="M31" i="14"/>
  <c r="O31" i="14" s="1"/>
  <c r="M24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18" i="41" l="1"/>
  <c r="P18" i="41" s="1"/>
  <c r="O47" i="41"/>
  <c r="P47" i="41" s="1"/>
  <c r="O46" i="4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T9" i="14" l="1"/>
  <c r="U9" i="14" s="1"/>
  <c r="P17" i="14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O23" i="14"/>
  <c r="P23" i="14" s="1"/>
  <c r="R23" i="14" s="1"/>
  <c r="T23" i="14" s="1"/>
  <c r="U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O29" i="14"/>
  <c r="P29" i="14" s="1"/>
  <c r="R29" i="14" s="1"/>
  <c r="T29" i="14" s="1"/>
  <c r="U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N19" i="11" l="1"/>
  <c r="N10" i="62" s="1"/>
  <c r="F16" i="1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F22" i="47"/>
  <c r="I22" i="47" s="1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I24" i="11" s="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I21" i="11" s="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J23" i="51"/>
  <c r="L23" i="51"/>
  <c r="K23" i="51"/>
  <c r="L23" i="65"/>
  <c r="K23" i="65"/>
  <c r="J23" i="65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L18" i="48"/>
  <c r="K18" i="48"/>
  <c r="J18" i="48"/>
  <c r="L18" i="51"/>
  <c r="K18" i="51"/>
  <c r="J18" i="51"/>
  <c r="J18" i="66"/>
  <c r="L18" i="66"/>
  <c r="K18" i="66"/>
  <c r="K24" i="47"/>
  <c r="J24" i="47"/>
  <c r="L24" i="47"/>
  <c r="L24" i="44"/>
  <c r="K24" i="44"/>
  <c r="J24" i="44"/>
  <c r="J24" i="63"/>
  <c r="K24" i="63"/>
  <c r="L24" i="63"/>
  <c r="L24" i="64"/>
  <c r="K24" i="64"/>
  <c r="J24" i="64"/>
  <c r="K20" i="50"/>
  <c r="J20" i="50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M22" i="56" s="1"/>
  <c r="O22" i="56" s="1"/>
  <c r="P22" i="56" s="1"/>
  <c r="L22" i="56"/>
  <c r="K22" i="56"/>
  <c r="L22" i="63"/>
  <c r="K22" i="63"/>
  <c r="J22" i="63"/>
  <c r="J22" i="69"/>
  <c r="L22" i="69"/>
  <c r="K22" i="69"/>
  <c r="L22" i="70"/>
  <c r="J22" i="70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J16" i="52"/>
  <c r="I25" i="52"/>
  <c r="P28" i="52" s="1"/>
  <c r="J16" i="57"/>
  <c r="I25" i="57"/>
  <c r="P28" i="57" s="1"/>
  <c r="L16" i="57"/>
  <c r="I25" i="44"/>
  <c r="P28" i="44" s="1"/>
  <c r="K16" i="44"/>
  <c r="L16" i="44"/>
  <c r="J16" i="44"/>
  <c r="I16" i="62"/>
  <c r="P19" i="62" s="1"/>
  <c r="L16" i="65"/>
  <c r="I25" i="65"/>
  <c r="P28" i="65" s="1"/>
  <c r="K16" i="65"/>
  <c r="J16" i="65"/>
  <c r="K16" i="66"/>
  <c r="J16" i="66"/>
  <c r="L16" i="66"/>
  <c r="I25" i="66"/>
  <c r="P28" i="66" s="1"/>
  <c r="K23" i="44"/>
  <c r="L23" i="44"/>
  <c r="J23" i="44"/>
  <c r="J23" i="56"/>
  <c r="L23" i="56"/>
  <c r="K23" i="56"/>
  <c r="K23" i="59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L24" i="71"/>
  <c r="K24" i="71"/>
  <c r="J24" i="71"/>
  <c r="K23" i="43"/>
  <c r="J23" i="43"/>
  <c r="L23" i="43"/>
  <c r="L23" i="53"/>
  <c r="K23" i="53"/>
  <c r="J23" i="53"/>
  <c r="L23" i="52"/>
  <c r="K23" i="52"/>
  <c r="J23" i="52"/>
  <c r="J23" i="57"/>
  <c r="K23" i="57"/>
  <c r="L23" i="57"/>
  <c r="J23" i="61"/>
  <c r="K23" i="61"/>
  <c r="L23" i="61"/>
  <c r="L23" i="64"/>
  <c r="K23" i="64"/>
  <c r="J23" i="64"/>
  <c r="L23" i="69"/>
  <c r="K23" i="69"/>
  <c r="J23" i="69"/>
  <c r="L23" i="72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J21" i="53"/>
  <c r="L21" i="53"/>
  <c r="L21" i="51"/>
  <c r="K21" i="51"/>
  <c r="J21" i="51"/>
  <c r="K21" i="56"/>
  <c r="J21" i="56"/>
  <c r="L21" i="56"/>
  <c r="L21" i="61"/>
  <c r="K21" i="61"/>
  <c r="J21" i="61"/>
  <c r="J21" i="65"/>
  <c r="L21" i="65"/>
  <c r="K21" i="65"/>
  <c r="K21" i="69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K24" i="50"/>
  <c r="L24" i="50"/>
  <c r="L24" i="60"/>
  <c r="K24" i="60"/>
  <c r="J24" i="60"/>
  <c r="K24" i="66"/>
  <c r="J24" i="66"/>
  <c r="L24" i="66"/>
  <c r="J24" i="65"/>
  <c r="L24" i="65"/>
  <c r="K24" i="65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L22" i="58"/>
  <c r="K22" i="58"/>
  <c r="J22" i="58"/>
  <c r="K22" i="52"/>
  <c r="J22" i="52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K17" i="65"/>
  <c r="J17" i="65"/>
  <c r="L17" i="65"/>
  <c r="L17" i="67"/>
  <c r="K17" i="67"/>
  <c r="J17" i="67"/>
  <c r="L16" i="43"/>
  <c r="J16" i="43"/>
  <c r="I25" i="43"/>
  <c r="P28" i="43" s="1"/>
  <c r="K16" i="43"/>
  <c r="J16" i="59"/>
  <c r="I25" i="59"/>
  <c r="P28" i="59" s="1"/>
  <c r="L16" i="59"/>
  <c r="K16" i="59"/>
  <c r="I25" i="53"/>
  <c r="P28" i="53" s="1"/>
  <c r="J16" i="53"/>
  <c r="K16" i="53"/>
  <c r="L16" i="53"/>
  <c r="L16" i="58"/>
  <c r="I25" i="58"/>
  <c r="P28" i="58" s="1"/>
  <c r="K16" i="58"/>
  <c r="J16" i="58"/>
  <c r="J16" i="46"/>
  <c r="K16" i="46"/>
  <c r="L16" i="46"/>
  <c r="I25" i="46"/>
  <c r="P28" i="46" s="1"/>
  <c r="L16" i="60"/>
  <c r="K16" i="60"/>
  <c r="I25" i="60"/>
  <c r="P28" i="60" s="1"/>
  <c r="J16" i="60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K23" i="54"/>
  <c r="L23" i="54"/>
  <c r="L23" i="58"/>
  <c r="K23" i="58"/>
  <c r="J23" i="58"/>
  <c r="K23" i="63"/>
  <c r="L23" i="63"/>
  <c r="J23" i="63"/>
  <c r="K23" i="70"/>
  <c r="J23" i="70"/>
  <c r="L23" i="70"/>
  <c r="J23" i="66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L21" i="58"/>
  <c r="K21" i="58"/>
  <c r="J21" i="58"/>
  <c r="L21" i="52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 s="1"/>
  <c r="O24" i="56" s="1"/>
  <c r="P24" i="56" s="1"/>
  <c r="L24" i="43"/>
  <c r="K24" i="43"/>
  <c r="J24" i="43"/>
  <c r="M24" i="43" s="1"/>
  <c r="O24" i="43" s="1"/>
  <c r="P24" i="43" s="1"/>
  <c r="K24" i="53"/>
  <c r="L24" i="53"/>
  <c r="J24" i="53"/>
  <c r="J24" i="58"/>
  <c r="K24" i="58"/>
  <c r="L24" i="58"/>
  <c r="L24" i="67"/>
  <c r="K24" i="67"/>
  <c r="J24" i="67"/>
  <c r="J24" i="72"/>
  <c r="L24" i="72"/>
  <c r="K24" i="72"/>
  <c r="K20" i="48"/>
  <c r="L20" i="48"/>
  <c r="J20" i="48"/>
  <c r="K20" i="53"/>
  <c r="L20" i="53"/>
  <c r="J20" i="53"/>
  <c r="K20" i="43"/>
  <c r="L20" i="43"/>
  <c r="J20" i="43"/>
  <c r="K20" i="57"/>
  <c r="J20" i="57"/>
  <c r="L20" i="57"/>
  <c r="K20" i="61"/>
  <c r="J20" i="61"/>
  <c r="L20" i="61"/>
  <c r="K20" i="71"/>
  <c r="J20" i="7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I25" i="68"/>
  <c r="P28" i="68" s="1"/>
  <c r="K16" i="68"/>
  <c r="J16" i="68"/>
  <c r="L16" i="68"/>
  <c r="K16" i="72"/>
  <c r="J16" i="72"/>
  <c r="L16" i="72"/>
  <c r="I25" i="72"/>
  <c r="P28" i="72" s="1"/>
  <c r="J23" i="49"/>
  <c r="K23" i="49"/>
  <c r="L23" i="49"/>
  <c r="K23" i="55"/>
  <c r="J23" i="55"/>
  <c r="L23" i="55"/>
  <c r="K23" i="46"/>
  <c r="L23" i="46"/>
  <c r="J23" i="46"/>
  <c r="K23" i="60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J21" i="54"/>
  <c r="L21" i="54"/>
  <c r="K21" i="54"/>
  <c r="L21" i="44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J22" i="64"/>
  <c r="K17" i="44"/>
  <c r="L17" i="44"/>
  <c r="J17" i="44"/>
  <c r="L17" i="51"/>
  <c r="K17" i="51"/>
  <c r="J17" i="51"/>
  <c r="L17" i="50"/>
  <c r="K17" i="50"/>
  <c r="J17" i="50"/>
  <c r="K17" i="56"/>
  <c r="L17" i="56"/>
  <c r="J17" i="56"/>
  <c r="L17" i="66"/>
  <c r="K17" i="66"/>
  <c r="J17" i="66"/>
  <c r="L17" i="72"/>
  <c r="K17" i="72"/>
  <c r="J17" i="72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L22" i="16" s="1"/>
  <c r="K22" i="16"/>
  <c r="K18" i="16"/>
  <c r="J18" i="16"/>
  <c r="J23" i="16"/>
  <c r="K23" i="16"/>
  <c r="J21" i="16"/>
  <c r="K21" i="16"/>
  <c r="J19" i="16"/>
  <c r="K19" i="16"/>
  <c r="J24" i="16"/>
  <c r="K24" i="16"/>
  <c r="K20" i="16"/>
  <c r="J20" i="16"/>
  <c r="J16" i="16"/>
  <c r="K16" i="16"/>
  <c r="I25" i="16"/>
  <c r="O28" i="16" s="1"/>
  <c r="J17" i="16"/>
  <c r="K17" i="16"/>
  <c r="L24" i="11"/>
  <c r="K24" i="11"/>
  <c r="J24" i="11"/>
  <c r="J21" i="11"/>
  <c r="L21" i="11"/>
  <c r="K21" i="1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4" i="48" l="1"/>
  <c r="M24" i="72"/>
  <c r="M24" i="66"/>
  <c r="O24" i="66" s="1"/>
  <c r="P24" i="66" s="1"/>
  <c r="M24" i="71"/>
  <c r="O24" i="71" s="1"/>
  <c r="M24" i="63"/>
  <c r="O24" i="63" s="1"/>
  <c r="P24" i="63" s="1"/>
  <c r="M23" i="69"/>
  <c r="M18" i="48"/>
  <c r="O18" i="48" s="1"/>
  <c r="P18" i="48" s="1"/>
  <c r="J15" i="62"/>
  <c r="M24" i="47"/>
  <c r="O24" i="47" s="1"/>
  <c r="P24" i="47" s="1"/>
  <c r="L17" i="16"/>
  <c r="L23" i="16"/>
  <c r="M24" i="65"/>
  <c r="O24" i="65" s="1"/>
  <c r="P24" i="65" s="1"/>
  <c r="M24" i="50"/>
  <c r="O24" i="50" s="1"/>
  <c r="P24" i="50" s="1"/>
  <c r="L21" i="16"/>
  <c r="L20" i="16"/>
  <c r="M20" i="16" s="1"/>
  <c r="N20" i="16" s="1"/>
  <c r="O20" i="16" s="1"/>
  <c r="M24" i="58"/>
  <c r="M24" i="45"/>
  <c r="O24" i="45" s="1"/>
  <c r="P24" i="45" s="1"/>
  <c r="M22" i="70"/>
  <c r="M23" i="48"/>
  <c r="M20" i="57"/>
  <c r="O20" i="57" s="1"/>
  <c r="P20" i="57" s="1"/>
  <c r="R20" i="57" s="1"/>
  <c r="M24" i="53"/>
  <c r="O24" i="53" s="1"/>
  <c r="P24" i="53" s="1"/>
  <c r="M24" i="44"/>
  <c r="O24" i="44" s="1"/>
  <c r="P24" i="44" s="1"/>
  <c r="K15" i="62"/>
  <c r="M16" i="72"/>
  <c r="O16" i="72" s="1"/>
  <c r="P16" i="72" s="1"/>
  <c r="M23" i="66"/>
  <c r="O23" i="66" s="1"/>
  <c r="P23" i="66" s="1"/>
  <c r="M23" i="54"/>
  <c r="O23" i="54" s="1"/>
  <c r="P23" i="54" s="1"/>
  <c r="M23" i="49"/>
  <c r="O23" i="49" s="1"/>
  <c r="P23" i="49" s="1"/>
  <c r="M22" i="67"/>
  <c r="O22" i="67" s="1"/>
  <c r="P22" i="67" s="1"/>
  <c r="J25" i="61"/>
  <c r="P29" i="61" s="1"/>
  <c r="M16" i="43"/>
  <c r="M20" i="46"/>
  <c r="O20" i="46" s="1"/>
  <c r="P20" i="46" s="1"/>
  <c r="R20" i="46" s="1"/>
  <c r="M18" i="67"/>
  <c r="O18" i="67" s="1"/>
  <c r="P18" i="67" s="1"/>
  <c r="M23" i="61"/>
  <c r="O23" i="61" s="1"/>
  <c r="P23" i="61" s="1"/>
  <c r="M23" i="52"/>
  <c r="O23" i="52" s="1"/>
  <c r="P23" i="52" s="1"/>
  <c r="M17" i="44"/>
  <c r="O17" i="44" s="1"/>
  <c r="P17" i="44" s="1"/>
  <c r="M23" i="53"/>
  <c r="O23" i="53" s="1"/>
  <c r="P23" i="53" s="1"/>
  <c r="M21" i="68"/>
  <c r="O21" i="68" s="1"/>
  <c r="P21" i="68" s="1"/>
  <c r="M20" i="48"/>
  <c r="O20" i="48" s="1"/>
  <c r="P20" i="48" s="1"/>
  <c r="R20" i="48" s="1"/>
  <c r="M21" i="47"/>
  <c r="O21" i="47" s="1"/>
  <c r="P21" i="47" s="1"/>
  <c r="M22" i="64"/>
  <c r="O22" i="64" s="1"/>
  <c r="P22" i="64" s="1"/>
  <c r="M20" i="47"/>
  <c r="O20" i="47" s="1"/>
  <c r="P20" i="47" s="1"/>
  <c r="R20" i="47" s="1"/>
  <c r="M22" i="52"/>
  <c r="O22" i="52" s="1"/>
  <c r="P22" i="52" s="1"/>
  <c r="M20" i="50"/>
  <c r="O20" i="50" s="1"/>
  <c r="P20" i="50" s="1"/>
  <c r="R20" i="50" s="1"/>
  <c r="J7" i="62"/>
  <c r="M17" i="72"/>
  <c r="O17" i="72" s="1"/>
  <c r="P17" i="72" s="1"/>
  <c r="M16" i="64"/>
  <c r="M20" i="61"/>
  <c r="O20" i="61" s="1"/>
  <c r="P20" i="61" s="1"/>
  <c r="R20" i="61" s="1"/>
  <c r="M22" i="43"/>
  <c r="O22" i="43" s="1"/>
  <c r="P22" i="43" s="1"/>
  <c r="M23" i="56"/>
  <c r="O23" i="56" s="1"/>
  <c r="P23" i="56" s="1"/>
  <c r="M16" i="65"/>
  <c r="M22" i="63"/>
  <c r="O22" i="63" s="1"/>
  <c r="P22" i="63" s="1"/>
  <c r="M23" i="51"/>
  <c r="O23" i="51" s="1"/>
  <c r="P23" i="51" s="1"/>
  <c r="K12" i="62"/>
  <c r="M18" i="53"/>
  <c r="O18" i="53" s="1"/>
  <c r="P18" i="53" s="1"/>
  <c r="M17" i="61"/>
  <c r="O17" i="61" s="1"/>
  <c r="P17" i="61" s="1"/>
  <c r="M23" i="60"/>
  <c r="O23" i="60" s="1"/>
  <c r="P23" i="60" s="1"/>
  <c r="M20" i="71"/>
  <c r="O20" i="71" s="1"/>
  <c r="P20" i="71" s="1"/>
  <c r="R20" i="71" s="1"/>
  <c r="M20" i="43"/>
  <c r="O20" i="43" s="1"/>
  <c r="P20" i="43" s="1"/>
  <c r="R20" i="43" s="1"/>
  <c r="M23" i="58"/>
  <c r="O23" i="58" s="1"/>
  <c r="P23" i="58" s="1"/>
  <c r="M16" i="60"/>
  <c r="O16" i="60" s="1"/>
  <c r="P16" i="60" s="1"/>
  <c r="M16" i="58"/>
  <c r="O16" i="58" s="1"/>
  <c r="P16" i="58" s="1"/>
  <c r="M16" i="59"/>
  <c r="M23" i="72"/>
  <c r="O23" i="72" s="1"/>
  <c r="P23" i="72" s="1"/>
  <c r="M23" i="64"/>
  <c r="O23" i="64" s="1"/>
  <c r="P23" i="64" s="1"/>
  <c r="M23" i="59"/>
  <c r="O23" i="59" s="1"/>
  <c r="P23" i="59" s="1"/>
  <c r="M23" i="44"/>
  <c r="O23" i="44" s="1"/>
  <c r="P23" i="44" s="1"/>
  <c r="M16" i="66"/>
  <c r="M16" i="44"/>
  <c r="O16" i="44" s="1"/>
  <c r="M20" i="70"/>
  <c r="O20" i="70" s="1"/>
  <c r="P20" i="70" s="1"/>
  <c r="R20" i="70" s="1"/>
  <c r="M23" i="65"/>
  <c r="M21" i="51"/>
  <c r="O21" i="51" s="1"/>
  <c r="P21" i="51" s="1"/>
  <c r="M16" i="48"/>
  <c r="O16" i="48" s="1"/>
  <c r="P16" i="48" s="1"/>
  <c r="M21" i="43"/>
  <c r="O21" i="43" s="1"/>
  <c r="P21" i="43" s="1"/>
  <c r="M17" i="56"/>
  <c r="O17" i="56" s="1"/>
  <c r="P17" i="56" s="1"/>
  <c r="M20" i="53"/>
  <c r="O20" i="53" s="1"/>
  <c r="P20" i="53" s="1"/>
  <c r="R20" i="53" s="1"/>
  <c r="M21" i="52"/>
  <c r="O21" i="52" s="1"/>
  <c r="P21" i="52" s="1"/>
  <c r="M21" i="69"/>
  <c r="O21" i="69" s="1"/>
  <c r="P21" i="69" s="1"/>
  <c r="M16" i="52"/>
  <c r="O16" i="52" s="1"/>
  <c r="P16" i="52" s="1"/>
  <c r="M21" i="44"/>
  <c r="O21" i="44" s="1"/>
  <c r="P21" i="44" s="1"/>
  <c r="M17" i="60"/>
  <c r="O17" i="60" s="1"/>
  <c r="P17" i="60" s="1"/>
  <c r="M21" i="53"/>
  <c r="O21" i="53" s="1"/>
  <c r="P21" i="53" s="1"/>
  <c r="M17" i="45"/>
  <c r="O17" i="45" s="1"/>
  <c r="P17" i="45" s="1"/>
  <c r="M17" i="57"/>
  <c r="O17" i="57" s="1"/>
  <c r="P17" i="57" s="1"/>
  <c r="M18" i="69"/>
  <c r="O18" i="69" s="1"/>
  <c r="P18" i="69" s="1"/>
  <c r="M18" i="57"/>
  <c r="O18" i="57" s="1"/>
  <c r="P18" i="57" s="1"/>
  <c r="M18" i="43"/>
  <c r="O18" i="43" s="1"/>
  <c r="P18" i="43" s="1"/>
  <c r="M18" i="51"/>
  <c r="O18" i="51" s="1"/>
  <c r="P18" i="51" s="1"/>
  <c r="M18" i="50"/>
  <c r="O18" i="50" s="1"/>
  <c r="P18" i="50" s="1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O19" i="55" s="1"/>
  <c r="P19" i="55" s="1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O21" i="54" s="1"/>
  <c r="P21" i="54" s="1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O21" i="50" s="1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O17" i="50" s="1"/>
  <c r="P17" i="50" s="1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O16" i="67" s="1"/>
  <c r="P16" i="67" s="1"/>
  <c r="M16" i="55"/>
  <c r="O16" i="55" s="1"/>
  <c r="O24" i="58"/>
  <c r="P24" i="58" s="1"/>
  <c r="O23" i="69"/>
  <c r="P23" i="69" s="1"/>
  <c r="O24" i="48"/>
  <c r="P24" i="48" s="1"/>
  <c r="O22" i="51"/>
  <c r="P22" i="51" s="1"/>
  <c r="O16" i="64"/>
  <c r="P16" i="64" s="1"/>
  <c r="O16" i="59"/>
  <c r="P16" i="59" s="1"/>
  <c r="O23" i="65"/>
  <c r="P23" i="65" s="1"/>
  <c r="M16" i="70"/>
  <c r="K7" i="62"/>
  <c r="M16" i="47"/>
  <c r="K25" i="47"/>
  <c r="L7" i="62"/>
  <c r="J12" i="62"/>
  <c r="L24" i="16"/>
  <c r="M24" i="16" s="1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M19" i="45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 s="1"/>
  <c r="K25" i="72"/>
  <c r="K25" i="68"/>
  <c r="K25" i="64"/>
  <c r="K25" i="45"/>
  <c r="J25" i="55"/>
  <c r="P29" i="55" s="1"/>
  <c r="K25" i="48"/>
  <c r="O24" i="72"/>
  <c r="P24" i="72" s="1"/>
  <c r="L25" i="71"/>
  <c r="J25" i="67"/>
  <c r="P29" i="67" s="1"/>
  <c r="L25" i="60"/>
  <c r="K25" i="46"/>
  <c r="K25" i="58"/>
  <c r="K25" i="53"/>
  <c r="K25" i="59"/>
  <c r="O16" i="43"/>
  <c r="P16" i="43" s="1"/>
  <c r="L25" i="43"/>
  <c r="O16" i="65"/>
  <c r="L25" i="65"/>
  <c r="J25" i="44"/>
  <c r="P29" i="44" s="1"/>
  <c r="L25" i="57"/>
  <c r="K25" i="52"/>
  <c r="J25" i="54"/>
  <c r="P29" i="54" s="1"/>
  <c r="O22" i="70"/>
  <c r="P22" i="70" s="1"/>
  <c r="K11" i="62"/>
  <c r="K10" i="62"/>
  <c r="L15" i="62"/>
  <c r="M15" i="62" s="1"/>
  <c r="K25" i="69"/>
  <c r="M16" i="61"/>
  <c r="K25" i="50"/>
  <c r="M16" i="51"/>
  <c r="M22" i="60"/>
  <c r="O22" i="60" s="1"/>
  <c r="P22" i="60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O31" i="16" s="1"/>
  <c r="O32" i="16" s="1"/>
  <c r="O33" i="16" s="1"/>
  <c r="O34" i="16" s="1"/>
  <c r="O35" i="16" s="1"/>
  <c r="L19" i="16"/>
  <c r="M23" i="16"/>
  <c r="N23" i="16" s="1"/>
  <c r="M22" i="16"/>
  <c r="N22" i="16" s="1"/>
  <c r="O22" i="16"/>
  <c r="M21" i="11"/>
  <c r="O21" i="11" s="1"/>
  <c r="J25" i="16"/>
  <c r="O30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P24" i="71" l="1"/>
  <c r="N24" i="16"/>
  <c r="O24" i="16" s="1"/>
  <c r="P21" i="50"/>
  <c r="M12" i="62"/>
  <c r="P30" i="70"/>
  <c r="P30" i="51"/>
  <c r="P31" i="51" s="1"/>
  <c r="P33" i="51" s="1"/>
  <c r="P34" i="51" s="1"/>
  <c r="P35" i="51" s="1"/>
  <c r="T12" i="62" s="1"/>
  <c r="O19" i="50"/>
  <c r="P19" i="50" s="1"/>
  <c r="P30" i="50"/>
  <c r="P31" i="50" s="1"/>
  <c r="P33" i="50" s="1"/>
  <c r="P34" i="50" s="1"/>
  <c r="P35" i="50" s="1"/>
  <c r="T11" i="62" s="1"/>
  <c r="M25" i="66"/>
  <c r="M25" i="52"/>
  <c r="O20" i="52"/>
  <c r="P20" i="52" s="1"/>
  <c r="P30" i="68"/>
  <c r="P31" i="68" s="1"/>
  <c r="P33" i="68" s="1"/>
  <c r="P34" i="68" s="1"/>
  <c r="P35" i="68" s="1"/>
  <c r="T28" i="62" s="1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25" i="72"/>
  <c r="P24" i="11"/>
  <c r="O24" i="54"/>
  <c r="P24" i="54" s="1"/>
  <c r="O24" i="69"/>
  <c r="P24" i="69" s="1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O20" i="45"/>
  <c r="P20" i="45" s="1"/>
  <c r="R20" i="45" s="1"/>
  <c r="O16" i="51"/>
  <c r="P16" i="51" s="1"/>
  <c r="M25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M25" i="56"/>
  <c r="O16" i="56"/>
  <c r="O25" i="56" s="1"/>
  <c r="M25" i="55"/>
  <c r="M25" i="67"/>
  <c r="O16" i="54"/>
  <c r="M25" i="54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54" l="1"/>
  <c r="O18" i="16"/>
  <c r="O25" i="55"/>
  <c r="O15" i="62"/>
  <c r="P15" i="62" s="1"/>
  <c r="O25" i="64"/>
  <c r="P23" i="55"/>
  <c r="P25" i="55" s="1"/>
  <c r="P12" i="62"/>
  <c r="O25" i="48"/>
  <c r="O25" i="52"/>
  <c r="P16" i="70"/>
  <c r="P25" i="70" s="1"/>
  <c r="P16" i="53"/>
  <c r="P25" i="53" s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54" s="1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25" i="44" s="1"/>
  <c r="P16" i="45"/>
  <c r="P25" i="45" s="1"/>
  <c r="O25" i="51"/>
  <c r="P16" i="57"/>
  <c r="P25" i="57" s="1"/>
  <c r="O25" i="47"/>
  <c r="P24" i="60"/>
  <c r="P25" i="60" s="1"/>
  <c r="P34" i="45"/>
  <c r="P35" i="45" s="1"/>
  <c r="T6" i="62" s="1"/>
  <c r="P17" i="48"/>
  <c r="P25" i="48" s="1"/>
  <c r="O25" i="68"/>
  <c r="P16" i="50"/>
  <c r="P25" i="50" s="1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O20" i="5" s="1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N20" i="5"/>
  <c r="N22" i="5"/>
  <c r="N25" i="5"/>
  <c r="N29" i="5"/>
  <c r="O29" i="5" s="1"/>
  <c r="N31" i="5"/>
  <c r="N34" i="5"/>
  <c r="N37" i="5"/>
  <c r="L39" i="5"/>
  <c r="L43" i="5"/>
  <c r="L49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O17" i="5" l="1"/>
  <c r="P17" i="5" s="1"/>
  <c r="M14" i="62"/>
  <c r="L16" i="62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K6" i="5"/>
  <c r="K33" i="5"/>
  <c r="M33" i="5"/>
  <c r="O33" i="5" s="1"/>
  <c r="K44" i="5"/>
  <c r="M44" i="5"/>
  <c r="O44" i="5" s="1"/>
  <c r="P44" i="5" s="1"/>
  <c r="K11" i="5"/>
  <c r="M11" i="5"/>
  <c r="O11" i="5" s="1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8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Q5" i="5" l="1"/>
  <c r="P21" i="62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<sst xmlns="http://schemas.openxmlformats.org/spreadsheetml/2006/main" count="3949" uniqueCount="547">
  <si>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</si>
  <si>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</si>
  <si>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</si>
  <si>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</si>
  <si>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</si>
  <si>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</si>
  <si>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</si>
  <si>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</si>
  <si>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</si>
  <si>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</si>
  <si>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</si>
  <si>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</si>
  <si>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</si>
  <si>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</si>
  <si>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</si>
  <si>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</si>
  <si>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</si>
  <si>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</si>
  <si>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</si>
  <si>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</si>
  <si>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</si>
  <si>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</si>
  <si>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</si>
  <si>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</si>
  <si>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</si>
  <si>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</si>
  <si>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</si>
  <si>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</si>
  <si>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</si>
  <si>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</si>
  <si>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</si>
  <si>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</si>
  <si>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</si>
  <si>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</si>
  <si>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</si>
  <si>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</si>
  <si>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</si>
  <si>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</si>
  <si>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</si>
  <si>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</si>
  <si>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</si>
  <si>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</si>
  <si>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</si>
  <si>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</si>
  <si>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</si>
  <si>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</si>
  <si>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</si>
  <si>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</si>
  <si>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</si>
  <si>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</si>
  <si>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</si>
  <si>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</si>
  <si>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</si>
  <si>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</si>
  <si>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</si>
  <si>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</si>
  <si>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</si>
  <si>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</si>
  <si>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</si>
  <si>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</si>
  <si>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</si>
  <si>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</si>
  <si>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</si>
  <si>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</si>
  <si>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</si>
  <si>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</si>
  <si>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</si>
  <si>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</si>
  <si>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</si>
  <si>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</si>
  <si>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</si>
  <si>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</si>
  <si>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</si>
  <si>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</si>
  <si>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</si>
  <si>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</si>
  <si>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</si>
  <si>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</si>
  <si>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</si>
  <si>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</si>
  <si>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</si>
  <si>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</si>
  <si>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</si>
  <si>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</si>
  <si>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</si>
  <si>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</si>
  <si>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</si>
  <si>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</si>
  <si>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</si>
  <si>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</si>
  <si>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</si>
  <si>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</si>
  <si>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</si>
  <si>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</si>
  <si>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</si>
  <si>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</si>
  <si>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</si>
  <si>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</si>
  <si>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</si>
  <si>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</si>
  <si>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</si>
  <si>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</si>
  <si>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</si>
  <si>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</si>
  <si>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</si>
  <si>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</si>
  <si>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</si>
  <si>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</si>
  <si>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</si>
  <si>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</si>
  <si>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</si>
  <si>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</si>
  <si>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</si>
  <si>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</si>
  <si>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</si>
  <si>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</si>
  <si>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</si>
  <si>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</si>
  <si>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</si>
  <si>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</si>
  <si>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</si>
  <si>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</si>
  <si>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</si>
  <si>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</si>
  <si>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</si>
  <si>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</si>
  <si>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</si>
  <si>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</si>
  <si>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</si>
  <si>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</si>
  <si>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</si>
  <si>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</si>
  <si>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</si>
  <si>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</si>
  <si>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</si>
  <si>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</si>
  <si>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</si>
  <si>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</si>
  <si>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</si>
  <si>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</si>
  <si>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</si>
  <si>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</si>
  <si>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</si>
  <si>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</si>
  <si>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</si>
  <si>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</si>
  <si>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</si>
  <si>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</si>
  <si>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</si>
  <si>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</si>
  <si>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</si>
  <si>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</si>
  <si>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</si>
  <si>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</si>
  <si>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</si>
  <si>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</si>
  <si>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</si>
  <si>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</si>
  <si>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</si>
  <si>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</si>
  <si>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</si>
  <si>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</si>
  <si>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</si>
  <si>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</si>
  <si>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</si>
  <si>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</si>
  <si>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</si>
  <si>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</si>
  <si>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</si>
  <si>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</si>
  <si>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</si>
  <si>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</si>
  <si>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</si>
  <si>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</si>
  <si>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</si>
  <si>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</si>
  <si>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</si>
  <si>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</si>
  <si>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</si>
  <si>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</si>
  <si>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</si>
  <si>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</si>
  <si>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</si>
  <si>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</si>
  <si>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</si>
  <si>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</si>
  <si>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</si>
  <si>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</si>
  <si>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</si>
  <si>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</si>
  <si>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</si>
  <si>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</si>
  <si>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</si>
  <si>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</si>
  <si>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</si>
  <si>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</si>
  <si>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</si>
  <si>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</si>
  <si>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</si>
  <si>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</si>
  <si>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</si>
  <si>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</si>
  <si>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</si>
  <si>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</si>
  <si>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</si>
  <si>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</si>
  <si>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</si>
  <si>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</si>
  <si>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</si>
  <si>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</si>
  <si>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</si>
  <si>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</si>
  <si>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</si>
  <si>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</si>
  <si>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</si>
  <si>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</si>
  <si>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</si>
  <si>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</si>
  <si>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</si>
  <si>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</si>
  <si>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</si>
  <si>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</si>
  <si>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</si>
  <si>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</si>
  <si>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</si>
  <si>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</si>
  <si>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</si>
  <si>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</si>
  <si>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</si>
  <si>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</si>
  <si>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</si>
  <si>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</si>
  <si>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</si>
  <si>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</si>
  <si>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</si>
  <si>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</si>
  <si>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</si>
  <si>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</si>
  <si>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</si>
  <si>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</si>
  <si>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</si>
  <si>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</si>
  <si>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</si>
  <si>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</si>
  <si>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</si>
  <si>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</si>
  <si>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</si>
  <si>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</si>
  <si>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</si>
  <si>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</si>
  <si>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</si>
  <si>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</si>
  <si>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</si>
  <si>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</si>
  <si>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</si>
  <si>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</si>
  <si>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</si>
  <si>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</si>
  <si>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</si>
  <si>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</si>
  <si>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</si>
  <si>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</si>
  <si>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</si>
  <si>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</si>
  <si>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</si>
  <si>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</si>
  <si>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</si>
  <si>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</si>
  <si>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</si>
  <si>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</si>
  <si>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</si>
  <si>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</si>
  <si>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</si>
  <si>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</si>
  <si>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</si>
  <si>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</si>
  <si>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</si>
  <si>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</si>
  <si>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</si>
  <si>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</si>
  <si>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</si>
  <si>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</si>
  <si>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</si>
  <si>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</si>
  <si>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</si>
  <si>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</si>
  <si>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</si>
  <si>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</si>
  <si>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</si>
  <si>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</si>
  <si>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</si>
  <si>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</si>
  <si>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</si>
  <si>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</si>
  <si>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</si>
  <si>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</si>
  <si>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</si>
  <si>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</si>
  <si>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</si>
  <si>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</si>
  <si>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</si>
  <si>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</si>
  <si>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</si>
  <si>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</si>
  <si>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</si>
  <si>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</si>
  <si>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</si>
  <si>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</si>
  <si>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</si>
  <si>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</si>
  <si>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</si>
  <si>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</si>
  <si>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</si>
  <si>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</si>
  <si>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</si>
  <si>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</si>
  <si>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</si>
  <si>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</si>
  <si>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</si>
  <si>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</si>
  <si>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</si>
  <si>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</si>
  <si>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</si>
  <si>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</si>
  <si>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</si>
  <si>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</si>
  <si>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</si>
  <si>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</si>
  <si>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</si>
  <si>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</si>
  <si>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</si>
  <si>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</si>
  <si>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</si>
  <si>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</si>
  <si>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</si>
  <si>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</si>
  <si>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</si>
  <si>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</si>
  <si>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</si>
  <si>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</si>
  <si>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</si>
  <si>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</si>
  <si>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</si>
  <si>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</si>
  <si>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</si>
  <si>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</si>
  <si>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</si>
  <si>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</si>
  <si>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</si>
  <si>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</si>
  <si>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</si>
  <si>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</si>
  <si>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</si>
  <si>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</si>
  <si>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</si>
  <si>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</si>
  <si>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</si>
  <si>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</si>
  <si>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</si>
  <si>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</si>
  <si>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</si>
  <si>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</si>
  <si>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</si>
  <si>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</si>
  <si>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</si>
  <si>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</si>
  <si>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</si>
  <si>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</si>
  <si>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</si>
  <si>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</si>
  <si>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</si>
  <si>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</si>
  <si>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</si>
  <si>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</si>
  <si>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</si>
  <si>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</si>
  <si>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</si>
  <si>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</si>
  <si>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</si>
  <si>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</si>
  <si>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</si>
  <si>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</si>
  <si>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</si>
  <si>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</si>
  <si>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</si>
  <si>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</si>
  <si>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</si>
  <si>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</si>
  <si>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</si>
  <si>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</si>
  <si>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</si>
  <si>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</si>
  <si>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</si>
  <si>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</si>
  <si>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</si>
  <si>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</si>
  <si>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</si>
  <si>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</si>
  <si>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</si>
  <si>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</si>
  <si>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</si>
  <si>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</si>
  <si>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</si>
  <si>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</si>
  <si>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</si>
  <si>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</si>
  <si>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</si>
  <si>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</si>
  <si>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</si>
  <si>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</si>
  <si>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</si>
  <si>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</si>
  <si>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</si>
  <si>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</si>
  <si>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</si>
  <si>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</si>
  <si>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</si>
  <si>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</si>
  <si>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</si>
  <si>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</si>
  <si>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</si>
  <si>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</si>
  <si>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</si>
  <si>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</si>
  <si>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</si>
  <si>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</si>
  <si>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</si>
  <si>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</si>
  <si>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</si>
  <si>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</si>
  <si>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</si>
  <si>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</si>
  <si>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</si>
  <si>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</si>
  <si>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</si>
  <si>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</si>
  <si>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</si>
  <si>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</si>
  <si>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</si>
  <si>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</si>
  <si>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</si>
  <si>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</si>
  <si>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</si>
  <si>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</si>
  <si>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</si>
  <si>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</si>
  <si>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</si>
  <si>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</si>
  <si>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</si>
  <si>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</si>
  <si>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</si>
  <si>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</si>
  <si>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</si>
  <si>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</si>
  <si>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</si>
  <si>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</si>
  <si>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</si>
  <si>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</si>
  <si>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</si>
  <si>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</si>
  <si>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</si>
  <si>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</si>
  <si>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</si>
  <si>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</si>
  <si>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</si>
  <si>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</si>
  <si>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</si>
  <si>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</si>
  <si>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</si>
  <si>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</si>
  <si>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</si>
  <si>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</si>
  <si>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</si>
  <si>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</si>
  <si>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</si>
  <si>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</si>
  <si>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</si>
  <si>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</si>
  <si>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</si>
  <si>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</si>
  <si>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</si>
  <si>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</si>
  <si>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</si>
  <si>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</si>
  <si>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</si>
  <si>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</si>
  <si>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</si>
  <si>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</si>
  <si>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</si>
  <si>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</si>
  <si>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</si>
  <si>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</si>
  <si>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</si>
  <si>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</si>
  <si>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</si>
  <si>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</si>
  <si>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</si>
  <si>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</si>
  <si>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</si>
  <si>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</si>
  <si>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</si>
  <si>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</si>
  <si>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</si>
  <si>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</si>
  <si>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</si>
  <si>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</si>
  <si>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</si>
  <si>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</si>
  <si>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</si>
  <si>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</si>
  <si>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Usama</t>
  </si>
  <si>
    <t>Maher Waqar</t>
  </si>
  <si>
    <t>NTN:// 3218709-2</t>
  </si>
  <si>
    <t>Gourmet Food</t>
  </si>
  <si>
    <t>Invoice No # :10012</t>
  </si>
  <si>
    <t xml:space="preserve">Gourmet Food Johar Town </t>
  </si>
  <si>
    <t xml:space="preserve">Gourmet Food 12G Johar Town </t>
  </si>
  <si>
    <t>Gourmet Food Naseer Abad</t>
  </si>
  <si>
    <t>Gourmet Food Davis Road</t>
  </si>
  <si>
    <t>Gourmet Food Shadman Road</t>
  </si>
  <si>
    <t>Gourmet Food Multan Road Fwara Chowk</t>
  </si>
  <si>
    <t xml:space="preserve">Gourmet Food Faisal Town </t>
  </si>
  <si>
    <t xml:space="preserve">Gourmet Food 18G Iqbal Town </t>
  </si>
  <si>
    <t>Gourmet Food Samnabad Lhr</t>
  </si>
  <si>
    <t>Gourmet Food Ghalib Market</t>
  </si>
  <si>
    <t>Gourmet Food Nisbat Road</t>
  </si>
  <si>
    <t>Gourmet Food Islam Pura</t>
  </si>
  <si>
    <t xml:space="preserve">Gourmet Food Jinnah Hospital </t>
  </si>
  <si>
    <t xml:space="preserve">Gourmet Food Shama Cenima </t>
  </si>
  <si>
    <t xml:space="preserve">Gourmet Food Muslim Town Ayubia </t>
  </si>
  <si>
    <t xml:space="preserve">Gourmet Food C Block Model Town </t>
  </si>
  <si>
    <t xml:space="preserve">Gourmet Food Liyaqat Chowk </t>
  </si>
  <si>
    <t>Gourmet Food Krishan Nagar</t>
  </si>
  <si>
    <t>Gourmet Food Poonch Road</t>
  </si>
  <si>
    <t xml:space="preserve">Gourmet Food Nadeem Shaheed </t>
  </si>
  <si>
    <t xml:space="preserve">Gourmet Food Gulshan Ravi </t>
  </si>
  <si>
    <t xml:space="preserve">Gourmet Food Riwind City </t>
  </si>
  <si>
    <t xml:space="preserve">Gourmet Food Link Road Model Town </t>
  </si>
  <si>
    <t>Gourmet Food Batapur</t>
  </si>
  <si>
    <t xml:space="preserve">Gourmet Food Jauray Pull </t>
  </si>
  <si>
    <t xml:space="preserve">Gourmet Food Bhatta Chowk </t>
  </si>
  <si>
    <t xml:space="preserve">Gourmet Food EME Society </t>
  </si>
  <si>
    <t xml:space="preserve">Gourmet Food  DHA XX- Block </t>
  </si>
  <si>
    <t>Gourmet Food Riwind Road Thokar</t>
  </si>
  <si>
    <t xml:space="preserve">Shakoor Husain </t>
  </si>
  <si>
    <t xml:space="preserve"> </t>
  </si>
  <si>
    <t>Gourmet Food Walton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</si>
</sst>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  <font>
      <b/>
      <sz val="12"/>
      <color theme="0"/>
      <name val="Book Antiqua"/>
      <family val="1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206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20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2" fontId="0" fillId="0" borderId="1" xfId="0" applyNumberFormat="1" applyBorder="1"/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40" fillId="0" borderId="1" xfId="0" applyFont="1" applyBorder="1" applyAlignment="1">
      <alignment horizontal="center"/>
    </xf>
    <xf numFmtId="9" fontId="18" fillId="0" borderId="48" xfId="0" applyNumberFormat="1" applyFont="1" applyBorder="1" applyAlignment="1">
      <alignment horizontal="center" vertical="center" wrapText="1"/>
    </xf>
    <xf numFmtId="0" fontId="35" fillId="3" borderId="1" xfId="0" applyFont="1" applyFill="1" applyBorder="1" applyAlignment="1">
      <alignment horizontal="center"/>
    </xf>
    <xf numFmtId="0" fontId="35" fillId="6" borderId="1" xfId="0" applyFont="1" applyFill="1" applyBorder="1" applyAlignment="1">
      <alignment horizontal="center"/>
    </xf>
    <xf numFmtId="0" fontId="35" fillId="7" borderId="12" xfId="0" applyFont="1" applyFill="1" applyBorder="1" applyAlignment="1">
      <alignment horizontal="center" vertical="center" wrapText="1"/>
    </xf>
    <xf numFmtId="0" fontId="35" fillId="7" borderId="1" xfId="0" applyFont="1" applyFill="1" applyBorder="1" applyAlignment="1">
      <alignment horizontal="center"/>
    </xf>
    <xf numFmtId="1" fontId="35" fillId="7" borderId="20" xfId="0" applyNumberFormat="1" applyFont="1" applyFill="1" applyBorder="1" applyAlignment="1">
      <alignment horizontal="center"/>
    </xf>
    <xf numFmtId="0" fontId="35" fillId="8" borderId="1" xfId="0" applyFont="1" applyFill="1" applyBorder="1" applyAlignment="1">
      <alignment horizontal="center"/>
    </xf>
    <xf numFmtId="0" fontId="41" fillId="9" borderId="1" xfId="0" applyFont="1" applyFill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8" t="s">
        <v>24</v>
      </c>
      <c r="B2" s="328"/>
      <c r="C2" s="328"/>
      <c r="D2" s="328"/>
      <c r="E2" s="328"/>
      <c r="F2" s="328"/>
      <c r="G2" s="328"/>
      <c r="H2" s="328"/>
    </row>
    <row r="3" spans="1:21" ht="18" thickBot="1" x14ac:dyDescent="0.35">
      <c r="A3" s="329" t="s">
        <v>15</v>
      </c>
      <c r="B3" s="329"/>
      <c r="C3" s="329"/>
      <c r="D3" s="329"/>
      <c r="E3" s="329"/>
      <c r="F3" s="329"/>
      <c r="G3" s="329"/>
      <c r="H3" s="32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0" t="s">
        <v>37</v>
      </c>
      <c r="P3" s="33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2" t="s">
        <v>25</v>
      </c>
      <c r="D4" s="33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6" t="s">
        <v>30</v>
      </c>
      <c r="H13" s="32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6" t="s">
        <v>30</v>
      </c>
      <c r="H26" s="32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6" t="s">
        <v>30</v>
      </c>
      <c r="H37" s="32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8" t="s">
        <v>24</v>
      </c>
      <c r="B2" s="328"/>
      <c r="C2" s="328"/>
      <c r="D2" s="328"/>
      <c r="E2" s="328"/>
      <c r="F2" s="328"/>
      <c r="G2" s="328"/>
      <c r="H2" s="328"/>
    </row>
    <row r="3" spans="1:21" ht="18" thickBot="1" x14ac:dyDescent="0.35">
      <c r="A3" s="329" t="s">
        <v>15</v>
      </c>
      <c r="B3" s="329"/>
      <c r="C3" s="329"/>
      <c r="D3" s="329"/>
      <c r="E3" s="329"/>
      <c r="F3" s="329"/>
      <c r="G3" s="329"/>
      <c r="H3" s="329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30" t="s">
        <v>37</v>
      </c>
      <c r="P3" s="331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32" t="s">
        <v>25</v>
      </c>
      <c r="D4" s="333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6" t="s">
        <v>30</v>
      </c>
      <c r="H13" s="327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6" t="s">
        <v>30</v>
      </c>
      <c r="H26" s="327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6" t="s">
        <v>30</v>
      </c>
      <c r="H37" s="327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34"/>
      <c r="B3" s="334"/>
      <c r="C3" s="334"/>
      <c r="D3" s="334"/>
      <c r="E3" s="334"/>
      <c r="F3" s="335"/>
      <c r="G3" s="335"/>
      <c r="H3" s="335"/>
      <c r="I3" s="335"/>
      <c r="J3" s="335"/>
      <c r="K3" s="335"/>
      <c r="L3" s="335"/>
      <c r="M3" s="335"/>
      <c r="N3" s="335"/>
      <c r="O3" s="335"/>
      <c r="P3" s="335"/>
      <c r="Q3" s="335"/>
      <c r="R3" s="335"/>
      <c r="S3" s="335"/>
      <c r="T3" s="335"/>
      <c r="U3" s="335"/>
      <c r="V3" s="335"/>
      <c r="W3" s="335"/>
      <c r="X3" s="335"/>
      <c r="Y3" s="335"/>
    </row>
    <row r="4" spans="1:29" x14ac:dyDescent="0.35">
      <c r="A4" s="336" t="s">
        <v>436</v>
      </c>
      <c r="B4" s="165" t="s">
        <v>437</v>
      </c>
      <c r="C4" s="165"/>
      <c r="D4" s="338" t="s">
        <v>438</v>
      </c>
      <c r="E4" s="340" t="s">
        <v>439</v>
      </c>
      <c r="F4" s="342" t="s">
        <v>58</v>
      </c>
      <c r="G4" s="342"/>
      <c r="H4" s="343" t="s">
        <v>440</v>
      </c>
      <c r="I4" s="343"/>
      <c r="J4" s="344" t="s">
        <v>441</v>
      </c>
      <c r="K4" s="345"/>
      <c r="L4" s="344" t="s">
        <v>442</v>
      </c>
      <c r="M4" s="345"/>
      <c r="N4" s="346" t="s">
        <v>443</v>
      </c>
      <c r="O4" s="346"/>
      <c r="P4" s="344" t="s">
        <v>86</v>
      </c>
      <c r="Q4" s="345"/>
      <c r="R4" s="344" t="s">
        <v>444</v>
      </c>
      <c r="S4" s="345"/>
      <c r="T4" s="347" t="s">
        <v>445</v>
      </c>
      <c r="U4" s="347"/>
      <c r="V4" s="348" t="s">
        <v>446</v>
      </c>
      <c r="W4" s="349"/>
      <c r="X4" s="348" t="s">
        <v>447</v>
      </c>
      <c r="Y4" s="349"/>
    </row>
    <row r="5" spans="1:29" ht="26.25" customHeight="1" thickBot="1" x14ac:dyDescent="0.4">
      <c r="A5" s="337"/>
      <c r="B5" s="167" t="s">
        <v>448</v>
      </c>
      <c r="C5" s="167" t="s">
        <v>438</v>
      </c>
      <c r="D5" s="339"/>
      <c r="E5" s="341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opLeftCell="C16" workbookViewId="0">
      <selection activeCell="S20" sqref="S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9.54296875" hidden="1" customWidth="1"/>
    <col min="16" max="16" width="8.453125" hidden="1" customWidth="1"/>
    <col min="17" max="17" width="7.54296875" bestFit="1" customWidth="1"/>
    <col min="18" max="18" width="7.1796875" bestFit="1" customWidth="1"/>
    <col min="19" max="19" width="39.1796875" bestFit="1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74" t="s">
        <v>91</v>
      </c>
      <c r="B2" s="374"/>
      <c r="C2" s="374"/>
      <c r="E2" s="361" t="s">
        <v>498</v>
      </c>
      <c r="F2" s="362"/>
      <c r="G2" s="362"/>
      <c r="H2" s="359" t="s">
        <v>513</v>
      </c>
      <c r="I2" s="359"/>
      <c r="J2" s="360"/>
      <c r="R2" s="356" t="s">
        <v>497</v>
      </c>
      <c r="S2" s="357"/>
      <c r="T2" s="358"/>
    </row>
    <row r="3" spans="1:20 16377:16378" ht="21.75" customHeight="1" thickBot="1" x14ac:dyDescent="0.4">
      <c r="A3" s="375" t="s">
        <v>92</v>
      </c>
      <c r="B3" s="375"/>
      <c r="C3" s="375"/>
      <c r="E3" s="365" t="s">
        <v>508</v>
      </c>
      <c r="F3" s="366"/>
      <c r="G3" s="366"/>
      <c r="H3" s="363">
        <f ca="1">TODAY()</f>
        <v>46268</v>
      </c>
      <c r="I3" s="363"/>
      <c r="J3" s="364"/>
      <c r="K3" s="376" t="s">
        <v>43</v>
      </c>
      <c r="L3" s="376"/>
      <c r="M3" s="376"/>
      <c r="N3" s="375"/>
      <c r="O3" s="375"/>
      <c r="P3" s="375"/>
      <c r="R3" s="299">
        <v>1</v>
      </c>
      <c r="S3" s="324" t="str">
        <f>+'1'!A6:A6</f>
        <v xml:space="preserve">Gourmet Food Johar Town </v>
      </c>
      <c r="T3" s="301">
        <f>+'1'!P35</f>
        <v>8675.5390383050853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R4" s="299">
        <v>2</v>
      </c>
      <c r="S4" s="324" t="str">
        <f>+'2'!A6:A6</f>
        <v xml:space="preserve">Gourmet Food 12G Johar Town </v>
      </c>
      <c r="T4" s="301">
        <f>+'2'!P35</f>
        <v>2946.4032650847457</v>
      </c>
      <c r="XEX4" t="s">
        <v>105</v>
      </c>
    </row>
    <row r="5" spans="1:20 16377:16378" ht="21.75" customHeight="1" thickBot="1" x14ac:dyDescent="0.4">
      <c r="A5" s="395" t="s">
        <v>51</v>
      </c>
      <c r="B5" s="367"/>
      <c r="C5" s="397" t="s">
        <v>90</v>
      </c>
      <c r="D5" s="115" t="s">
        <v>52</v>
      </c>
      <c r="E5" s="399" t="s">
        <v>58</v>
      </c>
      <c r="F5" s="400"/>
      <c r="G5" s="372" t="s">
        <v>54</v>
      </c>
      <c r="H5" s="373"/>
      <c r="I5" s="401" t="s">
        <v>77</v>
      </c>
      <c r="J5" s="371" t="s">
        <v>55</v>
      </c>
      <c r="K5" s="372"/>
      <c r="L5" s="373"/>
      <c r="M5" s="367" t="s">
        <v>84</v>
      </c>
      <c r="N5" s="369" t="s">
        <v>495</v>
      </c>
      <c r="O5" s="103" t="s">
        <v>89</v>
      </c>
      <c r="P5" s="115" t="s">
        <v>56</v>
      </c>
      <c r="Q5" s="315" t="s">
        <v>507</v>
      </c>
      <c r="R5" s="314">
        <v>3</v>
      </c>
      <c r="S5" s="319" t="str">
        <f>+'3'!A6:A6</f>
        <v>Gourmet Food Naseer Abad</v>
      </c>
      <c r="T5" s="301">
        <f>+'3'!P35</f>
        <v>76115.555031355936</v>
      </c>
      <c r="XEX5" t="s">
        <v>106</v>
      </c>
    </row>
    <row r="6" spans="1:20 16377:16378" ht="21.75" customHeight="1" thickBot="1" x14ac:dyDescent="0.4">
      <c r="A6" s="396"/>
      <c r="B6" s="368"/>
      <c r="C6" s="398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70"/>
      <c r="J6" s="143" t="s">
        <v>59</v>
      </c>
      <c r="K6" s="144" t="s">
        <v>39</v>
      </c>
      <c r="L6" s="145" t="s">
        <v>493</v>
      </c>
      <c r="M6" s="368"/>
      <c r="N6" s="370"/>
      <c r="O6" s="228" t="e">
        <f>IF(#REF!="Filer",0.5%,2.5%)</f>
        <v>#REF!</v>
      </c>
      <c r="P6" s="111" t="s">
        <v>38</v>
      </c>
      <c r="Q6" s="315" t="s">
        <v>506</v>
      </c>
      <c r="R6" s="314">
        <v>4</v>
      </c>
      <c r="S6" s="300" t="str">
        <f>+'4'!A6:A6</f>
        <v>Gourmet Food Davis Road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380</v>
      </c>
      <c r="I7" s="235">
        <f>(G7*D7)*F7+H7*F7</f>
        <v>19935.75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3588.4349999999999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16347.315000000001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3767.7966101694892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100.57555805084745</v>
      </c>
      <c r="P7" s="310">
        <f>M7+N7+O7</f>
        <v>20215.687168220338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100</v>
      </c>
      <c r="R7" s="314">
        <v>5</v>
      </c>
      <c r="S7" s="300" t="str">
        <f>+'5'!A6:A6</f>
        <v>Gourmet Food Shadman Road</v>
      </c>
      <c r="T7" s="301">
        <f>+'5'!P35</f>
        <v>0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370</v>
      </c>
      <c r="I8" s="236">
        <f t="shared" ref="I8:I14" si="0">(G8*D8)*F8+H8*F8</f>
        <v>19411.125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3494.0025000000001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15917.122499999999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3668.6440677966079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97.928832838983041</v>
      </c>
      <c r="P8" s="311">
        <f t="shared" ref="P8:P15" si="2">M8+N8+O8</f>
        <v>19683.695400635592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70</v>
      </c>
      <c r="R8" s="314">
        <v>6</v>
      </c>
      <c r="S8" s="319" t="str">
        <f>+'6'!A6:A6</f>
        <v>Gourmet Food Multan Road Fwara Chowk</v>
      </c>
      <c r="T8" s="301">
        <f>+'6'!P35</f>
        <v>2946.4032650847457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510</v>
      </c>
      <c r="I9" s="236">
        <f t="shared" si="0"/>
        <v>26755.875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4816.057499999999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21939.817500000001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5056.7796610169462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134.98298580508472</v>
      </c>
      <c r="P9" s="311">
        <f t="shared" si="2"/>
        <v>27131.580146822031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190</v>
      </c>
      <c r="R9" s="314">
        <v>7</v>
      </c>
      <c r="S9" s="324" t="str">
        <f>+'7'!A6:A6</f>
        <v xml:space="preserve">Gourmet Food Faisal Town </v>
      </c>
      <c r="T9" s="301">
        <f>+'7'!P35</f>
        <v>1595.975302754237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320</v>
      </c>
      <c r="I10" s="236">
        <f t="shared" si="0"/>
        <v>23244.799999999999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4184.0639999999994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0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19060.736000000001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4393.2203389830511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117.26978169491525</v>
      </c>
      <c r="P10" s="311">
        <f t="shared" si="2"/>
        <v>23571.226120677966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80</v>
      </c>
      <c r="R10" s="314">
        <v>8</v>
      </c>
      <c r="S10" s="319" t="str">
        <f>+'8'!A6:A6</f>
        <v xml:space="preserve">Gourmet Food 18G Iqbal Town </v>
      </c>
      <c r="T10" s="301">
        <f>+'8'!P35</f>
        <v>2127.9670703389825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300</v>
      </c>
      <c r="I11" s="236">
        <f t="shared" si="0"/>
        <v>21792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3922.5599999999995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50.848000000000006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17818.592000000001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4118.6440677966102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109.68618033898304</v>
      </c>
      <c r="P11" s="311">
        <f t="shared" si="2"/>
        <v>22046.922248135594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60</v>
      </c>
      <c r="R11" s="314">
        <v>9</v>
      </c>
      <c r="S11" s="319" t="str">
        <f>+'9'!A6:A6</f>
        <v>Gourmet Food Samnabad Lhr</v>
      </c>
      <c r="T11" s="301">
        <f>+'9'!P35</f>
        <v>2127.9670703389825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380</v>
      </c>
      <c r="I12" s="236">
        <f t="shared" si="0"/>
        <v>27603.200000000001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4968.5759999999991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0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22634.624000000003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5216.9491525423737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139.25786576271187</v>
      </c>
      <c r="P12" s="311">
        <f t="shared" si="2"/>
        <v>27990.831018305089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60</v>
      </c>
      <c r="R12" s="314">
        <v>10</v>
      </c>
      <c r="S12" s="319" t="str">
        <f>+'10'!A6:A6</f>
        <v>Gourmet Food Ghalib Market</v>
      </c>
      <c r="T12" s="301">
        <f>+'10'!P35</f>
        <v>1473.2016325423729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4">
        <v>11</v>
      </c>
      <c r="S13" s="300" t="str">
        <f>+'11'!A6:A6</f>
        <v>Gourmet Food Nisbat Road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4">
        <v>12</v>
      </c>
      <c r="S14" s="319" t="str">
        <f>+'12'!A6:A6</f>
        <v>Gourmet Food Islam Pura</v>
      </c>
      <c r="T14" s="301">
        <f>+'12'!P35</f>
        <v>3723.9423730932199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4">
        <v>13</v>
      </c>
      <c r="S15" s="324" t="str">
        <f>+'13'!A6:A6</f>
        <v xml:space="preserve">Gourmet Food Jinnah Hospital </v>
      </c>
      <c r="T15" s="301">
        <f>+'13'!P35</f>
        <v>1595.975302754237</v>
      </c>
    </row>
    <row r="16" spans="1:20 16377:16378" ht="21.75" customHeight="1" thickBot="1" x14ac:dyDescent="0.4">
      <c r="A16" s="377">
        <f>COUNT(A7:A15)</f>
        <v>0</v>
      </c>
      <c r="B16" s="378"/>
      <c r="C16" s="378" t="s">
        <v>40</v>
      </c>
      <c r="D16" s="378"/>
      <c r="E16" s="378"/>
      <c r="F16" s="379"/>
      <c r="G16" s="117">
        <f>H16/40</f>
        <v>56.5</v>
      </c>
      <c r="H16" s="113">
        <f t="shared" ref="H16:M16" si="3">SUM(H7:H15)</f>
        <v>2260</v>
      </c>
      <c r="I16" s="114">
        <f t="shared" si="3"/>
        <v>138742.75</v>
      </c>
      <c r="J16" s="274">
        <f>SUM(J7:J15)</f>
        <v>24973.695</v>
      </c>
      <c r="K16" s="275">
        <f t="shared" si="3"/>
        <v>50.848000000000006</v>
      </c>
      <c r="L16" s="276">
        <f t="shared" si="3"/>
        <v>0</v>
      </c>
      <c r="M16" s="232">
        <f t="shared" si="3"/>
        <v>113718.20700000002</v>
      </c>
      <c r="N16" s="233">
        <f>SUM(N7:N15)</f>
        <v>26222.033898305075</v>
      </c>
      <c r="O16" s="101">
        <f>SUM(O7:O15)</f>
        <v>699.70120449152535</v>
      </c>
      <c r="P16" s="113">
        <f>SUM(P7:P15)</f>
        <v>140639.9421027966</v>
      </c>
      <c r="Q16" s="128">
        <f>SUM(Q7:Q15)</f>
        <v>560</v>
      </c>
      <c r="R16" s="314">
        <v>14</v>
      </c>
      <c r="S16" s="319" t="str">
        <f>+'14'!A6:A6</f>
        <v xml:space="preserve">Gourmet Food Shama Cenima </v>
      </c>
      <c r="T16" s="301">
        <f>+'14'!P35</f>
        <v>2946.4032650847457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19" t="str">
        <f>+'15'!A6:A6</f>
        <v xml:space="preserve">Gourmet Food Muslim Town Ayubia </v>
      </c>
      <c r="T17" s="301">
        <f>+'15'!P35</f>
        <v>1595.975302754237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25" t="str">
        <f>+'16'!A6:A6</f>
        <v>Gourmet Food Walton</v>
      </c>
      <c r="T18" s="301">
        <f>+'16'!P35</f>
        <v>1422.0993925423729</v>
      </c>
    </row>
    <row r="19" spans="1:20" ht="21.75" customHeight="1" x14ac:dyDescent="0.35">
      <c r="B19" s="380" t="s">
        <v>64</v>
      </c>
      <c r="C19" s="381"/>
      <c r="D19" s="381"/>
      <c r="E19" s="381"/>
      <c r="F19" s="381"/>
      <c r="G19" s="381"/>
      <c r="H19" s="381"/>
      <c r="I19" s="381"/>
      <c r="J19" s="381"/>
      <c r="K19" s="381"/>
      <c r="L19" s="382"/>
      <c r="N19" s="389" t="s">
        <v>60</v>
      </c>
      <c r="O19" s="390"/>
      <c r="P19" s="139">
        <f>I16</f>
        <v>138742.75</v>
      </c>
      <c r="R19" s="299">
        <v>17</v>
      </c>
      <c r="S19" s="324" t="str">
        <f>+'17'!A6:A6</f>
        <v xml:space="preserve">Gourmet Food C Block Model Town </v>
      </c>
      <c r="T19" s="301">
        <f>+'17'!P35</f>
        <v>1473.2016325423729</v>
      </c>
    </row>
    <row r="20" spans="1:20" ht="21.75" customHeight="1" x14ac:dyDescent="0.35">
      <c r="B20" s="383"/>
      <c r="C20" s="384"/>
      <c r="D20" s="384"/>
      <c r="E20" s="384"/>
      <c r="F20" s="384"/>
      <c r="G20" s="384"/>
      <c r="H20" s="384"/>
      <c r="I20" s="384"/>
      <c r="J20" s="384"/>
      <c r="K20" s="384"/>
      <c r="L20" s="385"/>
      <c r="N20" s="391" t="s">
        <v>85</v>
      </c>
      <c r="O20" s="392"/>
      <c r="P20" s="140">
        <f>+J16</f>
        <v>24973.695</v>
      </c>
      <c r="R20" s="299">
        <v>18</v>
      </c>
      <c r="S20" s="319" t="str">
        <f>+'18'!A6:A6</f>
        <v xml:space="preserve">Gourmet Food Liyaqat Chowk </v>
      </c>
      <c r="T20" s="301">
        <f>+'18'!P35</f>
        <v>2127.9670703389825</v>
      </c>
    </row>
    <row r="21" spans="1:20" ht="21.75" customHeight="1" x14ac:dyDescent="0.35">
      <c r="B21" s="383"/>
      <c r="C21" s="384"/>
      <c r="D21" s="384"/>
      <c r="E21" s="384"/>
      <c r="F21" s="384"/>
      <c r="G21" s="384"/>
      <c r="H21" s="384"/>
      <c r="I21" s="384"/>
      <c r="J21" s="384"/>
      <c r="K21" s="384"/>
      <c r="L21" s="385"/>
      <c r="N21" s="391" t="s">
        <v>86</v>
      </c>
      <c r="O21" s="392"/>
      <c r="P21" s="140">
        <f>+K16+L16</f>
        <v>50.848000000000006</v>
      </c>
      <c r="R21" s="299">
        <v>19</v>
      </c>
      <c r="S21" s="320" t="str">
        <f>+'19'!A6:A6</f>
        <v>Gourmet Food Krishan Nagar</v>
      </c>
      <c r="T21" s="301">
        <f>+'19'!P35</f>
        <v>0</v>
      </c>
    </row>
    <row r="22" spans="1:20" ht="21.75" customHeight="1" x14ac:dyDescent="0.35">
      <c r="B22" s="383"/>
      <c r="C22" s="384"/>
      <c r="D22" s="384"/>
      <c r="E22" s="384"/>
      <c r="F22" s="384"/>
      <c r="G22" s="384"/>
      <c r="H22" s="384"/>
      <c r="I22" s="384"/>
      <c r="J22" s="384"/>
      <c r="K22" s="384"/>
      <c r="L22" s="385"/>
      <c r="M22" s="131"/>
      <c r="N22" s="391" t="s">
        <v>87</v>
      </c>
      <c r="O22" s="392"/>
      <c r="P22" s="140">
        <f>P19-P20-P21</f>
        <v>113718.20699999999</v>
      </c>
      <c r="R22" s="299">
        <v>20</v>
      </c>
      <c r="S22" s="319" t="str">
        <f>+'20'!A6:A6</f>
        <v>Gourmet Food Poonch Road</v>
      </c>
      <c r="T22" s="301">
        <f>+'20'!P35</f>
        <v>3069.1769352966103</v>
      </c>
    </row>
    <row r="23" spans="1:20" ht="21.75" customHeight="1" x14ac:dyDescent="0.35">
      <c r="B23" s="383"/>
      <c r="C23" s="384"/>
      <c r="D23" s="384"/>
      <c r="E23" s="384"/>
      <c r="F23" s="384"/>
      <c r="G23" s="384"/>
      <c r="H23" s="384"/>
      <c r="I23" s="384"/>
      <c r="J23" s="384"/>
      <c r="K23" s="384"/>
      <c r="L23" s="385"/>
      <c r="M23" s="131"/>
      <c r="N23" s="136" t="s">
        <v>61</v>
      </c>
      <c r="O23" s="133">
        <v>0.18</v>
      </c>
      <c r="P23" s="140">
        <f>+N16</f>
        <v>26222.033898305075</v>
      </c>
      <c r="R23" s="299">
        <v>21</v>
      </c>
      <c r="S23" s="319" t="str">
        <f>+'21'!A6:A6</f>
        <v xml:space="preserve">Gourmet Food Nadeem Shaheed </v>
      </c>
      <c r="T23" s="301">
        <f>+'21'!P35</f>
        <v>1473.2016325423729</v>
      </c>
    </row>
    <row r="24" spans="1:20" ht="21.75" customHeight="1" x14ac:dyDescent="0.35">
      <c r="B24" s="383"/>
      <c r="C24" s="384"/>
      <c r="D24" s="384"/>
      <c r="E24" s="384"/>
      <c r="F24" s="384"/>
      <c r="G24" s="384"/>
      <c r="H24" s="384"/>
      <c r="I24" s="384"/>
      <c r="J24" s="384"/>
      <c r="K24" s="384"/>
      <c r="L24" s="385"/>
      <c r="M24" s="131"/>
      <c r="N24" s="393" t="s">
        <v>76</v>
      </c>
      <c r="O24" s="394"/>
      <c r="P24" s="140">
        <f>P22+P23</f>
        <v>139940.24089830508</v>
      </c>
      <c r="R24" s="299">
        <v>22</v>
      </c>
      <c r="S24" s="319" t="str">
        <f>+'22'!A6:A6</f>
        <v xml:space="preserve">Gourmet Food Gulshan Ravi </v>
      </c>
      <c r="T24" s="301">
        <f>+'22'!P35</f>
        <v>5892.8065301694915</v>
      </c>
    </row>
    <row r="25" spans="1:20" ht="21.75" customHeight="1" thickBot="1" x14ac:dyDescent="0.4">
      <c r="B25" s="386"/>
      <c r="C25" s="387"/>
      <c r="D25" s="387"/>
      <c r="E25" s="387"/>
      <c r="F25" s="387"/>
      <c r="G25" s="387"/>
      <c r="H25" s="387"/>
      <c r="I25" s="387"/>
      <c r="J25" s="387"/>
      <c r="K25" s="387"/>
      <c r="L25" s="388"/>
      <c r="M25" s="99"/>
      <c r="N25" s="138" t="s">
        <v>83</v>
      </c>
      <c r="O25" s="137" t="e">
        <f>IF(#REF!="Filer",0.5%,2.5%)</f>
        <v>#REF!</v>
      </c>
      <c r="P25" s="140">
        <f>+O16</f>
        <v>699.70120449152535</v>
      </c>
      <c r="R25" s="299">
        <v>23</v>
      </c>
      <c r="S25" s="300" t="str">
        <f>+'23'!A6:A6</f>
        <v xml:space="preserve">Gourmet Food Riwind City </v>
      </c>
      <c r="T25" s="301">
        <f>+'23'!P35</f>
        <v>0</v>
      </c>
    </row>
    <row r="26" spans="1:20" ht="21.75" customHeight="1" thickBot="1" x14ac:dyDescent="0.4">
      <c r="N26" s="350" t="s">
        <v>88</v>
      </c>
      <c r="O26" s="351"/>
      <c r="P26" s="297">
        <f>+P24+P25</f>
        <v>140639.9421027966</v>
      </c>
      <c r="R26" s="299">
        <v>24</v>
      </c>
      <c r="S26" s="324" t="str">
        <f>+'24'!A6:A6</f>
        <v xml:space="preserve">Gourmet Food Link Road Model Town </v>
      </c>
      <c r="T26" s="301">
        <f>+'24'!P35</f>
        <v>1473.2016325423729</v>
      </c>
    </row>
    <row r="27" spans="1:20" ht="21.75" customHeight="1" thickBot="1" x14ac:dyDescent="0.4">
      <c r="B27" s="121" t="s">
        <v>63</v>
      </c>
      <c r="C27" s="352"/>
      <c r="D27" s="352"/>
      <c r="E27" s="352"/>
      <c r="F27" s="352"/>
      <c r="G27" s="352"/>
      <c r="H27" s="352"/>
      <c r="I27" s="353"/>
      <c r="J27" s="354"/>
      <c r="K27" s="355"/>
      <c r="R27" s="299">
        <v>25</v>
      </c>
      <c r="S27" s="300" t="str">
        <f>+'25'!A6:A6</f>
        <v>Gourmet Food Batapur</v>
      </c>
      <c r="T27" s="301">
        <f>+'25'!P35</f>
        <v>0</v>
      </c>
    </row>
    <row r="28" spans="1:20" ht="21.75" customHeight="1" x14ac:dyDescent="0.35">
      <c r="R28" s="321">
        <v>26</v>
      </c>
      <c r="S28" s="322" t="str">
        <f>+'26'!A6:A6</f>
        <v xml:space="preserve">Gourmet Food Jauray Pull </v>
      </c>
      <c r="T28" s="323">
        <f>+'26'!P35</f>
        <v>5729.1357732203387</v>
      </c>
    </row>
    <row r="29" spans="1:20" ht="21.75" customHeight="1" x14ac:dyDescent="0.35">
      <c r="L29">
        <v>0</v>
      </c>
      <c r="R29" s="321">
        <v>27</v>
      </c>
      <c r="S29" s="322" t="str">
        <f>+'27'!A6:A6</f>
        <v xml:space="preserve">Gourmet Food Bhatta Chowk </v>
      </c>
      <c r="T29" s="323">
        <f>+'27'!P35</f>
        <v>2127.9670703389825</v>
      </c>
    </row>
    <row r="30" spans="1:20" ht="21.75" customHeight="1" x14ac:dyDescent="0.35">
      <c r="R30" s="299">
        <v>28</v>
      </c>
      <c r="S30" s="324" t="str">
        <f>+'28'!A6:A6</f>
        <v xml:space="preserve">Gourmet Food EME Society </v>
      </c>
      <c r="T30" s="301">
        <f>+'28'!P35</f>
        <v>2127.9670703389825</v>
      </c>
    </row>
    <row r="31" spans="1:20" ht="21.75" customHeight="1" x14ac:dyDescent="0.35">
      <c r="R31" s="321">
        <v>29</v>
      </c>
      <c r="S31" s="322" t="str">
        <f>+'29'!A6:A6</f>
        <v xml:space="preserve">Gourmet Food  DHA XX- Block </v>
      </c>
      <c r="T31" s="323">
        <f>+'29'!P35</f>
        <v>3723.9423730932199</v>
      </c>
    </row>
    <row r="32" spans="1:20" ht="21.75" customHeight="1" x14ac:dyDescent="0.35">
      <c r="R32" s="299">
        <v>30</v>
      </c>
      <c r="S32" s="324" t="str">
        <f>+'30'!A6:A6</f>
        <v>Gourmet Food Riwind Road Thokar</v>
      </c>
      <c r="T32" s="301">
        <f>+'30'!P35</f>
        <v>2127.9670703389825</v>
      </c>
    </row>
    <row r="33" spans="2:20" ht="21.75" customHeight="1" thickBot="1" x14ac:dyDescent="0.6">
      <c r="R33" s="303"/>
      <c r="S33" s="302" t="s">
        <v>496</v>
      </c>
      <c r="T33" s="304">
        <f>SUM(T3:T32)</f>
        <v>140639.9421027966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510</v>
      </c>
    </row>
    <row r="51" spans="2:2" x14ac:dyDescent="0.35">
      <c r="B51" t="s">
        <v>511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B7" zoomScaleNormal="10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7.25" customHeight="1" x14ac:dyDescent="0.4">
      <c r="A6" s="404" t="s">
        <v>515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6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6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10">
        <f>M16+N16+O16</f>
        <v>2127.9670703389825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1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7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1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40</v>
      </c>
      <c r="I20" s="236">
        <f t="shared" si="7"/>
        <v>2905.6</v>
      </c>
      <c r="J20" s="272">
        <f t="shared" si="1"/>
        <v>523.00799999999992</v>
      </c>
      <c r="K20" s="128">
        <f t="shared" si="1"/>
        <v>0</v>
      </c>
      <c r="L20" s="119">
        <f t="shared" si="1"/>
        <v>0</v>
      </c>
      <c r="M20" s="230">
        <f t="shared" si="2"/>
        <v>2382.5920000000001</v>
      </c>
      <c r="N20" s="277">
        <f t="shared" si="3"/>
        <v>549.15254237288138</v>
      </c>
      <c r="O20" s="239">
        <f t="shared" si="4"/>
        <v>14.658722711864407</v>
      </c>
      <c r="P20" s="311">
        <f t="shared" si="5"/>
        <v>2946.4032650847457</v>
      </c>
      <c r="Q20" s="156"/>
      <c r="R20">
        <f>P20/21</f>
        <v>140.3049173849879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7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" si="8">SUM(G16:G24)</f>
        <v>0</v>
      </c>
      <c r="H25" s="113">
        <f t="shared" ref="H25" si="9">SUM(H16:H24)</f>
        <v>140</v>
      </c>
      <c r="I25" s="114">
        <f t="shared" ref="I25:M25" si="10">SUM(I16:I24)</f>
        <v>8555.4</v>
      </c>
      <c r="J25" s="274">
        <f>SUM(J16:J24)</f>
        <v>1539.9719999999998</v>
      </c>
      <c r="K25" s="275">
        <f t="shared" si="10"/>
        <v>0</v>
      </c>
      <c r="L25" s="276">
        <f t="shared" si="10"/>
        <v>0</v>
      </c>
      <c r="M25" s="232">
        <f t="shared" si="10"/>
        <v>7015.4279999999999</v>
      </c>
      <c r="N25" s="233">
        <f>SUM(N16:N24)</f>
        <v>1616.9491525423728</v>
      </c>
      <c r="O25" s="101">
        <f>SUM(O16:O24)</f>
        <v>43.161885762711862</v>
      </c>
      <c r="P25" s="113">
        <f>SUM(P16:P24)</f>
        <v>8675.5390383050835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8555.4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1539.9719999999998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7015.4279999999999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1616.9491525423728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8632.3771525423726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43.161885762711862</v>
      </c>
    </row>
    <row r="35" spans="2:16" ht="15.75" customHeight="1" thickBot="1" x14ac:dyDescent="0.4">
      <c r="N35" s="350" t="s">
        <v>88</v>
      </c>
      <c r="O35" s="351"/>
      <c r="P35" s="297">
        <f>+P33+P34</f>
        <v>8675.5390383050853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9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  <c r="F2" t="s">
        <v>545</v>
      </c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516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1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0</v>
      </c>
      <c r="L25" s="276">
        <f t="shared" si="7"/>
        <v>0</v>
      </c>
      <c r="M25" s="232">
        <f t="shared" si="7"/>
        <v>2382.5920000000001</v>
      </c>
      <c r="N25" s="233">
        <f>SUM(N16:N24)</f>
        <v>549.15254237288138</v>
      </c>
      <c r="O25" s="101">
        <f>SUM(O16:O24)</f>
        <v>14.658722711864407</v>
      </c>
      <c r="P25" s="113">
        <f>SUM(P16:P24)</f>
        <v>2946.4032650847457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2905.6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523.00799999999992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2382.5920000000001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2931.7445423728814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14.658722711864407</v>
      </c>
    </row>
    <row r="35" spans="2:16" ht="15.75" customHeight="1" thickBot="1" x14ac:dyDescent="0.4">
      <c r="N35" s="350" t="s">
        <v>88</v>
      </c>
      <c r="O35" s="351"/>
      <c r="P35" s="297">
        <f>+P33+P34</f>
        <v>2946.4032650847457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N13" sqref="N1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8.75" customHeight="1" x14ac:dyDescent="0.4">
      <c r="A6" s="404" t="s">
        <v>517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200</v>
      </c>
      <c r="I16" s="235">
        <f>(G16*D16)*F16+H16*F16</f>
        <v>10492.5</v>
      </c>
      <c r="J16" s="271">
        <f>$I16*S16</f>
        <v>1888.6499999999999</v>
      </c>
      <c r="K16" s="127">
        <f>$I16*T16</f>
        <v>0</v>
      </c>
      <c r="L16" s="118">
        <f>$I16*U16</f>
        <v>0</v>
      </c>
      <c r="M16" s="229">
        <f>I16-SUM(J16:L16)</f>
        <v>8603.85</v>
      </c>
      <c r="N16" s="248">
        <f>+(G16*D16+H16)*V16</f>
        <v>1983.0508474576263</v>
      </c>
      <c r="O16" s="238">
        <f>(N16+M16)*$O$15</f>
        <v>52.934504237288131</v>
      </c>
      <c r="P16" s="310">
        <f>M16+N16+O16</f>
        <v>10639.835351694914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200</v>
      </c>
      <c r="I17" s="236">
        <f t="shared" ref="I17:I23" si="0">(G17*D17)*F17+H17*F17</f>
        <v>10492.5</v>
      </c>
      <c r="J17" s="272">
        <f t="shared" ref="J17:L24" si="1">$I17*S17</f>
        <v>1888.6499999999999</v>
      </c>
      <c r="K17" s="128">
        <f>$I17*T17</f>
        <v>0</v>
      </c>
      <c r="L17" s="119">
        <f>$I17*U17</f>
        <v>0</v>
      </c>
      <c r="M17" s="230">
        <f t="shared" ref="M17:M24" si="2">I17-SUM(J17:L17)</f>
        <v>8603.85</v>
      </c>
      <c r="N17" s="277">
        <f t="shared" ref="N17:N24" si="3">+(G17*D17+H17)*V17</f>
        <v>1983.0508474576263</v>
      </c>
      <c r="O17" s="239">
        <f t="shared" ref="O17:O24" si="4">(N17+M17)*$O$15</f>
        <v>52.934504237288131</v>
      </c>
      <c r="P17" s="311">
        <f t="shared" ref="P17:P24" si="5">M17+N17+O17</f>
        <v>10639.835351694914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200</v>
      </c>
      <c r="I18" s="236">
        <f t="shared" si="0"/>
        <v>10492.5</v>
      </c>
      <c r="J18" s="272">
        <f t="shared" si="1"/>
        <v>1888.6499999999999</v>
      </c>
      <c r="K18" s="128">
        <f t="shared" si="1"/>
        <v>0</v>
      </c>
      <c r="L18" s="119">
        <f t="shared" si="1"/>
        <v>0</v>
      </c>
      <c r="M18" s="230">
        <f t="shared" si="2"/>
        <v>8603.85</v>
      </c>
      <c r="N18" s="277">
        <f t="shared" si="3"/>
        <v>1983.0508474576263</v>
      </c>
      <c r="O18" s="239">
        <f t="shared" si="4"/>
        <v>52.934504237288131</v>
      </c>
      <c r="P18" s="311">
        <f t="shared" si="5"/>
        <v>10639.835351694914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200</v>
      </c>
      <c r="I19" s="236">
        <f t="shared" si="0"/>
        <v>14528</v>
      </c>
      <c r="J19" s="272">
        <f t="shared" si="1"/>
        <v>2615.04</v>
      </c>
      <c r="K19" s="128">
        <f t="shared" si="1"/>
        <v>0</v>
      </c>
      <c r="L19" s="119">
        <f t="shared" si="1"/>
        <v>0</v>
      </c>
      <c r="M19" s="230">
        <f t="shared" si="2"/>
        <v>11912.96</v>
      </c>
      <c r="N19" s="277">
        <f t="shared" si="3"/>
        <v>2745.7627118644068</v>
      </c>
      <c r="O19" s="239">
        <f t="shared" si="4"/>
        <v>73.293613559322026</v>
      </c>
      <c r="P19" s="311">
        <f t="shared" si="5"/>
        <v>14732.016325423729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200</v>
      </c>
      <c r="I20" s="236">
        <f t="shared" si="0"/>
        <v>14528</v>
      </c>
      <c r="J20" s="272">
        <f t="shared" si="1"/>
        <v>2615.04</v>
      </c>
      <c r="K20" s="128">
        <f t="shared" si="1"/>
        <v>0</v>
      </c>
      <c r="L20" s="119">
        <f t="shared" si="1"/>
        <v>0</v>
      </c>
      <c r="M20" s="230">
        <f t="shared" si="2"/>
        <v>11912.96</v>
      </c>
      <c r="N20" s="277">
        <f t="shared" si="3"/>
        <v>2745.7627118644068</v>
      </c>
      <c r="O20" s="239">
        <f t="shared" si="4"/>
        <v>73.293613559322026</v>
      </c>
      <c r="P20" s="311">
        <f t="shared" si="5"/>
        <v>14732.016325423729</v>
      </c>
      <c r="Q20" s="156"/>
      <c r="R20">
        <f>P20/21</f>
        <v>701.52458692493951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200</v>
      </c>
      <c r="I21" s="236">
        <f t="shared" si="0"/>
        <v>14528</v>
      </c>
      <c r="J21" s="272">
        <f t="shared" si="1"/>
        <v>2615.04</v>
      </c>
      <c r="K21" s="128">
        <f t="shared" si="1"/>
        <v>0</v>
      </c>
      <c r="L21" s="119">
        <f t="shared" si="1"/>
        <v>0</v>
      </c>
      <c r="M21" s="230">
        <f t="shared" si="2"/>
        <v>11912.96</v>
      </c>
      <c r="N21" s="277">
        <f t="shared" si="3"/>
        <v>2745.7627118644068</v>
      </c>
      <c r="O21" s="239">
        <f t="shared" si="4"/>
        <v>73.293613559322026</v>
      </c>
      <c r="P21" s="311">
        <f t="shared" si="5"/>
        <v>14732.016325423729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1200</v>
      </c>
      <c r="I25" s="114">
        <f t="shared" si="7"/>
        <v>75061.5</v>
      </c>
      <c r="J25" s="274">
        <f>SUM(J16:J24)</f>
        <v>13511.07</v>
      </c>
      <c r="K25" s="275">
        <f t="shared" si="7"/>
        <v>0</v>
      </c>
      <c r="L25" s="276">
        <f t="shared" si="7"/>
        <v>0</v>
      </c>
      <c r="M25" s="232">
        <f t="shared" si="7"/>
        <v>61550.43</v>
      </c>
      <c r="N25" s="233">
        <f>SUM(N16:N24)</f>
        <v>14186.4406779661</v>
      </c>
      <c r="O25" s="101">
        <f>SUM(O16:O24)</f>
        <v>378.68435338983045</v>
      </c>
      <c r="P25" s="113">
        <f>SUM(P16:P24)</f>
        <v>76115.555031355922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75061.5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13511.07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61550.43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14186.4406779661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75736.870677966101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378.68435338983051</v>
      </c>
    </row>
    <row r="35" spans="2:16" ht="15.75" customHeight="1" thickBot="1" x14ac:dyDescent="0.4">
      <c r="N35" s="350" t="s">
        <v>88</v>
      </c>
      <c r="O35" s="351"/>
      <c r="P35" s="297">
        <f>+P33+P34</f>
        <v>76115.555031355936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10" workbookViewId="0">
      <selection activeCell="H17" sqref="H17: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518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0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0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0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0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0" t="s">
        <v>88</v>
      </c>
      <c r="O35" s="351"/>
      <c r="P35" s="297">
        <f>+P33+P34</f>
        <v>0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8" zoomScaleNormal="100" workbookViewId="0">
      <selection activeCell="H21" sqref="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519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20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0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0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0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0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0" t="s">
        <v>88</v>
      </c>
      <c r="O35" s="351"/>
      <c r="P35" s="297">
        <f>+P33+P34</f>
        <v>0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520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1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0</v>
      </c>
      <c r="L25" s="276">
        <f t="shared" si="7"/>
        <v>0</v>
      </c>
      <c r="M25" s="232">
        <f t="shared" si="7"/>
        <v>2382.5920000000001</v>
      </c>
      <c r="N25" s="233">
        <f>SUM(N16:N24)</f>
        <v>549.15254237288138</v>
      </c>
      <c r="O25" s="101">
        <f>SUM(O16:O24)</f>
        <v>14.658722711864407</v>
      </c>
      <c r="P25" s="113">
        <f>SUM(P16:P24)</f>
        <v>2946.4032650847457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2905.6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523.00799999999992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2382.5920000000001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2931.7445423728814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14.658722711864407</v>
      </c>
    </row>
    <row r="35" spans="2:16" ht="15.75" customHeight="1" thickBot="1" x14ac:dyDescent="0.4">
      <c r="N35" s="350" t="s">
        <v>88</v>
      </c>
      <c r="O35" s="351"/>
      <c r="P35" s="297">
        <f>+P33+P34</f>
        <v>2946.4032650847457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521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30</v>
      </c>
      <c r="I18" s="236">
        <f t="shared" si="0"/>
        <v>1573.875</v>
      </c>
      <c r="J18" s="272">
        <f t="shared" si="1"/>
        <v>283.29750000000001</v>
      </c>
      <c r="K18" s="128">
        <f t="shared" si="1"/>
        <v>0</v>
      </c>
      <c r="L18" s="119">
        <f t="shared" si="1"/>
        <v>0</v>
      </c>
      <c r="M18" s="230">
        <f t="shared" si="2"/>
        <v>1290.5774999999999</v>
      </c>
      <c r="N18" s="277">
        <f t="shared" si="3"/>
        <v>297.45762711864393</v>
      </c>
      <c r="O18" s="239">
        <f t="shared" si="4"/>
        <v>7.9401756355932189</v>
      </c>
      <c r="P18" s="311">
        <f t="shared" si="5"/>
        <v>1595.975302754237</v>
      </c>
      <c r="Q18" s="156">
        <v>10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283.29750000000001</v>
      </c>
      <c r="K25" s="275">
        <f t="shared" si="7"/>
        <v>0</v>
      </c>
      <c r="L25" s="276">
        <f t="shared" si="7"/>
        <v>0</v>
      </c>
      <c r="M25" s="232">
        <f t="shared" si="7"/>
        <v>1290.5774999999999</v>
      </c>
      <c r="N25" s="233">
        <f>SUM(N16:N24)</f>
        <v>297.45762711864393</v>
      </c>
      <c r="O25" s="101">
        <f>SUM(O16:O24)</f>
        <v>7.9401756355932189</v>
      </c>
      <c r="P25" s="113">
        <f>SUM(P16:P24)</f>
        <v>1595.975302754237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1573.875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283.29750000000001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1290.5774999999999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1588.0351271186437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7.9401756355932189</v>
      </c>
    </row>
    <row r="35" spans="2:16" ht="15.75" customHeight="1" thickBot="1" x14ac:dyDescent="0.4">
      <c r="N35" s="350" t="s">
        <v>88</v>
      </c>
      <c r="O35" s="351"/>
      <c r="P35" s="297">
        <f>+P33+P34</f>
        <v>1595.975302754237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topLeftCell="A4" zoomScale="110" zoomScaleNormal="1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522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2098.5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377.72999999999996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1720.77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2117.3801694915251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50" t="s">
        <v>88</v>
      </c>
      <c r="O35" s="351"/>
      <c r="P35" s="297">
        <f>+P33+P34</f>
        <v>2127.9670703389825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523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2098.5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377.72999999999996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1720.77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2117.3801694915251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50" t="s">
        <v>88</v>
      </c>
      <c r="O35" s="351"/>
      <c r="P35" s="297">
        <f>+P33+P34</f>
        <v>2127.9670703389825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524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1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0</v>
      </c>
      <c r="L25" s="276">
        <f t="shared" si="7"/>
        <v>0</v>
      </c>
      <c r="M25" s="232">
        <f t="shared" si="7"/>
        <v>1191.296</v>
      </c>
      <c r="N25" s="233">
        <f>SUM(N16:N24)</f>
        <v>274.57627118644069</v>
      </c>
      <c r="O25" s="101">
        <f>SUM(O16:O24)</f>
        <v>7.3293613559322033</v>
      </c>
      <c r="P25" s="113">
        <f>SUM(P16:P24)</f>
        <v>1473.2016325423729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1452.8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261.50399999999996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1191.296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1465.8722711864407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7.3293613559322033</v>
      </c>
    </row>
    <row r="35" spans="2:16" ht="15.75" customHeight="1" thickBot="1" x14ac:dyDescent="0.4">
      <c r="N35" s="350" t="s">
        <v>88</v>
      </c>
      <c r="O35" s="351"/>
      <c r="P35" s="297">
        <f>+P33+P34</f>
        <v>1473.2016325423729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topLeftCell="A9"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525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60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0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0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0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0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0" t="s">
        <v>88</v>
      </c>
      <c r="O35" s="351"/>
      <c r="P35" s="297">
        <f>+P33+P34</f>
        <v>0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526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1">
        <f t="shared" ref="P17:P24" si="5">M17+N17+O17</f>
        <v>1595.975302754237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70</v>
      </c>
      <c r="I25" s="114">
        <f t="shared" si="7"/>
        <v>3672.375</v>
      </c>
      <c r="J25" s="274">
        <f>SUM(J16:J24)</f>
        <v>661.02749999999992</v>
      </c>
      <c r="K25" s="275">
        <f t="shared" si="7"/>
        <v>0</v>
      </c>
      <c r="L25" s="276">
        <f t="shared" si="7"/>
        <v>0</v>
      </c>
      <c r="M25" s="232">
        <f t="shared" si="7"/>
        <v>3011.3474999999999</v>
      </c>
      <c r="N25" s="233">
        <f>SUM(N16:N24)</f>
        <v>694.06779661016913</v>
      </c>
      <c r="O25" s="101">
        <f>SUM(O16:O24)</f>
        <v>18.527076483050845</v>
      </c>
      <c r="P25" s="113">
        <f>SUM(P16:P24)</f>
        <v>3723.9423730932194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3672.375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661.02749999999992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3011.3474999999999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694.06779661016913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3705.4152966101692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18.527076483050845</v>
      </c>
    </row>
    <row r="35" spans="2:16" ht="15.75" customHeight="1" thickBot="1" x14ac:dyDescent="0.4">
      <c r="N35" s="350" t="s">
        <v>88</v>
      </c>
      <c r="O35" s="351"/>
      <c r="P35" s="297">
        <f>+P33+P34</f>
        <v>3723.9423730932199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527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1">
        <f t="shared" ref="P17:P24" si="5">M17+N17+O17</f>
        <v>1595.975302754237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283.29750000000001</v>
      </c>
      <c r="K25" s="275">
        <f t="shared" si="7"/>
        <v>0</v>
      </c>
      <c r="L25" s="276">
        <f t="shared" si="7"/>
        <v>0</v>
      </c>
      <c r="M25" s="232">
        <f t="shared" si="7"/>
        <v>1290.5774999999999</v>
      </c>
      <c r="N25" s="233">
        <f>SUM(N16:N24)</f>
        <v>297.45762711864393</v>
      </c>
      <c r="O25" s="101">
        <f>SUM(O16:O24)</f>
        <v>7.9401756355932189</v>
      </c>
      <c r="P25" s="113">
        <f>SUM(P16:P24)</f>
        <v>1595.975302754237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1573.875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283.29750000000001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1290.5774999999999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1588.0351271186437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7.9401756355932189</v>
      </c>
    </row>
    <row r="35" spans="2:16" ht="15.75" customHeight="1" thickBot="1" x14ac:dyDescent="0.4">
      <c r="N35" s="350" t="s">
        <v>88</v>
      </c>
      <c r="O35" s="351"/>
      <c r="P35" s="297">
        <f>+P33+P34</f>
        <v>1595.975302754237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528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9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1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9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523.00799999999992</v>
      </c>
      <c r="K25" s="275">
        <f t="shared" si="7"/>
        <v>0</v>
      </c>
      <c r="L25" s="276">
        <f t="shared" si="7"/>
        <v>0</v>
      </c>
      <c r="M25" s="232">
        <f t="shared" si="7"/>
        <v>2382.5920000000001</v>
      </c>
      <c r="N25" s="233">
        <f>SUM(N16:N24)</f>
        <v>549.15254237288138</v>
      </c>
      <c r="O25" s="101">
        <f>SUM(O16:O24)</f>
        <v>14.658722711864407</v>
      </c>
      <c r="P25" s="113">
        <f>SUM(P16:P24)</f>
        <v>2946.4032650847457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2905.6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523.00799999999992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2382.5920000000001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2931.7445423728814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14.658722711864407</v>
      </c>
    </row>
    <row r="35" spans="2:16" ht="15.75" customHeight="1" thickBot="1" x14ac:dyDescent="0.4">
      <c r="N35" s="350" t="s">
        <v>88</v>
      </c>
      <c r="O35" s="351"/>
      <c r="P35" s="297">
        <f>+P33+P34</f>
        <v>2946.4032650847457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topLeftCell="A10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529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10">
        <f>M16+N16+O16</f>
        <v>1595.975302754237</v>
      </c>
      <c r="Q16" s="313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30</v>
      </c>
      <c r="I25" s="114">
        <f t="shared" si="7"/>
        <v>1573.875</v>
      </c>
      <c r="J25" s="274">
        <f>SUM(J16:J24)</f>
        <v>283.29750000000001</v>
      </c>
      <c r="K25" s="275">
        <f t="shared" si="7"/>
        <v>0</v>
      </c>
      <c r="L25" s="276">
        <f t="shared" si="7"/>
        <v>0</v>
      </c>
      <c r="M25" s="232">
        <f t="shared" si="7"/>
        <v>1290.5774999999999</v>
      </c>
      <c r="N25" s="233">
        <f>SUM(N16:N24)</f>
        <v>297.45762711864393</v>
      </c>
      <c r="O25" s="101">
        <f>SUM(O16:O24)</f>
        <v>7.9401756355932189</v>
      </c>
      <c r="P25" s="113">
        <f>SUM(P16:P24)</f>
        <v>1595.975302754237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1573.875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283.29750000000001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1290.5774999999999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297.45762711864393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1588.0351271186437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7.9401756355932189</v>
      </c>
    </row>
    <row r="35" spans="2:16" ht="15.75" customHeight="1" thickBot="1" x14ac:dyDescent="0.4">
      <c r="N35" s="350" t="s">
        <v>88</v>
      </c>
      <c r="O35" s="351"/>
      <c r="P35" s="297">
        <f>+P33+P34</f>
        <v>1595.975302754237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topLeftCell="A16" workbookViewId="0">
      <selection activeCell="B17" sqref="B1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546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50.848000000000006</v>
      </c>
      <c r="L20" s="119">
        <f t="shared" si="1"/>
        <v>0</v>
      </c>
      <c r="M20" s="230">
        <f t="shared" si="2"/>
        <v>1140.4479999999999</v>
      </c>
      <c r="N20" s="277">
        <f t="shared" si="3"/>
        <v>274.57627118644069</v>
      </c>
      <c r="O20" s="239">
        <f t="shared" si="4"/>
        <v>7.075121355932203</v>
      </c>
      <c r="P20" s="311">
        <f t="shared" si="5"/>
        <v>1422.0993925423727</v>
      </c>
      <c r="Q20" s="156"/>
      <c r="R20">
        <f>P20/21</f>
        <v>67.719018692493933</v>
      </c>
      <c r="S20" s="269">
        <f>+S19</f>
        <v>0.18</v>
      </c>
      <c r="T20" s="270"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50.848000000000006</v>
      </c>
      <c r="L25" s="276">
        <f t="shared" si="7"/>
        <v>0</v>
      </c>
      <c r="M25" s="232">
        <f t="shared" si="7"/>
        <v>1140.4479999999999</v>
      </c>
      <c r="N25" s="233">
        <f>SUM(N16:N24)</f>
        <v>274.57627118644069</v>
      </c>
      <c r="O25" s="101">
        <f>SUM(O16:O24)</f>
        <v>7.075121355932203</v>
      </c>
      <c r="P25" s="113">
        <f>SUM(P16:P24)</f>
        <v>1422.0993925423727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1452.8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261.50399999999996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50.848000000000006</v>
      </c>
      <c r="S30" s="215"/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1140.4480000000001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1415.0242711864407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7.0751213559322039</v>
      </c>
    </row>
    <row r="35" spans="2:16" ht="15.75" customHeight="1" thickBot="1" x14ac:dyDescent="0.4">
      <c r="N35" s="350" t="s">
        <v>88</v>
      </c>
      <c r="O35" s="351"/>
      <c r="P35" s="297">
        <f>+P33+P34</f>
        <v>1422.0993925423729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530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1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0</v>
      </c>
      <c r="L25" s="276">
        <f t="shared" si="7"/>
        <v>0</v>
      </c>
      <c r="M25" s="232">
        <f t="shared" si="7"/>
        <v>1191.296</v>
      </c>
      <c r="N25" s="233">
        <f>SUM(N16:N24)</f>
        <v>274.57627118644069</v>
      </c>
      <c r="O25" s="101">
        <f>SUM(O16:O24)</f>
        <v>7.3293613559322033</v>
      </c>
      <c r="P25" s="113">
        <f>SUM(P16:P24)</f>
        <v>1473.2016325423729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1452.8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261.50399999999996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1191.296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1465.8722711864407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7.3293613559322033</v>
      </c>
    </row>
    <row r="35" spans="2:16" ht="15.75" customHeight="1" thickBot="1" x14ac:dyDescent="0.4">
      <c r="N35" s="350" t="s">
        <v>88</v>
      </c>
      <c r="O35" s="351"/>
      <c r="P35" s="297">
        <f>+P33+P34</f>
        <v>1473.2016325423729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531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2098.5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377.72999999999996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1720.77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2117.3801694915251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50" t="s">
        <v>88</v>
      </c>
      <c r="O35" s="351"/>
      <c r="P35" s="297">
        <f>+P33+P34</f>
        <v>2127.9670703389825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topLeftCell="A10" workbookViewId="0">
      <selection activeCell="N27" sqref="N2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532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20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0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0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0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0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0" t="s">
        <v>88</v>
      </c>
      <c r="O35" s="351"/>
      <c r="P35" s="297">
        <f>+P33+P34</f>
        <v>0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topLeftCell="A6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8.75" customHeight="1" x14ac:dyDescent="0.4">
      <c r="A6" s="404" t="s">
        <v>533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30</v>
      </c>
      <c r="I17" s="236">
        <f t="shared" ref="I17:I23" si="0">(G17*D17)*F17+H17*F17</f>
        <v>1573.875</v>
      </c>
      <c r="J17" s="272">
        <f t="shared" ref="J17:L24" si="1">$I17*S17</f>
        <v>283.29750000000001</v>
      </c>
      <c r="K17" s="128">
        <f>$I17*T17</f>
        <v>0</v>
      </c>
      <c r="L17" s="119">
        <f>$I17*U17</f>
        <v>0</v>
      </c>
      <c r="M17" s="230">
        <f t="shared" ref="M17:M24" si="2">I17-SUM(J17:L17)</f>
        <v>1290.5774999999999</v>
      </c>
      <c r="N17" s="277">
        <f t="shared" ref="N17:N24" si="3">+(G17*D17+H17)*V17</f>
        <v>297.45762711864393</v>
      </c>
      <c r="O17" s="239">
        <f t="shared" ref="O17:O24" si="4">(N17+M17)*$O$15</f>
        <v>7.9401756355932189</v>
      </c>
      <c r="P17" s="311">
        <f t="shared" ref="P17:P24" si="5">M17+N17+O17</f>
        <v>1595.975302754237</v>
      </c>
      <c r="Q17" s="156">
        <v>10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1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50</v>
      </c>
      <c r="I25" s="114">
        <f t="shared" si="7"/>
        <v>3026.6750000000002</v>
      </c>
      <c r="J25" s="274">
        <f>SUM(J16:J24)</f>
        <v>544.80150000000003</v>
      </c>
      <c r="K25" s="275">
        <f t="shared" si="7"/>
        <v>0</v>
      </c>
      <c r="L25" s="276">
        <f t="shared" si="7"/>
        <v>0</v>
      </c>
      <c r="M25" s="232">
        <f t="shared" si="7"/>
        <v>2481.8734999999997</v>
      </c>
      <c r="N25" s="233">
        <f>SUM(N16:N24)</f>
        <v>572.03389830508468</v>
      </c>
      <c r="O25" s="101">
        <f>SUM(O16:O24)</f>
        <v>15.269536991525422</v>
      </c>
      <c r="P25" s="113">
        <f>SUM(P16:P24)</f>
        <v>3069.1769352966098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3026.6750000000002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544.80150000000003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2481.8735000000001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572.03389830508468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3053.9073983050848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15.269536991525424</v>
      </c>
    </row>
    <row r="35" spans="2:16" ht="15.75" customHeight="1" thickBot="1" x14ac:dyDescent="0.4">
      <c r="N35" s="350" t="s">
        <v>88</v>
      </c>
      <c r="O35" s="351"/>
      <c r="P35" s="297">
        <f>+P33+P34</f>
        <v>3069.1769352966103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534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261.50399999999996</v>
      </c>
      <c r="K19" s="128">
        <f t="shared" si="1"/>
        <v>0</v>
      </c>
      <c r="L19" s="119">
        <f t="shared" si="1"/>
        <v>0</v>
      </c>
      <c r="M19" s="230">
        <f t="shared" si="2"/>
        <v>1191.296</v>
      </c>
      <c r="N19" s="277">
        <f t="shared" si="3"/>
        <v>274.57627118644069</v>
      </c>
      <c r="O19" s="239">
        <f t="shared" si="4"/>
        <v>7.3293613559322033</v>
      </c>
      <c r="P19" s="311">
        <f t="shared" si="5"/>
        <v>1473.2016325423729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0</v>
      </c>
      <c r="L25" s="276">
        <f t="shared" si="7"/>
        <v>0</v>
      </c>
      <c r="M25" s="232">
        <f t="shared" si="7"/>
        <v>1191.296</v>
      </c>
      <c r="N25" s="233">
        <f>SUM(N16:N24)</f>
        <v>274.57627118644069</v>
      </c>
      <c r="O25" s="101">
        <f>SUM(O16:O24)</f>
        <v>7.3293613559322033</v>
      </c>
      <c r="P25" s="113">
        <f>SUM(P16:P24)</f>
        <v>1473.2016325423729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1452.8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261.50399999999996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1191.296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1465.8722711864407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7.3293613559322033</v>
      </c>
    </row>
    <row r="35" spans="2:16" ht="15.75" customHeight="1" thickBot="1" x14ac:dyDescent="0.4">
      <c r="N35" s="350" t="s">
        <v>88</v>
      </c>
      <c r="O35" s="351"/>
      <c r="P35" s="297">
        <f>+P33+P34</f>
        <v>1473.2016325423729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topLeftCell="A5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535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523.00799999999992</v>
      </c>
      <c r="K19" s="128">
        <f t="shared" si="1"/>
        <v>0</v>
      </c>
      <c r="L19" s="119">
        <f t="shared" si="1"/>
        <v>0</v>
      </c>
      <c r="M19" s="230">
        <f t="shared" si="2"/>
        <v>2382.5920000000001</v>
      </c>
      <c r="N19" s="277">
        <f t="shared" si="3"/>
        <v>549.15254237288138</v>
      </c>
      <c r="O19" s="239">
        <f t="shared" si="4"/>
        <v>14.658722711864407</v>
      </c>
      <c r="P19" s="311">
        <f t="shared" si="5"/>
        <v>2946.4032650847457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523.00799999999992</v>
      </c>
      <c r="K21" s="128">
        <f t="shared" si="1"/>
        <v>0</v>
      </c>
      <c r="L21" s="119">
        <f t="shared" si="1"/>
        <v>0</v>
      </c>
      <c r="M21" s="230">
        <f t="shared" si="2"/>
        <v>2382.5920000000001</v>
      </c>
      <c r="N21" s="277">
        <f t="shared" si="3"/>
        <v>549.15254237288138</v>
      </c>
      <c r="O21" s="239">
        <f t="shared" si="4"/>
        <v>14.658722711864407</v>
      </c>
      <c r="P21" s="311">
        <f t="shared" si="5"/>
        <v>2946.4032650847457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80</v>
      </c>
      <c r="I25" s="114">
        <f t="shared" si="7"/>
        <v>5811.2</v>
      </c>
      <c r="J25" s="274">
        <f>SUM(J16:J24)</f>
        <v>1046.0159999999998</v>
      </c>
      <c r="K25" s="275">
        <f t="shared" si="7"/>
        <v>0</v>
      </c>
      <c r="L25" s="276">
        <f t="shared" si="7"/>
        <v>0</v>
      </c>
      <c r="M25" s="232">
        <f t="shared" si="7"/>
        <v>4765.1840000000002</v>
      </c>
      <c r="N25" s="233">
        <f>SUM(N16:N24)</f>
        <v>1098.3050847457628</v>
      </c>
      <c r="O25" s="101">
        <f>SUM(O16:O24)</f>
        <v>29.317445423728813</v>
      </c>
      <c r="P25" s="113">
        <f>SUM(P16:P24)</f>
        <v>5892.8065301694915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5811.2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1046.0159999999998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4765.1840000000002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1098.3050847457628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5863.4890847457627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29.317445423728813</v>
      </c>
    </row>
    <row r="35" spans="2:16" ht="15.75" customHeight="1" thickBot="1" x14ac:dyDescent="0.4">
      <c r="N35" s="350" t="s">
        <v>88</v>
      </c>
      <c r="O35" s="351"/>
      <c r="P35" s="297">
        <f>+P33+P34</f>
        <v>5892.8065301694915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topLeftCell="A8" workbookViewId="0">
      <selection activeCell="H22" sqref="H22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536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>
        <v>40</v>
      </c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40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40</v>
      </c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>
        <v>40</v>
      </c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>
        <v>0</v>
      </c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0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0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0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0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0" t="s">
        <v>88</v>
      </c>
      <c r="O35" s="351"/>
      <c r="P35" s="297">
        <f>+P33+P34</f>
        <v>0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topLeftCell="A8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537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>
        <v>40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>
        <v>20</v>
      </c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>
        <v>20</v>
      </c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20</v>
      </c>
      <c r="I21" s="236">
        <f t="shared" si="0"/>
        <v>1452.8</v>
      </c>
      <c r="J21" s="272">
        <f t="shared" si="1"/>
        <v>261.50399999999996</v>
      </c>
      <c r="K21" s="128">
        <f t="shared" si="1"/>
        <v>0</v>
      </c>
      <c r="L21" s="119">
        <f t="shared" si="1"/>
        <v>0</v>
      </c>
      <c r="M21" s="230">
        <f t="shared" si="2"/>
        <v>1191.296</v>
      </c>
      <c r="N21" s="277">
        <f t="shared" si="3"/>
        <v>274.57627118644069</v>
      </c>
      <c r="O21" s="239">
        <f t="shared" si="4"/>
        <v>7.3293613559322033</v>
      </c>
      <c r="P21" s="311">
        <f t="shared" si="5"/>
        <v>1473.2016325423729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20</v>
      </c>
      <c r="I25" s="114">
        <f t="shared" si="7"/>
        <v>1452.8</v>
      </c>
      <c r="J25" s="274">
        <f>SUM(J16:J24)</f>
        <v>261.50399999999996</v>
      </c>
      <c r="K25" s="275">
        <f t="shared" si="7"/>
        <v>0</v>
      </c>
      <c r="L25" s="276">
        <f t="shared" si="7"/>
        <v>0</v>
      </c>
      <c r="M25" s="232">
        <f t="shared" si="7"/>
        <v>1191.296</v>
      </c>
      <c r="N25" s="233">
        <f>SUM(N16:N24)</f>
        <v>274.57627118644069</v>
      </c>
      <c r="O25" s="101">
        <f>SUM(O16:O24)</f>
        <v>7.3293613559322033</v>
      </c>
      <c r="P25" s="113">
        <f>SUM(P16:P24)</f>
        <v>1473.2016325423729</v>
      </c>
      <c r="Q25" s="128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1452.8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261.50399999999996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1191.296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274.57627118644069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1465.8722711864407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7.3293613559322033</v>
      </c>
    </row>
    <row r="35" spans="2:16" ht="15.75" customHeight="1" thickBot="1" x14ac:dyDescent="0.4">
      <c r="N35" s="350" t="s">
        <v>88</v>
      </c>
      <c r="O35" s="351"/>
      <c r="P35" s="297">
        <f>+P33+P34</f>
        <v>1473.2016325423729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topLeftCell="A6" workbookViewId="0">
      <selection activeCell="H19" sqref="H19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538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>
        <v>40</v>
      </c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113">
        <f>SUM(P16:P24)</f>
        <v>0</v>
      </c>
      <c r="Q25" s="128">
        <f>SUM(Q16:Q24)</f>
        <v>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0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0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0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0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50" t="s">
        <v>88</v>
      </c>
      <c r="O35" s="351"/>
      <c r="P35" s="297">
        <f>+P33+P34</f>
        <v>0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topLeftCell="A4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539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10">
        <f>M16+N16+O16</f>
        <v>2127.9670703389825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261.50399999999996</v>
      </c>
      <c r="K20" s="128">
        <f t="shared" si="1"/>
        <v>0</v>
      </c>
      <c r="L20" s="119">
        <f t="shared" si="1"/>
        <v>0</v>
      </c>
      <c r="M20" s="230">
        <f t="shared" si="2"/>
        <v>1191.296</v>
      </c>
      <c r="N20" s="277">
        <f t="shared" si="3"/>
        <v>274.57627118644069</v>
      </c>
      <c r="O20" s="239">
        <f t="shared" si="4"/>
        <v>7.3293613559322033</v>
      </c>
      <c r="P20" s="311">
        <f t="shared" si="5"/>
        <v>1473.2016325423729</v>
      </c>
      <c r="Q20" s="156"/>
      <c r="R20">
        <f>P20/21</f>
        <v>70.152458692493951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100</v>
      </c>
      <c r="I25" s="114">
        <f t="shared" si="7"/>
        <v>5649.8</v>
      </c>
      <c r="J25" s="274">
        <f>SUM(J16:J24)</f>
        <v>1016.9639999999999</v>
      </c>
      <c r="K25" s="275">
        <f t="shared" si="7"/>
        <v>0</v>
      </c>
      <c r="L25" s="276">
        <f t="shared" si="7"/>
        <v>0</v>
      </c>
      <c r="M25" s="232">
        <f t="shared" si="7"/>
        <v>4632.8360000000002</v>
      </c>
      <c r="N25" s="233">
        <f>SUM(N16:N24)</f>
        <v>1067.7966101694913</v>
      </c>
      <c r="O25" s="101">
        <f>SUM(O16:O24)</f>
        <v>28.503163050847455</v>
      </c>
      <c r="P25" s="113">
        <f>SUM(P16:P24)</f>
        <v>5729.1357732203378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5649.8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1016.9639999999999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4632.8360000000002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1067.7966101694913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5700.6326101694913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28.503163050847458</v>
      </c>
    </row>
    <row r="35" spans="2:16" ht="15.75" customHeight="1" thickBot="1" x14ac:dyDescent="0.4">
      <c r="N35" s="350" t="s">
        <v>88</v>
      </c>
      <c r="O35" s="351"/>
      <c r="P35" s="297">
        <f>+P33+P34</f>
        <v>5729.1357732203387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540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2098.5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377.72999999999996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1720.77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2117.3801694915251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50" t="s">
        <v>88</v>
      </c>
      <c r="O35" s="351"/>
      <c r="P35" s="297">
        <f>+P33+P34</f>
        <v>2127.9670703389825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topLeftCell="A2" workbookViewId="0">
      <selection activeCell="N5" sqref="N5:P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541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310">
        <f>M16+N16+O16</f>
        <v>0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>
        <v>40</v>
      </c>
      <c r="I18" s="236">
        <f t="shared" si="0"/>
        <v>2098.5</v>
      </c>
      <c r="J18" s="272">
        <f t="shared" si="1"/>
        <v>377.72999999999996</v>
      </c>
      <c r="K18" s="128">
        <f t="shared" si="1"/>
        <v>0</v>
      </c>
      <c r="L18" s="119">
        <f t="shared" si="1"/>
        <v>0</v>
      </c>
      <c r="M18" s="230">
        <f t="shared" si="2"/>
        <v>1720.77</v>
      </c>
      <c r="N18" s="277">
        <f t="shared" si="3"/>
        <v>396.61016949152526</v>
      </c>
      <c r="O18" s="239">
        <f t="shared" si="4"/>
        <v>10.586900847457626</v>
      </c>
      <c r="P18" s="311">
        <f t="shared" si="5"/>
        <v>2127.9670703389825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2098.5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377.72999999999996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1720.77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2117.3801694915251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50" t="s">
        <v>88</v>
      </c>
      <c r="O35" s="351"/>
      <c r="P35" s="297">
        <f>+P33+P34</f>
        <v>2127.9670703389825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topLeftCell="A4" workbookViewId="0">
      <selection activeCell="N5" sqref="N5:P5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542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30</v>
      </c>
      <c r="I16" s="235">
        <f>(G16*D16)*F16+H16*F16</f>
        <v>1573.875</v>
      </c>
      <c r="J16" s="271">
        <f>$I16*S16</f>
        <v>283.29750000000001</v>
      </c>
      <c r="K16" s="127">
        <f>$I16*T16</f>
        <v>0</v>
      </c>
      <c r="L16" s="118">
        <f>$I16*U16</f>
        <v>0</v>
      </c>
      <c r="M16" s="229">
        <f>I16-SUM(J16:L16)</f>
        <v>1290.5774999999999</v>
      </c>
      <c r="N16" s="248">
        <f>+(G16*D16+H16)*V16</f>
        <v>297.45762711864393</v>
      </c>
      <c r="O16" s="238">
        <f>(N16+M16)*$O$15</f>
        <v>7.9401756355932189</v>
      </c>
      <c r="P16" s="310">
        <f>M16+N16+O16</f>
        <v>1595.975302754237</v>
      </c>
      <c r="Q16" s="313">
        <v>10</v>
      </c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40</v>
      </c>
      <c r="I17" s="236">
        <f t="shared" ref="I17:I23" si="0">(G17*D17)*F17+H17*F17</f>
        <v>2098.5</v>
      </c>
      <c r="J17" s="272">
        <f t="shared" ref="J17:L24" si="1">$I17*S17</f>
        <v>377.72999999999996</v>
      </c>
      <c r="K17" s="128">
        <f>$I17*T17</f>
        <v>0</v>
      </c>
      <c r="L17" s="119">
        <f>$I17*U17</f>
        <v>0</v>
      </c>
      <c r="M17" s="230">
        <f t="shared" ref="M17:M24" si="2">I17-SUM(J17:L17)</f>
        <v>1720.77</v>
      </c>
      <c r="N17" s="277">
        <f t="shared" ref="N17:N24" si="3">+(G17*D17+H17)*V17</f>
        <v>396.61016949152526</v>
      </c>
      <c r="O17" s="239">
        <f t="shared" ref="O17:O24" si="4">(N17+M17)*$O$15</f>
        <v>10.586900847457626</v>
      </c>
      <c r="P17" s="311">
        <f t="shared" ref="P17:P24" si="5">M17+N17+O17</f>
        <v>2127.9670703389825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70</v>
      </c>
      <c r="I25" s="114">
        <f t="shared" si="7"/>
        <v>3672.375</v>
      </c>
      <c r="J25" s="274">
        <f>SUM(J16:J24)</f>
        <v>661.02749999999992</v>
      </c>
      <c r="K25" s="275">
        <f t="shared" si="7"/>
        <v>0</v>
      </c>
      <c r="L25" s="276">
        <f t="shared" si="7"/>
        <v>0</v>
      </c>
      <c r="M25" s="232">
        <f t="shared" si="7"/>
        <v>3011.3474999999999</v>
      </c>
      <c r="N25" s="233">
        <f>SUM(N16:N24)</f>
        <v>694.06779661016913</v>
      </c>
      <c r="O25" s="101">
        <f>SUM(O16:O24)</f>
        <v>18.527076483050845</v>
      </c>
      <c r="P25" s="113">
        <f>SUM(P16:P24)</f>
        <v>3723.9423730932194</v>
      </c>
      <c r="Q25" s="128">
        <f>SUM(Q16:Q24)</f>
        <v>10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3672.375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661.02749999999992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3011.3474999999999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694.06779661016913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3705.4152966101692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18.527076483050845</v>
      </c>
    </row>
    <row r="35" spans="2:16" ht="15.75" customHeight="1" thickBot="1" x14ac:dyDescent="0.4">
      <c r="N35" s="350" t="s">
        <v>88</v>
      </c>
      <c r="O35" s="351"/>
      <c r="P35" s="297">
        <f>+P33+P34</f>
        <v>3723.9423730932199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tabSelected="1" workbookViewId="0">
      <selection activeCell="G7" sqref="G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9.1796875" style="61" bestFit="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74" t="s">
        <v>91</v>
      </c>
      <c r="B2" s="374"/>
      <c r="C2" s="374"/>
    </row>
    <row r="3" spans="1:22 16383:16384" ht="15" customHeight="1" x14ac:dyDescent="0.35">
      <c r="A3" s="375" t="s">
        <v>92</v>
      </c>
      <c r="B3" s="375"/>
      <c r="C3" s="375"/>
      <c r="F3" s="85"/>
      <c r="G3" s="1"/>
      <c r="K3" s="376" t="s">
        <v>514</v>
      </c>
      <c r="L3" s="376"/>
      <c r="M3" s="376"/>
      <c r="N3" s="375"/>
      <c r="O3" s="375"/>
      <c r="P3" s="375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5" t="s">
        <v>499</v>
      </c>
      <c r="B4" s="375"/>
      <c r="C4" s="375"/>
      <c r="F4" s="85"/>
      <c r="G4" s="1"/>
      <c r="K4" s="376" t="s">
        <v>44</v>
      </c>
      <c r="L4" s="376"/>
      <c r="M4" s="376"/>
      <c r="N4" s="406">
        <v>46265</v>
      </c>
      <c r="O4" s="406"/>
      <c r="P4" s="406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403" t="s">
        <v>492</v>
      </c>
      <c r="B5" s="403"/>
      <c r="C5" s="403"/>
      <c r="F5" s="85"/>
      <c r="G5" s="1"/>
      <c r="K5" s="376" t="s">
        <v>45</v>
      </c>
      <c r="L5" s="376"/>
      <c r="M5" s="376"/>
      <c r="N5" s="406">
        <f>N4-1</f>
        <v>46264</v>
      </c>
      <c r="O5" s="375"/>
      <c r="P5" s="375"/>
      <c r="R5" s="85"/>
      <c r="S5" s="266"/>
    </row>
    <row r="6" spans="1:22 16383:16384" ht="15" customHeight="1" x14ac:dyDescent="0.4">
      <c r="A6" s="404" t="s">
        <v>543</v>
      </c>
      <c r="B6" s="404"/>
      <c r="C6" s="404"/>
      <c r="F6" s="85"/>
      <c r="G6" s="86"/>
      <c r="K6" s="376" t="s">
        <v>69</v>
      </c>
      <c r="L6" s="376"/>
      <c r="M6" s="376"/>
      <c r="N6" s="405" t="s">
        <v>544</v>
      </c>
      <c r="O6" s="405"/>
      <c r="P6" s="405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6" t="s">
        <v>512</v>
      </c>
      <c r="B7" s="376"/>
      <c r="C7" s="376"/>
      <c r="F7" s="85"/>
      <c r="G7" s="86"/>
      <c r="K7" s="376" t="s">
        <v>66</v>
      </c>
      <c r="L7" s="376"/>
      <c r="M7" s="376"/>
      <c r="N7" s="405" t="s">
        <v>505</v>
      </c>
      <c r="O7" s="405"/>
      <c r="P7" s="405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402" t="s">
        <v>95</v>
      </c>
      <c r="B8" s="402"/>
      <c r="C8" s="402"/>
      <c r="F8" s="85"/>
      <c r="G8" s="86"/>
      <c r="K8" s="376" t="s">
        <v>67</v>
      </c>
      <c r="L8" s="376"/>
      <c r="M8" s="376"/>
      <c r="N8" s="405" t="s">
        <v>505</v>
      </c>
      <c r="O8" s="405"/>
      <c r="P8" s="405"/>
      <c r="R8" s="85"/>
      <c r="S8" s="267"/>
    </row>
    <row r="9" spans="1:22 16383:16384" x14ac:dyDescent="0.35">
      <c r="A9" s="402" t="s">
        <v>96</v>
      </c>
      <c r="B9" s="402"/>
      <c r="C9" s="402"/>
      <c r="F9" s="85"/>
      <c r="G9" s="86"/>
      <c r="K9" s="376" t="s">
        <v>68</v>
      </c>
      <c r="L9" s="376"/>
      <c r="M9" s="376"/>
      <c r="N9" s="405" t="s">
        <v>104</v>
      </c>
      <c r="O9" s="405"/>
      <c r="P9" s="405"/>
      <c r="R9" s="85"/>
      <c r="S9" s="267"/>
      <c r="XFD9" t="s">
        <v>49</v>
      </c>
    </row>
    <row r="10" spans="1:22 16383:16384" x14ac:dyDescent="0.35">
      <c r="A10" s="402" t="s">
        <v>97</v>
      </c>
      <c r="B10" s="402"/>
      <c r="C10" s="402"/>
      <c r="F10" s="85"/>
      <c r="G10" s="1"/>
      <c r="K10" s="376" t="s">
        <v>46</v>
      </c>
      <c r="L10" s="376"/>
      <c r="M10" s="376"/>
      <c r="N10" s="375" t="s">
        <v>47</v>
      </c>
      <c r="O10" s="375"/>
      <c r="P10" s="375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6" t="s">
        <v>48</v>
      </c>
      <c r="L11" s="376"/>
      <c r="M11" s="376"/>
      <c r="N11" s="405" t="s">
        <v>49</v>
      </c>
      <c r="O11" s="405"/>
      <c r="P11" s="405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6" t="s">
        <v>50</v>
      </c>
      <c r="L12" s="376"/>
      <c r="M12" s="376"/>
      <c r="N12" s="375"/>
      <c r="O12" s="375"/>
      <c r="P12" s="375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5" t="s">
        <v>51</v>
      </c>
      <c r="B14" s="367"/>
      <c r="C14" s="397" t="s">
        <v>90</v>
      </c>
      <c r="D14" s="115" t="s">
        <v>52</v>
      </c>
      <c r="E14" s="399" t="s">
        <v>58</v>
      </c>
      <c r="F14" s="400"/>
      <c r="G14" s="372" t="s">
        <v>54</v>
      </c>
      <c r="H14" s="373"/>
      <c r="I14" s="401" t="s">
        <v>77</v>
      </c>
      <c r="J14" s="371" t="s">
        <v>55</v>
      </c>
      <c r="K14" s="372"/>
      <c r="L14" s="373"/>
      <c r="M14" s="367" t="s">
        <v>84</v>
      </c>
      <c r="N14" s="369" t="s">
        <v>495</v>
      </c>
      <c r="O14" s="103" t="s">
        <v>89</v>
      </c>
      <c r="P14" s="115" t="s">
        <v>56</v>
      </c>
      <c r="Q14" s="317" t="s">
        <v>507</v>
      </c>
      <c r="XFD14" t="s">
        <v>106</v>
      </c>
    </row>
    <row r="15" spans="1:22 16383:16384" ht="20.5" thickBot="1" x14ac:dyDescent="0.4">
      <c r="A15" s="396"/>
      <c r="B15" s="368"/>
      <c r="C15" s="398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70"/>
      <c r="J15" s="318">
        <v>0.18</v>
      </c>
      <c r="K15" s="144" t="s">
        <v>39</v>
      </c>
      <c r="L15" s="145" t="s">
        <v>493</v>
      </c>
      <c r="M15" s="368"/>
      <c r="N15" s="370"/>
      <c r="O15" s="228">
        <f>IF(B11="Filer",0.5%,2.5%)</f>
        <v>5.0000000000000001E-3</v>
      </c>
      <c r="P15" s="11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40</v>
      </c>
      <c r="I16" s="235">
        <f>(G16*D16)*F16+H16*F16</f>
        <v>2098.5</v>
      </c>
      <c r="J16" s="271">
        <f>$I16*S16</f>
        <v>377.72999999999996</v>
      </c>
      <c r="K16" s="127">
        <f>$I16*T16</f>
        <v>0</v>
      </c>
      <c r="L16" s="118">
        <f>$I16*U16</f>
        <v>0</v>
      </c>
      <c r="M16" s="229">
        <f>I16-SUM(J16:L16)</f>
        <v>1720.77</v>
      </c>
      <c r="N16" s="248">
        <f>+(G16*D16+H16)*V16</f>
        <v>396.61016949152526</v>
      </c>
      <c r="O16" s="238">
        <f>(N16+M16)*$O$15</f>
        <v>10.586900847457626</v>
      </c>
      <c r="P16" s="310">
        <f>M16+N16+O16</f>
        <v>2127.9670703389825</v>
      </c>
      <c r="Q16" s="313"/>
      <c r="S16" s="269">
        <v>0.18</v>
      </c>
      <c r="T16" s="270">
        <v>0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311">
        <f t="shared" ref="P17:P24" si="5">M17+N17+O17</f>
        <v>0</v>
      </c>
      <c r="Q17" s="156"/>
      <c r="S17" s="269">
        <f>+S16</f>
        <v>0.18</v>
      </c>
      <c r="T17" s="270">
        <f>+T16</f>
        <v>0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311">
        <f t="shared" si="5"/>
        <v>0</v>
      </c>
      <c r="Q18" s="156"/>
      <c r="S18" s="269">
        <f>+S17</f>
        <v>0.18</v>
      </c>
      <c r="T18" s="270">
        <f>+T17</f>
        <v>0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311">
        <f t="shared" si="5"/>
        <v>0</v>
      </c>
      <c r="Q19" s="156"/>
      <c r="S19" s="269">
        <f>+S18</f>
        <v>0.18</v>
      </c>
      <c r="T19" s="270">
        <v>0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311">
        <f t="shared" si="5"/>
        <v>0</v>
      </c>
      <c r="Q20" s="156"/>
      <c r="R20">
        <f>P20/21</f>
        <v>0</v>
      </c>
      <c r="S20" s="269">
        <f>+S19</f>
        <v>0.18</v>
      </c>
      <c r="T20" s="270">
        <f>+T19</f>
        <v>0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311">
        <f t="shared" si="5"/>
        <v>0</v>
      </c>
      <c r="Q21" s="156"/>
      <c r="S21" s="269">
        <f>+S20</f>
        <v>0.18</v>
      </c>
      <c r="T21" s="270">
        <f>+T20</f>
        <v>0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311">
        <f t="shared" si="5"/>
        <v>0</v>
      </c>
      <c r="Q22" s="156"/>
      <c r="S22" s="269">
        <v>0.05</v>
      </c>
      <c r="T22" s="270">
        <v>0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311">
        <f t="shared" si="5"/>
        <v>0</v>
      </c>
      <c r="Q23" s="156"/>
      <c r="S23" s="269">
        <v>0.05</v>
      </c>
      <c r="T23" s="270">
        <f>+T22</f>
        <v>0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312">
        <f t="shared" si="5"/>
        <v>0</v>
      </c>
      <c r="Q24" s="156"/>
      <c r="S24" s="269">
        <v>0.05</v>
      </c>
      <c r="T24" s="270">
        <f>+T23</f>
        <v>0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M25" si="7">SUM(G16:G24)</f>
        <v>0</v>
      </c>
      <c r="H25" s="113">
        <f t="shared" si="7"/>
        <v>40</v>
      </c>
      <c r="I25" s="114">
        <f t="shared" si="7"/>
        <v>2098.5</v>
      </c>
      <c r="J25" s="274">
        <f>SUM(J16:J24)</f>
        <v>377.72999999999996</v>
      </c>
      <c r="K25" s="275">
        <f t="shared" si="7"/>
        <v>0</v>
      </c>
      <c r="L25" s="276">
        <f t="shared" si="7"/>
        <v>0</v>
      </c>
      <c r="M25" s="232">
        <f t="shared" si="7"/>
        <v>1720.77</v>
      </c>
      <c r="N25" s="233">
        <f>SUM(N16:N24)</f>
        <v>396.61016949152526</v>
      </c>
      <c r="O25" s="101">
        <f>SUM(O16:O24)</f>
        <v>10.586900847457626</v>
      </c>
      <c r="P25" s="113">
        <f>SUM(P16:P24)</f>
        <v>2127.9670703389825</v>
      </c>
      <c r="Q25" s="128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1"/>
      <c r="L28" s="382"/>
      <c r="N28" s="389" t="s">
        <v>60</v>
      </c>
      <c r="O28" s="390"/>
      <c r="P28" s="139">
        <f>I25</f>
        <v>2098.5</v>
      </c>
    </row>
    <row r="29" spans="1:22 16384:16384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4"/>
      <c r="L29" s="385"/>
      <c r="N29" s="391" t="s">
        <v>85</v>
      </c>
      <c r="O29" s="392"/>
      <c r="P29" s="140">
        <f>+J25</f>
        <v>377.72999999999996</v>
      </c>
    </row>
    <row r="30" spans="1:22 16384:16384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4"/>
      <c r="L30" s="385"/>
      <c r="N30" s="391" t="s">
        <v>86</v>
      </c>
      <c r="O30" s="392"/>
      <c r="P30" s="140">
        <f>+K25+L25</f>
        <v>0</v>
      </c>
    </row>
    <row r="31" spans="1:22 16384:16384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4"/>
      <c r="L31" s="385"/>
      <c r="M31" s="131"/>
      <c r="N31" s="391" t="s">
        <v>87</v>
      </c>
      <c r="O31" s="392"/>
      <c r="P31" s="140">
        <f>P28-P29-P30</f>
        <v>1720.77</v>
      </c>
    </row>
    <row r="32" spans="1:22 16384:16384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4"/>
      <c r="L32" s="385"/>
      <c r="M32" s="131"/>
      <c r="N32" s="136" t="s">
        <v>61</v>
      </c>
      <c r="O32" s="133">
        <v>0.18</v>
      </c>
      <c r="P32" s="140">
        <f>+N25</f>
        <v>396.61016949152526</v>
      </c>
    </row>
    <row r="33" spans="2:16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4"/>
      <c r="L33" s="385"/>
      <c r="M33" s="131"/>
      <c r="N33" s="393" t="s">
        <v>76</v>
      </c>
      <c r="O33" s="394"/>
      <c r="P33" s="140">
        <f>P31+P32</f>
        <v>2117.3801694915251</v>
      </c>
    </row>
    <row r="34" spans="2:16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7"/>
      <c r="L34" s="388"/>
      <c r="M34" s="99"/>
      <c r="N34" s="138" t="s">
        <v>83</v>
      </c>
      <c r="O34" s="137">
        <f>IF(B11="Filer",0.5%,2.5%)</f>
        <v>5.0000000000000001E-3</v>
      </c>
      <c r="P34" s="140">
        <f>O34*P33</f>
        <v>10.586900847457626</v>
      </c>
    </row>
    <row r="35" spans="2:16" ht="15.75" customHeight="1" thickBot="1" x14ac:dyDescent="0.4">
      <c r="N35" s="350" t="s">
        <v>88</v>
      </c>
      <c r="O35" s="351"/>
      <c r="P35" s="297">
        <f>+P33+P34</f>
        <v>2127.9670703389825</v>
      </c>
    </row>
    <row r="36" spans="2:16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354"/>
      <c r="K36" s="355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74" t="s">
        <v>91</v>
      </c>
      <c r="B2" s="374"/>
      <c r="C2" s="374"/>
    </row>
    <row r="3" spans="1:18 16382:16383" ht="15" customHeight="1" x14ac:dyDescent="0.35">
      <c r="A3" s="375" t="s">
        <v>92</v>
      </c>
      <c r="B3" s="375"/>
      <c r="C3" s="375"/>
      <c r="F3" s="85"/>
      <c r="G3" s="1"/>
      <c r="J3" s="376" t="s">
        <v>43</v>
      </c>
      <c r="K3" s="376"/>
      <c r="L3" s="376"/>
      <c r="M3" s="375"/>
      <c r="N3" s="375"/>
      <c r="O3" s="375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5" t="s">
        <v>65</v>
      </c>
      <c r="B4" s="375"/>
      <c r="C4" s="375"/>
      <c r="F4" s="85"/>
      <c r="G4" s="1"/>
      <c r="J4" s="376" t="s">
        <v>44</v>
      </c>
      <c r="K4" s="376"/>
      <c r="L4" s="376"/>
      <c r="M4" s="406">
        <f ca="1">TODAY()+1</f>
        <v>46269</v>
      </c>
      <c r="N4" s="406"/>
      <c r="O4" s="406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403" t="s">
        <v>93</v>
      </c>
      <c r="B5" s="403"/>
      <c r="C5" s="403"/>
      <c r="F5" s="85"/>
      <c r="G5" s="1"/>
      <c r="J5" s="376" t="s">
        <v>45</v>
      </c>
      <c r="K5" s="376"/>
      <c r="L5" s="376"/>
      <c r="M5" s="406">
        <f ca="1">M4-1</f>
        <v>46268</v>
      </c>
      <c r="N5" s="375"/>
      <c r="O5" s="375"/>
      <c r="Q5" s="85"/>
      <c r="R5" s="1"/>
    </row>
    <row r="6" spans="1:18 16382:16383" ht="15" customHeight="1" x14ac:dyDescent="0.35">
      <c r="A6" s="376" t="s">
        <v>94</v>
      </c>
      <c r="B6" s="376"/>
      <c r="C6" s="376"/>
      <c r="F6" s="85"/>
      <c r="G6" s="86"/>
      <c r="J6" s="376" t="s">
        <v>69</v>
      </c>
      <c r="K6" s="376"/>
      <c r="L6" s="376"/>
      <c r="M6" s="405" t="s">
        <v>62</v>
      </c>
      <c r="N6" s="405"/>
      <c r="O6" s="405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6" t="s">
        <v>73</v>
      </c>
      <c r="B7" s="376"/>
      <c r="C7" s="376"/>
      <c r="F7" s="85"/>
      <c r="G7" s="86"/>
      <c r="J7" s="376" t="s">
        <v>66</v>
      </c>
      <c r="K7" s="376"/>
      <c r="L7" s="376"/>
      <c r="M7" s="405" t="s">
        <v>70</v>
      </c>
      <c r="N7" s="405"/>
      <c r="O7" s="405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402" t="s">
        <v>95</v>
      </c>
      <c r="B8" s="402"/>
      <c r="C8" s="402"/>
      <c r="F8" s="85"/>
      <c r="G8" s="86"/>
      <c r="J8" s="376" t="s">
        <v>67</v>
      </c>
      <c r="K8" s="376"/>
      <c r="L8" s="376"/>
      <c r="M8" s="405" t="s">
        <v>71</v>
      </c>
      <c r="N8" s="405"/>
      <c r="O8" s="405"/>
      <c r="Q8" s="85"/>
      <c r="R8" s="86"/>
    </row>
    <row r="9" spans="1:18 16382:16383" x14ac:dyDescent="0.35">
      <c r="A9" s="402" t="s">
        <v>96</v>
      </c>
      <c r="B9" s="402"/>
      <c r="C9" s="402"/>
      <c r="F9" s="85"/>
      <c r="G9" s="86"/>
      <c r="J9" s="376" t="s">
        <v>68</v>
      </c>
      <c r="K9" s="376"/>
      <c r="L9" s="376"/>
      <c r="M9" s="405" t="s">
        <v>104</v>
      </c>
      <c r="N9" s="405"/>
      <c r="O9" s="405"/>
      <c r="Q9" s="85"/>
      <c r="R9" s="86"/>
      <c r="XFC9" t="s">
        <v>49</v>
      </c>
    </row>
    <row r="10" spans="1:18 16382:16383" x14ac:dyDescent="0.35">
      <c r="A10" s="402" t="s">
        <v>97</v>
      </c>
      <c r="B10" s="402"/>
      <c r="C10" s="402"/>
      <c r="F10" s="85"/>
      <c r="G10" s="1"/>
      <c r="J10" s="376" t="s">
        <v>46</v>
      </c>
      <c r="K10" s="376"/>
      <c r="L10" s="376"/>
      <c r="M10" s="375" t="s">
        <v>47</v>
      </c>
      <c r="N10" s="375"/>
      <c r="O10" s="375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6" t="s">
        <v>48</v>
      </c>
      <c r="K11" s="376"/>
      <c r="L11" s="376"/>
      <c r="M11" s="375" t="s">
        <v>49</v>
      </c>
      <c r="N11" s="375"/>
      <c r="O11" s="375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6" t="s">
        <v>50</v>
      </c>
      <c r="K12" s="376"/>
      <c r="L12" s="376"/>
      <c r="M12" s="375"/>
      <c r="N12" s="375"/>
      <c r="O12" s="375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5" t="s">
        <v>51</v>
      </c>
      <c r="B14" s="367"/>
      <c r="C14" s="397" t="s">
        <v>90</v>
      </c>
      <c r="D14" s="88" t="s">
        <v>52</v>
      </c>
      <c r="E14" s="95" t="s">
        <v>74</v>
      </c>
      <c r="F14" s="115" t="s">
        <v>53</v>
      </c>
      <c r="G14" s="371" t="s">
        <v>54</v>
      </c>
      <c r="H14" s="373"/>
      <c r="I14" s="401" t="s">
        <v>77</v>
      </c>
      <c r="J14" s="372" t="s">
        <v>55</v>
      </c>
      <c r="K14" s="373"/>
      <c r="L14" s="401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6"/>
      <c r="B15" s="368"/>
      <c r="C15" s="398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70"/>
      <c r="J15" s="144" t="s">
        <v>39</v>
      </c>
      <c r="K15" s="145" t="s">
        <v>59</v>
      </c>
      <c r="L15" s="370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7">
        <f>COUNT(A16:A24)</f>
        <v>0</v>
      </c>
      <c r="B25" s="378"/>
      <c r="C25" s="378" t="s">
        <v>40</v>
      </c>
      <c r="D25" s="378"/>
      <c r="E25" s="378"/>
      <c r="F25" s="379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80" t="s">
        <v>64</v>
      </c>
      <c r="C28" s="381"/>
      <c r="D28" s="381"/>
      <c r="E28" s="381"/>
      <c r="F28" s="381"/>
      <c r="G28" s="381"/>
      <c r="H28" s="381"/>
      <c r="I28" s="381"/>
      <c r="J28" s="381"/>
      <c r="K28" s="382"/>
      <c r="M28" s="389" t="s">
        <v>60</v>
      </c>
      <c r="N28" s="390"/>
      <c r="O28" s="139">
        <f>I25</f>
        <v>1452.8</v>
      </c>
    </row>
    <row r="29" spans="1:18 16383:16383" ht="15" customHeight="1" x14ac:dyDescent="0.35">
      <c r="B29" s="383"/>
      <c r="C29" s="384"/>
      <c r="D29" s="384"/>
      <c r="E29" s="384"/>
      <c r="F29" s="384"/>
      <c r="G29" s="384"/>
      <c r="H29" s="384"/>
      <c r="I29" s="384"/>
      <c r="J29" s="384"/>
      <c r="K29" s="385"/>
      <c r="M29" s="391" t="s">
        <v>85</v>
      </c>
      <c r="N29" s="392"/>
      <c r="O29" s="140">
        <f>K25</f>
        <v>0</v>
      </c>
    </row>
    <row r="30" spans="1:18 16383:16383" ht="15" customHeight="1" x14ac:dyDescent="0.35">
      <c r="B30" s="383"/>
      <c r="C30" s="384"/>
      <c r="D30" s="384"/>
      <c r="E30" s="384"/>
      <c r="F30" s="384"/>
      <c r="G30" s="384"/>
      <c r="H30" s="384"/>
      <c r="I30" s="384"/>
      <c r="J30" s="384"/>
      <c r="K30" s="385"/>
      <c r="M30" s="391" t="s">
        <v>86</v>
      </c>
      <c r="N30" s="392"/>
      <c r="O30" s="140">
        <f>J25</f>
        <v>50.848000000000006</v>
      </c>
    </row>
    <row r="31" spans="1:18 16383:16383" ht="15" customHeight="1" x14ac:dyDescent="0.35">
      <c r="B31" s="383"/>
      <c r="C31" s="384"/>
      <c r="D31" s="384"/>
      <c r="E31" s="384"/>
      <c r="F31" s="384"/>
      <c r="G31" s="384"/>
      <c r="H31" s="384"/>
      <c r="I31" s="384"/>
      <c r="J31" s="384"/>
      <c r="K31" s="385"/>
      <c r="L31" s="131"/>
      <c r="M31" s="391" t="s">
        <v>87</v>
      </c>
      <c r="N31" s="392"/>
      <c r="O31" s="140">
        <f>O28-O29-O30</f>
        <v>1401.952</v>
      </c>
    </row>
    <row r="32" spans="1:18 16383:16383" ht="15" customHeight="1" x14ac:dyDescent="0.35">
      <c r="B32" s="383"/>
      <c r="C32" s="384"/>
      <c r="D32" s="384"/>
      <c r="E32" s="384"/>
      <c r="F32" s="384"/>
      <c r="G32" s="384"/>
      <c r="H32" s="384"/>
      <c r="I32" s="384"/>
      <c r="J32" s="384"/>
      <c r="K32" s="385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83"/>
      <c r="C33" s="384"/>
      <c r="D33" s="384"/>
      <c r="E33" s="384"/>
      <c r="F33" s="384"/>
      <c r="G33" s="384"/>
      <c r="H33" s="384"/>
      <c r="I33" s="384"/>
      <c r="J33" s="384"/>
      <c r="K33" s="385"/>
      <c r="L33" s="131"/>
      <c r="M33" s="393" t="s">
        <v>76</v>
      </c>
      <c r="N33" s="394"/>
      <c r="O33" s="140">
        <f>O31+O32</f>
        <v>1710.3814400000001</v>
      </c>
    </row>
    <row r="34" spans="2:15" ht="15" customHeight="1" thickBot="1" x14ac:dyDescent="0.4">
      <c r="B34" s="386"/>
      <c r="C34" s="387"/>
      <c r="D34" s="387"/>
      <c r="E34" s="387"/>
      <c r="F34" s="387"/>
      <c r="G34" s="387"/>
      <c r="H34" s="387"/>
      <c r="I34" s="387"/>
      <c r="J34" s="387"/>
      <c r="K34" s="388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50" t="s">
        <v>88</v>
      </c>
      <c r="N35" s="351"/>
      <c r="O35" s="141">
        <f>O28-O29+O31+O34</f>
        <v>2897.511536</v>
      </c>
    </row>
    <row r="36" spans="2:15" ht="15" thickBot="1" x14ac:dyDescent="0.4">
      <c r="B36" s="121" t="s">
        <v>63</v>
      </c>
      <c r="C36" s="352"/>
      <c r="D36" s="352"/>
      <c r="E36" s="352"/>
      <c r="F36" s="352"/>
      <c r="G36" s="352"/>
      <c r="H36" s="352"/>
      <c r="I36" s="353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42" t="s">
        <v>438</v>
      </c>
      <c r="D1" s="409" t="s">
        <v>439</v>
      </c>
      <c r="E1" s="342" t="s">
        <v>58</v>
      </c>
      <c r="F1" s="342"/>
      <c r="G1" s="343" t="s">
        <v>440</v>
      </c>
      <c r="H1" s="343"/>
      <c r="I1" s="416" t="s">
        <v>441</v>
      </c>
      <c r="J1" s="416"/>
      <c r="K1" s="416" t="s">
        <v>442</v>
      </c>
      <c r="L1" s="416"/>
      <c r="M1" s="411" t="s">
        <v>484</v>
      </c>
      <c r="N1" s="412"/>
      <c r="O1" s="413"/>
    </row>
    <row r="2" spans="3:24" ht="29" x14ac:dyDescent="0.35">
      <c r="C2" s="342"/>
      <c r="D2" s="409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14" t="s">
        <v>476</v>
      </c>
      <c r="D6" s="414"/>
      <c r="E6" s="414"/>
      <c r="F6" s="414"/>
      <c r="G6" s="414"/>
      <c r="T6" s="257" t="s">
        <v>487</v>
      </c>
      <c r="U6" s="257" t="s">
        <v>488</v>
      </c>
    </row>
    <row r="7" spans="3:24" ht="14.5" customHeight="1" x14ac:dyDescent="0.35">
      <c r="C7" s="337" t="s">
        <v>438</v>
      </c>
      <c r="D7" s="341" t="s">
        <v>439</v>
      </c>
      <c r="E7" s="410" t="s">
        <v>58</v>
      </c>
      <c r="F7" s="410"/>
      <c r="G7" s="408" t="s">
        <v>440</v>
      </c>
      <c r="H7" s="343"/>
      <c r="I7" s="344" t="s">
        <v>441</v>
      </c>
      <c r="J7" s="345"/>
      <c r="K7" s="344" t="s">
        <v>442</v>
      </c>
      <c r="L7" s="345"/>
      <c r="M7" s="411" t="s">
        <v>484</v>
      </c>
      <c r="N7" s="412"/>
      <c r="O7" s="413"/>
      <c r="P7" s="256" t="s">
        <v>475</v>
      </c>
      <c r="Q7" s="242" t="s">
        <v>473</v>
      </c>
      <c r="R7" s="409" t="s">
        <v>475</v>
      </c>
      <c r="S7" s="409" t="s">
        <v>485</v>
      </c>
      <c r="T7" s="407" t="s">
        <v>486</v>
      </c>
      <c r="U7" s="407" t="s">
        <v>486</v>
      </c>
    </row>
    <row r="8" spans="3:24" ht="15" customHeight="1" thickBot="1" x14ac:dyDescent="0.4">
      <c r="C8" s="339"/>
      <c r="D8" s="341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9"/>
      <c r="S8" s="409"/>
      <c r="T8" s="408"/>
      <c r="U8" s="408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5" t="s">
        <v>477</v>
      </c>
      <c r="D12" s="415"/>
      <c r="E12" s="415"/>
      <c r="F12" s="415"/>
      <c r="G12" s="415"/>
    </row>
    <row r="13" spans="3:24" x14ac:dyDescent="0.35">
      <c r="C13" s="338" t="s">
        <v>438</v>
      </c>
      <c r="D13" s="340" t="s">
        <v>439</v>
      </c>
      <c r="E13" s="342" t="s">
        <v>58</v>
      </c>
      <c r="F13" s="342"/>
      <c r="G13" s="343" t="s">
        <v>440</v>
      </c>
      <c r="H13" s="343"/>
      <c r="I13" s="344" t="s">
        <v>441</v>
      </c>
      <c r="J13" s="345"/>
      <c r="K13" s="344" t="s">
        <v>442</v>
      </c>
      <c r="L13" s="345"/>
      <c r="M13" s="411" t="s">
        <v>484</v>
      </c>
      <c r="N13" s="412"/>
      <c r="O13" s="413"/>
      <c r="P13" s="256" t="s">
        <v>475</v>
      </c>
      <c r="Q13" s="242" t="s">
        <v>473</v>
      </c>
      <c r="R13" s="409" t="s">
        <v>475</v>
      </c>
      <c r="S13" s="409" t="s">
        <v>485</v>
      </c>
      <c r="T13" s="407" t="s">
        <v>486</v>
      </c>
      <c r="U13" s="407" t="s">
        <v>486</v>
      </c>
    </row>
    <row r="14" spans="3:24" ht="29.5" thickBot="1" x14ac:dyDescent="0.4">
      <c r="C14" s="339"/>
      <c r="D14" s="341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9"/>
      <c r="S14" s="409"/>
      <c r="T14" s="408"/>
      <c r="U14" s="408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14" t="s">
        <v>478</v>
      </c>
      <c r="D19" s="414"/>
      <c r="E19" s="414"/>
      <c r="F19" s="414"/>
      <c r="G19" s="414"/>
    </row>
    <row r="20" spans="3:21" x14ac:dyDescent="0.35">
      <c r="C20" s="338" t="s">
        <v>438</v>
      </c>
      <c r="D20" s="340" t="s">
        <v>439</v>
      </c>
      <c r="E20" s="342" t="s">
        <v>58</v>
      </c>
      <c r="F20" s="342"/>
      <c r="G20" s="343" t="s">
        <v>440</v>
      </c>
      <c r="H20" s="343"/>
      <c r="I20" s="344" t="s">
        <v>441</v>
      </c>
      <c r="J20" s="345"/>
      <c r="K20" s="344" t="s">
        <v>442</v>
      </c>
      <c r="L20" s="345"/>
      <c r="M20" s="411" t="s">
        <v>484</v>
      </c>
      <c r="N20" s="412"/>
      <c r="O20" s="413"/>
      <c r="P20" s="256" t="s">
        <v>475</v>
      </c>
      <c r="Q20" s="242" t="s">
        <v>473</v>
      </c>
      <c r="R20" s="409" t="s">
        <v>475</v>
      </c>
      <c r="S20" s="409" t="s">
        <v>485</v>
      </c>
      <c r="T20" s="407" t="s">
        <v>486</v>
      </c>
      <c r="U20" s="407" t="s">
        <v>486</v>
      </c>
    </row>
    <row r="21" spans="3:21" ht="29.5" thickBot="1" x14ac:dyDescent="0.4">
      <c r="C21" s="339"/>
      <c r="D21" s="341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9"/>
      <c r="S21" s="409"/>
      <c r="T21" s="408"/>
      <c r="U21" s="408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14" t="s">
        <v>479</v>
      </c>
      <c r="D26" s="414"/>
      <c r="E26" s="414"/>
      <c r="F26" s="414"/>
      <c r="G26" s="414"/>
    </row>
    <row r="27" spans="3:21" x14ac:dyDescent="0.35">
      <c r="C27" s="338" t="s">
        <v>438</v>
      </c>
      <c r="D27" s="340" t="s">
        <v>439</v>
      </c>
      <c r="E27" s="342" t="s">
        <v>58</v>
      </c>
      <c r="F27" s="342"/>
      <c r="G27" s="343" t="s">
        <v>440</v>
      </c>
      <c r="H27" s="343"/>
      <c r="I27" s="344" t="s">
        <v>441</v>
      </c>
      <c r="J27" s="345"/>
      <c r="K27" s="344" t="s">
        <v>442</v>
      </c>
      <c r="L27" s="345"/>
      <c r="M27" s="411" t="s">
        <v>484</v>
      </c>
      <c r="N27" s="412"/>
      <c r="O27" s="413"/>
      <c r="P27" s="256" t="s">
        <v>475</v>
      </c>
      <c r="Q27" s="242" t="s">
        <v>473</v>
      </c>
      <c r="R27" s="409" t="s">
        <v>475</v>
      </c>
      <c r="S27" s="409" t="s">
        <v>485</v>
      </c>
      <c r="T27" s="407" t="s">
        <v>486</v>
      </c>
      <c r="U27" s="407" t="s">
        <v>486</v>
      </c>
    </row>
    <row r="28" spans="3:21" ht="29.5" thickBot="1" x14ac:dyDescent="0.4">
      <c r="C28" s="339"/>
      <c r="D28" s="341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9"/>
      <c r="S28" s="409"/>
      <c r="T28" s="408"/>
      <c r="U28" s="408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42" t="s">
        <v>438</v>
      </c>
      <c r="C1" s="409" t="s">
        <v>439</v>
      </c>
      <c r="D1" s="342" t="s">
        <v>58</v>
      </c>
      <c r="E1" s="342"/>
      <c r="F1" s="343" t="s">
        <v>440</v>
      </c>
      <c r="G1" s="343"/>
      <c r="H1" s="416" t="s">
        <v>441</v>
      </c>
      <c r="I1" s="416"/>
      <c r="J1" s="416" t="s">
        <v>442</v>
      </c>
      <c r="K1" s="416"/>
      <c r="L1" s="411" t="s">
        <v>484</v>
      </c>
      <c r="M1" s="412"/>
      <c r="N1" s="413"/>
    </row>
    <row r="2" spans="2:17" ht="29" x14ac:dyDescent="0.35">
      <c r="B2" s="342"/>
      <c r="C2" s="409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9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7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7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7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7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7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7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7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7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7"/>
      <c r="G14" s="154" t="s">
        <v>135</v>
      </c>
      <c r="H14" s="152" t="s">
        <v>101</v>
      </c>
    </row>
    <row r="15" spans="1:8" x14ac:dyDescent="0.35">
      <c r="E15" s="153" t="s">
        <v>130</v>
      </c>
      <c r="F15" s="417"/>
      <c r="G15" s="154" t="s">
        <v>136</v>
      </c>
      <c r="H15" s="152" t="s">
        <v>102</v>
      </c>
    </row>
    <row r="16" spans="1:8" x14ac:dyDescent="0.35">
      <c r="E16" s="153" t="s">
        <v>130</v>
      </c>
      <c r="F16" s="417"/>
      <c r="G16" s="151" t="s">
        <v>137</v>
      </c>
      <c r="H16" s="152" t="s">
        <v>103</v>
      </c>
    </row>
    <row r="17" spans="5:8" x14ac:dyDescent="0.35">
      <c r="E17" s="153" t="s">
        <v>138</v>
      </c>
      <c r="F17" s="417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7"/>
      <c r="G18" s="156" t="s">
        <v>141</v>
      </c>
      <c r="H18" s="152" t="s">
        <v>100</v>
      </c>
    </row>
    <row r="19" spans="5:8" x14ac:dyDescent="0.35">
      <c r="E19" s="153" t="s">
        <v>138</v>
      </c>
      <c r="F19" s="417"/>
      <c r="G19" s="156" t="s">
        <v>142</v>
      </c>
      <c r="H19" s="152" t="s">
        <v>98</v>
      </c>
    </row>
    <row r="20" spans="5:8" x14ac:dyDescent="0.35">
      <c r="E20" s="153" t="s">
        <v>138</v>
      </c>
      <c r="F20" s="417"/>
      <c r="G20" s="155" t="s">
        <v>143</v>
      </c>
      <c r="H20" s="152" t="s">
        <v>101</v>
      </c>
    </row>
    <row r="21" spans="5:8" x14ac:dyDescent="0.35">
      <c r="E21" s="153" t="s">
        <v>138</v>
      </c>
      <c r="F21" s="417"/>
      <c r="G21" s="155" t="s">
        <v>144</v>
      </c>
      <c r="H21" s="152" t="s">
        <v>102</v>
      </c>
    </row>
    <row r="22" spans="5:8" x14ac:dyDescent="0.35">
      <c r="E22" s="153" t="s">
        <v>138</v>
      </c>
      <c r="F22" s="417"/>
      <c r="G22" s="155" t="s">
        <v>145</v>
      </c>
      <c r="H22" s="152" t="s">
        <v>103</v>
      </c>
    </row>
    <row r="23" spans="5:8" x14ac:dyDescent="0.35">
      <c r="E23" s="153" t="s">
        <v>146</v>
      </c>
      <c r="F23" s="417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7"/>
      <c r="G24" s="155" t="s">
        <v>147</v>
      </c>
      <c r="H24" s="152" t="s">
        <v>100</v>
      </c>
    </row>
    <row r="25" spans="5:8" x14ac:dyDescent="0.35">
      <c r="E25" s="153" t="s">
        <v>146</v>
      </c>
      <c r="F25" s="417"/>
      <c r="G25" s="155" t="s">
        <v>149</v>
      </c>
      <c r="H25" s="152" t="s">
        <v>98</v>
      </c>
    </row>
    <row r="26" spans="5:8" x14ac:dyDescent="0.35">
      <c r="E26" s="153" t="s">
        <v>146</v>
      </c>
      <c r="F26" s="417"/>
      <c r="G26" s="155" t="s">
        <v>150</v>
      </c>
      <c r="H26" s="152" t="s">
        <v>101</v>
      </c>
    </row>
    <row r="27" spans="5:8" x14ac:dyDescent="0.35">
      <c r="E27" s="153" t="s">
        <v>146</v>
      </c>
      <c r="F27" s="417"/>
      <c r="G27" s="155" t="s">
        <v>151</v>
      </c>
      <c r="H27" s="152" t="s">
        <v>102</v>
      </c>
    </row>
    <row r="28" spans="5:8" x14ac:dyDescent="0.35">
      <c r="E28" s="153" t="s">
        <v>146</v>
      </c>
      <c r="F28" s="417"/>
      <c r="G28" s="155" t="s">
        <v>152</v>
      </c>
      <c r="H28" s="152" t="s">
        <v>103</v>
      </c>
    </row>
    <row r="29" spans="5:8" x14ac:dyDescent="0.35">
      <c r="E29" s="153" t="s">
        <v>153</v>
      </c>
      <c r="F29" s="417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7"/>
      <c r="G30" s="155" t="s">
        <v>156</v>
      </c>
      <c r="H30" s="152" t="s">
        <v>100</v>
      </c>
    </row>
    <row r="31" spans="5:8" x14ac:dyDescent="0.35">
      <c r="E31" s="153" t="s">
        <v>153</v>
      </c>
      <c r="F31" s="417"/>
      <c r="G31" s="155" t="s">
        <v>157</v>
      </c>
      <c r="H31" s="152" t="s">
        <v>98</v>
      </c>
    </row>
    <row r="32" spans="5:8" x14ac:dyDescent="0.35">
      <c r="E32" s="153" t="s">
        <v>153</v>
      </c>
      <c r="F32" s="417"/>
      <c r="G32" s="155" t="s">
        <v>158</v>
      </c>
      <c r="H32" s="152" t="s">
        <v>101</v>
      </c>
    </row>
    <row r="33" spans="5:8" x14ac:dyDescent="0.35">
      <c r="E33" s="153" t="s">
        <v>153</v>
      </c>
      <c r="F33" s="417"/>
      <c r="G33" s="155" t="s">
        <v>159</v>
      </c>
      <c r="H33" s="152" t="s">
        <v>102</v>
      </c>
    </row>
    <row r="34" spans="5:8" x14ac:dyDescent="0.35">
      <c r="E34" s="153" t="s">
        <v>153</v>
      </c>
      <c r="F34" s="417"/>
      <c r="G34" s="155" t="s">
        <v>160</v>
      </c>
      <c r="H34" s="152" t="s">
        <v>103</v>
      </c>
    </row>
    <row r="35" spans="5:8" x14ac:dyDescent="0.35">
      <c r="E35" s="153" t="s">
        <v>161</v>
      </c>
      <c r="F35" s="417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7"/>
      <c r="G36" s="154" t="s">
        <v>163</v>
      </c>
      <c r="H36" s="152" t="s">
        <v>100</v>
      </c>
    </row>
    <row r="37" spans="5:8" x14ac:dyDescent="0.35">
      <c r="E37" s="153" t="s">
        <v>161</v>
      </c>
      <c r="F37" s="417"/>
      <c r="G37" s="154" t="s">
        <v>164</v>
      </c>
      <c r="H37" s="152" t="s">
        <v>98</v>
      </c>
    </row>
    <row r="38" spans="5:8" x14ac:dyDescent="0.35">
      <c r="E38" s="153" t="s">
        <v>161</v>
      </c>
      <c r="F38" s="417"/>
      <c r="G38" s="154" t="s">
        <v>165</v>
      </c>
      <c r="H38" s="152" t="s">
        <v>101</v>
      </c>
    </row>
    <row r="39" spans="5:8" x14ac:dyDescent="0.35">
      <c r="E39" s="153" t="s">
        <v>161</v>
      </c>
      <c r="F39" s="417"/>
      <c r="G39" s="158" t="s">
        <v>166</v>
      </c>
      <c r="H39" s="152" t="s">
        <v>102</v>
      </c>
    </row>
    <row r="40" spans="5:8" x14ac:dyDescent="0.35">
      <c r="E40" s="153" t="s">
        <v>161</v>
      </c>
      <c r="F40" s="417"/>
      <c r="G40" s="154" t="s">
        <v>167</v>
      </c>
      <c r="H40" s="152" t="s">
        <v>103</v>
      </c>
    </row>
    <row r="41" spans="5:8" x14ac:dyDescent="0.35">
      <c r="E41" s="153" t="s">
        <v>168</v>
      </c>
      <c r="F41" s="417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7"/>
      <c r="G42" s="154" t="s">
        <v>171</v>
      </c>
      <c r="H42" s="152" t="s">
        <v>100</v>
      </c>
    </row>
    <row r="43" spans="5:8" x14ac:dyDescent="0.35">
      <c r="E43" s="153" t="s">
        <v>168</v>
      </c>
      <c r="F43" s="417"/>
      <c r="G43" s="154" t="s">
        <v>172</v>
      </c>
      <c r="H43" s="152" t="s">
        <v>98</v>
      </c>
    </row>
    <row r="44" spans="5:8" x14ac:dyDescent="0.35">
      <c r="E44" s="153" t="s">
        <v>168</v>
      </c>
      <c r="F44" s="417"/>
      <c r="G44" s="154" t="s">
        <v>173</v>
      </c>
      <c r="H44" s="152" t="s">
        <v>101</v>
      </c>
    </row>
    <row r="45" spans="5:8" x14ac:dyDescent="0.35">
      <c r="E45" s="153" t="s">
        <v>168</v>
      </c>
      <c r="F45" s="417"/>
      <c r="G45" s="154" t="s">
        <v>174</v>
      </c>
      <c r="H45" s="152" t="s">
        <v>102</v>
      </c>
    </row>
    <row r="46" spans="5:8" x14ac:dyDescent="0.35">
      <c r="E46" s="153" t="s">
        <v>168</v>
      </c>
      <c r="F46" s="417"/>
      <c r="G46" s="154" t="s">
        <v>175</v>
      </c>
      <c r="H46" s="152" t="s">
        <v>103</v>
      </c>
    </row>
    <row r="47" spans="5:8" x14ac:dyDescent="0.35">
      <c r="E47" s="153" t="s">
        <v>176</v>
      </c>
      <c r="F47" s="417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7"/>
      <c r="G48" s="154" t="s">
        <v>179</v>
      </c>
      <c r="H48" s="152" t="s">
        <v>100</v>
      </c>
    </row>
    <row r="49" spans="5:8" x14ac:dyDescent="0.35">
      <c r="E49" s="153" t="s">
        <v>176</v>
      </c>
      <c r="F49" s="417"/>
      <c r="G49" s="154" t="s">
        <v>180</v>
      </c>
      <c r="H49" s="152" t="s">
        <v>98</v>
      </c>
    </row>
    <row r="50" spans="5:8" x14ac:dyDescent="0.35">
      <c r="E50" s="153" t="s">
        <v>176</v>
      </c>
      <c r="F50" s="417"/>
      <c r="G50" s="154" t="s">
        <v>181</v>
      </c>
      <c r="H50" s="152" t="s">
        <v>101</v>
      </c>
    </row>
    <row r="51" spans="5:8" x14ac:dyDescent="0.35">
      <c r="E51" s="153" t="s">
        <v>176</v>
      </c>
      <c r="F51" s="417"/>
      <c r="G51" s="154" t="s">
        <v>182</v>
      </c>
      <c r="H51" s="152" t="s">
        <v>102</v>
      </c>
    </row>
    <row r="52" spans="5:8" x14ac:dyDescent="0.35">
      <c r="E52" s="153" t="s">
        <v>176</v>
      </c>
      <c r="F52" s="417"/>
      <c r="G52" s="158" t="s">
        <v>183</v>
      </c>
      <c r="H52" s="152" t="s">
        <v>103</v>
      </c>
    </row>
    <row r="53" spans="5:8" x14ac:dyDescent="0.35">
      <c r="E53" s="153" t="s">
        <v>184</v>
      </c>
      <c r="F53" s="417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7"/>
      <c r="G54" s="154" t="s">
        <v>187</v>
      </c>
      <c r="H54" s="152" t="s">
        <v>100</v>
      </c>
    </row>
    <row r="55" spans="5:8" x14ac:dyDescent="0.35">
      <c r="E55" s="153" t="s">
        <v>184</v>
      </c>
      <c r="F55" s="417"/>
      <c r="G55" s="154" t="s">
        <v>188</v>
      </c>
      <c r="H55" s="152" t="s">
        <v>98</v>
      </c>
    </row>
    <row r="56" spans="5:8" x14ac:dyDescent="0.35">
      <c r="E56" s="153" t="s">
        <v>184</v>
      </c>
      <c r="F56" s="417"/>
      <c r="G56" s="154" t="s">
        <v>189</v>
      </c>
      <c r="H56" s="152" t="s">
        <v>101</v>
      </c>
    </row>
    <row r="57" spans="5:8" x14ac:dyDescent="0.35">
      <c r="E57" s="153" t="s">
        <v>184</v>
      </c>
      <c r="F57" s="417"/>
      <c r="G57" s="154" t="s">
        <v>190</v>
      </c>
      <c r="H57" s="152" t="s">
        <v>102</v>
      </c>
    </row>
    <row r="58" spans="5:8" x14ac:dyDescent="0.35">
      <c r="E58" s="153" t="s">
        <v>184</v>
      </c>
      <c r="F58" s="417"/>
      <c r="G58" s="158" t="s">
        <v>191</v>
      </c>
      <c r="H58" s="152" t="s">
        <v>103</v>
      </c>
    </row>
    <row r="59" spans="5:8" x14ac:dyDescent="0.35">
      <c r="E59" s="159" t="s">
        <v>192</v>
      </c>
      <c r="F59" s="418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8"/>
      <c r="G60" s="160" t="s">
        <v>195</v>
      </c>
      <c r="H60" s="161" t="s">
        <v>100</v>
      </c>
    </row>
    <row r="61" spans="5:8" x14ac:dyDescent="0.35">
      <c r="E61" s="159" t="s">
        <v>192</v>
      </c>
      <c r="F61" s="418"/>
      <c r="G61" s="160" t="s">
        <v>196</v>
      </c>
      <c r="H61" s="161" t="s">
        <v>98</v>
      </c>
    </row>
    <row r="62" spans="5:8" x14ac:dyDescent="0.35">
      <c r="E62" s="159" t="s">
        <v>192</v>
      </c>
      <c r="F62" s="418"/>
      <c r="G62" s="160" t="s">
        <v>197</v>
      </c>
      <c r="H62" s="161" t="s">
        <v>101</v>
      </c>
    </row>
    <row r="63" spans="5:8" x14ac:dyDescent="0.35">
      <c r="E63" s="159" t="s">
        <v>192</v>
      </c>
      <c r="F63" s="418"/>
      <c r="G63" s="160" t="s">
        <v>198</v>
      </c>
      <c r="H63" s="161" t="s">
        <v>102</v>
      </c>
    </row>
    <row r="64" spans="5:8" x14ac:dyDescent="0.35">
      <c r="E64" s="159" t="s">
        <v>192</v>
      </c>
      <c r="F64" s="418"/>
      <c r="G64" s="162" t="s">
        <v>199</v>
      </c>
      <c r="H64" s="161" t="s">
        <v>103</v>
      </c>
    </row>
    <row r="65" spans="5:8" x14ac:dyDescent="0.35">
      <c r="E65" s="148" t="s">
        <v>200</v>
      </c>
      <c r="F65" s="417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7"/>
      <c r="G66" s="151" t="s">
        <v>203</v>
      </c>
      <c r="H66" s="152" t="s">
        <v>100</v>
      </c>
    </row>
    <row r="67" spans="5:8" x14ac:dyDescent="0.35">
      <c r="E67" s="148" t="s">
        <v>200</v>
      </c>
      <c r="F67" s="417"/>
      <c r="G67" s="151" t="s">
        <v>204</v>
      </c>
      <c r="H67" s="152" t="s">
        <v>98</v>
      </c>
    </row>
    <row r="68" spans="5:8" x14ac:dyDescent="0.35">
      <c r="E68" s="148" t="s">
        <v>200</v>
      </c>
      <c r="F68" s="417"/>
      <c r="G68" s="151" t="s">
        <v>201</v>
      </c>
      <c r="H68" s="152" t="s">
        <v>101</v>
      </c>
    </row>
    <row r="69" spans="5:8" x14ac:dyDescent="0.35">
      <c r="E69" s="148" t="s">
        <v>200</v>
      </c>
      <c r="F69" s="417"/>
      <c r="G69" s="151" t="s">
        <v>205</v>
      </c>
      <c r="H69" s="152" t="s">
        <v>102</v>
      </c>
    </row>
    <row r="70" spans="5:8" x14ac:dyDescent="0.35">
      <c r="E70" s="148" t="s">
        <v>200</v>
      </c>
      <c r="F70" s="417"/>
      <c r="G70" s="151" t="s">
        <v>206</v>
      </c>
      <c r="H70" s="152" t="s">
        <v>103</v>
      </c>
    </row>
    <row r="71" spans="5:8" x14ac:dyDescent="0.35">
      <c r="E71" s="153" t="s">
        <v>207</v>
      </c>
      <c r="F71" s="417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7"/>
      <c r="G72" s="154" t="s">
        <v>210</v>
      </c>
      <c r="H72" s="152" t="s">
        <v>100</v>
      </c>
    </row>
    <row r="73" spans="5:8" x14ac:dyDescent="0.35">
      <c r="E73" s="153" t="s">
        <v>207</v>
      </c>
      <c r="F73" s="417"/>
      <c r="G73" s="154" t="s">
        <v>211</v>
      </c>
      <c r="H73" s="152" t="s">
        <v>98</v>
      </c>
    </row>
    <row r="74" spans="5:8" x14ac:dyDescent="0.35">
      <c r="E74" s="153" t="s">
        <v>207</v>
      </c>
      <c r="F74" s="417"/>
      <c r="G74" s="154" t="s">
        <v>212</v>
      </c>
      <c r="H74" s="152" t="s">
        <v>101</v>
      </c>
    </row>
    <row r="75" spans="5:8" x14ac:dyDescent="0.35">
      <c r="E75" s="153" t="s">
        <v>207</v>
      </c>
      <c r="F75" s="417"/>
      <c r="G75" s="154" t="s">
        <v>213</v>
      </c>
      <c r="H75" s="152" t="s">
        <v>102</v>
      </c>
    </row>
    <row r="76" spans="5:8" x14ac:dyDescent="0.35">
      <c r="E76" s="153" t="s">
        <v>207</v>
      </c>
      <c r="F76" s="417"/>
      <c r="G76" s="151" t="s">
        <v>214</v>
      </c>
      <c r="H76" s="152" t="s">
        <v>103</v>
      </c>
    </row>
    <row r="77" spans="5:8" x14ac:dyDescent="0.35">
      <c r="E77" s="153" t="s">
        <v>215</v>
      </c>
      <c r="F77" s="417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7"/>
      <c r="G78" s="154" t="s">
        <v>218</v>
      </c>
      <c r="H78" s="152" t="s">
        <v>100</v>
      </c>
    </row>
    <row r="79" spans="5:8" x14ac:dyDescent="0.35">
      <c r="E79" s="153" t="s">
        <v>215</v>
      </c>
      <c r="F79" s="417"/>
      <c r="G79" s="154" t="s">
        <v>219</v>
      </c>
      <c r="H79" s="152" t="s">
        <v>98</v>
      </c>
    </row>
    <row r="80" spans="5:8" x14ac:dyDescent="0.35">
      <c r="E80" s="153" t="s">
        <v>215</v>
      </c>
      <c r="F80" s="417"/>
      <c r="G80" s="154" t="s">
        <v>220</v>
      </c>
      <c r="H80" s="152" t="s">
        <v>101</v>
      </c>
    </row>
    <row r="81" spans="5:8" x14ac:dyDescent="0.35">
      <c r="E81" s="153" t="s">
        <v>215</v>
      </c>
      <c r="F81" s="417"/>
      <c r="G81" s="154" t="s">
        <v>221</v>
      </c>
      <c r="H81" s="152" t="s">
        <v>102</v>
      </c>
    </row>
    <row r="82" spans="5:8" x14ac:dyDescent="0.35">
      <c r="E82" s="153" t="s">
        <v>215</v>
      </c>
      <c r="F82" s="417"/>
      <c r="G82" s="151" t="s">
        <v>222</v>
      </c>
      <c r="H82" s="152" t="s">
        <v>103</v>
      </c>
    </row>
    <row r="83" spans="5:8" x14ac:dyDescent="0.35">
      <c r="E83" s="153" t="s">
        <v>223</v>
      </c>
      <c r="F83" s="417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7"/>
      <c r="G84" s="154" t="s">
        <v>226</v>
      </c>
      <c r="H84" s="152" t="s">
        <v>100</v>
      </c>
    </row>
    <row r="85" spans="5:8" x14ac:dyDescent="0.35">
      <c r="E85" s="153" t="s">
        <v>223</v>
      </c>
      <c r="F85" s="417"/>
      <c r="G85" s="154" t="s">
        <v>227</v>
      </c>
      <c r="H85" s="152" t="s">
        <v>98</v>
      </c>
    </row>
    <row r="86" spans="5:8" x14ac:dyDescent="0.35">
      <c r="E86" s="153" t="s">
        <v>223</v>
      </c>
      <c r="F86" s="417"/>
      <c r="G86" s="154" t="s">
        <v>228</v>
      </c>
      <c r="H86" s="152" t="s">
        <v>101</v>
      </c>
    </row>
    <row r="87" spans="5:8" x14ac:dyDescent="0.35">
      <c r="E87" s="153" t="s">
        <v>223</v>
      </c>
      <c r="F87" s="417"/>
      <c r="G87" s="154" t="s">
        <v>229</v>
      </c>
      <c r="H87" s="152" t="s">
        <v>102</v>
      </c>
    </row>
    <row r="88" spans="5:8" x14ac:dyDescent="0.35">
      <c r="E88" s="153" t="s">
        <v>223</v>
      </c>
      <c r="F88" s="417"/>
      <c r="G88" s="151" t="s">
        <v>230</v>
      </c>
      <c r="H88" s="152" t="s">
        <v>103</v>
      </c>
    </row>
    <row r="89" spans="5:8" x14ac:dyDescent="0.35">
      <c r="E89" s="153" t="s">
        <v>231</v>
      </c>
      <c r="F89" s="417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7"/>
      <c r="G90" s="154" t="s">
        <v>234</v>
      </c>
      <c r="H90" s="152" t="s">
        <v>100</v>
      </c>
    </row>
    <row r="91" spans="5:8" x14ac:dyDescent="0.35">
      <c r="E91" s="153" t="s">
        <v>231</v>
      </c>
      <c r="F91" s="417"/>
      <c r="G91" s="154" t="s">
        <v>235</v>
      </c>
      <c r="H91" s="152" t="s">
        <v>98</v>
      </c>
    </row>
    <row r="92" spans="5:8" x14ac:dyDescent="0.35">
      <c r="E92" s="153" t="s">
        <v>231</v>
      </c>
      <c r="F92" s="417"/>
      <c r="G92" s="154" t="s">
        <v>236</v>
      </c>
      <c r="H92" s="152" t="s">
        <v>101</v>
      </c>
    </row>
    <row r="93" spans="5:8" x14ac:dyDescent="0.35">
      <c r="E93" s="153" t="s">
        <v>231</v>
      </c>
      <c r="F93" s="417"/>
      <c r="G93" s="154" t="s">
        <v>232</v>
      </c>
      <c r="H93" s="152" t="s">
        <v>102</v>
      </c>
    </row>
    <row r="94" spans="5:8" x14ac:dyDescent="0.35">
      <c r="E94" s="153" t="s">
        <v>231</v>
      </c>
      <c r="F94" s="417"/>
      <c r="G94" s="158" t="s">
        <v>237</v>
      </c>
      <c r="H94" s="152" t="s">
        <v>103</v>
      </c>
    </row>
    <row r="95" spans="5:8" x14ac:dyDescent="0.35">
      <c r="E95" s="153" t="s">
        <v>238</v>
      </c>
      <c r="F95" s="417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7"/>
      <c r="G96" s="154" t="s">
        <v>241</v>
      </c>
      <c r="H96" s="152" t="s">
        <v>100</v>
      </c>
    </row>
    <row r="97" spans="5:8" x14ac:dyDescent="0.35">
      <c r="E97" s="153" t="s">
        <v>238</v>
      </c>
      <c r="F97" s="417"/>
      <c r="G97" s="154" t="s">
        <v>242</v>
      </c>
      <c r="H97" s="152" t="s">
        <v>98</v>
      </c>
    </row>
    <row r="98" spans="5:8" x14ac:dyDescent="0.35">
      <c r="E98" s="153" t="s">
        <v>238</v>
      </c>
      <c r="F98" s="417"/>
      <c r="G98" s="154" t="s">
        <v>243</v>
      </c>
      <c r="H98" s="152" t="s">
        <v>101</v>
      </c>
    </row>
    <row r="99" spans="5:8" x14ac:dyDescent="0.35">
      <c r="E99" s="153" t="s">
        <v>238</v>
      </c>
      <c r="F99" s="417"/>
      <c r="G99" s="158" t="s">
        <v>244</v>
      </c>
      <c r="H99" s="152" t="s">
        <v>102</v>
      </c>
    </row>
    <row r="100" spans="5:8" x14ac:dyDescent="0.35">
      <c r="E100" s="153" t="s">
        <v>238</v>
      </c>
      <c r="F100" s="417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7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7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7"/>
      <c r="G103" s="154" t="s">
        <v>249</v>
      </c>
      <c r="H103" s="152" t="s">
        <v>98</v>
      </c>
    </row>
    <row r="104" spans="5:8" x14ac:dyDescent="0.35">
      <c r="E104" s="153" t="s">
        <v>246</v>
      </c>
      <c r="F104" s="417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7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7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7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7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7"/>
      <c r="G109" s="154" t="s">
        <v>257</v>
      </c>
      <c r="H109" s="152" t="s">
        <v>98</v>
      </c>
    </row>
    <row r="110" spans="5:8" x14ac:dyDescent="0.35">
      <c r="E110" s="153" t="s">
        <v>253</v>
      </c>
      <c r="F110" s="417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7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7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7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7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7"/>
      <c r="G115" s="154" t="s">
        <v>265</v>
      </c>
      <c r="H115" s="152" t="s">
        <v>98</v>
      </c>
    </row>
    <row r="116" spans="5:8" x14ac:dyDescent="0.35">
      <c r="E116" s="153" t="s">
        <v>261</v>
      </c>
      <c r="F116" s="417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7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7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8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8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8"/>
      <c r="G121" s="160" t="s">
        <v>273</v>
      </c>
      <c r="H121" s="161" t="s">
        <v>98</v>
      </c>
    </row>
    <row r="122" spans="5:8" x14ac:dyDescent="0.35">
      <c r="E122" s="159" t="s">
        <v>269</v>
      </c>
      <c r="F122" s="418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8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8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7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7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7"/>
      <c r="G127" s="151" t="s">
        <v>282</v>
      </c>
      <c r="H127" s="152" t="s">
        <v>98</v>
      </c>
    </row>
    <row r="128" spans="5:8" x14ac:dyDescent="0.35">
      <c r="E128" s="148" t="s">
        <v>277</v>
      </c>
      <c r="F128" s="417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7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7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7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7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7"/>
      <c r="G133" s="154" t="s">
        <v>290</v>
      </c>
      <c r="H133" s="152" t="s">
        <v>98</v>
      </c>
    </row>
    <row r="134" spans="5:8" x14ac:dyDescent="0.35">
      <c r="E134" s="153" t="s">
        <v>289</v>
      </c>
      <c r="F134" s="417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7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7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7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7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7"/>
      <c r="G139" s="154" t="s">
        <v>299</v>
      </c>
      <c r="H139" s="152" t="s">
        <v>98</v>
      </c>
    </row>
    <row r="140" spans="5:8" x14ac:dyDescent="0.35">
      <c r="E140" s="153" t="s">
        <v>297</v>
      </c>
      <c r="F140" s="417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7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7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7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7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7"/>
      <c r="G145" s="154" t="s">
        <v>307</v>
      </c>
      <c r="H145" s="152" t="s">
        <v>98</v>
      </c>
    </row>
    <row r="146" spans="5:8" x14ac:dyDescent="0.35">
      <c r="E146" s="153" t="s">
        <v>303</v>
      </c>
      <c r="F146" s="417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7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7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7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7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7"/>
      <c r="G151" s="154" t="s">
        <v>316</v>
      </c>
      <c r="H151" s="152" t="s">
        <v>98</v>
      </c>
    </row>
    <row r="152" spans="5:8" x14ac:dyDescent="0.35">
      <c r="E152" s="153" t="s">
        <v>315</v>
      </c>
      <c r="F152" s="417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7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7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7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7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7"/>
      <c r="G157" s="154" t="s">
        <v>325</v>
      </c>
      <c r="H157" s="152" t="s">
        <v>98</v>
      </c>
    </row>
    <row r="158" spans="5:8" x14ac:dyDescent="0.35">
      <c r="E158" s="153" t="s">
        <v>320</v>
      </c>
      <c r="F158" s="417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7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7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7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7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7"/>
      <c r="G163" s="154" t="s">
        <v>333</v>
      </c>
      <c r="H163" s="152" t="s">
        <v>98</v>
      </c>
    </row>
    <row r="164" spans="5:8" x14ac:dyDescent="0.35">
      <c r="E164" s="153" t="s">
        <v>328</v>
      </c>
      <c r="F164" s="417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7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7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7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7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7"/>
      <c r="G169" s="154" t="s">
        <v>340</v>
      </c>
      <c r="H169" s="152" t="s">
        <v>98</v>
      </c>
    </row>
    <row r="170" spans="5:8" x14ac:dyDescent="0.35">
      <c r="E170" s="153" t="s">
        <v>338</v>
      </c>
      <c r="F170" s="417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7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7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7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7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7"/>
      <c r="G175" s="154" t="s">
        <v>348</v>
      </c>
      <c r="H175" s="152" t="s">
        <v>98</v>
      </c>
    </row>
    <row r="176" spans="5:8" x14ac:dyDescent="0.35">
      <c r="E176" s="153" t="s">
        <v>344</v>
      </c>
      <c r="F176" s="417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7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7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7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7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7"/>
      <c r="G181" s="154" t="s">
        <v>356</v>
      </c>
      <c r="H181" s="152" t="s">
        <v>98</v>
      </c>
    </row>
    <row r="182" spans="5:8" x14ac:dyDescent="0.35">
      <c r="E182" s="156" t="s">
        <v>352</v>
      </c>
      <c r="F182" s="417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7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7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7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7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7"/>
      <c r="G187" s="151" t="s">
        <v>364</v>
      </c>
      <c r="H187" s="152" t="s">
        <v>98</v>
      </c>
    </row>
    <row r="188" spans="5:8" x14ac:dyDescent="0.35">
      <c r="E188" s="148" t="s">
        <v>360</v>
      </c>
      <c r="F188" s="417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7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7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7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7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7"/>
      <c r="G193" s="154" t="s">
        <v>371</v>
      </c>
      <c r="H193" s="152" t="s">
        <v>98</v>
      </c>
    </row>
    <row r="194" spans="5:8" x14ac:dyDescent="0.35">
      <c r="E194" s="153" t="s">
        <v>368</v>
      </c>
      <c r="F194" s="417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7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7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7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7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7"/>
      <c r="G199" s="154" t="s">
        <v>379</v>
      </c>
      <c r="H199" s="152" t="s">
        <v>98</v>
      </c>
    </row>
    <row r="200" spans="5:8" x14ac:dyDescent="0.35">
      <c r="E200" s="153" t="s">
        <v>375</v>
      </c>
      <c r="F200" s="417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7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7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7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7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7"/>
      <c r="G205" s="154" t="s">
        <v>384</v>
      </c>
      <c r="H205" s="152" t="s">
        <v>98</v>
      </c>
    </row>
    <row r="206" spans="5:8" x14ac:dyDescent="0.35">
      <c r="E206" s="153" t="s">
        <v>383</v>
      </c>
      <c r="F206" s="417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7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7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7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7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7"/>
      <c r="G211" s="154" t="s">
        <v>394</v>
      </c>
      <c r="H211" s="152" t="s">
        <v>98</v>
      </c>
    </row>
    <row r="212" spans="5:8" x14ac:dyDescent="0.35">
      <c r="E212" s="153" t="s">
        <v>390</v>
      </c>
      <c r="F212" s="417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7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7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7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7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7"/>
      <c r="G217" s="154" t="s">
        <v>399</v>
      </c>
      <c r="H217" s="152" t="s">
        <v>98</v>
      </c>
    </row>
    <row r="218" spans="5:8" x14ac:dyDescent="0.35">
      <c r="E218" s="153" t="s">
        <v>398</v>
      </c>
      <c r="F218" s="417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7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7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7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7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7"/>
      <c r="G223" s="154" t="s">
        <v>409</v>
      </c>
      <c r="H223" s="152" t="s">
        <v>98</v>
      </c>
    </row>
    <row r="224" spans="5:8" x14ac:dyDescent="0.35">
      <c r="E224" s="153" t="s">
        <v>405</v>
      </c>
      <c r="F224" s="417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7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7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7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7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7"/>
      <c r="G229" s="154" t="s">
        <v>416</v>
      </c>
      <c r="H229" s="152" t="s">
        <v>98</v>
      </c>
    </row>
    <row r="230" spans="5:8" x14ac:dyDescent="0.35">
      <c r="E230" s="153" t="s">
        <v>412</v>
      </c>
      <c r="F230" s="417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7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7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7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7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7"/>
      <c r="G235" s="154" t="s">
        <v>424</v>
      </c>
      <c r="H235" s="152" t="s">
        <v>98</v>
      </c>
    </row>
    <row r="236" spans="5:8" x14ac:dyDescent="0.35">
      <c r="E236" s="153" t="s">
        <v>420</v>
      </c>
      <c r="F236" s="417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7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7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8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8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8"/>
      <c r="G241" s="160" t="s">
        <v>432</v>
      </c>
      <c r="H241" s="161" t="s">
        <v>98</v>
      </c>
    </row>
    <row r="242" spans="5:8" x14ac:dyDescent="0.35">
      <c r="E242" s="159" t="s">
        <v>428</v>
      </c>
      <c r="F242" s="418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8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8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2026-09-03T09:38:35Z</dcterms:modified>
</cp:coreProperties>
</file>