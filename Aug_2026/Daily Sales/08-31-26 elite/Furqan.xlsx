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B18B690-F997-4B9C-A249-183885D2DC17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6" i="43" l="1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N4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4" i="69"/>
  <c r="N5" i="69" s="1"/>
  <c r="N4" i="43"/>
  <c r="N4" i="47"/>
  <c r="N4" i="55"/>
  <c r="N4" i="68"/>
  <c r="N5" i="68" s="1"/>
  <c r="N4" i="45"/>
  <c r="N4" i="49"/>
  <c r="N4" i="53"/>
  <c r="N4" i="57"/>
  <c r="N4" i="61"/>
  <c r="N4" i="66"/>
  <c r="N5" i="66" s="1"/>
  <c r="N4" i="70"/>
  <c r="N5" i="70" s="1"/>
  <c r="N4" i="46"/>
  <c r="N4" i="50"/>
  <c r="N4" i="54"/>
  <c r="N4" i="58"/>
  <c r="N4" i="63"/>
  <c r="N4" i="67"/>
  <c r="N5" i="67" s="1"/>
  <c r="N4" i="71"/>
  <c r="N5" i="71" s="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51" l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53" l="1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<sst xmlns="http://schemas.openxmlformats.org/spreadsheetml/2006/main" count="3948" uniqueCount="535">
  <si>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</si>
  <si>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</si>
  <si>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</si>
  <si>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</si>
  <si>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</si>
  <si>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</si>
  <si>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</si>
  <si>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</si>
  <si>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</si>
  <si>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</si>
  <si>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</si>
  <si>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</si>
  <si>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</si>
  <si>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</si>
  <si>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</si>
  <si>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</si>
  <si>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</si>
  <si>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</si>
  <si>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</si>
  <si>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</si>
  <si>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</si>
  <si>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</si>
  <si>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</si>
  <si>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</si>
  <si>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</si>
  <si>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</si>
  <si>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</si>
  <si>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</si>
  <si>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</si>
  <si>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</si>
  <si>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</si>
  <si>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</si>
  <si>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</si>
  <si>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</si>
  <si>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</si>
  <si>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</si>
  <si>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</si>
  <si>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</si>
  <si>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</si>
  <si>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</si>
  <si>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</si>
  <si>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</si>
  <si>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</si>
  <si>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</si>
  <si>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</si>
  <si>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</si>
  <si>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</si>
  <si>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</si>
  <si>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</si>
  <si>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</si>
  <si>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</si>
  <si>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</si>
  <si>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</si>
  <si>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</si>
  <si>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</si>
  <si>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</si>
  <si>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</si>
  <si>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</si>
  <si>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</si>
  <si>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</si>
  <si>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</si>
  <si>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</si>
  <si>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</si>
  <si>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</si>
  <si>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</si>
  <si>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</si>
  <si>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</si>
  <si>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</si>
  <si>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</si>
  <si>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</si>
  <si>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</si>
  <si>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</si>
  <si>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</si>
  <si>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</si>
  <si>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</si>
  <si>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</si>
  <si>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</si>
  <si>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</si>
  <si>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</si>
  <si>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</si>
  <si>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</si>
  <si>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</si>
  <si>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</si>
  <si>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</si>
  <si>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</si>
  <si>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</si>
  <si>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</si>
  <si>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</si>
  <si>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</si>
  <si>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</si>
  <si>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</si>
  <si>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</si>
  <si>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</si>
  <si>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</si>
  <si>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</si>
  <si>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</si>
  <si>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</si>
  <si>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</si>
  <si>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</si>
  <si>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</si>
  <si>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</si>
  <si>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</si>
  <si>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</si>
  <si>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</si>
  <si>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</si>
  <si>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</si>
  <si>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</si>
  <si>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</si>
  <si>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</si>
  <si>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</si>
  <si>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</si>
  <si>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</si>
  <si>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</si>
  <si>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</si>
  <si>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</si>
  <si>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</si>
  <si>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</si>
  <si>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</si>
  <si>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</si>
  <si>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</si>
  <si>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</si>
  <si>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</si>
  <si>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</si>
  <si>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</si>
  <si>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</si>
  <si>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</si>
  <si>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</si>
  <si>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</si>
  <si>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</si>
  <si>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</si>
  <si>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</si>
  <si>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</si>
  <si>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</si>
  <si>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</si>
  <si>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</si>
  <si>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</si>
  <si>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</si>
  <si>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</si>
  <si>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</si>
  <si>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</si>
  <si>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</si>
  <si>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</si>
  <si>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</si>
  <si>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</si>
  <si>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</si>
  <si>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</si>
  <si>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</si>
  <si>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</si>
  <si>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</si>
  <si>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</si>
  <si>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</si>
  <si>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</si>
  <si>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</si>
  <si>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</si>
  <si>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</si>
  <si>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</si>
  <si>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</si>
  <si>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</si>
  <si>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</si>
  <si>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</si>
  <si>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</si>
  <si>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</si>
  <si>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</si>
  <si>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</si>
  <si>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</si>
  <si>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</si>
  <si>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</si>
  <si>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</si>
  <si>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</si>
  <si>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</si>
  <si>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</si>
  <si>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</si>
  <si>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</si>
  <si>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</si>
  <si>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</si>
  <si>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</si>
  <si>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</si>
  <si>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</si>
  <si>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</si>
  <si>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</si>
  <si>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</si>
  <si>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</si>
  <si>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</si>
  <si>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</si>
  <si>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</si>
  <si>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</si>
  <si>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</si>
  <si>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</si>
  <si>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</si>
  <si>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</si>
  <si>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</si>
  <si>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</si>
  <si>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</si>
  <si>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</si>
  <si>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</si>
  <si>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</si>
  <si>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</si>
  <si>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</si>
  <si>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</si>
  <si>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</si>
  <si>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</si>
  <si>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</si>
  <si>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</si>
  <si>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</si>
  <si>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</si>
  <si>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</si>
  <si>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</si>
  <si>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</si>
  <si>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</si>
  <si>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</si>
  <si>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</si>
  <si>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</si>
  <si>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</si>
  <si>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</si>
  <si>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</si>
  <si>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</si>
  <si>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</si>
  <si>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</si>
  <si>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</si>
  <si>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</si>
  <si>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</si>
  <si>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</si>
  <si>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</si>
  <si>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</si>
  <si>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</si>
  <si>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</si>
  <si>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</si>
  <si>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</si>
  <si>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</si>
  <si>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</si>
  <si>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</si>
  <si>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</si>
  <si>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</si>
  <si>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</si>
  <si>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</si>
  <si>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</si>
  <si>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</si>
  <si>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</si>
  <si>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</si>
  <si>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</si>
  <si>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</si>
  <si>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</si>
  <si>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</si>
  <si>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</si>
  <si>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</si>
  <si>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</si>
  <si>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</si>
  <si>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</si>
  <si>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</si>
  <si>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</si>
  <si>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</si>
  <si>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</si>
  <si>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</si>
  <si>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</si>
  <si>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</si>
  <si>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</si>
  <si>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</si>
  <si>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</si>
  <si>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</si>
  <si>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</si>
  <si>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</si>
  <si>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</si>
  <si>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</si>
  <si>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</si>
  <si>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</si>
  <si>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</si>
  <si>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</si>
  <si>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</si>
  <si>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</si>
  <si>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</si>
  <si>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</si>
  <si>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</si>
  <si>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</si>
  <si>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</si>
  <si>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</si>
  <si>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</si>
  <si>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</si>
  <si>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</si>
  <si>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</si>
  <si>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</si>
  <si>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</si>
  <si>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</si>
  <si>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</si>
  <si>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</si>
  <si>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</si>
  <si>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</si>
  <si>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</si>
  <si>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</si>
  <si>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</si>
  <si>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</si>
  <si>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</si>
  <si>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</si>
  <si>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</si>
  <si>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</si>
  <si>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</si>
  <si>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</si>
  <si>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</si>
  <si>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</si>
  <si>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</si>
  <si>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</si>
  <si>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</si>
  <si>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</si>
  <si>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</si>
  <si>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</si>
  <si>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</si>
  <si>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</si>
  <si>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</si>
  <si>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</si>
  <si>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</si>
  <si>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</si>
  <si>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</si>
  <si>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</si>
  <si>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</si>
  <si>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</si>
  <si>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</si>
  <si>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</si>
  <si>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</si>
  <si>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</si>
  <si>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</si>
  <si>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</si>
  <si>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</si>
  <si>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</si>
  <si>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</si>
  <si>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</si>
  <si>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</si>
  <si>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</si>
  <si>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</si>
  <si>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</si>
  <si>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</si>
  <si>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</si>
  <si>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</si>
  <si>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</si>
  <si>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</si>
  <si>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</si>
  <si>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</si>
  <si>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</si>
  <si>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</si>
  <si>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</si>
  <si>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</si>
  <si>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</si>
  <si>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</si>
  <si>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</si>
  <si>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</si>
  <si>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</si>
  <si>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</si>
  <si>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</si>
  <si>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</si>
  <si>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</si>
  <si>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</si>
  <si>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</si>
  <si>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</si>
  <si>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</si>
  <si>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</si>
  <si>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</si>
  <si>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</si>
  <si>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</si>
  <si>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</si>
  <si>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</si>
  <si>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</si>
  <si>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</si>
  <si>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</si>
  <si>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</si>
  <si>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</si>
  <si>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</si>
  <si>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</si>
  <si>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</si>
  <si>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</si>
  <si>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</si>
  <si>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</si>
  <si>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</si>
  <si>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</si>
  <si>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</si>
  <si>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</si>
  <si>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</si>
  <si>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</si>
  <si>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</si>
  <si>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</si>
  <si>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</si>
  <si>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</si>
  <si>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</si>
  <si>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</si>
  <si>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</si>
  <si>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</si>
  <si>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</si>
  <si>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</si>
  <si>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</si>
  <si>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</si>
  <si>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</si>
  <si>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</si>
  <si>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</si>
  <si>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</si>
  <si>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</si>
  <si>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</si>
  <si>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</si>
  <si>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</si>
  <si>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</si>
  <si>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</si>
  <si>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</si>
  <si>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</si>
  <si>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</si>
  <si>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</si>
  <si>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</si>
  <si>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</si>
  <si>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</si>
  <si>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</si>
  <si>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</si>
  <si>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</si>
  <si>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</si>
  <si>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</si>
  <si>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</si>
  <si>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</si>
  <si>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</si>
  <si>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</si>
  <si>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</si>
  <si>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</si>
  <si>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</si>
  <si>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</si>
  <si>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</si>
  <si>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</si>
  <si>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</si>
  <si>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</si>
  <si>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</si>
  <si>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</si>
  <si>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</si>
  <si>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</si>
  <si>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</si>
  <si>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</si>
  <si>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</si>
  <si>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</si>
  <si>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</si>
  <si>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</si>
  <si>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</si>
  <si>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</si>
  <si>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</si>
  <si>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</si>
  <si>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</si>
  <si>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</si>
  <si>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</si>
  <si>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</si>
  <si>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</si>
  <si>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</si>
  <si>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</si>
  <si>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</si>
  <si>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</si>
  <si>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</si>
  <si>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</si>
  <si>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</si>
  <si>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</si>
  <si>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</si>
  <si>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</si>
  <si>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</si>
  <si>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</si>
  <si>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</si>
  <si>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</si>
  <si>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</si>
  <si>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</si>
  <si>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</si>
  <si>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</si>
  <si>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</si>
  <si>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</si>
  <si>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</si>
  <si>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</si>
  <si>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</si>
  <si>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</si>
  <si>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</si>
  <si>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</si>
  <si>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</si>
  <si>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</si>
  <si>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</si>
  <si>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</si>
  <si>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</si>
  <si>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</si>
  <si>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</si>
  <si>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</si>
  <si>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</si>
  <si>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</si>
  <si>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</si>
  <si>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</si>
  <si>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</si>
  <si>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</si>
  <si>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</si>
  <si>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</si>
  <si>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</si>
  <si>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</si>
  <si>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</si>
  <si>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</si>
  <si>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</si>
  <si>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</si>
  <si>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</si>
  <si>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</si>
  <si>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</si>
  <si>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</si>
  <si>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</si>
  <si>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</si>
  <si>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</si>
  <si>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</si>
  <si>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</si>
  <si>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</si>
  <si>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</si>
  <si>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</si>
  <si>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</si>
  <si>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</si>
  <si>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</si>
  <si>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</si>
  <si>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</si>
  <si>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</si>
  <si>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</si>
  <si>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</si>
  <si>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</si>
  <si>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</si>
  <si>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</si>
  <si>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</si>
  <si>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</si>
  <si>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</si>
  <si>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Furqan</t>
  </si>
  <si>
    <t>Ayan Pan Shop</t>
  </si>
  <si>
    <t>Address: Guru Mangat Road</t>
  </si>
  <si>
    <t>Waqas Store</t>
  </si>
  <si>
    <t>Address: Pepsi Gate no 3</t>
  </si>
  <si>
    <t>New Price Store</t>
  </si>
  <si>
    <t>Address: Sher Pao Bazar</t>
  </si>
  <si>
    <t>Abdul Razaq store</t>
  </si>
  <si>
    <t>Address: 114 C Kashmir Road</t>
  </si>
  <si>
    <t>Ali GS</t>
  </si>
  <si>
    <t>Address: Khan Colony</t>
  </si>
  <si>
    <t>Sawat Store</t>
  </si>
  <si>
    <t>Hiusnain Store</t>
  </si>
  <si>
    <t>Farooq Khan Store</t>
  </si>
  <si>
    <t>Address: Khan Coliny</t>
  </si>
  <si>
    <t>Fazle Kabeer Store</t>
  </si>
  <si>
    <t xml:space="preserve">New Kashmir Bakers </t>
  </si>
  <si>
    <t>Noman Store</t>
  </si>
  <si>
    <t>Address: Gopal Nagear Bazar</t>
  </si>
  <si>
    <t>AM Store</t>
  </si>
  <si>
    <t>Address: Gopal Nagar Bazar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</si>
</sst>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8" t="s">
        <v>91</v>
      </c>
      <c r="B2" s="368"/>
      <c r="C2" s="368"/>
      <c r="E2" s="355" t="s">
        <v>498</v>
      </c>
      <c r="F2" s="356"/>
      <c r="G2" s="356"/>
      <c r="H2" s="353" t="s">
        <v>514</v>
      </c>
      <c r="I2" s="353"/>
      <c r="J2" s="354"/>
      <c r="R2" s="350" t="s">
        <v>497</v>
      </c>
      <c r="S2" s="351"/>
      <c r="T2" s="352"/>
    </row>
    <row r="3" spans="1:20 16377:16378" ht="21.75" customHeight="1" thickBot="1" x14ac:dyDescent="0.4">
      <c r="A3" s="369" t="s">
        <v>92</v>
      </c>
      <c r="B3" s="369"/>
      <c r="C3" s="369"/>
      <c r="E3" s="359" t="s">
        <v>508</v>
      </c>
      <c r="F3" s="360"/>
      <c r="G3" s="360"/>
      <c r="H3" s="357">
        <v>46265</v>
      </c>
      <c r="I3" s="357"/>
      <c r="J3" s="358"/>
      <c r="K3" s="370" t="s">
        <v>43</v>
      </c>
      <c r="L3" s="370"/>
      <c r="M3" s="370"/>
      <c r="N3" s="369"/>
      <c r="O3" s="369"/>
      <c r="P3" s="369"/>
      <c r="R3" s="299">
        <v>1</v>
      </c>
      <c r="S3" s="300" t="str">
        <f>+'1'!A6:A6</f>
        <v>Ayan Pan Shop</v>
      </c>
      <c r="T3" s="301">
        <f>+'1'!P35</f>
        <v>1001.5067480949152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Waqas Store</v>
      </c>
      <c r="T4" s="301">
        <f>+'2'!P35</f>
        <v>1669.1779134915255</v>
      </c>
      <c r="XEX4" t="s">
        <v>105</v>
      </c>
    </row>
    <row r="5" spans="1:20 16377:16378" ht="21.75" customHeight="1" thickBot="1" x14ac:dyDescent="0.4">
      <c r="A5" s="389" t="s">
        <v>51</v>
      </c>
      <c r="B5" s="361"/>
      <c r="C5" s="391" t="s">
        <v>90</v>
      </c>
      <c r="D5" s="115" t="s">
        <v>52</v>
      </c>
      <c r="E5" s="393" t="s">
        <v>58</v>
      </c>
      <c r="F5" s="394"/>
      <c r="G5" s="366" t="s">
        <v>54</v>
      </c>
      <c r="H5" s="367"/>
      <c r="I5" s="395" t="s">
        <v>77</v>
      </c>
      <c r="J5" s="365" t="s">
        <v>55</v>
      </c>
      <c r="K5" s="366"/>
      <c r="L5" s="367"/>
      <c r="M5" s="361" t="s">
        <v>84</v>
      </c>
      <c r="N5" s="363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New Price Store</v>
      </c>
      <c r="T5" s="301">
        <f>+'3'!P35</f>
        <v>3136.2115850847458</v>
      </c>
      <c r="XEX5" t="s">
        <v>106</v>
      </c>
    </row>
    <row r="6" spans="1:20 16377:16378" ht="21.75" customHeight="1" thickBot="1" x14ac:dyDescent="0.4">
      <c r="A6" s="390"/>
      <c r="B6" s="362"/>
      <c r="C6" s="39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4"/>
      <c r="J6" s="143" t="s">
        <v>59</v>
      </c>
      <c r="K6" s="144" t="s">
        <v>39</v>
      </c>
      <c r="L6" s="145" t="s">
        <v>493</v>
      </c>
      <c r="M6" s="362"/>
      <c r="N6" s="36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Abdul Razaq store</v>
      </c>
      <c r="T6" s="301">
        <f>+'4'!P35</f>
        <v>500.75337404745761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25</v>
      </c>
      <c r="I7" s="235">
        <f>(G7*D7)*F7+H7*F7</f>
        <v>1311.5625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104.925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45.904687500000009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1160.7328124999999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247.88135593220329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7.0430708421610166</v>
      </c>
      <c r="P7" s="310">
        <f>M7+N7+O7</f>
        <v>1415.6572392743644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Ali GS</v>
      </c>
      <c r="T7" s="301">
        <f>+'5'!P35</f>
        <v>1060.5661622122882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63</v>
      </c>
      <c r="I8" s="236">
        <f t="shared" ref="I8:I14" si="0">(G8*D8)*F8+H8*F8</f>
        <v>3305.1374999999998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264.41099999999994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115.6798125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2925.0466874999997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624.66101694915221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17.748538522245763</v>
      </c>
      <c r="P8" s="311">
        <f t="shared" ref="P8:P15" si="2">M8+N8+O8</f>
        <v>3567.4562429713978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Sawat Store</v>
      </c>
      <c r="T8" s="301">
        <f>+'6'!P35</f>
        <v>2259.3889573951269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30</v>
      </c>
      <c r="I9" s="236">
        <f t="shared" si="0"/>
        <v>1573.875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125.91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55.085625000000007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1392.879375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297.45762711864393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8.45168501059322</v>
      </c>
      <c r="P9" s="311">
        <f t="shared" si="2"/>
        <v>1698.7886871292369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Hiusnain Store</v>
      </c>
      <c r="T9" s="301">
        <f>+'7'!P35</f>
        <v>2184.9047487266948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63</v>
      </c>
      <c r="I10" s="236">
        <f t="shared" si="0"/>
        <v>4576.32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366.10560000000004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160.17120000000003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4050.0431999999996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864.9152542372882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24.574792271186443</v>
      </c>
      <c r="P10" s="311">
        <f t="shared" si="2"/>
        <v>4939.5332465084739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Farooq Khan Store</v>
      </c>
      <c r="T10" s="301">
        <f>+'8'!P35</f>
        <v>625.941717559322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10</v>
      </c>
      <c r="I11" s="236">
        <f t="shared" si="0"/>
        <v>726.4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58.112000000000002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25.424000000000003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642.86400000000003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137.28813559322035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3.9007606779661019</v>
      </c>
      <c r="P11" s="311">
        <f t="shared" si="2"/>
        <v>784.05289627118646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Fazle Kabeer Store</v>
      </c>
      <c r="T11" s="301">
        <f>+'9'!P35</f>
        <v>1310.9428492360169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</v>
      </c>
      <c r="I12" s="236">
        <f t="shared" si="0"/>
        <v>2905.6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232.44799999999998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101.69600000000001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2571.4560000000001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549.15254237288138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15.603042711864408</v>
      </c>
      <c r="P12" s="311">
        <f t="shared" si="2"/>
        <v>3136.2115850847458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New Kashmir Bakers </v>
      </c>
      <c r="T12" s="301">
        <f>+'10'!P35</f>
        <v>5143.3997503061428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160</v>
      </c>
      <c r="I13" s="236">
        <f t="shared" si="0"/>
        <v>6276.8000000000011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313.84000000000009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219.68800000000007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320.11680000000001</v>
      </c>
      <c r="M13" s="230">
        <f t="shared" si="1"/>
        <v>5423.1552000000011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1220.3389830508468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33.217470915254239</v>
      </c>
      <c r="P13" s="311">
        <f t="shared" si="2"/>
        <v>6676.7116539661019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Noman Store</v>
      </c>
      <c r="T13" s="301">
        <f>+'11'!P35</f>
        <v>1060.5661622122882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AM Store</v>
      </c>
      <c r="T14" s="301">
        <f>+'12'!P35</f>
        <v>2265.051582838983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1">
        <f>COUNT(A7:A15)</f>
        <v>0</v>
      </c>
      <c r="B16" s="372"/>
      <c r="C16" s="372" t="s">
        <v>40</v>
      </c>
      <c r="D16" s="372"/>
      <c r="E16" s="372"/>
      <c r="F16" s="373"/>
      <c r="G16" s="117">
        <f>H16/40</f>
        <v>9.7750000000000004</v>
      </c>
      <c r="H16" s="113">
        <f t="shared" ref="H16:M16" si="3">SUM(H7:H15)</f>
        <v>391</v>
      </c>
      <c r="I16" s="114">
        <f t="shared" si="3"/>
        <v>20675.695</v>
      </c>
      <c r="J16" s="274">
        <f>SUM(J7:J15)</f>
        <v>1465.7516000000001</v>
      </c>
      <c r="K16" s="275">
        <f t="shared" si="3"/>
        <v>723.64932500000009</v>
      </c>
      <c r="L16" s="276">
        <f t="shared" si="3"/>
        <v>320.11680000000001</v>
      </c>
      <c r="M16" s="232">
        <f t="shared" si="3"/>
        <v>18166.177275000002</v>
      </c>
      <c r="N16" s="233">
        <f>SUM(N7:N15)</f>
        <v>3941.6949152542361</v>
      </c>
      <c r="O16" s="101">
        <f>SUM(O7:O15)</f>
        <v>110.53936095127119</v>
      </c>
      <c r="P16" s="113">
        <f>SUM(P7:P15)</f>
        <v>22218.411551205507</v>
      </c>
      <c r="Q16" s="128">
        <f>SUM(Q7:Q15)</f>
        <v>0</v>
      </c>
      <c r="R16" s="314">
        <v>14</v>
      </c>
      <c r="S16" s="318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4" t="s">
        <v>64</v>
      </c>
      <c r="C19" s="375"/>
      <c r="D19" s="375"/>
      <c r="E19" s="375"/>
      <c r="F19" s="375"/>
      <c r="G19" s="375"/>
      <c r="H19" s="375"/>
      <c r="I19" s="375"/>
      <c r="J19" s="375"/>
      <c r="K19" s="375"/>
      <c r="L19" s="376"/>
      <c r="N19" s="383" t="s">
        <v>60</v>
      </c>
      <c r="O19" s="384"/>
      <c r="P19" s="139">
        <f>I16</f>
        <v>20675.695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7"/>
      <c r="C20" s="378"/>
      <c r="D20" s="378"/>
      <c r="E20" s="378"/>
      <c r="F20" s="378"/>
      <c r="G20" s="378"/>
      <c r="H20" s="378"/>
      <c r="I20" s="378"/>
      <c r="J20" s="378"/>
      <c r="K20" s="378"/>
      <c r="L20" s="379"/>
      <c r="N20" s="385" t="s">
        <v>85</v>
      </c>
      <c r="O20" s="386"/>
      <c r="P20" s="140">
        <f>+J16</f>
        <v>1465.7516000000001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7"/>
      <c r="C21" s="378"/>
      <c r="D21" s="378"/>
      <c r="E21" s="378"/>
      <c r="F21" s="378"/>
      <c r="G21" s="378"/>
      <c r="H21" s="378"/>
      <c r="I21" s="378"/>
      <c r="J21" s="378"/>
      <c r="K21" s="378"/>
      <c r="L21" s="379"/>
      <c r="N21" s="385" t="s">
        <v>86</v>
      </c>
      <c r="O21" s="386"/>
      <c r="P21" s="140">
        <f>+K16+L16</f>
        <v>1043.7661250000001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7"/>
      <c r="C22" s="378"/>
      <c r="D22" s="378"/>
      <c r="E22" s="378"/>
      <c r="F22" s="378"/>
      <c r="G22" s="378"/>
      <c r="H22" s="378"/>
      <c r="I22" s="378"/>
      <c r="J22" s="378"/>
      <c r="K22" s="378"/>
      <c r="L22" s="379"/>
      <c r="M22" s="131"/>
      <c r="N22" s="385" t="s">
        <v>87</v>
      </c>
      <c r="O22" s="386"/>
      <c r="P22" s="140">
        <f>P19-P20-P21</f>
        <v>18166.177275000002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7"/>
      <c r="C23" s="378"/>
      <c r="D23" s="378"/>
      <c r="E23" s="378"/>
      <c r="F23" s="378"/>
      <c r="G23" s="378"/>
      <c r="H23" s="378"/>
      <c r="I23" s="378"/>
      <c r="J23" s="378"/>
      <c r="K23" s="378"/>
      <c r="L23" s="379"/>
      <c r="M23" s="131"/>
      <c r="N23" s="136" t="s">
        <v>61</v>
      </c>
      <c r="O23" s="133">
        <v>0.18</v>
      </c>
      <c r="P23" s="140">
        <f>+N16</f>
        <v>3941.6949152542361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7"/>
      <c r="C24" s="378"/>
      <c r="D24" s="378"/>
      <c r="E24" s="378"/>
      <c r="F24" s="378"/>
      <c r="G24" s="378"/>
      <c r="H24" s="378"/>
      <c r="I24" s="378"/>
      <c r="J24" s="378"/>
      <c r="K24" s="378"/>
      <c r="L24" s="379"/>
      <c r="M24" s="131"/>
      <c r="N24" s="387" t="s">
        <v>76</v>
      </c>
      <c r="O24" s="388"/>
      <c r="P24" s="140">
        <f>P22+P23</f>
        <v>22107.872190254238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0"/>
      <c r="C25" s="381"/>
      <c r="D25" s="381"/>
      <c r="E25" s="381"/>
      <c r="F25" s="381"/>
      <c r="G25" s="381"/>
      <c r="H25" s="381"/>
      <c r="I25" s="381"/>
      <c r="J25" s="381"/>
      <c r="K25" s="381"/>
      <c r="L25" s="382"/>
      <c r="M25" s="99"/>
      <c r="N25" s="138" t="s">
        <v>83</v>
      </c>
      <c r="O25" s="137" t="e">
        <f>IF(#REF!="Filer",0.5%,2.5%)</f>
        <v>#REF!</v>
      </c>
      <c r="P25" s="140">
        <f>+O16</f>
        <v>110.53936095127119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4" t="s">
        <v>88</v>
      </c>
      <c r="O26" s="345"/>
      <c r="P26" s="297">
        <f>+P24+P25</f>
        <v>22218.41155120551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6"/>
      <c r="D27" s="346"/>
      <c r="E27" s="346"/>
      <c r="F27" s="346"/>
      <c r="G27" s="346"/>
      <c r="H27" s="346"/>
      <c r="I27" s="347"/>
      <c r="J27" s="348"/>
      <c r="K27" s="34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22218.411551205507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9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Summary!H3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7.2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24</v>
      </c>
      <c r="I22" s="236">
        <f t="shared" si="0"/>
        <v>941.5200000000001</v>
      </c>
      <c r="J22" s="272">
        <f t="shared" si="1"/>
        <v>47.076000000000008</v>
      </c>
      <c r="K22" s="128">
        <f t="shared" si="1"/>
        <v>32.95320000000001</v>
      </c>
      <c r="L22" s="119">
        <f t="shared" si="1"/>
        <v>48.017520000000005</v>
      </c>
      <c r="M22" s="230">
        <f t="shared" si="2"/>
        <v>813.47328000000005</v>
      </c>
      <c r="N22" s="277">
        <f t="shared" si="3"/>
        <v>183.05084745762701</v>
      </c>
      <c r="O22" s="239">
        <f t="shared" si="4"/>
        <v>4.982620637288135</v>
      </c>
      <c r="P22" s="311">
        <f t="shared" si="5"/>
        <v>1001.5067480949152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" si="8">SUM(G16:G24)</f>
        <v>0</v>
      </c>
      <c r="H25" s="113">
        <f t="shared" ref="H25" si="9">SUM(H16:H24)</f>
        <v>24</v>
      </c>
      <c r="I25" s="114">
        <f t="shared" ref="I25:M25" si="10">SUM(I16:I24)</f>
        <v>941.5200000000001</v>
      </c>
      <c r="J25" s="274">
        <f>SUM(J16:J24)</f>
        <v>47.076000000000008</v>
      </c>
      <c r="K25" s="275">
        <f t="shared" si="10"/>
        <v>32.95320000000001</v>
      </c>
      <c r="L25" s="276">
        <f t="shared" si="10"/>
        <v>48.017520000000005</v>
      </c>
      <c r="M25" s="232">
        <f t="shared" si="10"/>
        <v>813.47328000000005</v>
      </c>
      <c r="N25" s="233">
        <f>SUM(N16:N24)</f>
        <v>183.05084745762701</v>
      </c>
      <c r="O25" s="101">
        <f>SUM(O16:O24)</f>
        <v>4.982620637288135</v>
      </c>
      <c r="P25" s="113">
        <f>SUM(P16:P24)</f>
        <v>1001.5067480949152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941.5200000000001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47.076000000000008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80.970720000000014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813.47328000000005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183.05084745762701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996.52412745762706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4.982620637288135</v>
      </c>
    </row>
    <row r="35" spans="2:16" ht="15.75" customHeight="1" thickBot="1" x14ac:dyDescent="0.4">
      <c r="N35" s="344" t="s">
        <v>88</v>
      </c>
      <c r="O35" s="345"/>
      <c r="P35" s="297">
        <f>+P33+P34</f>
        <v>1001.5067480949152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8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517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518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1569.2000000000003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78.460000000000022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134.95120000000003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1355.7888000000003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1660.873545762712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44" t="s">
        <v>88</v>
      </c>
      <c r="O35" s="345"/>
      <c r="P35" s="297">
        <f>+P33+P34</f>
        <v>1669.1779134915255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8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8.75" customHeight="1" x14ac:dyDescent="0.4">
      <c r="A6" s="398" t="s">
        <v>519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520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30</v>
      </c>
      <c r="I21" s="236">
        <f t="shared" si="0"/>
        <v>2179.1999999999998</v>
      </c>
      <c r="J21" s="272">
        <f t="shared" si="1"/>
        <v>174.33599999999998</v>
      </c>
      <c r="K21" s="128">
        <f t="shared" si="1"/>
        <v>76.272000000000006</v>
      </c>
      <c r="L21" s="119">
        <f t="shared" si="1"/>
        <v>0</v>
      </c>
      <c r="M21" s="230">
        <f t="shared" si="2"/>
        <v>1928.5919999999999</v>
      </c>
      <c r="N21" s="277">
        <f t="shared" si="3"/>
        <v>411.86440677966107</v>
      </c>
      <c r="O21" s="239">
        <f t="shared" si="4"/>
        <v>11.702282033898305</v>
      </c>
      <c r="P21" s="311">
        <f t="shared" si="5"/>
        <v>2352.1586888135594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2905.6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232.44799999999998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101.69600000000001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2571.4560000000001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3120.6085423728814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4" t="s">
        <v>88</v>
      </c>
      <c r="O35" s="345"/>
      <c r="P35" s="297">
        <f>+P33+P34</f>
        <v>3136.2115850847458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521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113">
        <f>SUM(P16:P24)</f>
        <v>500.75337404745761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470.76000000000005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23.538000000000004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40.485360000000007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406.73664000000002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498.26206372881353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44" t="s">
        <v>88</v>
      </c>
      <c r="O35" s="345"/>
      <c r="P35" s="297">
        <f>+P33+P34</f>
        <v>500.75337404745761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523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311">
        <f t="shared" ref="P17:P24" si="5">M17+N17+O17</f>
        <v>339.75773742584744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311">
        <f t="shared" si="5"/>
        <v>470.43173776271186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311">
        <f t="shared" si="5"/>
        <v>250.37668702372881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18</v>
      </c>
      <c r="I25" s="114">
        <f t="shared" si="7"/>
        <v>985.995</v>
      </c>
      <c r="J25" s="274">
        <f>SUM(J16:J24)</f>
        <v>71.818200000000004</v>
      </c>
      <c r="K25" s="275">
        <f t="shared" si="7"/>
        <v>34.509825000000006</v>
      </c>
      <c r="L25" s="276">
        <f t="shared" si="7"/>
        <v>12.004380000000001</v>
      </c>
      <c r="M25" s="232">
        <f t="shared" si="7"/>
        <v>867.66259500000001</v>
      </c>
      <c r="N25" s="233">
        <f>SUM(N16:N24)</f>
        <v>187.62711864406776</v>
      </c>
      <c r="O25" s="101">
        <f>SUM(O16:O24)</f>
        <v>5.2764485682203386</v>
      </c>
      <c r="P25" s="113">
        <f>SUM(P16:P24)</f>
        <v>1060.5661622122882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985.995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71.818200000000004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46.514205000000004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867.66259500000001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187.62711864406776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1055.2897136440679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5.2764485682203395</v>
      </c>
    </row>
    <row r="35" spans="2:16" ht="15.75" customHeight="1" thickBot="1" x14ac:dyDescent="0.4">
      <c r="N35" s="344" t="s">
        <v>88</v>
      </c>
      <c r="O35" s="345"/>
      <c r="P35" s="297">
        <f>+P33+P34</f>
        <v>1060.5661622122882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525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15</v>
      </c>
      <c r="I17" s="236">
        <f t="shared" ref="I17:I23" si="0">(G17*D17)*F17+H17*F17</f>
        <v>786.9375</v>
      </c>
      <c r="J17" s="272">
        <f t="shared" ref="J17:L24" si="1">$I17*S17</f>
        <v>62.954999999999998</v>
      </c>
      <c r="K17" s="128">
        <f>$I17*T17</f>
        <v>27.542812500000004</v>
      </c>
      <c r="L17" s="119">
        <f>$I17*U17</f>
        <v>0</v>
      </c>
      <c r="M17" s="230">
        <f t="shared" ref="M17:M24" si="2">I17-SUM(J17:L17)</f>
        <v>696.43968749999999</v>
      </c>
      <c r="N17" s="277">
        <f t="shared" ref="N17:N24" si="3">+(G17*D17+H17)*V17</f>
        <v>148.72881355932196</v>
      </c>
      <c r="O17" s="239">
        <f t="shared" ref="O17:O24" si="4">(N17+M17)*$O$15</f>
        <v>4.22584250529661</v>
      </c>
      <c r="P17" s="311">
        <f t="shared" ref="P17:P24" si="5">M17+N17+O17</f>
        <v>849.39434356461845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15</v>
      </c>
      <c r="I22" s="236">
        <f t="shared" si="0"/>
        <v>588.45000000000005</v>
      </c>
      <c r="J22" s="272">
        <f t="shared" si="1"/>
        <v>29.422500000000003</v>
      </c>
      <c r="K22" s="128">
        <f t="shared" si="1"/>
        <v>20.595750000000002</v>
      </c>
      <c r="L22" s="119">
        <f t="shared" si="1"/>
        <v>30.010950000000001</v>
      </c>
      <c r="M22" s="230">
        <f t="shared" si="2"/>
        <v>508.42080000000004</v>
      </c>
      <c r="N22" s="277">
        <f t="shared" si="3"/>
        <v>114.40677966101688</v>
      </c>
      <c r="O22" s="239">
        <f t="shared" si="4"/>
        <v>3.1141378983050845</v>
      </c>
      <c r="P22" s="311">
        <f t="shared" si="5"/>
        <v>625.941717559322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40</v>
      </c>
      <c r="I25" s="114">
        <f t="shared" si="7"/>
        <v>2101.7875000000004</v>
      </c>
      <c r="J25" s="274">
        <f>SUM(J16:J24)</f>
        <v>150.48950000000002</v>
      </c>
      <c r="K25" s="275">
        <f t="shared" si="7"/>
        <v>73.562562500000013</v>
      </c>
      <c r="L25" s="276">
        <f t="shared" si="7"/>
        <v>30.010950000000001</v>
      </c>
      <c r="M25" s="232">
        <f t="shared" si="7"/>
        <v>1847.7244875000001</v>
      </c>
      <c r="N25" s="233">
        <f>SUM(N16:N24)</f>
        <v>400.42372881355925</v>
      </c>
      <c r="O25" s="101">
        <f>SUM(O16:O24)</f>
        <v>11.240741081567798</v>
      </c>
      <c r="P25" s="113">
        <f>SUM(P16:P24)</f>
        <v>2259.3889573951269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2101.7875000000004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150.48950000000002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103.57351250000002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1847.7244875000001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400.42372881355925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2248.1482163135593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11.240741081567796</v>
      </c>
    </row>
    <row r="35" spans="2:16" ht="15.75" customHeight="1" thickBot="1" x14ac:dyDescent="0.4">
      <c r="N35" s="344" t="s">
        <v>88</v>
      </c>
      <c r="O35" s="345"/>
      <c r="P35" s="297">
        <f>+P33+P34</f>
        <v>2259.3889573951269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526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311">
        <f t="shared" si="5"/>
        <v>834.58895674576274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40</v>
      </c>
      <c r="I25" s="114">
        <f t="shared" si="7"/>
        <v>2035.6250000000002</v>
      </c>
      <c r="J25" s="274">
        <f>SUM(J16:J24)</f>
        <v>139.31200000000001</v>
      </c>
      <c r="K25" s="275">
        <f t="shared" si="7"/>
        <v>71.246875000000017</v>
      </c>
      <c r="L25" s="276">
        <f t="shared" si="7"/>
        <v>40.014600000000002</v>
      </c>
      <c r="M25" s="232">
        <f t="shared" si="7"/>
        <v>1785.0515250000003</v>
      </c>
      <c r="N25" s="233">
        <f>SUM(N16:N24)</f>
        <v>388.98305084745749</v>
      </c>
      <c r="O25" s="101">
        <f>SUM(O16:O24)</f>
        <v>10.870172879237288</v>
      </c>
      <c r="P25" s="113">
        <f>SUM(P16:P24)</f>
        <v>2184.9047487266953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2035.6250000000002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139.31200000000001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111.26147500000002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1785.0515250000001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388.98305084745749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2174.0345758474577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10.870172879237289</v>
      </c>
    </row>
    <row r="35" spans="2:16" ht="15.75" customHeight="1" thickBot="1" x14ac:dyDescent="0.4">
      <c r="N35" s="344" t="s">
        <v>88</v>
      </c>
      <c r="O35" s="345"/>
      <c r="P35" s="297">
        <f>+P33+P34</f>
        <v>2184.9047487266948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527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528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15</v>
      </c>
      <c r="I22" s="236">
        <f t="shared" si="0"/>
        <v>588.45000000000005</v>
      </c>
      <c r="J22" s="272">
        <f t="shared" si="1"/>
        <v>29.422500000000003</v>
      </c>
      <c r="K22" s="128">
        <f t="shared" si="1"/>
        <v>20.595750000000002</v>
      </c>
      <c r="L22" s="119">
        <f t="shared" si="1"/>
        <v>30.010950000000001</v>
      </c>
      <c r="M22" s="230">
        <f t="shared" si="2"/>
        <v>508.42080000000004</v>
      </c>
      <c r="N22" s="277">
        <f t="shared" si="3"/>
        <v>114.40677966101688</v>
      </c>
      <c r="O22" s="239">
        <f t="shared" si="4"/>
        <v>3.1141378983050845</v>
      </c>
      <c r="P22" s="311">
        <f t="shared" si="5"/>
        <v>625.941717559322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15</v>
      </c>
      <c r="I25" s="114">
        <f t="shared" si="7"/>
        <v>588.45000000000005</v>
      </c>
      <c r="J25" s="274">
        <f>SUM(J16:J24)</f>
        <v>29.422500000000003</v>
      </c>
      <c r="K25" s="275">
        <f t="shared" si="7"/>
        <v>20.595750000000002</v>
      </c>
      <c r="L25" s="276">
        <f t="shared" si="7"/>
        <v>30.010950000000001</v>
      </c>
      <c r="M25" s="232">
        <f t="shared" si="7"/>
        <v>508.42080000000004</v>
      </c>
      <c r="N25" s="233">
        <f>SUM(N16:N24)</f>
        <v>114.40677966101688</v>
      </c>
      <c r="O25" s="101">
        <f>SUM(O16:O24)</f>
        <v>3.1141378983050845</v>
      </c>
      <c r="P25" s="113">
        <f>SUM(P16:P24)</f>
        <v>625.941717559322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588.45000000000005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29.422500000000003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50.606700000000004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508.42080000000004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114.40677966101688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622.8275796610169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3.1141378983050845</v>
      </c>
    </row>
    <row r="35" spans="2:16" ht="15.75" customHeight="1" thickBot="1" x14ac:dyDescent="0.4">
      <c r="N35" s="344" t="s">
        <v>88</v>
      </c>
      <c r="O35" s="345"/>
      <c r="P35" s="297">
        <f>+P33+P34</f>
        <v>625.941717559322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529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311">
        <f t="shared" ref="P17:P24" si="5">M17+N17+O17</f>
        <v>339.75773742584744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311">
        <f t="shared" si="5"/>
        <v>470.43173776271186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24</v>
      </c>
      <c r="I25" s="114">
        <f t="shared" si="7"/>
        <v>1221.375</v>
      </c>
      <c r="J25" s="274">
        <f>SUM(J16:J24)</f>
        <v>83.587199999999996</v>
      </c>
      <c r="K25" s="275">
        <f t="shared" si="7"/>
        <v>42.748125000000009</v>
      </c>
      <c r="L25" s="276">
        <f t="shared" si="7"/>
        <v>24.008760000000002</v>
      </c>
      <c r="M25" s="232">
        <f t="shared" si="7"/>
        <v>1071.030915</v>
      </c>
      <c r="N25" s="233">
        <f>SUM(N16:N24)</f>
        <v>233.38983050847452</v>
      </c>
      <c r="O25" s="101">
        <f>SUM(O16:O24)</f>
        <v>6.5221037275423726</v>
      </c>
      <c r="P25" s="113">
        <f>SUM(P16:P24)</f>
        <v>1310.9428492360169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1221.375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83.587199999999996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66.756885000000011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1071.030915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233.38983050847452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1304.4207455084745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6.5221037275423726</v>
      </c>
    </row>
    <row r="35" spans="2:16" ht="15.75" customHeight="1" thickBot="1" x14ac:dyDescent="0.4">
      <c r="N35" s="344" t="s">
        <v>88</v>
      </c>
      <c r="O35" s="345"/>
      <c r="P35" s="297">
        <f>+P33+P34</f>
        <v>1310.9428492360169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530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310">
        <f>M16+N16+O16</f>
        <v>849.39434356461845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311">
        <f t="shared" si="5"/>
        <v>566.26289570974575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80</v>
      </c>
      <c r="I25" s="114">
        <f t="shared" si="7"/>
        <v>4770.8874999999998</v>
      </c>
      <c r="J25" s="274">
        <f>SUM(J16:J24)</f>
        <v>369.90200000000004</v>
      </c>
      <c r="K25" s="275">
        <f t="shared" si="7"/>
        <v>166.98106250000004</v>
      </c>
      <c r="L25" s="276">
        <f t="shared" si="7"/>
        <v>20.007300000000001</v>
      </c>
      <c r="M25" s="232">
        <f t="shared" si="7"/>
        <v>4213.9971375000005</v>
      </c>
      <c r="N25" s="233">
        <f>SUM(N16:N24)</f>
        <v>903.8135593220336</v>
      </c>
      <c r="O25" s="101">
        <f>SUM(O16:O24)</f>
        <v>25.589053484110167</v>
      </c>
      <c r="P25" s="113">
        <f>SUM(P16:P24)</f>
        <v>5143.3997503061446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4770.8874999999998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369.90200000000004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186.98836250000005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4213.9971374999996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903.8135593220336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5117.8106968220327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25.589053484110163</v>
      </c>
    </row>
    <row r="35" spans="2:16" ht="15.75" customHeight="1" thickBot="1" x14ac:dyDescent="0.4">
      <c r="N35" s="344" t="s">
        <v>88</v>
      </c>
      <c r="O35" s="345"/>
      <c r="P35" s="297">
        <f>+P33+P34</f>
        <v>5143.3997503061428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531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532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311">
        <f t="shared" ref="P17:P24" si="5">M17+N17+O17</f>
        <v>339.75773742584744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311">
        <f t="shared" si="5"/>
        <v>470.43173776271186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311">
        <f t="shared" si="5"/>
        <v>250.37668702372881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18</v>
      </c>
      <c r="I25" s="114">
        <f t="shared" si="7"/>
        <v>985.995</v>
      </c>
      <c r="J25" s="274">
        <f>SUM(J16:J24)</f>
        <v>71.818200000000004</v>
      </c>
      <c r="K25" s="275">
        <f t="shared" si="7"/>
        <v>34.509825000000006</v>
      </c>
      <c r="L25" s="276">
        <f t="shared" si="7"/>
        <v>12.004380000000001</v>
      </c>
      <c r="M25" s="232">
        <f t="shared" si="7"/>
        <v>867.66259500000001</v>
      </c>
      <c r="N25" s="233">
        <f>SUM(N16:N24)</f>
        <v>187.62711864406776</v>
      </c>
      <c r="O25" s="101">
        <f>SUM(O16:O24)</f>
        <v>5.2764485682203386</v>
      </c>
      <c r="P25" s="113">
        <f>SUM(P16:P24)</f>
        <v>1060.5661622122882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985.995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71.818200000000004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46.514205000000004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867.66259500000001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187.62711864406776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1055.2897136440679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5.2764485682203395</v>
      </c>
    </row>
    <row r="35" spans="2:16" ht="15.75" customHeight="1" thickBot="1" x14ac:dyDescent="0.4">
      <c r="N35" s="344" t="s">
        <v>88</v>
      </c>
      <c r="O35" s="345"/>
      <c r="P35" s="297">
        <f>+P33+P34</f>
        <v>1060.5661622122882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533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534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310">
        <f>M16+N16+O16</f>
        <v>566.26289570974575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si="0"/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311">
        <f t="shared" si="5"/>
        <v>1132.5257914194915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1857.1725000000001</v>
      </c>
      <c r="N25" s="233">
        <f>SUM(N16:N24)</f>
        <v>396.61016949152526</v>
      </c>
      <c r="O25" s="101">
        <f>SUM(O16:O24)</f>
        <v>11.268913347457627</v>
      </c>
      <c r="P25" s="113">
        <f>SUM(P16:P24)</f>
        <v>2265.051582838983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2098.5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167.88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73.447500000000005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1857.1724999999999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2253.7826694915252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44" t="s">
        <v>88</v>
      </c>
      <c r="O35" s="345"/>
      <c r="P35" s="297">
        <f>+P33+P34</f>
        <v>2265.051582838983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8" t="s">
        <v>91</v>
      </c>
      <c r="B2" s="368"/>
      <c r="C2" s="368"/>
    </row>
    <row r="3" spans="1:18 16382:16383" ht="15" customHeight="1" x14ac:dyDescent="0.35">
      <c r="A3" s="369" t="s">
        <v>92</v>
      </c>
      <c r="B3" s="369"/>
      <c r="C3" s="369"/>
      <c r="F3" s="85"/>
      <c r="G3" s="1"/>
      <c r="J3" s="370" t="s">
        <v>43</v>
      </c>
      <c r="K3" s="370"/>
      <c r="L3" s="370"/>
      <c r="M3" s="369"/>
      <c r="N3" s="369"/>
      <c r="O3" s="36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9" t="s">
        <v>65</v>
      </c>
      <c r="B4" s="369"/>
      <c r="C4" s="369"/>
      <c r="F4" s="85"/>
      <c r="G4" s="1"/>
      <c r="J4" s="370" t="s">
        <v>44</v>
      </c>
      <c r="K4" s="370"/>
      <c r="L4" s="370"/>
      <c r="M4" s="400">
        <f ca="1">TODAY()+1</f>
        <v>46266</v>
      </c>
      <c r="N4" s="400"/>
      <c r="O4" s="40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70" t="s">
        <v>45</v>
      </c>
      <c r="K5" s="370"/>
      <c r="L5" s="370"/>
      <c r="M5" s="400">
        <f ca="1">M4-1</f>
        <v>46265</v>
      </c>
      <c r="N5" s="369"/>
      <c r="O5" s="369"/>
      <c r="Q5" s="85"/>
      <c r="R5" s="1"/>
    </row>
    <row r="6" spans="1:18 16382:16383" ht="15" customHeight="1" x14ac:dyDescent="0.35">
      <c r="A6" s="370" t="s">
        <v>94</v>
      </c>
      <c r="B6" s="370"/>
      <c r="C6" s="370"/>
      <c r="F6" s="85"/>
      <c r="G6" s="86"/>
      <c r="J6" s="370" t="s">
        <v>69</v>
      </c>
      <c r="K6" s="370"/>
      <c r="L6" s="370"/>
      <c r="M6" s="399" t="s">
        <v>62</v>
      </c>
      <c r="N6" s="399"/>
      <c r="O6" s="39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0" t="s">
        <v>73</v>
      </c>
      <c r="B7" s="370"/>
      <c r="C7" s="370"/>
      <c r="F7" s="85"/>
      <c r="G7" s="86"/>
      <c r="J7" s="370" t="s">
        <v>66</v>
      </c>
      <c r="K7" s="370"/>
      <c r="L7" s="370"/>
      <c r="M7" s="399" t="s">
        <v>70</v>
      </c>
      <c r="N7" s="399"/>
      <c r="O7" s="39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6" t="s">
        <v>95</v>
      </c>
      <c r="B8" s="396"/>
      <c r="C8" s="396"/>
      <c r="F8" s="85"/>
      <c r="G8" s="86"/>
      <c r="J8" s="370" t="s">
        <v>67</v>
      </c>
      <c r="K8" s="370"/>
      <c r="L8" s="370"/>
      <c r="M8" s="399" t="s">
        <v>71</v>
      </c>
      <c r="N8" s="399"/>
      <c r="O8" s="399"/>
      <c r="Q8" s="85"/>
      <c r="R8" s="86"/>
    </row>
    <row r="9" spans="1:18 16382:16383" x14ac:dyDescent="0.35">
      <c r="A9" s="396" t="s">
        <v>96</v>
      </c>
      <c r="B9" s="396"/>
      <c r="C9" s="396"/>
      <c r="F9" s="85"/>
      <c r="G9" s="86"/>
      <c r="J9" s="370" t="s">
        <v>68</v>
      </c>
      <c r="K9" s="370"/>
      <c r="L9" s="370"/>
      <c r="M9" s="399" t="s">
        <v>104</v>
      </c>
      <c r="N9" s="399"/>
      <c r="O9" s="399"/>
      <c r="Q9" s="85"/>
      <c r="R9" s="86"/>
      <c r="XFC9" t="s">
        <v>49</v>
      </c>
    </row>
    <row r="10" spans="1:18 16382:16383" x14ac:dyDescent="0.35">
      <c r="A10" s="396" t="s">
        <v>97</v>
      </c>
      <c r="B10" s="396"/>
      <c r="C10" s="396"/>
      <c r="F10" s="85"/>
      <c r="G10" s="1"/>
      <c r="J10" s="370" t="s">
        <v>46</v>
      </c>
      <c r="K10" s="370"/>
      <c r="L10" s="370"/>
      <c r="M10" s="369" t="s">
        <v>47</v>
      </c>
      <c r="N10" s="369"/>
      <c r="O10" s="36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0" t="s">
        <v>48</v>
      </c>
      <c r="K11" s="370"/>
      <c r="L11" s="370"/>
      <c r="M11" s="369" t="s">
        <v>49</v>
      </c>
      <c r="N11" s="369"/>
      <c r="O11" s="36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0" t="s">
        <v>50</v>
      </c>
      <c r="K12" s="370"/>
      <c r="L12" s="370"/>
      <c r="M12" s="369"/>
      <c r="N12" s="369"/>
      <c r="O12" s="36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9" t="s">
        <v>51</v>
      </c>
      <c r="B14" s="361"/>
      <c r="C14" s="391" t="s">
        <v>90</v>
      </c>
      <c r="D14" s="88" t="s">
        <v>52</v>
      </c>
      <c r="E14" s="95" t="s">
        <v>74</v>
      </c>
      <c r="F14" s="115" t="s">
        <v>53</v>
      </c>
      <c r="G14" s="365" t="s">
        <v>54</v>
      </c>
      <c r="H14" s="367"/>
      <c r="I14" s="395" t="s">
        <v>77</v>
      </c>
      <c r="J14" s="366" t="s">
        <v>55</v>
      </c>
      <c r="K14" s="367"/>
      <c r="L14" s="39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0"/>
      <c r="B15" s="362"/>
      <c r="C15" s="39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4"/>
      <c r="J15" s="144" t="s">
        <v>39</v>
      </c>
      <c r="K15" s="145" t="s">
        <v>59</v>
      </c>
      <c r="L15" s="36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6"/>
      <c r="M28" s="383" t="s">
        <v>60</v>
      </c>
      <c r="N28" s="384"/>
      <c r="O28" s="139">
        <f>I25</f>
        <v>1452.8</v>
      </c>
    </row>
    <row r="29" spans="1:18 16383:16383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9"/>
      <c r="M29" s="385" t="s">
        <v>85</v>
      </c>
      <c r="N29" s="386"/>
      <c r="O29" s="140">
        <f>K25</f>
        <v>0</v>
      </c>
    </row>
    <row r="30" spans="1:18 16383:16383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9"/>
      <c r="M30" s="385" t="s">
        <v>86</v>
      </c>
      <c r="N30" s="386"/>
      <c r="O30" s="140">
        <f>J25</f>
        <v>50.848000000000006</v>
      </c>
    </row>
    <row r="31" spans="1:18 16383:16383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9"/>
      <c r="L31" s="131"/>
      <c r="M31" s="385" t="s">
        <v>87</v>
      </c>
      <c r="N31" s="386"/>
      <c r="O31" s="140">
        <f>O28-O29-O30</f>
        <v>1401.952</v>
      </c>
    </row>
    <row r="32" spans="1:18 16383:16383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9"/>
      <c r="L33" s="131"/>
      <c r="M33" s="387" t="s">
        <v>76</v>
      </c>
      <c r="N33" s="388"/>
      <c r="O33" s="140">
        <f>O31+O32</f>
        <v>1710.3814400000001</v>
      </c>
    </row>
    <row r="34" spans="2:15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4" t="s">
        <v>88</v>
      </c>
      <c r="N35" s="345"/>
      <c r="O35" s="141">
        <f>O28-O29+O31+O34</f>
        <v>2897.511536</v>
      </c>
    </row>
    <row r="36" spans="2:15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3" t="s">
        <v>439</v>
      </c>
      <c r="E1" s="336" t="s">
        <v>58</v>
      </c>
      <c r="F1" s="336"/>
      <c r="G1" s="337" t="s">
        <v>440</v>
      </c>
      <c r="H1" s="337"/>
      <c r="I1" s="410" t="s">
        <v>441</v>
      </c>
      <c r="J1" s="410"/>
      <c r="K1" s="410" t="s">
        <v>442</v>
      </c>
      <c r="L1" s="410"/>
      <c r="M1" s="405" t="s">
        <v>484</v>
      </c>
      <c r="N1" s="406"/>
      <c r="O1" s="407"/>
    </row>
    <row r="2" spans="3:24" ht="29" x14ac:dyDescent="0.35">
      <c r="C2" s="336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4" t="s">
        <v>58</v>
      </c>
      <c r="F7" s="404"/>
      <c r="G7" s="402" t="s">
        <v>440</v>
      </c>
      <c r="H7" s="337"/>
      <c r="I7" s="338" t="s">
        <v>441</v>
      </c>
      <c r="J7" s="339"/>
      <c r="K7" s="338" t="s">
        <v>442</v>
      </c>
      <c r="L7" s="339"/>
      <c r="M7" s="405" t="s">
        <v>484</v>
      </c>
      <c r="N7" s="406"/>
      <c r="O7" s="407"/>
      <c r="P7" s="256" t="s">
        <v>475</v>
      </c>
      <c r="Q7" s="242" t="s">
        <v>473</v>
      </c>
      <c r="R7" s="403" t="s">
        <v>475</v>
      </c>
      <c r="S7" s="403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2"/>
      <c r="U8" s="40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5" t="s">
        <v>484</v>
      </c>
      <c r="N13" s="406"/>
      <c r="O13" s="407"/>
      <c r="P13" s="256" t="s">
        <v>475</v>
      </c>
      <c r="Q13" s="242" t="s">
        <v>473</v>
      </c>
      <c r="R13" s="403" t="s">
        <v>475</v>
      </c>
      <c r="S13" s="403" t="s">
        <v>485</v>
      </c>
      <c r="T13" s="401" t="s">
        <v>486</v>
      </c>
      <c r="U13" s="401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2"/>
      <c r="U14" s="40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5" t="s">
        <v>484</v>
      </c>
      <c r="N20" s="406"/>
      <c r="O20" s="407"/>
      <c r="P20" s="256" t="s">
        <v>475</v>
      </c>
      <c r="Q20" s="242" t="s">
        <v>473</v>
      </c>
      <c r="R20" s="403" t="s">
        <v>475</v>
      </c>
      <c r="S20" s="403" t="s">
        <v>485</v>
      </c>
      <c r="T20" s="401" t="s">
        <v>486</v>
      </c>
      <c r="U20" s="401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2"/>
      <c r="U21" s="40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5" t="s">
        <v>484</v>
      </c>
      <c r="N27" s="406"/>
      <c r="O27" s="407"/>
      <c r="P27" s="256" t="s">
        <v>475</v>
      </c>
      <c r="Q27" s="242" t="s">
        <v>473</v>
      </c>
      <c r="R27" s="403" t="s">
        <v>475</v>
      </c>
      <c r="S27" s="403" t="s">
        <v>485</v>
      </c>
      <c r="T27" s="401" t="s">
        <v>486</v>
      </c>
      <c r="U27" s="401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2"/>
      <c r="U28" s="40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3" t="s">
        <v>439</v>
      </c>
      <c r="D1" s="336" t="s">
        <v>58</v>
      </c>
      <c r="E1" s="336"/>
      <c r="F1" s="337" t="s">
        <v>440</v>
      </c>
      <c r="G1" s="337"/>
      <c r="H1" s="410" t="s">
        <v>441</v>
      </c>
      <c r="I1" s="410"/>
      <c r="J1" s="410" t="s">
        <v>442</v>
      </c>
      <c r="K1" s="410"/>
      <c r="L1" s="405" t="s">
        <v>484</v>
      </c>
      <c r="M1" s="406"/>
      <c r="N1" s="407"/>
    </row>
    <row r="2" spans="2:17" ht="29" x14ac:dyDescent="0.35">
      <c r="B2" s="336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2026-08-31T12:37:22Z</dcterms:modified>
</cp:coreProperties>
</file>