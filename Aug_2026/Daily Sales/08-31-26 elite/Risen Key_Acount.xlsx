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567785C-3EDE-413C-B56B-DF47296EDA51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17" i="44"/>
  <c r="O17" i="44" s="1"/>
  <c r="P17" i="44" s="1"/>
  <c r="M16" i="43"/>
  <c r="M20" i="43"/>
  <c r="O20" i="43" s="1"/>
  <c r="P20" i="43" s="1"/>
  <c r="R20" i="43" s="1"/>
  <c r="M21" i="43"/>
  <c r="O21" i="43" s="1"/>
  <c r="P21" i="43" s="1"/>
  <c r="J7" i="62"/>
  <c r="M21" i="44"/>
  <c r="O21" i="44" s="1"/>
  <c r="P21" i="44" s="1"/>
  <c r="M16" i="44"/>
  <c r="M17" i="60"/>
  <c r="O17" i="60" s="1"/>
  <c r="P17" i="60" s="1"/>
  <c r="M16" i="59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<sst xmlns="http://schemas.openxmlformats.org/spreadsheetml/2006/main" count="3974" uniqueCount="530">
  <si>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</si>
  <si>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</si>
  <si>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</si>
  <si>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</si>
  <si>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</si>
  <si>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</si>
  <si>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</si>
  <si>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</si>
  <si>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</si>
  <si>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</si>
  <si>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</si>
  <si>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</si>
  <si>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</si>
  <si>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</si>
  <si>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</si>
  <si>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</si>
  <si>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</si>
  <si>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</si>
  <si>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</si>
  <si>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</si>
  <si>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</si>
  <si>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</si>
  <si>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</si>
  <si>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</si>
  <si>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</si>
  <si>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</si>
  <si>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</si>
  <si>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</si>
  <si>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</si>
  <si>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</si>
  <si>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</si>
  <si>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</si>
  <si>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</si>
  <si>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</si>
  <si>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</si>
  <si>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</si>
  <si>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</si>
  <si>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</si>
  <si>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</si>
  <si>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</si>
  <si>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</si>
  <si>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</si>
  <si>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</si>
  <si>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</si>
  <si>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</si>
  <si>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</si>
  <si>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</si>
  <si>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</si>
  <si>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</si>
  <si>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</si>
  <si>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</si>
  <si>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</si>
  <si>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</si>
  <si>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</si>
  <si>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</si>
  <si>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</si>
  <si>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</si>
  <si>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</si>
  <si>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</si>
  <si>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</si>
  <si>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</si>
  <si>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</si>
  <si>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</si>
  <si>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</si>
  <si>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</si>
  <si>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</si>
  <si>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</si>
  <si>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</si>
  <si>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</si>
  <si>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</si>
  <si>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</si>
  <si>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</si>
  <si>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</si>
  <si>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</si>
  <si>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</si>
  <si>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</si>
  <si>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</si>
  <si>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</si>
  <si>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</si>
  <si>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</si>
  <si>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</si>
  <si>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</si>
  <si>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</si>
  <si>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</si>
  <si>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</si>
  <si>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</si>
  <si>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</si>
  <si>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</si>
  <si>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</si>
  <si>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</si>
  <si>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</si>
  <si>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</si>
  <si>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</si>
  <si>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</si>
  <si>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</si>
  <si>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</si>
  <si>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</si>
  <si>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</si>
  <si>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</si>
  <si>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</si>
  <si>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</si>
  <si>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</si>
  <si>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</si>
  <si>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</si>
  <si>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</si>
  <si>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</si>
  <si>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</si>
  <si>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</si>
  <si>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</si>
  <si>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</si>
  <si>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</si>
  <si>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</si>
  <si>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</si>
  <si>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</si>
  <si>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</si>
  <si>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</si>
  <si>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</si>
  <si>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</si>
  <si>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</si>
  <si>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</si>
  <si>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</si>
  <si>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</si>
  <si>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</si>
  <si>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</si>
  <si>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</si>
  <si>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</si>
  <si>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</si>
  <si>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</si>
  <si>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</si>
  <si>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</si>
  <si>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</si>
  <si>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</si>
  <si>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</si>
  <si>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</si>
  <si>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</si>
  <si>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</si>
  <si>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</si>
  <si>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</si>
  <si>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</si>
  <si>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</si>
  <si>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</si>
  <si>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</si>
  <si>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</si>
  <si>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</si>
  <si>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</si>
  <si>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</si>
  <si>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</si>
  <si>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</si>
  <si>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</si>
  <si>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</si>
  <si>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</si>
  <si>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</si>
  <si>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</si>
  <si>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</si>
  <si>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</si>
  <si>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</si>
  <si>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</si>
  <si>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</si>
  <si>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</si>
  <si>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</si>
  <si>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</si>
  <si>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</si>
  <si>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</si>
  <si>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</si>
  <si>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</si>
  <si>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</si>
  <si>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</si>
  <si>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</si>
  <si>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</si>
  <si>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</si>
  <si>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</si>
  <si>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</si>
  <si>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</si>
  <si>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</si>
  <si>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</si>
  <si>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</si>
  <si>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</si>
  <si>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</si>
  <si>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</si>
  <si>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</si>
  <si>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</si>
  <si>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</si>
  <si>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</si>
  <si>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</si>
  <si>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</si>
  <si>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</si>
  <si>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</si>
  <si>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</si>
  <si>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</si>
  <si>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</si>
  <si>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</si>
  <si>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</si>
  <si>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</si>
  <si>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</si>
  <si>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</si>
  <si>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</si>
  <si>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</si>
  <si>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</si>
  <si>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</si>
  <si>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</si>
  <si>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</si>
  <si>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</si>
  <si>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</si>
  <si>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</si>
  <si>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</si>
  <si>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</si>
  <si>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</si>
  <si>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</si>
  <si>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</si>
  <si>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</si>
  <si>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</si>
  <si>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</si>
  <si>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</si>
  <si>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</si>
  <si>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</si>
  <si>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</si>
  <si>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</si>
  <si>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</si>
  <si>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</si>
  <si>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</si>
  <si>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</si>
  <si>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</si>
  <si>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</si>
  <si>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</si>
  <si>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</si>
  <si>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</si>
  <si>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</si>
  <si>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</si>
  <si>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</si>
  <si>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</si>
  <si>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</si>
  <si>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</si>
  <si>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</si>
  <si>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</si>
  <si>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</si>
  <si>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</si>
  <si>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</si>
  <si>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</si>
  <si>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</si>
  <si>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</si>
  <si>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</si>
  <si>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</si>
  <si>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</si>
  <si>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</si>
  <si>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</si>
  <si>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</si>
  <si>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</si>
  <si>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</si>
  <si>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</si>
  <si>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</si>
  <si>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</si>
  <si>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</si>
  <si>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</si>
  <si>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</si>
  <si>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</si>
  <si>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</si>
  <si>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</si>
  <si>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</si>
  <si>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</si>
  <si>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</si>
  <si>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</si>
  <si>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</si>
  <si>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</si>
  <si>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</si>
  <si>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</si>
  <si>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</si>
  <si>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</si>
  <si>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</si>
  <si>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</si>
  <si>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</si>
  <si>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</si>
  <si>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</si>
  <si>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</si>
  <si>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</si>
  <si>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</si>
  <si>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</si>
  <si>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</si>
  <si>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</si>
  <si>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</si>
  <si>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</si>
  <si>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</si>
  <si>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</si>
  <si>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</si>
  <si>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</si>
  <si>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</si>
  <si>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</si>
  <si>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</si>
  <si>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</si>
  <si>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</si>
  <si>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</si>
  <si>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</si>
  <si>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</si>
  <si>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</si>
  <si>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</si>
  <si>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</si>
  <si>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</si>
  <si>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</si>
  <si>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</si>
  <si>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</si>
  <si>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</si>
  <si>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</si>
  <si>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</si>
  <si>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</si>
  <si>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</si>
  <si>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</si>
  <si>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</si>
  <si>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</si>
  <si>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</si>
  <si>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</si>
  <si>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</si>
  <si>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</si>
  <si>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</si>
  <si>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</si>
  <si>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</si>
  <si>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</si>
  <si>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</si>
  <si>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</si>
  <si>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</si>
  <si>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</si>
  <si>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</si>
  <si>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</si>
  <si>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</si>
  <si>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</si>
  <si>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</si>
  <si>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</si>
  <si>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</si>
  <si>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</si>
  <si>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</si>
  <si>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</si>
  <si>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</si>
  <si>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</si>
  <si>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</si>
  <si>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</si>
  <si>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</si>
  <si>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</si>
  <si>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</si>
  <si>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</si>
  <si>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</si>
  <si>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</si>
  <si>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</si>
  <si>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</si>
  <si>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</si>
  <si>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</si>
  <si>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</si>
  <si>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</si>
  <si>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</si>
  <si>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</si>
  <si>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</si>
  <si>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</si>
  <si>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</si>
  <si>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</si>
  <si>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</si>
  <si>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</si>
  <si>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</si>
  <si>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</si>
  <si>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</si>
  <si>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</si>
  <si>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</si>
  <si>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</si>
  <si>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</si>
  <si>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</si>
  <si>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</si>
  <si>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</si>
  <si>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</si>
  <si>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</si>
  <si>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</si>
  <si>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</si>
  <si>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</si>
  <si>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</si>
  <si>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</si>
  <si>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</si>
  <si>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</si>
  <si>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</si>
  <si>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</si>
  <si>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</si>
  <si>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</si>
  <si>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</si>
  <si>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</si>
  <si>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</si>
  <si>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</si>
  <si>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</si>
  <si>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</si>
  <si>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</si>
  <si>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</si>
  <si>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</si>
  <si>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</si>
  <si>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</si>
  <si>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</si>
  <si>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</si>
  <si>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</si>
  <si>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</si>
  <si>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</si>
  <si>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</si>
  <si>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</si>
  <si>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</si>
  <si>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</si>
  <si>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</si>
  <si>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</si>
  <si>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</si>
  <si>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</si>
  <si>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</si>
  <si>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</si>
  <si>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</si>
  <si>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</si>
  <si>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</si>
  <si>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</si>
  <si>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</si>
  <si>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</si>
  <si>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</si>
  <si>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</si>
  <si>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</si>
  <si>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</si>
  <si>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</si>
  <si>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</si>
  <si>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</si>
  <si>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</si>
  <si>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</si>
  <si>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</si>
  <si>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</si>
  <si>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</si>
  <si>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</si>
  <si>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</si>
  <si>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</si>
  <si>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</si>
  <si>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</si>
  <si>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</si>
  <si>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</si>
  <si>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</si>
  <si>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</si>
  <si>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</si>
  <si>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</si>
  <si>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</si>
  <si>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</si>
  <si>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</si>
  <si>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</si>
  <si>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</si>
  <si>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</si>
  <si>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</si>
  <si>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</si>
  <si>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</si>
  <si>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</si>
  <si>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</si>
  <si>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</si>
  <si>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</si>
  <si>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</si>
  <si>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</si>
  <si>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</si>
  <si>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</si>
  <si>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</si>
  <si>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</si>
  <si>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</si>
  <si>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</si>
  <si>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</si>
  <si>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</si>
  <si>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</si>
  <si>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</si>
  <si>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</si>
  <si>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</si>
  <si>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</si>
  <si>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</si>
  <si>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</si>
  <si>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</si>
  <si>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</si>
  <si>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</si>
  <si>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</si>
  <si>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</si>
  <si>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</si>
  <si>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</si>
  <si>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</si>
  <si>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</si>
  <si>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</si>
  <si>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</si>
  <si>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</si>
  <si>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</si>
  <si>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</si>
  <si>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</si>
  <si>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</si>
  <si>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</si>
  <si>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</si>
  <si>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</si>
  <si>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</si>
  <si>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</si>
  <si>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</si>
  <si>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</si>
  <si>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</si>
  <si>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</si>
  <si>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</si>
  <si>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</si>
  <si>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</si>
  <si>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</si>
  <si>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</si>
  <si>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</si>
  <si>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</si>
  <si>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</si>
  <si>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</si>
  <si>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</si>
  <si>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</si>
  <si>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</si>
  <si>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</si>
  <si>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</si>
  <si>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</si>
  <si>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</si>
  <si>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</si>
  <si>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</si>
  <si>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</si>
  <si>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</si>
  <si>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</si>
  <si>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</si>
  <si>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</si>
  <si>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</si>
  <si>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</si>
  <si>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</si>
  <si>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MS/SB Traders</t>
  </si>
  <si>
    <t>NTN # : 4655329-3</t>
  </si>
  <si>
    <t>Invoice No # :156123</t>
  </si>
  <si>
    <t>_SB Traders</t>
  </si>
  <si>
    <t xml:space="preserve">Address: Shadbagh </t>
  </si>
  <si>
    <t>NTN # : 9725069-2</t>
  </si>
  <si>
    <t xml:space="preserve">TN Traders </t>
  </si>
  <si>
    <t xml:space="preserve">Address:Thoker Niaz Bagh </t>
  </si>
  <si>
    <t>NTN # :  9402653-2</t>
  </si>
  <si>
    <t>M.S Traders</t>
  </si>
  <si>
    <t>Address: Askari 11</t>
  </si>
  <si>
    <t>Shakoor</t>
  </si>
  <si>
    <t>Invoice No # : 61163</t>
  </si>
  <si>
    <t>Invoice No # : 15613</t>
  </si>
  <si>
    <t>Risen</t>
  </si>
  <si>
    <t>Rafaqat Sons</t>
  </si>
  <si>
    <t>Invoice No # : 156153</t>
  </si>
  <si>
    <t>Address: Fateh Ghar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</si>
</sst>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5" sqref="S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526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46265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_SB Traders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Rafaqat Sons</v>
      </c>
      <c r="T4" s="301">
        <f>+'2'!P35</f>
        <v>31913.11578813559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TN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M.S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MS/SB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311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MS/SB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1468.95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8656.3125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53.196816737288138</v>
      </c>
      <c r="P9" s="311">
        <f t="shared" si="2"/>
        <v>10692.560164194916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MS/SB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MS/SB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</v>
      </c>
      <c r="R11" s="314">
        <v>9</v>
      </c>
      <c r="S11" s="300" t="str">
        <f>+'9'!A6:A6</f>
        <v>MS/SB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311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MS/SB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MS/SB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MS/SB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MS/SB Traders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13</v>
      </c>
      <c r="H16" s="113">
        <f t="shared" ref="H16:M16" si="3">SUM(H7:H15)</f>
        <v>520</v>
      </c>
      <c r="I16" s="114">
        <f t="shared" si="3"/>
        <v>31316</v>
      </c>
      <c r="J16" s="274">
        <f>SUM(J7:J15)</f>
        <v>4384.2400000000007</v>
      </c>
      <c r="K16" s="275">
        <f t="shared" si="3"/>
        <v>1096.0600000000002</v>
      </c>
      <c r="L16" s="276">
        <f t="shared" si="3"/>
        <v>0</v>
      </c>
      <c r="M16" s="232">
        <f t="shared" si="3"/>
        <v>25835.699999999997</v>
      </c>
      <c r="N16" s="233">
        <f>SUM(N7:N15)</f>
        <v>5918.6440677966093</v>
      </c>
      <c r="O16" s="101">
        <f>SUM(O7:O15)</f>
        <v>158.77172033898304</v>
      </c>
      <c r="P16" s="113">
        <f>SUM(P7:P15)</f>
        <v>31913.11578813559</v>
      </c>
      <c r="Q16" s="128">
        <f>SUM(Q7:Q15)</f>
        <v>2</v>
      </c>
      <c r="R16" s="314">
        <v>14</v>
      </c>
      <c r="S16" s="300" t="str">
        <f>+'14'!A6:A6</f>
        <v>MS/SB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MS/SB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MS/SB Traders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31316</v>
      </c>
      <c r="R19" s="299">
        <v>17</v>
      </c>
      <c r="S19" s="300" t="str">
        <f>+'17'!A6:A6</f>
        <v>MS/SB Traders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4384.2400000000007</v>
      </c>
      <c r="R20" s="299">
        <v>18</v>
      </c>
      <c r="S20" s="300" t="str">
        <f>+'18'!A6:A6</f>
        <v>MS/SB Traders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1096.0600000000002</v>
      </c>
      <c r="R21" s="299">
        <v>19</v>
      </c>
      <c r="S21" s="300" t="str">
        <f>+'19'!A6:A6</f>
        <v>MS/SB Traders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25835.699999999997</v>
      </c>
      <c r="R22" s="299">
        <v>20</v>
      </c>
      <c r="S22" s="300" t="str">
        <f>+'20'!A6:A6</f>
        <v>MS/SB Traders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5918.6440677966093</v>
      </c>
      <c r="R23" s="299">
        <v>21</v>
      </c>
      <c r="S23" s="300" t="str">
        <f>+'21'!A6:A6</f>
        <v>MS/SB Traders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31754.344067796606</v>
      </c>
      <c r="R24" s="299">
        <v>22</v>
      </c>
      <c r="S24" s="300" t="str">
        <f>+'22'!A6:A6</f>
        <v>MS/SB Traders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158.77172033898304</v>
      </c>
      <c r="R25" s="299">
        <v>23</v>
      </c>
      <c r="S25" s="300" t="str">
        <f>+'23'!A6:A6</f>
        <v>MS/SB Traders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31913.11578813559</v>
      </c>
      <c r="R26" s="299">
        <v>24</v>
      </c>
      <c r="S26" s="300" t="str">
        <f>+'24'!A6:A6</f>
        <v>MS/SB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MS/SB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MS/SB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MS/SB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MS/SB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MS/SB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MS/SB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31913.11578813559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523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">
        <v>523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311">
        <f t="shared" ref="P17:P24" si="5">M17+N17+O17</f>
        <v>6415.5360985169482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311">
        <f t="shared" si="5"/>
        <v>10692.560164194916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156"/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311">
        <f t="shared" si="5"/>
        <v>8883.0117152542352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520</v>
      </c>
      <c r="I25" s="114">
        <f t="shared" si="7"/>
        <v>31316</v>
      </c>
      <c r="J25" s="274">
        <f>SUM(J16:J24)</f>
        <v>4384.2400000000007</v>
      </c>
      <c r="K25" s="275">
        <f t="shared" si="7"/>
        <v>1096.0600000000002</v>
      </c>
      <c r="L25" s="276">
        <f t="shared" si="7"/>
        <v>0</v>
      </c>
      <c r="M25" s="232">
        <f t="shared" si="7"/>
        <v>25835.699999999997</v>
      </c>
      <c r="N25" s="233">
        <f>SUM(N16:N24)</f>
        <v>5918.6440677966093</v>
      </c>
      <c r="O25" s="101">
        <f>SUM(O16:O24)</f>
        <v>158.77172033898304</v>
      </c>
      <c r="P25" s="113">
        <f>SUM(P16:P24)</f>
        <v>31913.11578813559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31316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4384.2400000000007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1096.0600000000002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25835.699999999997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5918.6440677966093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31754.344067796606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158.77172033898304</v>
      </c>
    </row>
    <row r="35" spans="2:16" ht="15.75" customHeight="1" thickBot="1" x14ac:dyDescent="0.4">
      <c r="N35" s="344" t="s">
        <v>88</v>
      </c>
      <c r="O35" s="345"/>
      <c r="P35" s="297">
        <f>+P33+P34</f>
        <v>31913.11578813559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8.7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523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520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">
        <v>523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319">
        <v>1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46266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46265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2026-08-31T06:50:56Z</dcterms:modified>
</cp:coreProperties>
</file>