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3BDE90C-AA88-4E8E-9B50-934359EEFA80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5" i="66" s="1"/>
  <c r="N4" i="70"/>
  <c r="N5" i="70" s="1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<sst xmlns="http://schemas.openxmlformats.org/spreadsheetml/2006/main" count="3948" uniqueCount="526">
  <si>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</si>
  <si>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</si>
  <si>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</si>
  <si>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</si>
  <si>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</si>
  <si>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</si>
  <si>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</si>
  <si>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</si>
  <si>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</si>
  <si>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</si>
  <si>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</si>
  <si>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</si>
  <si>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</si>
  <si>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</si>
  <si>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</si>
  <si>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</si>
  <si>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</si>
  <si>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</si>
  <si>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</si>
  <si>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</si>
  <si>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</si>
  <si>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</si>
  <si>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</si>
  <si>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</si>
  <si>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</si>
  <si>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</si>
  <si>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</si>
  <si>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</si>
  <si>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</si>
  <si>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</si>
  <si>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</si>
  <si>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</si>
  <si>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</si>
  <si>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</si>
  <si>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</si>
  <si>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</si>
  <si>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</si>
  <si>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</si>
  <si>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</si>
  <si>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</si>
  <si>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</si>
  <si>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</si>
  <si>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</si>
  <si>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</si>
  <si>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</si>
  <si>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</si>
  <si>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</si>
  <si>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</si>
  <si>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</si>
  <si>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</si>
  <si>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</si>
  <si>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</si>
  <si>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</si>
  <si>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</si>
  <si>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</si>
  <si>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</si>
  <si>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</si>
  <si>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</si>
  <si>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</si>
  <si>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</si>
  <si>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</si>
  <si>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</si>
  <si>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</si>
  <si>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</si>
  <si>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</si>
  <si>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</si>
  <si>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</si>
  <si>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</si>
  <si>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</si>
  <si>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</si>
  <si>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</si>
  <si>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</si>
  <si>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</si>
  <si>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</si>
  <si>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</si>
  <si>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</si>
  <si>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</si>
  <si>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</si>
  <si>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</si>
  <si>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</si>
  <si>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</si>
  <si>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</si>
  <si>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</si>
  <si>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</si>
  <si>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</si>
  <si>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</si>
  <si>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</si>
  <si>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</si>
  <si>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</si>
  <si>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</si>
  <si>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</si>
  <si>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</si>
  <si>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</si>
  <si>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</si>
  <si>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</si>
  <si>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</si>
  <si>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</si>
  <si>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</si>
  <si>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</si>
  <si>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</si>
  <si>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</si>
  <si>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</si>
  <si>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</si>
  <si>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</si>
  <si>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</si>
  <si>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</si>
  <si>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</si>
  <si>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</si>
  <si>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</si>
  <si>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</si>
  <si>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</si>
  <si>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</si>
  <si>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</si>
  <si>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</si>
  <si>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</si>
  <si>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</si>
  <si>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</si>
  <si>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</si>
  <si>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</si>
  <si>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</si>
  <si>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</si>
  <si>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</si>
  <si>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</si>
  <si>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</si>
  <si>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</si>
  <si>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</si>
  <si>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</si>
  <si>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</si>
  <si>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</si>
  <si>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</si>
  <si>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</si>
  <si>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</si>
  <si>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</si>
  <si>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</si>
  <si>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</si>
  <si>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</si>
  <si>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</si>
  <si>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</si>
  <si>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</si>
  <si>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</si>
  <si>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</si>
  <si>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</si>
  <si>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</si>
  <si>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</si>
  <si>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</si>
  <si>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</si>
  <si>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</si>
  <si>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</si>
  <si>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</si>
  <si>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</si>
  <si>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</si>
  <si>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</si>
  <si>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</si>
  <si>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</si>
  <si>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</si>
  <si>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</si>
  <si>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</si>
  <si>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</si>
  <si>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</si>
  <si>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</si>
  <si>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</si>
  <si>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</si>
  <si>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</si>
  <si>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</si>
  <si>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</si>
  <si>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</si>
  <si>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</si>
  <si>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</si>
  <si>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</si>
  <si>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</si>
  <si>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</si>
  <si>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</si>
  <si>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</si>
  <si>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</si>
  <si>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</si>
  <si>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</si>
  <si>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</si>
  <si>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</si>
  <si>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</si>
  <si>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</si>
  <si>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</si>
  <si>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</si>
  <si>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</si>
  <si>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</si>
  <si>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</si>
  <si>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</si>
  <si>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</si>
  <si>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</si>
  <si>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</si>
  <si>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</si>
  <si>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</si>
  <si>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</si>
  <si>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</si>
  <si>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</si>
  <si>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</si>
  <si>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</si>
  <si>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</si>
  <si>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</si>
  <si>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</si>
  <si>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</si>
  <si>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</si>
  <si>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</si>
  <si>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</si>
  <si>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</si>
  <si>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</si>
  <si>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</si>
  <si>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</si>
  <si>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</si>
  <si>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</si>
  <si>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</si>
  <si>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</si>
  <si>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</si>
  <si>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</si>
  <si>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</si>
  <si>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</si>
  <si>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</si>
  <si>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</si>
  <si>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</si>
  <si>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</si>
  <si>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</si>
  <si>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</si>
  <si>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</si>
  <si>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</si>
  <si>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</si>
  <si>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</si>
  <si>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</si>
  <si>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</si>
  <si>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</si>
  <si>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</si>
  <si>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</si>
  <si>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</si>
  <si>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</si>
  <si>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</si>
  <si>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</si>
  <si>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</si>
  <si>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</si>
  <si>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</si>
  <si>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</si>
  <si>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</si>
  <si>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</si>
  <si>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</si>
  <si>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</si>
  <si>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</si>
  <si>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</si>
  <si>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</si>
  <si>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</si>
  <si>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</si>
  <si>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</si>
  <si>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</si>
  <si>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</si>
  <si>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</si>
  <si>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</si>
  <si>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</si>
  <si>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</si>
  <si>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</si>
  <si>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</si>
  <si>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</si>
  <si>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</si>
  <si>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</si>
  <si>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</si>
  <si>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</si>
  <si>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</si>
  <si>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</si>
  <si>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</si>
  <si>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</si>
  <si>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</si>
  <si>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</si>
  <si>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</si>
  <si>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</si>
  <si>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</si>
  <si>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</si>
  <si>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</si>
  <si>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</si>
  <si>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</si>
  <si>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</si>
  <si>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</si>
  <si>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</si>
  <si>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</si>
  <si>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</si>
  <si>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</si>
  <si>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</si>
  <si>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</si>
  <si>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</si>
  <si>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</si>
  <si>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</si>
  <si>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</si>
  <si>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</si>
  <si>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</si>
  <si>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</si>
  <si>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</si>
  <si>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</si>
  <si>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</si>
  <si>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</si>
  <si>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</si>
  <si>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</si>
  <si>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</si>
  <si>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</si>
  <si>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</si>
  <si>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</si>
  <si>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</si>
  <si>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</si>
  <si>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</si>
  <si>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</si>
  <si>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</si>
  <si>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</si>
  <si>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</si>
  <si>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</si>
  <si>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</si>
  <si>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</si>
  <si>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</si>
  <si>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</si>
  <si>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</si>
  <si>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</si>
  <si>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</si>
  <si>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</si>
  <si>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</si>
  <si>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</si>
  <si>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</si>
  <si>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</si>
  <si>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</si>
  <si>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</si>
  <si>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</si>
  <si>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</si>
  <si>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</si>
  <si>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</si>
  <si>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</si>
  <si>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</si>
  <si>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</si>
  <si>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</si>
  <si>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</si>
  <si>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</si>
  <si>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</si>
  <si>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</si>
  <si>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</si>
  <si>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</si>
  <si>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</si>
  <si>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</si>
  <si>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</si>
  <si>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</si>
  <si>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</si>
  <si>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</si>
  <si>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</si>
  <si>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</si>
  <si>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</si>
  <si>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</si>
  <si>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</si>
  <si>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</si>
  <si>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</si>
  <si>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</si>
  <si>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</si>
  <si>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</si>
  <si>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</si>
  <si>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</si>
  <si>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</si>
  <si>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</si>
  <si>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</si>
  <si>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</si>
  <si>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</si>
  <si>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</si>
  <si>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</si>
  <si>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</si>
  <si>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</si>
  <si>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</si>
  <si>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</si>
  <si>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</si>
  <si>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</si>
  <si>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</si>
  <si>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</si>
  <si>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</si>
  <si>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</si>
  <si>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</si>
  <si>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</si>
  <si>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</si>
  <si>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</si>
  <si>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</si>
  <si>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</si>
  <si>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</si>
  <si>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</si>
  <si>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</si>
  <si>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</si>
  <si>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</si>
  <si>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</si>
  <si>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</si>
  <si>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</si>
  <si>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</si>
  <si>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</si>
  <si>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</si>
  <si>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</si>
  <si>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</si>
  <si>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</si>
  <si>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</si>
  <si>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</si>
  <si>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</si>
  <si>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</si>
  <si>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</si>
  <si>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</si>
  <si>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</si>
  <si>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</si>
  <si>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</si>
  <si>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</si>
  <si>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</si>
  <si>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</si>
  <si>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</si>
  <si>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</si>
  <si>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</si>
  <si>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</si>
  <si>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</si>
  <si>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</si>
  <si>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</si>
  <si>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</si>
  <si>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</si>
  <si>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</si>
  <si>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</si>
  <si>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</si>
  <si>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</si>
  <si>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</si>
  <si>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</si>
  <si>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</si>
  <si>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</si>
  <si>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</si>
  <si>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</si>
  <si>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</si>
  <si>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</si>
  <si>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</si>
  <si>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</si>
  <si>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</si>
  <si>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</si>
  <si>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</si>
  <si>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</si>
  <si>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</si>
  <si>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</si>
  <si>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</si>
  <si>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</si>
  <si>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</si>
  <si>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</si>
  <si>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</si>
  <si>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</si>
  <si>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</si>
  <si>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</si>
  <si>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</si>
  <si>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</si>
  <si>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</si>
  <si>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</si>
  <si>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</si>
  <si>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</si>
  <si>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</si>
  <si>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</si>
  <si>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</si>
  <si>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</si>
  <si>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</si>
  <si>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</si>
  <si>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</si>
  <si>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</si>
  <si>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</si>
  <si>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</si>
  <si>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</si>
  <si>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</si>
  <si>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</si>
  <si>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</si>
  <si>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</si>
  <si>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</si>
  <si>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</si>
  <si>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</si>
  <si>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</si>
  <si>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</si>
  <si>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</si>
  <si>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</si>
  <si>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</si>
  <si>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</si>
  <si>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</si>
  <si>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</si>
  <si>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</si>
  <si>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</si>
  <si>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</si>
  <si>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</si>
  <si>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</si>
  <si>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</si>
  <si>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</si>
  <si>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</si>
  <si>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</si>
  <si>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</si>
  <si>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</si>
  <si>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</si>
  <si>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</si>
  <si>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</si>
  <si>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</si>
  <si>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</si>
  <si>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</si>
  <si>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</si>
  <si>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</si>
  <si>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</si>
  <si>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</si>
  <si>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</si>
  <si>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</si>
  <si>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</si>
  <si>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</si>
  <si>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</si>
  <si>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</si>
  <si>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</si>
  <si>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</si>
  <si>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</si>
  <si>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</si>
  <si>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</si>
  <si>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</si>
  <si>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</si>
  <si>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</si>
  <si>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</si>
  <si>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</si>
  <si>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</si>
  <si>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</si>
  <si>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</si>
  <si>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</si>
  <si>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</si>
  <si>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Jabbar</t>
  </si>
  <si>
    <t>Address: Ghosia Colony</t>
  </si>
  <si>
    <t>Ali Ice Cream</t>
  </si>
  <si>
    <t xml:space="preserve">Rehman Bakery </t>
  </si>
  <si>
    <t>Bismillah Store</t>
  </si>
  <si>
    <t>Al Zeshan Store</t>
  </si>
  <si>
    <t>Address: DHA Phase 8</t>
  </si>
  <si>
    <t xml:space="preserve">Raheem Mart </t>
  </si>
  <si>
    <t xml:space="preserve">Prograssive Mart </t>
  </si>
  <si>
    <t>Rahat Store</t>
  </si>
  <si>
    <t>Address: Askari 10</t>
  </si>
  <si>
    <t>Ch Store</t>
  </si>
  <si>
    <t xml:space="preserve">Address: Sammi Town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</si>
</sst>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0" fillId="0" borderId="51" xfId="0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S6" sqref="S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46265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Ali Ice Cream</v>
      </c>
      <c r="T3" s="301">
        <f>+'1'!P35</f>
        <v>4805.3894985762709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Rehman Bakery 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Bismillah Store</v>
      </c>
      <c r="T5" s="301">
        <f>+'3'!P35</f>
        <v>2466.8122165779664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Al Zeshan Store</v>
      </c>
      <c r="T6" s="301">
        <f>+'4'!P35</f>
        <v>9408.6347552542375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310">
        <f>M7+N7+O7</f>
        <v>679.51547485169488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Raheem Mart </v>
      </c>
      <c r="T7" s="301">
        <f>+'5'!P35</f>
        <v>1912.0485873355931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</v>
      </c>
      <c r="I8" s="236">
        <f t="shared" ref="I8:I14" si="0">(G8*D8)*F8+H8*F8</f>
        <v>629.54999999999995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50.363999999999997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22.03425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557.15174999999999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118.98305084745758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3.3806740042372878</v>
      </c>
      <c r="P8" s="311">
        <f t="shared" ref="P8:P15" si="2">M8+N8+O8</f>
        <v>679.51547485169488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Prograssive Mart </v>
      </c>
      <c r="T8" s="301">
        <f>+'6'!P35</f>
        <v>1568.1057925423729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</v>
      </c>
      <c r="I9" s="236">
        <f t="shared" si="0"/>
        <v>629.54999999999995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50.363999999999997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22.03425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557.15174999999999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118.98305084745758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3.3806740042372878</v>
      </c>
      <c r="P9" s="311">
        <f t="shared" si="2"/>
        <v>679.51547485169488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Rahat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76</v>
      </c>
      <c r="I10" s="236">
        <f t="shared" si="0"/>
        <v>5520.64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441.65120000000002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193.22240000000002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4885.7664000000004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1043.3898305084747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29.645781152542373</v>
      </c>
      <c r="P10" s="311">
        <f t="shared" si="2"/>
        <v>5958.8020116610178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26</v>
      </c>
      <c r="R10" s="314">
        <v>8</v>
      </c>
      <c r="S10" s="300" t="str">
        <f>+'8'!A6:A6</f>
        <v>Ch Store</v>
      </c>
      <c r="T10" s="301">
        <f>+'8'!P35</f>
        <v>679.51547485169476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72</v>
      </c>
      <c r="I11" s="236">
        <f t="shared" si="0"/>
        <v>5230.08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418.40640000000008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183.05280000000002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4628.6207999999997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988.47457627118649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28.085476881355934</v>
      </c>
      <c r="P11" s="311">
        <f t="shared" si="2"/>
        <v>5645.1808531525421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26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102</v>
      </c>
      <c r="I12" s="236">
        <f t="shared" si="0"/>
        <v>7409.28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592.74240000000009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259.32480000000004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6557.2127999999993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1400.3389830508474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39.787758915254237</v>
      </c>
      <c r="P12" s="311">
        <f t="shared" si="2"/>
        <v>7997.339541966101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6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56</v>
      </c>
      <c r="I13" s="236">
        <f t="shared" si="0"/>
        <v>2196.88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109.84400000000002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76.890800000000013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112.04088000000002</v>
      </c>
      <c r="M13" s="230">
        <f t="shared" si="1"/>
        <v>1898.1043199999999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427.11864406779637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11.626114820338984</v>
      </c>
      <c r="P13" s="311">
        <f t="shared" si="2"/>
        <v>2336.849078888135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8.5500000000000007</v>
      </c>
      <c r="H16" s="113">
        <f t="shared" ref="H16:M16" si="3">SUM(H7:H15)</f>
        <v>342</v>
      </c>
      <c r="I16" s="114">
        <f t="shared" si="3"/>
        <v>22245.53</v>
      </c>
      <c r="J16" s="274">
        <f>SUM(J7:J15)</f>
        <v>1713.7360000000003</v>
      </c>
      <c r="K16" s="275">
        <f t="shared" si="3"/>
        <v>778.59355000000016</v>
      </c>
      <c r="L16" s="276">
        <f t="shared" si="3"/>
        <v>112.04088000000002</v>
      </c>
      <c r="M16" s="232">
        <f t="shared" si="3"/>
        <v>19641.159569999996</v>
      </c>
      <c r="N16" s="233">
        <f>SUM(N7:N15)</f>
        <v>4216.2711864406783</v>
      </c>
      <c r="O16" s="101">
        <f>SUM(O7:O15)</f>
        <v>119.28715378220338</v>
      </c>
      <c r="P16" s="113">
        <f>SUM(P7:P15)</f>
        <v>23976.71791022288</v>
      </c>
      <c r="Q16" s="128">
        <f>SUM(Q7:Q15)</f>
        <v>58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22245.53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1713.7360000000003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890.63443000000018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19641.159569999996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4216.2711864406783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23857.430756440674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119.28715378220338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23976.717910222877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23976.717910222884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4474.8</v>
      </c>
      <c r="J25" s="274">
        <f>SUM(J16:J24)</f>
        <v>310.90800000000002</v>
      </c>
      <c r="K25" s="275">
        <f t="shared" si="10"/>
        <v>156.61799999999999</v>
      </c>
      <c r="L25" s="276">
        <f t="shared" si="10"/>
        <v>80.029200000000003</v>
      </c>
      <c r="M25" s="232">
        <f t="shared" si="10"/>
        <v>3927.2447999999999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4474.8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310.90800000000002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236.6472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3927.2447999999999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4781.4820881355927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4" t="s">
        <v>88</v>
      </c>
      <c r="O35" s="345"/>
      <c r="P35" s="297">
        <f>+P33+P34</f>
        <v>4805.3894985762709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2905.6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232.44799999999998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101.696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2571.4560000000001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3120.6085423728814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3136.2115850847458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8.7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</v>
      </c>
      <c r="I22" s="236">
        <f t="shared" si="0"/>
        <v>156.92000000000002</v>
      </c>
      <c r="J22" s="272">
        <f t="shared" si="1"/>
        <v>7.846000000000001</v>
      </c>
      <c r="K22" s="128">
        <f t="shared" si="1"/>
        <v>5.4922000000000013</v>
      </c>
      <c r="L22" s="119">
        <f t="shared" si="1"/>
        <v>8.0029199999999996</v>
      </c>
      <c r="M22" s="230">
        <f t="shared" si="2"/>
        <v>135.57888000000003</v>
      </c>
      <c r="N22" s="277">
        <f t="shared" si="3"/>
        <v>30.508474576271169</v>
      </c>
      <c r="O22" s="239">
        <f t="shared" si="4"/>
        <v>0.83043677288135598</v>
      </c>
      <c r="P22" s="311">
        <f t="shared" si="5"/>
        <v>166.91779134915254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2287.7000000000003</v>
      </c>
      <c r="J25" s="274">
        <f>SUM(J16:J24)</f>
        <v>178.30840000000001</v>
      </c>
      <c r="K25" s="275">
        <f t="shared" si="7"/>
        <v>80.069500000000005</v>
      </c>
      <c r="L25" s="276">
        <f t="shared" si="7"/>
        <v>8.0029199999999996</v>
      </c>
      <c r="M25" s="232">
        <f t="shared" si="7"/>
        <v>2021.31918</v>
      </c>
      <c r="N25" s="233">
        <f>SUM(N16:N24)</f>
        <v>433.22033898305074</v>
      </c>
      <c r="O25" s="101">
        <f>SUM(O16:O24)</f>
        <v>12.272697594915254</v>
      </c>
      <c r="P25" s="113">
        <f>SUM(P16:P24)</f>
        <v>2466.812216577966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2287.7000000000003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178.30840000000001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88.072420000000008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2021.3191800000004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433.22033898305074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2454.539518983051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12.272697594915256</v>
      </c>
    </row>
    <row r="35" spans="2:16" ht="15.75" customHeight="1" thickBot="1" x14ac:dyDescent="0.4">
      <c r="N35" s="344" t="s">
        <v>88</v>
      </c>
      <c r="O35" s="345"/>
      <c r="P35" s="297">
        <f>+P33+P34</f>
        <v>2466.8122165779664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0" workbookViewId="0">
      <selection activeCell="N36" sqref="N36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519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8716.7999999999993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697.34400000000005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305.08800000000002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7714.3679999999995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9361.8256271186438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4" t="s">
        <v>88</v>
      </c>
      <c r="O35" s="345"/>
      <c r="P35" s="297">
        <f>+P33+P34</f>
        <v>9408.6347552542375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  <c r="N36" s="414"/>
      <c r="O36" s="414"/>
    </row>
    <row r="37" spans="2:16" ht="15.75" customHeight="1" thickBot="1" x14ac:dyDescent="0.4">
      <c r="N37" s="344"/>
      <c r="O37" s="345"/>
    </row>
    <row r="38" spans="2:16" x14ac:dyDescent="0.35">
      <c r="L38">
        <v>0</v>
      </c>
      <c r="P38" s="223"/>
    </row>
  </sheetData>
  <dataConsolidate/>
  <mergeCells count="50">
    <mergeCell ref="N37:O37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  <mergeCell ref="N36:O36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519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30</v>
      </c>
      <c r="I25" s="114">
        <f t="shared" si="7"/>
        <v>1778.28</v>
      </c>
      <c r="J25" s="274">
        <f>SUM(J16:J24)</f>
        <v>128.13960000000003</v>
      </c>
      <c r="K25" s="275">
        <f t="shared" si="7"/>
        <v>62.23980000000001</v>
      </c>
      <c r="L25" s="276">
        <f t="shared" si="7"/>
        <v>24.008760000000002</v>
      </c>
      <c r="M25" s="232">
        <f t="shared" si="7"/>
        <v>1563.8918400000002</v>
      </c>
      <c r="N25" s="233">
        <f>SUM(N16:N24)</f>
        <v>338.6440677966101</v>
      </c>
      <c r="O25" s="101">
        <f>SUM(O16:O24)</f>
        <v>9.5126795389830505</v>
      </c>
      <c r="P25" s="113">
        <f>SUM(P16:P24)</f>
        <v>1912.0485873355931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1778.28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128.13960000000003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86.248560000000012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1563.89184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338.6440677966101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1902.53590779661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9.5126795389830505</v>
      </c>
    </row>
    <row r="35" spans="2:16" ht="15.75" customHeight="1" thickBot="1" x14ac:dyDescent="0.4">
      <c r="N35" s="344" t="s">
        <v>88</v>
      </c>
      <c r="O35" s="345"/>
      <c r="P35" s="297">
        <f>+P33+P34</f>
        <v>1912.0485873355931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4" workbookViewId="0">
      <selection activeCell="H19" sqref="H19: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519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>
        <v>20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>
        <v>20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1452.8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116.224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50.848000000000006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1285.7280000000001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1560.3042711864407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4" t="s">
        <v>88</v>
      </c>
      <c r="O35" s="345"/>
      <c r="P35" s="297">
        <f>+P33+P34</f>
        <v>1568.1057925423729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14" workbookViewId="0">
      <selection activeCell="K19" sqref="K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>
        <v>6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>
        <v>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113">
        <f>SUM(P16:P24)</f>
        <v>679.51547485169488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629.54999999999995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50.363999999999997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22.03425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557.15174999999988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676.13480084745743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44" t="s">
        <v>88</v>
      </c>
      <c r="O35" s="345"/>
      <c r="P35" s="297">
        <f>+P33+P34</f>
        <v>679.51547485169476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46267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46266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2026-09-01T16:26:10Z</dcterms:modified>
</cp:coreProperties>
</file>