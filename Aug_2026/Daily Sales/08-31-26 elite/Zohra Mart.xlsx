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682BAB-3627-4E76-B3C8-C4E007245BD5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<sst xmlns="http://schemas.openxmlformats.org/spreadsheetml/2006/main" count="3976" uniqueCount="517">
  <si>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</si>
  <si>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</si>
  <si>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</si>
  <si>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</si>
  <si>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</si>
  <si>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</si>
  <si>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</si>
  <si>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</si>
  <si>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</si>
  <si>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</si>
  <si>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</si>
  <si>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</si>
  <si>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</si>
  <si>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</si>
  <si>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</si>
  <si>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</si>
  <si>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</si>
  <si>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</si>
  <si>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</si>
  <si>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</si>
  <si>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</si>
  <si>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</si>
  <si>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</si>
  <si>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</si>
  <si>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</si>
  <si>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</si>
  <si>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</si>
  <si>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</si>
  <si>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</si>
  <si>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</si>
  <si>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</si>
  <si>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</si>
  <si>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</si>
  <si>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</si>
  <si>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</si>
  <si>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</si>
  <si>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</si>
  <si>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</si>
  <si>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</si>
  <si>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</si>
  <si>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</si>
  <si>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</si>
  <si>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</si>
  <si>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</si>
  <si>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</si>
  <si>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</si>
  <si>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</si>
  <si>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</si>
  <si>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</si>
  <si>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</si>
  <si>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</si>
  <si>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</si>
  <si>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</si>
  <si>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</si>
  <si>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</si>
  <si>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</si>
  <si>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</si>
  <si>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</si>
  <si>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</si>
  <si>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</si>
  <si>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</si>
  <si>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</si>
  <si>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</si>
  <si>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</si>
  <si>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</si>
  <si>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</si>
  <si>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</si>
  <si>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</si>
  <si>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</si>
  <si>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</si>
  <si>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</si>
  <si>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</si>
  <si>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</si>
  <si>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</si>
  <si>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</si>
  <si>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</si>
  <si>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</si>
  <si>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</si>
  <si>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</si>
  <si>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</si>
  <si>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</si>
  <si>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</si>
  <si>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</si>
  <si>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</si>
  <si>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</si>
  <si>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</si>
  <si>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</si>
  <si>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</si>
  <si>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</si>
  <si>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</si>
  <si>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</si>
  <si>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</si>
  <si>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</si>
  <si>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</si>
  <si>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</si>
  <si>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</si>
  <si>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</si>
  <si>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</si>
  <si>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</si>
  <si>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</si>
  <si>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</si>
  <si>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</si>
  <si>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</si>
  <si>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</si>
  <si>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</si>
  <si>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</si>
  <si>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</si>
  <si>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</si>
  <si>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</si>
  <si>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</si>
  <si>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</si>
  <si>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</si>
  <si>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</si>
  <si>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</si>
  <si>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</si>
  <si>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</si>
  <si>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</si>
  <si>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</si>
  <si>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</si>
  <si>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</si>
  <si>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</si>
  <si>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</si>
  <si>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</si>
  <si>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</si>
  <si>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</si>
  <si>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</si>
  <si>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</si>
  <si>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</si>
  <si>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</si>
  <si>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</si>
  <si>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</si>
  <si>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</si>
  <si>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</si>
  <si>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</si>
  <si>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</si>
  <si>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</si>
  <si>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</si>
  <si>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</si>
  <si>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</si>
  <si>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</si>
  <si>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</si>
  <si>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</si>
  <si>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</si>
  <si>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</si>
  <si>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</si>
  <si>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</si>
  <si>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</si>
  <si>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</si>
  <si>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</si>
  <si>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</si>
  <si>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</si>
  <si>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</si>
  <si>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</si>
  <si>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</si>
  <si>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</si>
  <si>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</si>
  <si>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</si>
  <si>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</si>
  <si>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</si>
  <si>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</si>
  <si>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</si>
  <si>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</si>
  <si>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</si>
  <si>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</si>
  <si>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</si>
  <si>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</si>
  <si>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</si>
  <si>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</si>
  <si>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</si>
  <si>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</si>
  <si>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</si>
  <si>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</si>
  <si>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</si>
  <si>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</si>
  <si>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</si>
  <si>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</si>
  <si>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</si>
  <si>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</si>
  <si>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</si>
  <si>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</si>
  <si>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</si>
  <si>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</si>
  <si>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</si>
  <si>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</si>
  <si>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</si>
  <si>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</si>
  <si>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</si>
  <si>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</si>
  <si>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</si>
  <si>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</si>
  <si>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</si>
  <si>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</si>
  <si>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</si>
  <si>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</si>
  <si>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</si>
  <si>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</si>
  <si>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</si>
  <si>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</si>
  <si>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</si>
  <si>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</si>
  <si>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</si>
  <si>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</si>
  <si>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</si>
  <si>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</si>
  <si>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</si>
  <si>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</si>
  <si>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</si>
  <si>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</si>
  <si>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</si>
  <si>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</si>
  <si>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</si>
  <si>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</si>
  <si>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</si>
  <si>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</si>
  <si>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</si>
  <si>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</si>
  <si>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</si>
  <si>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</si>
  <si>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</si>
  <si>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</si>
  <si>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</si>
  <si>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</si>
  <si>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</si>
  <si>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</si>
  <si>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</si>
  <si>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</si>
  <si>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</si>
  <si>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</si>
  <si>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</si>
  <si>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</si>
  <si>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</si>
  <si>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</si>
  <si>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</si>
  <si>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</si>
  <si>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</si>
  <si>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</si>
  <si>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</si>
  <si>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</si>
  <si>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</si>
  <si>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</si>
  <si>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</si>
  <si>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</si>
  <si>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</si>
  <si>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</si>
  <si>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</si>
  <si>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</si>
  <si>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</si>
  <si>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</si>
  <si>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</si>
  <si>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</si>
  <si>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</si>
  <si>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</si>
  <si>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</si>
  <si>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</si>
  <si>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</si>
  <si>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</si>
  <si>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</si>
  <si>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</si>
  <si>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</si>
  <si>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</si>
  <si>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</si>
  <si>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</si>
  <si>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</si>
  <si>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</si>
  <si>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</si>
  <si>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</si>
  <si>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</si>
  <si>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</si>
  <si>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</si>
  <si>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</si>
  <si>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</si>
  <si>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</si>
  <si>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</si>
  <si>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</si>
  <si>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</si>
  <si>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</si>
  <si>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</si>
  <si>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</si>
  <si>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</si>
  <si>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</si>
  <si>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</si>
  <si>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</si>
  <si>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</si>
  <si>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</si>
  <si>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</si>
  <si>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</si>
  <si>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</si>
  <si>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</si>
  <si>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</si>
  <si>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</si>
  <si>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</si>
  <si>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</si>
  <si>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</si>
  <si>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</si>
  <si>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</si>
  <si>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</si>
  <si>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</si>
  <si>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</si>
  <si>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</si>
  <si>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</si>
  <si>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</si>
  <si>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</si>
  <si>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</si>
  <si>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</si>
  <si>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</si>
  <si>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</si>
  <si>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</si>
  <si>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</si>
  <si>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</si>
  <si>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</si>
  <si>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</si>
  <si>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</si>
  <si>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</si>
  <si>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</si>
  <si>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</si>
  <si>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</si>
  <si>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</si>
  <si>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</si>
  <si>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</si>
  <si>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</si>
  <si>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</si>
  <si>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</si>
  <si>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</si>
  <si>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</si>
  <si>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</si>
  <si>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</si>
  <si>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</si>
  <si>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</si>
  <si>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</si>
  <si>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</si>
  <si>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</si>
  <si>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</si>
  <si>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</si>
  <si>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</si>
  <si>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</si>
  <si>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</si>
  <si>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</si>
  <si>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</si>
  <si>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</si>
  <si>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</si>
  <si>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</si>
  <si>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</si>
  <si>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</si>
  <si>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</si>
  <si>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</si>
  <si>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</si>
  <si>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</si>
  <si>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</si>
  <si>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</si>
  <si>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</si>
  <si>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</si>
  <si>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</si>
  <si>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</si>
  <si>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</si>
  <si>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</si>
  <si>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</si>
  <si>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</si>
  <si>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</si>
  <si>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</si>
  <si>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</si>
  <si>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</si>
  <si>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</si>
  <si>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</si>
  <si>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</si>
  <si>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</si>
  <si>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</si>
  <si>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</si>
  <si>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</si>
  <si>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</si>
  <si>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</si>
  <si>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</si>
  <si>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</si>
  <si>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</si>
  <si>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</si>
  <si>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</si>
  <si>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</si>
  <si>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</si>
  <si>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</si>
  <si>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</si>
  <si>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</si>
  <si>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</si>
  <si>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</si>
  <si>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</si>
  <si>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</si>
  <si>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</si>
  <si>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</si>
  <si>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</si>
  <si>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</si>
  <si>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</si>
  <si>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</si>
  <si>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</si>
  <si>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</si>
  <si>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</si>
  <si>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</si>
  <si>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</si>
  <si>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</si>
  <si>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</si>
  <si>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</si>
  <si>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</si>
  <si>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</si>
  <si>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</si>
  <si>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</si>
  <si>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</si>
  <si>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</si>
  <si>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</si>
  <si>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</si>
  <si>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</si>
  <si>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</si>
  <si>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</si>
  <si>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</si>
  <si>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</si>
  <si>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</si>
  <si>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</si>
  <si>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</si>
  <si>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</si>
  <si>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</si>
  <si>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</si>
  <si>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</si>
  <si>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</si>
  <si>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</si>
  <si>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</si>
  <si>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</si>
  <si>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</si>
  <si>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</si>
  <si>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</si>
  <si>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</si>
  <si>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</si>
  <si>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</si>
  <si>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</si>
  <si>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</si>
  <si>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</si>
  <si>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</si>
  <si>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</si>
  <si>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</si>
  <si>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</si>
  <si>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</si>
  <si>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</si>
  <si>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</si>
  <si>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</si>
  <si>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</si>
  <si>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</si>
  <si>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</si>
  <si>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</si>
  <si>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</si>
  <si>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</si>
  <si>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</si>
  <si>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</si>
  <si>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</si>
  <si>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</si>
  <si>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</si>
  <si>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</si>
  <si>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</si>
  <si>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</si>
  <si>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</si>
  <si>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</si>
  <si>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</si>
  <si>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</si>
  <si>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</si>
  <si>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</si>
  <si>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</si>
  <si>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</si>
  <si>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</si>
  <si>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</si>
  <si>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</si>
  <si>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</si>
  <si>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</si>
  <si>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</si>
  <si>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</si>
  <si>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</si>
  <si>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</si>
  <si>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</si>
  <si>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</si>
  <si>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</si>
  <si>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</si>
  <si>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</si>
  <si>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</si>
  <si>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</si>
  <si>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</si>
  <si>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</si>
  <si>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</si>
  <si>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</si>
  <si>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</si>
  <si>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</si>
  <si>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</si>
  <si>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</si>
  <si>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</si>
  <si>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</si>
  <si>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</si>
  <si>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</si>
  <si>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</si>
  <si>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</si>
  <si>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</si>
  <si>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</si>
  <si>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</si>
  <si>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</si>
  <si>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</si>
  <si>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</si>
  <si>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</si>
  <si>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</si>
  <si>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</si>
  <si>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</si>
  <si>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</si>
  <si>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</si>
  <si>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</si>
  <si>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</si>
  <si>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</si>
  <si>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</si>
  <si>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</si>
  <si>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</si>
  <si>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</si>
  <si>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</si>
  <si>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</si>
  <si>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8971267-4</t>
  </si>
  <si>
    <t xml:space="preserve">Zohra Mart </t>
  </si>
  <si>
    <t>Invoice No # : 9991</t>
  </si>
  <si>
    <t xml:space="preserve">Address: Izmir Town </t>
  </si>
  <si>
    <t>Invoice No # : 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</si>
</sst>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46265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Zohra Mart </v>
      </c>
      <c r="T3" s="301">
        <f>+'1'!P35</f>
        <v>15389.04512542373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Zohra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Zohra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Zohra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Zohra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Zohra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Zohra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Zohra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Zohra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Zohra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Zohra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Zohra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Zohra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1452.8000000000002</v>
      </c>
      <c r="K16" s="275">
        <f t="shared" si="3"/>
        <v>508.48000000000008</v>
      </c>
      <c r="L16" s="276">
        <f t="shared" si="3"/>
        <v>0</v>
      </c>
      <c r="M16" s="232">
        <f t="shared" si="3"/>
        <v>12566.72</v>
      </c>
      <c r="N16" s="233">
        <f>SUM(N7:N15)</f>
        <v>2745.7627118644068</v>
      </c>
      <c r="O16" s="101">
        <f>SUM(O7:O15)</f>
        <v>76.562413559322039</v>
      </c>
      <c r="P16" s="113">
        <f>SUM(P7:P15)</f>
        <v>15389.045125423729</v>
      </c>
      <c r="Q16" s="128">
        <f>SUM(Q7:Q15)</f>
        <v>0</v>
      </c>
      <c r="R16" s="314">
        <v>14</v>
      </c>
      <c r="S16" s="300" t="str">
        <f>+'14'!A6:A6</f>
        <v xml:space="preserve">Zohra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Zohra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Zohra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14528</v>
      </c>
      <c r="R19" s="299">
        <v>17</v>
      </c>
      <c r="S19" s="300" t="str">
        <f>+'17'!A6:A6</f>
        <v xml:space="preserve">Zohra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1452.8000000000002</v>
      </c>
      <c r="R20" s="299">
        <v>18</v>
      </c>
      <c r="S20" s="300" t="str">
        <f>+'18'!A6:A6</f>
        <v xml:space="preserve">Zohra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508.48000000000008</v>
      </c>
      <c r="R21" s="299">
        <v>19</v>
      </c>
      <c r="S21" s="300" t="str">
        <f>+'19'!A6:A6</f>
        <v xml:space="preserve">Zohra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12566.720000000001</v>
      </c>
      <c r="R22" s="299">
        <v>20</v>
      </c>
      <c r="S22" s="300" t="str">
        <f>+'20'!A6:A6</f>
        <v xml:space="preserve">Zohra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 xml:space="preserve">Zohra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15312.482711864408</v>
      </c>
      <c r="R24" s="299">
        <v>22</v>
      </c>
      <c r="S24" s="300" t="str">
        <f>+'22'!A6:A6</f>
        <v xml:space="preserve">Zohra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76.562413559322039</v>
      </c>
      <c r="R25" s="299">
        <v>23</v>
      </c>
      <c r="S25" s="300" t="str">
        <f>+'23'!A6:A6</f>
        <v xml:space="preserve">Zohra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15389.04512542373</v>
      </c>
      <c r="R26" s="299">
        <v>24</v>
      </c>
      <c r="S26" s="300" t="str">
        <f>+'24'!A6:A6</f>
        <v xml:space="preserve">Zohra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Zohra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Zohra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Zohra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Zohra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Zohra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Zohra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15389.04512542373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1452.8000000000002</v>
      </c>
      <c r="K25" s="275">
        <f t="shared" si="10"/>
        <v>508.48000000000008</v>
      </c>
      <c r="L25" s="276">
        <f t="shared" si="10"/>
        <v>0</v>
      </c>
      <c r="M25" s="232">
        <f t="shared" si="10"/>
        <v>12566.72</v>
      </c>
      <c r="N25" s="233">
        <f>SUM(N16:N24)</f>
        <v>2745.7627118644068</v>
      </c>
      <c r="O25" s="101">
        <f>SUM(O16:O24)</f>
        <v>76.562413559322039</v>
      </c>
      <c r="P25" s="113">
        <f>SUM(P16:P24)</f>
        <v>15389.045125423729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14528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1452.8000000000002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508.48000000000008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12566.720000000001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15312.482711864408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76.562413559322039</v>
      </c>
    </row>
    <row r="35" spans="2:16" ht="15.75" customHeight="1" thickBot="1" x14ac:dyDescent="0.4">
      <c r="N35" s="372" t="s">
        <v>88</v>
      </c>
      <c r="O35" s="373"/>
      <c r="P35" s="297">
        <f>+P33+P34</f>
        <v>15389.04512542373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46240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46239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2026-08-31T05:52:25Z</dcterms:modified>
</cp:coreProperties>
</file>