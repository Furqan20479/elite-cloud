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8D35058-DA1C-4CA7-8148-0EC88F86E564}" xr6:coauthVersionLast="47" xr6:coauthVersionMax="47" xr10:uidLastSave="{00000000-0000-0000-0000-000000000000}"/>
  <bookViews>
    <workbookView xWindow="-110" yWindow="-110" windowWidth="19420" windowHeight="10420" tabRatio="594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17" i="44"/>
  <c r="O17" i="44" s="1"/>
  <c r="P17" i="44" s="1"/>
  <c r="M16" i="43"/>
  <c r="M20" i="43"/>
  <c r="O20" i="43" s="1"/>
  <c r="P20" i="43" s="1"/>
  <c r="R20" i="43" s="1"/>
  <c r="M21" i="43"/>
  <c r="O21" i="43" s="1"/>
  <c r="P21" i="43" s="1"/>
  <c r="J7" i="62"/>
  <c r="M21" i="44"/>
  <c r="O21" i="44" s="1"/>
  <c r="P21" i="44" s="1"/>
  <c r="M16" i="44"/>
  <c r="M17" i="60"/>
  <c r="O17" i="60" s="1"/>
  <c r="P17" i="60" s="1"/>
  <c r="M16" i="59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<sst xmlns="http://schemas.openxmlformats.org/spreadsheetml/2006/main" count="3974" uniqueCount="530">
  <si>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</si>
  <si>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</si>
  <si>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</si>
  <si>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</si>
  <si>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</si>
  <si>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</si>
  <si>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</si>
  <si>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</si>
  <si>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</si>
  <si>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</si>
  <si>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</si>
  <si>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</si>
  <si>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</si>
  <si>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</si>
  <si>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</si>
  <si>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</si>
  <si>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</si>
  <si>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</si>
  <si>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</si>
  <si>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</si>
  <si>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</si>
  <si>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</si>
  <si>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</si>
  <si>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</si>
  <si>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</si>
  <si>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</si>
  <si>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</si>
  <si>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</si>
  <si>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</si>
  <si>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</si>
  <si>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</si>
  <si>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</si>
  <si>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</si>
  <si>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</si>
  <si>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</si>
  <si>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</si>
  <si>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</si>
  <si>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</si>
  <si>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</si>
  <si>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</si>
  <si>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</si>
  <si>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</si>
  <si>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</si>
  <si>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</si>
  <si>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</si>
  <si>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</si>
  <si>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</si>
  <si>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</si>
  <si>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</si>
  <si>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</si>
  <si>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</si>
  <si>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</si>
  <si>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</si>
  <si>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</si>
  <si>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</si>
  <si>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</si>
  <si>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</si>
  <si>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</si>
  <si>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</si>
  <si>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</si>
  <si>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</si>
  <si>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</si>
  <si>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</si>
  <si>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</si>
  <si>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</si>
  <si>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</si>
  <si>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</si>
  <si>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</si>
  <si>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</si>
  <si>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</si>
  <si>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</si>
  <si>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</si>
  <si>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</si>
  <si>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</si>
  <si>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</si>
  <si>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</si>
  <si>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</si>
  <si>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</si>
  <si>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</si>
  <si>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</si>
  <si>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</si>
  <si>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</si>
  <si>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</si>
  <si>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</si>
  <si>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</si>
  <si>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</si>
  <si>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</si>
  <si>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</si>
  <si>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</si>
  <si>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</si>
  <si>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</si>
  <si>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</si>
  <si>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</si>
  <si>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</si>
  <si>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</si>
  <si>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</si>
  <si>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</si>
  <si>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</si>
  <si>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</si>
  <si>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</si>
  <si>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</si>
  <si>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</si>
  <si>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</si>
  <si>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</si>
  <si>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</si>
  <si>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</si>
  <si>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</si>
  <si>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</si>
  <si>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</si>
  <si>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</si>
  <si>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</si>
  <si>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</si>
  <si>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</si>
  <si>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</si>
  <si>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</si>
  <si>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</si>
  <si>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</si>
  <si>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</si>
  <si>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</si>
  <si>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</si>
  <si>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</si>
  <si>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</si>
  <si>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</si>
  <si>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</si>
  <si>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</si>
  <si>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</si>
  <si>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</si>
  <si>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</si>
  <si>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</si>
  <si>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</si>
  <si>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</si>
  <si>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</si>
  <si>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</si>
  <si>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</si>
  <si>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</si>
  <si>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</si>
  <si>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</si>
  <si>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</si>
  <si>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</si>
  <si>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</si>
  <si>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</si>
  <si>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</si>
  <si>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</si>
  <si>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</si>
  <si>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</si>
  <si>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</si>
  <si>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</si>
  <si>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</si>
  <si>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</si>
  <si>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</si>
  <si>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</si>
  <si>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</si>
  <si>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</si>
  <si>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</si>
  <si>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</si>
  <si>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</si>
  <si>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</si>
  <si>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</si>
  <si>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</si>
  <si>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</si>
  <si>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</si>
  <si>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</si>
  <si>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</si>
  <si>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</si>
  <si>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</si>
  <si>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</si>
  <si>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</si>
  <si>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</si>
  <si>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</si>
  <si>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</si>
  <si>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</si>
  <si>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</si>
  <si>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</si>
  <si>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</si>
  <si>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</si>
  <si>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</si>
  <si>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</si>
  <si>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</si>
  <si>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</si>
  <si>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</si>
  <si>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</si>
  <si>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</si>
  <si>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</si>
  <si>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</si>
  <si>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</si>
  <si>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</si>
  <si>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</si>
  <si>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</si>
  <si>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</si>
  <si>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</si>
  <si>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</si>
  <si>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</si>
  <si>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</si>
  <si>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</si>
  <si>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</si>
  <si>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</si>
  <si>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</si>
  <si>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</si>
  <si>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</si>
  <si>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</si>
  <si>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</si>
  <si>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</si>
  <si>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</si>
  <si>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</si>
  <si>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</si>
  <si>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</si>
  <si>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</si>
  <si>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</si>
  <si>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</si>
  <si>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</si>
  <si>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</si>
  <si>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</si>
  <si>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</si>
  <si>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</si>
  <si>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</si>
  <si>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</si>
  <si>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</si>
  <si>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</si>
  <si>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</si>
  <si>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</si>
  <si>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</si>
  <si>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</si>
  <si>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</si>
  <si>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</si>
  <si>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</si>
  <si>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</si>
  <si>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</si>
  <si>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</si>
  <si>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</si>
  <si>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</si>
  <si>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</si>
  <si>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</si>
  <si>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</si>
  <si>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</si>
  <si>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</si>
  <si>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</si>
  <si>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</si>
  <si>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</si>
  <si>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</si>
  <si>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</si>
  <si>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</si>
  <si>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</si>
  <si>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</si>
  <si>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</si>
  <si>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</si>
  <si>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</si>
  <si>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</si>
  <si>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</si>
  <si>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</si>
  <si>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</si>
  <si>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</si>
  <si>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</si>
  <si>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</si>
  <si>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</si>
  <si>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</si>
  <si>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</si>
  <si>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</si>
  <si>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</si>
  <si>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</si>
  <si>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</si>
  <si>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</si>
  <si>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</si>
  <si>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</si>
  <si>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</si>
  <si>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</si>
  <si>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</si>
  <si>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</si>
  <si>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</si>
  <si>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</si>
  <si>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</si>
  <si>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</si>
  <si>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</si>
  <si>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</si>
  <si>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</si>
  <si>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</si>
  <si>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</si>
  <si>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</si>
  <si>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</si>
  <si>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</si>
  <si>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</si>
  <si>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</si>
  <si>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</si>
  <si>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</si>
  <si>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</si>
  <si>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</si>
  <si>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</si>
  <si>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</si>
  <si>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</si>
  <si>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</si>
  <si>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</si>
  <si>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</si>
  <si>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</si>
  <si>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</si>
  <si>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</si>
  <si>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</si>
  <si>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</si>
  <si>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</si>
  <si>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</si>
  <si>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</si>
  <si>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</si>
  <si>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</si>
  <si>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</si>
  <si>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</si>
  <si>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</si>
  <si>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</si>
  <si>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</si>
  <si>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</si>
  <si>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</si>
  <si>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</si>
  <si>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</si>
  <si>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</si>
  <si>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</si>
  <si>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</si>
  <si>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</si>
  <si>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</si>
  <si>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</si>
  <si>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</si>
  <si>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</si>
  <si>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</si>
  <si>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</si>
  <si>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</si>
  <si>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</si>
  <si>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</si>
  <si>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</si>
  <si>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</si>
  <si>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</si>
  <si>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</si>
  <si>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</si>
  <si>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</si>
  <si>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</si>
  <si>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</si>
  <si>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</si>
  <si>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</si>
  <si>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</si>
  <si>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</si>
  <si>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</si>
  <si>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</si>
  <si>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</si>
  <si>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</si>
  <si>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</si>
  <si>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</si>
  <si>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</si>
  <si>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</si>
  <si>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</si>
  <si>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</si>
  <si>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</si>
  <si>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</si>
  <si>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</si>
  <si>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</si>
  <si>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</si>
  <si>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</si>
  <si>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</si>
  <si>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</si>
  <si>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</si>
  <si>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</si>
  <si>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</si>
  <si>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</si>
  <si>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</si>
  <si>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</si>
  <si>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</si>
  <si>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</si>
  <si>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</si>
  <si>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</si>
  <si>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</si>
  <si>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</si>
  <si>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</si>
  <si>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</si>
  <si>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</si>
  <si>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</si>
  <si>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</si>
  <si>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</si>
  <si>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</si>
  <si>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</si>
  <si>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</si>
  <si>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</si>
  <si>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</si>
  <si>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</si>
  <si>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</si>
  <si>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</si>
  <si>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</si>
  <si>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</si>
  <si>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</si>
  <si>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</si>
  <si>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</si>
  <si>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</si>
  <si>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</si>
  <si>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</si>
  <si>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</si>
  <si>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</si>
  <si>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</si>
  <si>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</si>
  <si>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</si>
  <si>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</si>
  <si>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</si>
  <si>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</si>
  <si>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</si>
  <si>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</si>
  <si>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</si>
  <si>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</si>
  <si>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</si>
  <si>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</si>
  <si>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</si>
  <si>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</si>
  <si>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</si>
  <si>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</si>
  <si>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</si>
  <si>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</si>
  <si>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</si>
  <si>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</si>
  <si>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</si>
  <si>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</si>
  <si>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</si>
  <si>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</si>
  <si>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</si>
  <si>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</si>
  <si>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</si>
  <si>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</si>
  <si>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</si>
  <si>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</si>
  <si>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</si>
  <si>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</si>
  <si>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</si>
  <si>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</si>
  <si>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</si>
  <si>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</si>
  <si>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</si>
  <si>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</si>
  <si>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</si>
  <si>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</si>
  <si>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</si>
  <si>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</si>
  <si>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</si>
  <si>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</si>
  <si>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</si>
  <si>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</si>
  <si>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</si>
  <si>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</si>
  <si>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</si>
  <si>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</si>
  <si>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</si>
  <si>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</si>
  <si>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</si>
  <si>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</si>
  <si>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</si>
  <si>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</si>
  <si>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</si>
  <si>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</si>
  <si>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</si>
  <si>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</si>
  <si>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</si>
  <si>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</si>
  <si>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</si>
  <si>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</si>
  <si>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</si>
  <si>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</si>
  <si>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</si>
  <si>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</si>
  <si>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</si>
  <si>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</si>
  <si>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</si>
  <si>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</si>
  <si>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</si>
  <si>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</si>
  <si>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</si>
  <si>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</si>
  <si>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</si>
  <si>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</si>
  <si>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</si>
  <si>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</si>
  <si>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</si>
  <si>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</si>
  <si>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</si>
  <si>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</si>
  <si>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</si>
  <si>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</si>
  <si>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</si>
  <si>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</si>
  <si>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</si>
  <si>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</si>
  <si>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</si>
  <si>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</si>
  <si>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</si>
  <si>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</si>
  <si>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</si>
  <si>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</si>
  <si>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</si>
  <si>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</si>
  <si>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</si>
  <si>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</si>
  <si>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</si>
  <si>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</si>
  <si>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</si>
  <si>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</si>
  <si>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</si>
  <si>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</si>
  <si>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</si>
  <si>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</si>
  <si>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</si>
  <si>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</si>
  <si>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</si>
  <si>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</si>
  <si>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</si>
  <si>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</si>
  <si>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</si>
  <si>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</si>
  <si>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</si>
  <si>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</si>
  <si>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</si>
  <si>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</si>
  <si>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</si>
  <si>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</si>
  <si>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</si>
  <si>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MS/SB Traders</t>
  </si>
  <si>
    <t>NTN # : 4655329-3</t>
  </si>
  <si>
    <t>Invoice No # :156123</t>
  </si>
  <si>
    <t>_SB Traders</t>
  </si>
  <si>
    <t xml:space="preserve">Address: Shadbagh </t>
  </si>
  <si>
    <t>NTN # : 9725069-2</t>
  </si>
  <si>
    <t xml:space="preserve">TN Traders </t>
  </si>
  <si>
    <t xml:space="preserve">Address:Thoker Niaz Bagh </t>
  </si>
  <si>
    <t>NTN # :  9402653-2</t>
  </si>
  <si>
    <t>M.S Traders</t>
  </si>
  <si>
    <t>Address: Askari 11</t>
  </si>
  <si>
    <t>Shakoor</t>
  </si>
  <si>
    <t>Invoice No # : 61163</t>
  </si>
  <si>
    <t>Invoice No # : 15613</t>
  </si>
  <si>
    <t>Risen</t>
  </si>
  <si>
    <t>Rafaqat Sons</t>
  </si>
  <si>
    <t>Invoice No # : 156153</t>
  </si>
  <si>
    <t>Address: Fateh Ghar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</si>
</sst>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S5" sqref="S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526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46266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_SB Traders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Rafaqat Sons</v>
      </c>
      <c r="T4" s="301">
        <f>+'2'!P35</f>
        <v>31637.577694433261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TN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M.S Traders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MS/SB Traders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119</v>
      </c>
      <c r="I8" s="236">
        <f t="shared" ref="I8:I14" si="0">(G8*D8)*F8+H8*F8</f>
        <v>6243.0374999999995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874.02525000000003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218.50631250000001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5150.5059374999992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1179.9152542372876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31.652105958686434</v>
      </c>
      <c r="P8" s="311">
        <f t="shared" ref="P8:P15" si="2">M8+N8+O8</f>
        <v>6362.0732976959735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</v>
      </c>
      <c r="R8" s="314">
        <v>6</v>
      </c>
      <c r="S8" s="300" t="str">
        <f>+'6'!A6:A6</f>
        <v>MS/SB Traders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8656.3125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53.196816737288138</v>
      </c>
      <c r="P9" s="311">
        <f t="shared" si="2"/>
        <v>10692.560164194916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MS/SB Traders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MS/SB Traders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79</v>
      </c>
      <c r="I11" s="236">
        <f t="shared" si="0"/>
        <v>5738.56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803.39840000000015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200.84960000000004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4734.3119999999999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1084.5762711864406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29.094441355932204</v>
      </c>
      <c r="P11" s="311">
        <f t="shared" si="2"/>
        <v>5847.9827125423726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3</v>
      </c>
      <c r="R11" s="314">
        <v>9</v>
      </c>
      <c r="S11" s="300" t="str">
        <f>+'9'!A6:A6</f>
        <v>MS/SB Traders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118</v>
      </c>
      <c r="I12" s="236">
        <f t="shared" si="0"/>
        <v>8571.52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1200.0128000000002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300.00320000000005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7071.5039999999999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1620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43.457520000000002</v>
      </c>
      <c r="P12" s="311">
        <f t="shared" si="2"/>
        <v>8734.9615200000007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</v>
      </c>
      <c r="R12" s="314">
        <v>10</v>
      </c>
      <c r="S12" s="300" t="str">
        <f>+'10'!A6:A6</f>
        <v>MS/SB Traders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MS/SB Traders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MS/SB Traders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MS/SB Traders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12.9</v>
      </c>
      <c r="H16" s="113">
        <f t="shared" ref="H16:M16" si="3">SUM(H7:H15)</f>
        <v>516</v>
      </c>
      <c r="I16" s="114">
        <f t="shared" si="3"/>
        <v>31045.6175</v>
      </c>
      <c r="J16" s="274">
        <f>SUM(J7:J15)</f>
        <v>4346.38645</v>
      </c>
      <c r="K16" s="275">
        <f t="shared" si="3"/>
        <v>1086.5966125</v>
      </c>
      <c r="L16" s="276">
        <f t="shared" si="3"/>
        <v>0</v>
      </c>
      <c r="M16" s="232">
        <f t="shared" si="3"/>
        <v>25612.634437499997</v>
      </c>
      <c r="N16" s="233">
        <f>SUM(N7:N15)</f>
        <v>5867.5423728813548</v>
      </c>
      <c r="O16" s="101">
        <f>SUM(O7:O15)</f>
        <v>157.40088405190679</v>
      </c>
      <c r="P16" s="113">
        <f>SUM(P7:P15)</f>
        <v>31637.577694433261</v>
      </c>
      <c r="Q16" s="128">
        <f>SUM(Q7:Q15)</f>
        <v>6</v>
      </c>
      <c r="R16" s="314">
        <v>14</v>
      </c>
      <c r="S16" s="300" t="str">
        <f>+'14'!A6:A6</f>
        <v>MS/SB Traders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MS/SB Traders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MS/SB Traders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31045.6175</v>
      </c>
      <c r="R19" s="299">
        <v>17</v>
      </c>
      <c r="S19" s="300" t="str">
        <f>+'17'!A6:A6</f>
        <v>MS/SB Traders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4346.38645</v>
      </c>
      <c r="R20" s="299">
        <v>18</v>
      </c>
      <c r="S20" s="300" t="str">
        <f>+'18'!A6:A6</f>
        <v>MS/SB Traders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1086.5966125</v>
      </c>
      <c r="R21" s="299">
        <v>19</v>
      </c>
      <c r="S21" s="300" t="str">
        <f>+'19'!A6:A6</f>
        <v>MS/SB Traders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25612.634437500001</v>
      </c>
      <c r="R22" s="299">
        <v>20</v>
      </c>
      <c r="S22" s="300" t="str">
        <f>+'20'!A6:A6</f>
        <v>MS/SB Traders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5867.5423728813548</v>
      </c>
      <c r="R23" s="299">
        <v>21</v>
      </c>
      <c r="S23" s="300" t="str">
        <f>+'21'!A6:A6</f>
        <v>MS/SB Traders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31480.176810381356</v>
      </c>
      <c r="R24" s="299">
        <v>22</v>
      </c>
      <c r="S24" s="300" t="str">
        <f>+'22'!A6:A6</f>
        <v>MS/SB Traders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157.40088405190679</v>
      </c>
      <c r="R25" s="299">
        <v>23</v>
      </c>
      <c r="S25" s="300" t="str">
        <f>+'23'!A6:A6</f>
        <v>MS/SB Traders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31637.577694433261</v>
      </c>
      <c r="R26" s="299">
        <v>24</v>
      </c>
      <c r="S26" s="300" t="str">
        <f>+'24'!A6:A6</f>
        <v>MS/SB Traders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MS/SB Traders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MS/SB Traders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MS/SB Traders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MS/SB Traders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MS/SB Traders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MS/SB Traders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31637.577694433261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523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topLeftCell="A13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528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">
        <v>523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119</v>
      </c>
      <c r="I17" s="236">
        <f t="shared" ref="I17:I23" si="0">(G17*D17)*F17+H17*F17</f>
        <v>6243.0374999999995</v>
      </c>
      <c r="J17" s="272">
        <f t="shared" ref="J17:L24" si="1">$I17*S17</f>
        <v>874.02525000000003</v>
      </c>
      <c r="K17" s="128">
        <f>$I17*T17</f>
        <v>218.50631250000001</v>
      </c>
      <c r="L17" s="119">
        <f>$I17*U17</f>
        <v>0</v>
      </c>
      <c r="M17" s="230">
        <f t="shared" ref="M17:M24" si="2">I17-SUM(J17:L17)</f>
        <v>5150.5059374999992</v>
      </c>
      <c r="N17" s="277">
        <f t="shared" ref="N17:N24" si="3">+(G17*D17+H17)*V17</f>
        <v>1179.9152542372876</v>
      </c>
      <c r="O17" s="239">
        <f t="shared" ref="O17:O24" si="4">(N17+M17)*$O$15</f>
        <v>31.652105958686434</v>
      </c>
      <c r="P17" s="311">
        <f t="shared" ref="P17:P24" si="5">M17+N17+O17</f>
        <v>6362.0732976959735</v>
      </c>
      <c r="Q17" s="156">
        <v>1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311">
        <f t="shared" si="5"/>
        <v>10692.560164194916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79</v>
      </c>
      <c r="I20" s="236">
        <f t="shared" si="0"/>
        <v>5738.56</v>
      </c>
      <c r="J20" s="272">
        <f t="shared" si="1"/>
        <v>803.39840000000015</v>
      </c>
      <c r="K20" s="128">
        <f t="shared" si="1"/>
        <v>200.84960000000004</v>
      </c>
      <c r="L20" s="119">
        <f t="shared" si="1"/>
        <v>0</v>
      </c>
      <c r="M20" s="230">
        <f t="shared" si="2"/>
        <v>4734.3119999999999</v>
      </c>
      <c r="N20" s="277">
        <f t="shared" si="3"/>
        <v>1084.5762711864406</v>
      </c>
      <c r="O20" s="239">
        <f t="shared" si="4"/>
        <v>29.094441355932204</v>
      </c>
      <c r="P20" s="311">
        <f t="shared" si="5"/>
        <v>5847.9827125423726</v>
      </c>
      <c r="Q20" s="156">
        <v>1</v>
      </c>
      <c r="R20">
        <f>P20/21</f>
        <v>278.47536726392252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118</v>
      </c>
      <c r="I21" s="236">
        <f t="shared" si="0"/>
        <v>8571.52</v>
      </c>
      <c r="J21" s="272">
        <f t="shared" si="1"/>
        <v>1200.0128000000002</v>
      </c>
      <c r="K21" s="128">
        <f t="shared" si="1"/>
        <v>300.00320000000005</v>
      </c>
      <c r="L21" s="119">
        <f t="shared" si="1"/>
        <v>0</v>
      </c>
      <c r="M21" s="230">
        <f t="shared" si="2"/>
        <v>7071.5039999999999</v>
      </c>
      <c r="N21" s="277">
        <f t="shared" si="3"/>
        <v>1620</v>
      </c>
      <c r="O21" s="239">
        <f t="shared" si="4"/>
        <v>43.457520000000002</v>
      </c>
      <c r="P21" s="311">
        <f t="shared" si="5"/>
        <v>8734.9615200000007</v>
      </c>
      <c r="Q21" s="156">
        <v>2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516</v>
      </c>
      <c r="I25" s="114">
        <f t="shared" si="7"/>
        <v>31045.6175</v>
      </c>
      <c r="J25" s="274">
        <f>SUM(J16:J24)</f>
        <v>4346.38645</v>
      </c>
      <c r="K25" s="275">
        <f t="shared" si="7"/>
        <v>1086.5966125</v>
      </c>
      <c r="L25" s="276">
        <f t="shared" si="7"/>
        <v>0</v>
      </c>
      <c r="M25" s="232">
        <f t="shared" si="7"/>
        <v>25612.634437499997</v>
      </c>
      <c r="N25" s="233">
        <f>SUM(N16:N24)</f>
        <v>5867.5423728813548</v>
      </c>
      <c r="O25" s="101">
        <f>SUM(O16:O24)</f>
        <v>157.40088405190679</v>
      </c>
      <c r="P25" s="113">
        <f>SUM(P16:P24)</f>
        <v>31637.577694433261</v>
      </c>
      <c r="Q25" s="128">
        <f>SUM(Q16:Q24)</f>
        <v>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31045.6175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4346.38645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1086.5966125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25612.634437500001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5867.5423728813548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31480.176810381356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157.40088405190679</v>
      </c>
    </row>
    <row r="35" spans="2:16" ht="15.75" customHeight="1" thickBot="1" x14ac:dyDescent="0.4">
      <c r="N35" s="373" t="s">
        <v>88</v>
      </c>
      <c r="O35" s="374"/>
      <c r="P35" s="297">
        <f>+P33+P34</f>
        <v>31637.577694433261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523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520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519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525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46261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46260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523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517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19">
        <v>1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46252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46267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46266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2026-09-01T14:09:45Z</dcterms:modified>
</cp:coreProperties>
</file>