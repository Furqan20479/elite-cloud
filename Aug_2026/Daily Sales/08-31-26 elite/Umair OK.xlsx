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8D7B942-353C-4CA8-9F59-F6AFCC7EEF8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5" i="66" s="1"/>
  <c r="N4" i="70"/>
  <c r="N5" i="70" s="1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<sst xmlns="http://schemas.openxmlformats.org/spreadsheetml/2006/main" count="3948" uniqueCount="533">
  <si>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</si>
  <si>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</si>
  <si>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</si>
  <si>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</si>
  <si>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</si>
  <si>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</si>
  <si>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</si>
  <si>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</si>
  <si>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</si>
  <si>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</si>
  <si>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</si>
  <si>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</si>
  <si>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</si>
  <si>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</si>
  <si>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</si>
  <si>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</si>
  <si>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</si>
  <si>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</si>
  <si>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</si>
  <si>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</si>
  <si>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</si>
  <si>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</si>
  <si>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</si>
  <si>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</si>
  <si>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</si>
  <si>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</si>
  <si>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</si>
  <si>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</si>
  <si>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</si>
  <si>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</si>
  <si>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</si>
  <si>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</si>
  <si>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</si>
  <si>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</si>
  <si>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</si>
  <si>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</si>
  <si>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</si>
  <si>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</si>
  <si>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</si>
  <si>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</si>
  <si>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</si>
  <si>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</si>
  <si>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</si>
  <si>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</si>
  <si>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</si>
  <si>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</si>
  <si>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</si>
  <si>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</si>
  <si>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</si>
  <si>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</si>
  <si>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</si>
  <si>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</si>
  <si>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</si>
  <si>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</si>
  <si>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</si>
  <si>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</si>
  <si>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</si>
  <si>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</si>
  <si>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</si>
  <si>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</si>
  <si>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</si>
  <si>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</si>
  <si>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</si>
  <si>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</si>
  <si>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</si>
  <si>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</si>
  <si>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</si>
  <si>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</si>
  <si>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</si>
  <si>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</si>
  <si>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</si>
  <si>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</si>
  <si>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</si>
  <si>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</si>
  <si>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</si>
  <si>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</si>
  <si>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</si>
  <si>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</si>
  <si>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</si>
  <si>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</si>
  <si>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</si>
  <si>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</si>
  <si>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</si>
  <si>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</si>
  <si>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</si>
  <si>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</si>
  <si>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</si>
  <si>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</si>
  <si>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</si>
  <si>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</si>
  <si>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</si>
  <si>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</si>
  <si>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</si>
  <si>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</si>
  <si>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</si>
  <si>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</si>
  <si>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</si>
  <si>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</si>
  <si>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</si>
  <si>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</si>
  <si>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</si>
  <si>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</si>
  <si>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</si>
  <si>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</si>
  <si>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</si>
  <si>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</si>
  <si>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</si>
  <si>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</si>
  <si>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</si>
  <si>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</si>
  <si>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</si>
  <si>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</si>
  <si>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</si>
  <si>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</si>
  <si>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</si>
  <si>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</si>
  <si>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</si>
  <si>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</si>
  <si>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</si>
  <si>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</si>
  <si>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</si>
  <si>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</si>
  <si>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</si>
  <si>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</si>
  <si>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</si>
  <si>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</si>
  <si>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</si>
  <si>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</si>
  <si>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</si>
  <si>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</si>
  <si>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</si>
  <si>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</si>
  <si>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</si>
  <si>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</si>
  <si>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</si>
  <si>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</si>
  <si>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</si>
  <si>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</si>
  <si>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</si>
  <si>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</si>
  <si>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</si>
  <si>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</si>
  <si>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</si>
  <si>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</si>
  <si>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</si>
  <si>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</si>
  <si>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</si>
  <si>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</si>
  <si>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</si>
  <si>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</si>
  <si>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</si>
  <si>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</si>
  <si>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</si>
  <si>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</si>
  <si>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</si>
  <si>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</si>
  <si>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</si>
  <si>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</si>
  <si>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</si>
  <si>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</si>
  <si>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</si>
  <si>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</si>
  <si>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</si>
  <si>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</si>
  <si>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</si>
  <si>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</si>
  <si>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</si>
  <si>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</si>
  <si>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</si>
  <si>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</si>
  <si>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</si>
  <si>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</si>
  <si>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</si>
  <si>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</si>
  <si>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</si>
  <si>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</si>
  <si>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</si>
  <si>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</si>
  <si>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</si>
  <si>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</si>
  <si>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</si>
  <si>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</si>
  <si>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</si>
  <si>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</si>
  <si>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</si>
  <si>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</si>
  <si>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</si>
  <si>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</si>
  <si>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</si>
  <si>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</si>
  <si>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</si>
  <si>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</si>
  <si>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</si>
  <si>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</si>
  <si>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</si>
  <si>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</si>
  <si>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</si>
  <si>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</si>
  <si>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</si>
  <si>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</si>
  <si>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</si>
  <si>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</si>
  <si>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</si>
  <si>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</si>
  <si>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</si>
  <si>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</si>
  <si>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</si>
  <si>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</si>
  <si>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</si>
  <si>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</si>
  <si>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</si>
  <si>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</si>
  <si>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</si>
  <si>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</si>
  <si>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</si>
  <si>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</si>
  <si>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</si>
  <si>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</si>
  <si>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</si>
  <si>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</si>
  <si>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</si>
  <si>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</si>
  <si>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</si>
  <si>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</si>
  <si>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</si>
  <si>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</si>
  <si>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</si>
  <si>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</si>
  <si>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</si>
  <si>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</si>
  <si>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</si>
  <si>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</si>
  <si>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</si>
  <si>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</si>
  <si>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</si>
  <si>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</si>
  <si>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</si>
  <si>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</si>
  <si>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</si>
  <si>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</si>
  <si>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</si>
  <si>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</si>
  <si>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</si>
  <si>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</si>
  <si>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</si>
  <si>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</si>
  <si>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</si>
  <si>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</si>
  <si>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</si>
  <si>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</si>
  <si>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</si>
  <si>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</si>
  <si>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</si>
  <si>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</si>
  <si>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</si>
  <si>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</si>
  <si>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</si>
  <si>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</si>
  <si>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</si>
  <si>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</si>
  <si>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</si>
  <si>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</si>
  <si>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</si>
  <si>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</si>
  <si>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</si>
  <si>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</si>
  <si>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</si>
  <si>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</si>
  <si>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</si>
  <si>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</si>
  <si>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</si>
  <si>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</si>
  <si>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</si>
  <si>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</si>
  <si>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</si>
  <si>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</si>
  <si>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</si>
  <si>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</si>
  <si>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</si>
  <si>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</si>
  <si>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</si>
  <si>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</si>
  <si>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</si>
  <si>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</si>
  <si>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</si>
  <si>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</si>
  <si>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</si>
  <si>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</si>
  <si>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</si>
  <si>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</si>
  <si>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</si>
  <si>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</si>
  <si>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</si>
  <si>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</si>
  <si>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</si>
  <si>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</si>
  <si>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</si>
  <si>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</si>
  <si>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</si>
  <si>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</si>
  <si>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</si>
  <si>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</si>
  <si>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</si>
  <si>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</si>
  <si>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</si>
  <si>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</si>
  <si>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</si>
  <si>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</si>
  <si>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</si>
  <si>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</si>
  <si>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</si>
  <si>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</si>
  <si>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</si>
  <si>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</si>
  <si>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</si>
  <si>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</si>
  <si>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</si>
  <si>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</si>
  <si>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</si>
  <si>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</si>
  <si>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</si>
  <si>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</si>
  <si>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</si>
  <si>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</si>
  <si>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</si>
  <si>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</si>
  <si>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</si>
  <si>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</si>
  <si>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</si>
  <si>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</si>
  <si>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</si>
  <si>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</si>
  <si>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</si>
  <si>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</si>
  <si>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</si>
  <si>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</si>
  <si>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</si>
  <si>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</si>
  <si>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</si>
  <si>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</si>
  <si>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</si>
  <si>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</si>
  <si>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</si>
  <si>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</si>
  <si>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</si>
  <si>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</si>
  <si>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</si>
  <si>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</si>
  <si>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</si>
  <si>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</si>
  <si>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</si>
  <si>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</si>
  <si>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</si>
  <si>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</si>
  <si>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</si>
  <si>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</si>
  <si>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</si>
  <si>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</si>
  <si>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</si>
  <si>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</si>
  <si>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</si>
  <si>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</si>
  <si>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</si>
  <si>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</si>
  <si>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</si>
  <si>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</si>
  <si>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</si>
  <si>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</si>
  <si>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</si>
  <si>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</si>
  <si>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</si>
  <si>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</si>
  <si>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</si>
  <si>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</si>
  <si>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</si>
  <si>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</si>
  <si>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</si>
  <si>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</si>
  <si>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</si>
  <si>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</si>
  <si>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</si>
  <si>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</si>
  <si>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</si>
  <si>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</si>
  <si>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</si>
  <si>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</si>
  <si>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</si>
  <si>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</si>
  <si>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</si>
  <si>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</si>
  <si>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</si>
  <si>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</si>
  <si>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</si>
  <si>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</si>
  <si>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</si>
  <si>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</si>
  <si>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</si>
  <si>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</si>
  <si>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</si>
  <si>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</si>
  <si>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</si>
  <si>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</si>
  <si>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</si>
  <si>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</si>
  <si>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</si>
  <si>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</si>
  <si>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</si>
  <si>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</si>
  <si>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</si>
  <si>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</si>
  <si>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</si>
  <si>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</si>
  <si>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</si>
  <si>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</si>
  <si>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</si>
  <si>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</si>
  <si>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</si>
  <si>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</si>
  <si>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</si>
  <si>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</si>
  <si>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</si>
  <si>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</si>
  <si>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</si>
  <si>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</si>
  <si>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</si>
  <si>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</si>
  <si>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</si>
  <si>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</si>
  <si>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</si>
  <si>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</si>
  <si>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</si>
  <si>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</si>
  <si>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</si>
  <si>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</si>
  <si>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</si>
  <si>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</si>
  <si>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</si>
  <si>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</si>
  <si>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</si>
  <si>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</si>
  <si>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</si>
  <si>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</si>
  <si>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</si>
  <si>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</si>
  <si>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</si>
  <si>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</si>
  <si>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</si>
  <si>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</si>
  <si>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</si>
  <si>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</si>
  <si>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</si>
  <si>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</si>
  <si>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</si>
  <si>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</si>
  <si>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</si>
  <si>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</si>
  <si>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</si>
  <si>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</si>
  <si>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</si>
  <si>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</si>
  <si>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</si>
  <si>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</si>
  <si>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</si>
  <si>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</si>
  <si>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</si>
  <si>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</si>
  <si>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</si>
  <si>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</si>
  <si>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</si>
  <si>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</si>
  <si>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</si>
  <si>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</si>
  <si>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</si>
  <si>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</si>
  <si>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</si>
  <si>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</si>
  <si>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</si>
  <si>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</si>
  <si>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</si>
  <si>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</si>
  <si>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</si>
  <si>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</si>
  <si>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</si>
  <si>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</si>
  <si>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</si>
  <si>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</si>
  <si>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</si>
  <si>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</si>
  <si>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</si>
  <si>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</si>
  <si>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</si>
  <si>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</si>
  <si>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</si>
  <si>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</si>
  <si>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</si>
  <si>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</si>
  <si>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</si>
  <si>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</si>
  <si>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</si>
  <si>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</si>
  <si>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</si>
  <si>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</si>
  <si>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</si>
  <si>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</si>
  <si>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</si>
  <si>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</si>
  <si>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</si>
  <si>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</si>
  <si>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</si>
  <si>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</si>
  <si>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</si>
  <si>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</si>
  <si>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</si>
  <si>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</si>
  <si>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Qanchi Bazar</t>
  </si>
  <si>
    <t>SK Super Store</t>
  </si>
  <si>
    <t>Haji Chiragh Din Store</t>
  </si>
  <si>
    <t xml:space="preserve">Kashmir Bakery </t>
  </si>
  <si>
    <t>Punjab Store</t>
  </si>
  <si>
    <t xml:space="preserve">Address: Punjab Society </t>
  </si>
  <si>
    <t xml:space="preserve">Palace Bakery </t>
  </si>
  <si>
    <t>Address: Kacha Jail Road</t>
  </si>
  <si>
    <t xml:space="preserve">Meow Brother </t>
  </si>
  <si>
    <t>Gosia Strore</t>
  </si>
  <si>
    <t>Address: Abid Market</t>
  </si>
  <si>
    <t>Sheikh Mahboob Store</t>
  </si>
  <si>
    <t xml:space="preserve">Bismillah Cash &amp; Carry </t>
  </si>
  <si>
    <t>Tayyab GS</t>
  </si>
  <si>
    <t>Ahmad Bothers Store</t>
  </si>
  <si>
    <t>Address: Hamza Chowk Shoket Town</t>
  </si>
  <si>
    <t>dua Book Store</t>
  </si>
  <si>
    <t xml:space="preserve">Address: Hamza Chowk Shoket town </t>
  </si>
  <si>
    <t>Iftakhar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</si>
</sst>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G9" sqref="G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46265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SK Super Store</v>
      </c>
      <c r="T3" s="301">
        <f>+'1'!P35</f>
        <v>4704.3173776271187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Haji Chiragh Din Store</v>
      </c>
      <c r="T4" s="301">
        <f>+'2'!P35</f>
        <v>1180.2688488991523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Kashmir Bakery </v>
      </c>
      <c r="T5" s="301">
        <f>+'3'!P35</f>
        <v>250.37668702372881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Punjab Store</v>
      </c>
      <c r="T6" s="301">
        <f>+'4'!P35</f>
        <v>9408.6347552542375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Palace Bakery 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Meow Brother </v>
      </c>
      <c r="T8" s="301">
        <f>+'6'!P35</f>
        <v>940.86347552542372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Gosia Strore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523.00800000000015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7056.4760664406776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Sheikh Mahboob Store</v>
      </c>
      <c r="T10" s="301">
        <f>+'8'!P35</f>
        <v>3080.473126779661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72</v>
      </c>
      <c r="I11" s="236">
        <f t="shared" si="0"/>
        <v>5230.08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418.40640000000008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183.05280000000002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4628.6207999999997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988.47457627118661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28.085476881355937</v>
      </c>
      <c r="P11" s="311">
        <f t="shared" si="2"/>
        <v>5645.1808531525421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Bismillah Cash &amp; Carry </v>
      </c>
      <c r="T11" s="301">
        <f>+'9'!P35</f>
        <v>2610.0413890169493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72</v>
      </c>
      <c r="I12" s="236">
        <f t="shared" si="0"/>
        <v>5230.08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418.40640000000008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183.05280000000002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4628.6207999999997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988.47457627118661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28.085476881355937</v>
      </c>
      <c r="P12" s="311">
        <f t="shared" si="2"/>
        <v>5645.1808531525421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Tayyab GS</v>
      </c>
      <c r="T12" s="301">
        <f>+'10'!P35</f>
        <v>1669.1779134915255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318</v>
      </c>
      <c r="I13" s="236">
        <f t="shared" si="0"/>
        <v>12475.140000000001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623.75700000000018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436.62990000000019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636.23214000000007</v>
      </c>
      <c r="M13" s="230">
        <f t="shared" si="1"/>
        <v>10778.520960000002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2425.4237288135582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66.019723444067807</v>
      </c>
      <c r="P13" s="311">
        <f t="shared" si="2"/>
        <v>13269.964412257628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Ahmad Bothers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dua Book Store</v>
      </c>
      <c r="T14" s="301">
        <f>+'12'!P35</f>
        <v>1775.4524322711864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Iftakhar GS</v>
      </c>
      <c r="T15" s="301">
        <f>+'13'!P35</f>
        <v>1669.1779134915255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14.1</v>
      </c>
      <c r="H16" s="113">
        <f t="shared" ref="H16:M16" si="3">SUM(H7:H15)</f>
        <v>564</v>
      </c>
      <c r="I16" s="114">
        <f t="shared" si="3"/>
        <v>30102.449999999997</v>
      </c>
      <c r="J16" s="274">
        <f>SUM(J7:J15)</f>
        <v>2033.9418000000005</v>
      </c>
      <c r="K16" s="275">
        <f t="shared" si="3"/>
        <v>1053.5857500000002</v>
      </c>
      <c r="L16" s="276">
        <f t="shared" si="3"/>
        <v>636.23214000000007</v>
      </c>
      <c r="M16" s="232">
        <f t="shared" si="3"/>
        <v>26378.690310000002</v>
      </c>
      <c r="N16" s="233">
        <f>SUM(N7:N15)</f>
        <v>5756.9491525423718</v>
      </c>
      <c r="O16" s="101">
        <f>SUM(O7:O15)</f>
        <v>160.67819731271189</v>
      </c>
      <c r="P16" s="113">
        <f>SUM(P7:P15)</f>
        <v>32296.317659855085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30102.449999999997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2033.9418000000005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1689.8178900000003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26378.690309999998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5756.9491525423718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32135.639462542371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160.67819731271189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32296.317659855082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32296.317659855093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4358.3999999999996</v>
      </c>
      <c r="J25" s="274">
        <f>SUM(J16:J24)</f>
        <v>348.67200000000003</v>
      </c>
      <c r="K25" s="275">
        <f t="shared" si="10"/>
        <v>152.54400000000001</v>
      </c>
      <c r="L25" s="276">
        <f t="shared" si="10"/>
        <v>0</v>
      </c>
      <c r="M25" s="232">
        <f t="shared" si="10"/>
        <v>3857.1840000000002</v>
      </c>
      <c r="N25" s="233">
        <f>SUM(N16:N24)</f>
        <v>823.72881355932213</v>
      </c>
      <c r="O25" s="101">
        <f>SUM(O16:O24)</f>
        <v>23.404564067796613</v>
      </c>
      <c r="P25" s="113">
        <f>SUM(P16:P24)</f>
        <v>4704.3173776271187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4358.3999999999996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348.67200000000003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152.54400000000001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3857.1839999999997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823.72881355932213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4680.9128135593219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23.40456406779661</v>
      </c>
    </row>
    <row r="35" spans="2:16" ht="15.75" customHeight="1" thickBot="1" x14ac:dyDescent="0.4">
      <c r="N35" s="344" t="s">
        <v>88</v>
      </c>
      <c r="O35" s="345"/>
      <c r="P35" s="297">
        <f>+P33+P34</f>
        <v>4704.3173776271187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310">
        <f>M16+N16+O16</f>
        <v>339.75773742584744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1100.31</v>
      </c>
      <c r="J25" s="274">
        <f>SUM(J16:J24)</f>
        <v>73.902000000000001</v>
      </c>
      <c r="K25" s="275">
        <f t="shared" si="7"/>
        <v>38.510850000000005</v>
      </c>
      <c r="L25" s="276">
        <f t="shared" si="7"/>
        <v>24.008760000000002</v>
      </c>
      <c r="M25" s="232">
        <f t="shared" si="7"/>
        <v>963.88839000000007</v>
      </c>
      <c r="N25" s="233">
        <f>SUM(N16:N24)</f>
        <v>210.50847457627108</v>
      </c>
      <c r="O25" s="101">
        <f>SUM(O16:O24)</f>
        <v>5.8719843228813549</v>
      </c>
      <c r="P25" s="113">
        <f>SUM(P16:P24)</f>
        <v>1180.2688488991525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1100.31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73.902000000000001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62.519610000000007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963.88838999999984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210.50847457627108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1174.3968645762709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5.8719843228813549</v>
      </c>
    </row>
    <row r="35" spans="2:16" ht="15.75" customHeight="1" thickBot="1" x14ac:dyDescent="0.4">
      <c r="N35" s="344" t="s">
        <v>88</v>
      </c>
      <c r="O35" s="345"/>
      <c r="P35" s="297">
        <f>+P33+P34</f>
        <v>1180.2688488991523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</v>
      </c>
      <c r="I25" s="114">
        <f t="shared" si="7"/>
        <v>235.38000000000002</v>
      </c>
      <c r="J25" s="274">
        <f>SUM(J16:J24)</f>
        <v>11.769000000000002</v>
      </c>
      <c r="K25" s="275">
        <f t="shared" si="7"/>
        <v>8.2383000000000024</v>
      </c>
      <c r="L25" s="276">
        <f t="shared" si="7"/>
        <v>12.004380000000001</v>
      </c>
      <c r="M25" s="232">
        <f t="shared" si="7"/>
        <v>203.36832000000001</v>
      </c>
      <c r="N25" s="233">
        <f>SUM(N16:N24)</f>
        <v>45.762711864406754</v>
      </c>
      <c r="O25" s="101">
        <f>SUM(O16:O24)</f>
        <v>1.2456551593220337</v>
      </c>
      <c r="P25" s="113">
        <f>SUM(P16:P24)</f>
        <v>250.37668702372881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235.38000000000002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11.769000000000002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20.242680000000004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203.36832000000001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45.762711864406754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249.13103186440676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1.2456551593220337</v>
      </c>
    </row>
    <row r="35" spans="2:16" ht="15.75" customHeight="1" thickBot="1" x14ac:dyDescent="0.4">
      <c r="N35" s="344" t="s">
        <v>88</v>
      </c>
      <c r="O35" s="345"/>
      <c r="P35" s="297">
        <f>+P33+P34</f>
        <v>250.37668702372881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871.68000000000006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69.734400000000008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30.508800000000004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771.43680000000006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936.18256271186442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4" t="s">
        <v>88</v>
      </c>
      <c r="O35" s="345"/>
      <c r="P35" s="297">
        <f>+P33+P34</f>
        <v>940.86347552542372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58</v>
      </c>
      <c r="I25" s="114">
        <f t="shared" si="7"/>
        <v>2876.7200000000003</v>
      </c>
      <c r="J25" s="274">
        <f>SUM(J16:J24)</f>
        <v>183.06160000000006</v>
      </c>
      <c r="K25" s="275">
        <f t="shared" si="7"/>
        <v>100.68520000000001</v>
      </c>
      <c r="L25" s="276">
        <f t="shared" si="7"/>
        <v>80.029200000000003</v>
      </c>
      <c r="M25" s="232">
        <f t="shared" si="7"/>
        <v>2512.9440000000004</v>
      </c>
      <c r="N25" s="233">
        <f>SUM(N16:N24)</f>
        <v>552.20338983050829</v>
      </c>
      <c r="O25" s="101">
        <f>SUM(O16:O24)</f>
        <v>15.325736949152542</v>
      </c>
      <c r="P25" s="113">
        <f>SUM(P16:P24)</f>
        <v>3080.473126779661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2876.7200000000003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183.06160000000006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180.71440000000001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2512.9440000000004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552.20338983050829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3065.1473898305085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15.325736949152542</v>
      </c>
    </row>
    <row r="35" spans="2:16" ht="15.75" customHeight="1" thickBot="1" x14ac:dyDescent="0.4">
      <c r="N35" s="344" t="s">
        <v>88</v>
      </c>
      <c r="O35" s="345"/>
      <c r="P35" s="297">
        <f>+P33+P34</f>
        <v>3080.473126779661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52</v>
      </c>
      <c r="I25" s="114">
        <f t="shared" si="7"/>
        <v>2440.88</v>
      </c>
      <c r="J25" s="274">
        <f>SUM(J16:J24)</f>
        <v>148.19440000000003</v>
      </c>
      <c r="K25" s="275">
        <f t="shared" si="7"/>
        <v>85.430800000000019</v>
      </c>
      <c r="L25" s="276">
        <f t="shared" si="7"/>
        <v>80.029200000000003</v>
      </c>
      <c r="M25" s="232">
        <f t="shared" si="7"/>
        <v>2127.2256000000002</v>
      </c>
      <c r="N25" s="233">
        <f>SUM(N16:N24)</f>
        <v>469.83050847457611</v>
      </c>
      <c r="O25" s="101">
        <f>SUM(O16:O24)</f>
        <v>12.985280542372882</v>
      </c>
      <c r="P25" s="113">
        <f>SUM(P16:P24)</f>
        <v>2610.0413890169493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2440.88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148.19440000000003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165.46000000000004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2127.2256000000002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469.83050847457611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2597.0561084745764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12.985280542372882</v>
      </c>
    </row>
    <row r="35" spans="2:16" ht="15.75" customHeight="1" thickBot="1" x14ac:dyDescent="0.4">
      <c r="N35" s="344" t="s">
        <v>88</v>
      </c>
      <c r="O35" s="345"/>
      <c r="P35" s="297">
        <f>+P33+P34</f>
        <v>2610.0413890169493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531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32</v>
      </c>
      <c r="I25" s="114">
        <f t="shared" si="7"/>
        <v>1656.2800000000002</v>
      </c>
      <c r="J25" s="274">
        <f>SUM(J16:J24)</f>
        <v>108.96440000000001</v>
      </c>
      <c r="K25" s="275">
        <f t="shared" si="7"/>
        <v>57.969800000000006</v>
      </c>
      <c r="L25" s="276">
        <f t="shared" si="7"/>
        <v>40.014600000000002</v>
      </c>
      <c r="M25" s="232">
        <f t="shared" si="7"/>
        <v>1449.3312000000001</v>
      </c>
      <c r="N25" s="233">
        <f>SUM(N16:N24)</f>
        <v>317.28813559322026</v>
      </c>
      <c r="O25" s="101">
        <f>SUM(O16:O24)</f>
        <v>8.8330966779661022</v>
      </c>
      <c r="P25" s="113">
        <f>SUM(P16:P24)</f>
        <v>1775.4524322711864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1656.2800000000002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108.96440000000001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97.984400000000008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1449.3312000000001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317.28813559322026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1766.6193355932203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8.8330966779661022</v>
      </c>
    </row>
    <row r="35" spans="2:16" ht="15.75" customHeight="1" thickBot="1" x14ac:dyDescent="0.4">
      <c r="N35" s="344" t="s">
        <v>88</v>
      </c>
      <c r="O35" s="345"/>
      <c r="P35" s="297">
        <f>+P33+P34</f>
        <v>1775.4524322711864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1569.2000000000003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78.460000000000022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134.95120000000003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1355.7888000000003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1660.873545762712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4" t="s">
        <v>88</v>
      </c>
      <c r="O35" s="345"/>
      <c r="P35" s="297">
        <f>+P33+P34</f>
        <v>1669.1779134915255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46265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46264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Umair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46267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46266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2026-09-01T16:20:52Z</dcterms:modified>
</cp:coreProperties>
</file>