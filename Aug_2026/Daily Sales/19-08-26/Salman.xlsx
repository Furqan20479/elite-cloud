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F5FA13-5839-4920-8A30-7E0DCE122DC9}" xr6:coauthVersionLast="47" xr6:coauthVersionMax="47" xr10:uidLastSave="{00000000-0000-0000-0000-000000000000}"/>
  <bookViews>
    <workbookView xWindow="-110" yWindow="-110" windowWidth="19420" windowHeight="10420" tabRatio="594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<sst xmlns="http://schemas.openxmlformats.org/spreadsheetml/2006/main" count="3978" uniqueCount="529">
  <si>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</si>
  <si>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</si>
  <si>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</si>
  <si>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</si>
  <si>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</si>
  <si>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</si>
  <si>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</si>
  <si>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</si>
  <si>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</si>
  <si>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</si>
  <si>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</si>
  <si>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</si>
  <si>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</si>
  <si>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</si>
  <si>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</si>
  <si>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</si>
  <si>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</si>
  <si>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</si>
  <si>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</si>
  <si>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</si>
  <si>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</si>
  <si>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</si>
  <si>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</si>
  <si>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</si>
  <si>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</si>
  <si>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</si>
  <si>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</si>
  <si>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</si>
  <si>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</si>
  <si>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</si>
  <si>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</si>
  <si>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</si>
  <si>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</si>
  <si>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</si>
  <si>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</si>
  <si>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</si>
  <si>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</si>
  <si>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</si>
  <si>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</si>
  <si>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</si>
  <si>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</si>
  <si>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</si>
  <si>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</si>
  <si>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</si>
  <si>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</si>
  <si>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</si>
  <si>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</si>
  <si>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</si>
  <si>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</si>
  <si>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</si>
  <si>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</si>
  <si>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</si>
  <si>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</si>
  <si>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</si>
  <si>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</si>
  <si>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</si>
  <si>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</si>
  <si>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</si>
  <si>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</si>
  <si>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</si>
  <si>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</si>
  <si>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</si>
  <si>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</si>
  <si>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</si>
  <si>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</si>
  <si>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</si>
  <si>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</si>
  <si>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</si>
  <si>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</si>
  <si>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</si>
  <si>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</si>
  <si>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</si>
  <si>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</si>
  <si>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</si>
  <si>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</si>
  <si>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</si>
  <si>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</si>
  <si>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</si>
  <si>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</si>
  <si>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</si>
  <si>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</si>
  <si>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</si>
  <si>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</si>
  <si>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</si>
  <si>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</si>
  <si>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</si>
  <si>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</si>
  <si>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</si>
  <si>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</si>
  <si>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</si>
  <si>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</si>
  <si>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</si>
  <si>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</si>
  <si>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</si>
  <si>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</si>
  <si>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</si>
  <si>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</si>
  <si>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</si>
  <si>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</si>
  <si>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</si>
  <si>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</si>
  <si>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</si>
  <si>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</si>
  <si>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</si>
  <si>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</si>
  <si>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</si>
  <si>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</si>
  <si>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</si>
  <si>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</si>
  <si>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</si>
  <si>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</si>
  <si>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</si>
  <si>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</si>
  <si>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</si>
  <si>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</si>
  <si>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</si>
  <si>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</si>
  <si>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</si>
  <si>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</si>
  <si>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</si>
  <si>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</si>
  <si>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</si>
  <si>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</si>
  <si>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</si>
  <si>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</si>
  <si>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</si>
  <si>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</si>
  <si>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</si>
  <si>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</si>
  <si>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</si>
  <si>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</si>
  <si>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</si>
  <si>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</si>
  <si>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</si>
  <si>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</si>
  <si>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</si>
  <si>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</si>
  <si>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</si>
  <si>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</si>
  <si>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</si>
  <si>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</si>
  <si>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</si>
  <si>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</si>
  <si>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</si>
  <si>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</si>
  <si>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</si>
  <si>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</si>
  <si>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</si>
  <si>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</si>
  <si>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</si>
  <si>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</si>
  <si>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</si>
  <si>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</si>
  <si>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</si>
  <si>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</si>
  <si>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</si>
  <si>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</si>
  <si>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</si>
  <si>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</si>
  <si>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</si>
  <si>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</si>
  <si>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</si>
  <si>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</si>
  <si>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</si>
  <si>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</si>
  <si>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</si>
  <si>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</si>
  <si>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</si>
  <si>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</si>
  <si>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</si>
  <si>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</si>
  <si>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</si>
  <si>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</si>
  <si>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</si>
  <si>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</si>
  <si>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</si>
  <si>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</si>
  <si>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</si>
  <si>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</si>
  <si>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</si>
  <si>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</si>
  <si>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</si>
  <si>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</si>
  <si>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</si>
  <si>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</si>
  <si>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</si>
  <si>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</si>
  <si>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</si>
  <si>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</si>
  <si>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</si>
  <si>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</si>
  <si>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</si>
  <si>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</si>
  <si>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</si>
  <si>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</si>
  <si>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</si>
  <si>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</si>
  <si>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</si>
  <si>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</si>
  <si>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</si>
  <si>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</si>
  <si>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</si>
  <si>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</si>
  <si>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</si>
  <si>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</si>
  <si>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</si>
  <si>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</si>
  <si>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</si>
  <si>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</si>
  <si>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</si>
  <si>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</si>
  <si>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</si>
  <si>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</si>
  <si>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</si>
  <si>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</si>
  <si>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</si>
  <si>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</si>
  <si>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</si>
  <si>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</si>
  <si>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</si>
  <si>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</si>
  <si>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</si>
  <si>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</si>
  <si>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</si>
  <si>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</si>
  <si>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</si>
  <si>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</si>
  <si>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</si>
  <si>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</si>
  <si>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</si>
  <si>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</si>
  <si>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</si>
  <si>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</si>
  <si>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</si>
  <si>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</si>
  <si>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</si>
  <si>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</si>
  <si>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</si>
  <si>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</si>
  <si>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</si>
  <si>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</si>
  <si>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</si>
  <si>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</si>
  <si>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</si>
  <si>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</si>
  <si>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</si>
  <si>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</si>
  <si>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</si>
  <si>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</si>
  <si>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</si>
  <si>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</si>
  <si>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</si>
  <si>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</si>
  <si>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</si>
  <si>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</si>
  <si>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</si>
  <si>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</si>
  <si>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</si>
  <si>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</si>
  <si>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</si>
  <si>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</si>
  <si>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</si>
  <si>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</si>
  <si>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</si>
  <si>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</si>
  <si>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</si>
  <si>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</si>
  <si>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</si>
  <si>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</si>
  <si>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</si>
  <si>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</si>
  <si>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</si>
  <si>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</si>
  <si>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</si>
  <si>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</si>
  <si>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</si>
  <si>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</si>
  <si>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</si>
  <si>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</si>
  <si>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</si>
  <si>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</si>
  <si>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</si>
  <si>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</si>
  <si>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</si>
  <si>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</si>
  <si>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</si>
  <si>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</si>
  <si>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</si>
  <si>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</si>
  <si>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</si>
  <si>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</si>
  <si>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</si>
  <si>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</si>
  <si>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</si>
  <si>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</si>
  <si>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</si>
  <si>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</si>
  <si>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</si>
  <si>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</si>
  <si>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</si>
  <si>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</si>
  <si>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</si>
  <si>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</si>
  <si>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</si>
  <si>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</si>
  <si>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</si>
  <si>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</si>
  <si>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</si>
  <si>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</si>
  <si>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</si>
  <si>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</si>
  <si>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</si>
  <si>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</si>
  <si>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</si>
  <si>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</si>
  <si>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</si>
  <si>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</si>
  <si>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</si>
  <si>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</si>
  <si>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</si>
  <si>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</si>
  <si>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</si>
  <si>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</si>
  <si>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</si>
  <si>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</si>
  <si>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</si>
  <si>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</si>
  <si>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</si>
  <si>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</si>
  <si>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</si>
  <si>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</si>
  <si>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</si>
  <si>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</si>
  <si>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</si>
  <si>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</si>
  <si>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</si>
  <si>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</si>
  <si>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</si>
  <si>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</si>
  <si>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</si>
  <si>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</si>
  <si>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</si>
  <si>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</si>
  <si>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</si>
  <si>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</si>
  <si>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</si>
  <si>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</si>
  <si>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</si>
  <si>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</si>
  <si>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</si>
  <si>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</si>
  <si>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</si>
  <si>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</si>
  <si>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</si>
  <si>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</si>
  <si>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</si>
  <si>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</si>
  <si>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</si>
  <si>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</si>
  <si>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</si>
  <si>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</si>
  <si>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</si>
  <si>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</si>
  <si>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</si>
  <si>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</si>
  <si>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</si>
  <si>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</si>
  <si>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</si>
  <si>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</si>
  <si>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</si>
  <si>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</si>
  <si>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</si>
  <si>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</si>
  <si>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</si>
  <si>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</si>
  <si>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</si>
  <si>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</si>
  <si>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</si>
  <si>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</si>
  <si>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</si>
  <si>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</si>
  <si>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</si>
  <si>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</si>
  <si>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</si>
  <si>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</si>
  <si>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</si>
  <si>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</si>
  <si>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</si>
  <si>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</si>
  <si>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</si>
  <si>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</si>
  <si>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</si>
  <si>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</si>
  <si>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</si>
  <si>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</si>
  <si>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</si>
  <si>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</si>
  <si>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</si>
  <si>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</si>
  <si>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</si>
  <si>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</si>
  <si>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</si>
  <si>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</si>
  <si>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</si>
  <si>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</si>
  <si>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</si>
  <si>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</si>
  <si>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</si>
  <si>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</si>
  <si>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</si>
  <si>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</si>
  <si>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</si>
  <si>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</si>
  <si>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</si>
  <si>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</si>
  <si>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</si>
  <si>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</si>
  <si>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</si>
  <si>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</si>
  <si>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</si>
  <si>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</si>
  <si>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</si>
  <si>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</si>
  <si>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</si>
  <si>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</si>
  <si>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</si>
  <si>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</si>
  <si>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</si>
  <si>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</si>
  <si>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</si>
  <si>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</si>
  <si>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</si>
  <si>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</si>
  <si>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</si>
  <si>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</si>
  <si>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</si>
  <si>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</si>
  <si>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</si>
  <si>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</si>
  <si>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</si>
  <si>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</si>
  <si>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</si>
  <si>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</si>
  <si>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</si>
  <si>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</si>
  <si>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</si>
  <si>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</si>
  <si>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</si>
  <si>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</si>
  <si>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</si>
  <si>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</si>
  <si>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</si>
  <si>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</si>
  <si>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</si>
  <si>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</si>
  <si>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</si>
  <si>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</si>
  <si>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</si>
  <si>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</si>
  <si>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</si>
  <si>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</si>
  <si>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</si>
  <si>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</si>
  <si>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</si>
  <si>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</si>
  <si>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</si>
  <si>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</si>
  <si>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</si>
  <si>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</si>
  <si>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</si>
  <si>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</si>
  <si>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</si>
  <si>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</si>
  <si>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</si>
  <si>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</si>
  <si>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</si>
  <si>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</si>
  <si>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</si>
  <si>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</si>
  <si>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</si>
  <si>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</si>
  <si>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</si>
  <si>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</si>
  <si>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</si>
  <si>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</si>
  <si>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</si>
  <si>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</si>
  <si>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</si>
  <si>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</si>
  <si>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</si>
  <si>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</si>
  <si>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</si>
  <si>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</si>
  <si>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</si>
  <si>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</si>
  <si>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</si>
  <si>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</si>
  <si>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</si>
  <si>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</si>
  <si>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</si>
  <si>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</si>
  <si>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</si>
  <si>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</si>
  <si>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</si>
  <si>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</si>
  <si>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</si>
  <si>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</si>
  <si>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</si>
  <si>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</si>
  <si>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</si>
  <si>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</si>
  <si>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</si>
  <si>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</si>
  <si>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</si>
  <si>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</si>
  <si>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Salman </t>
  </si>
  <si>
    <t>Cant Madical Store</t>
  </si>
  <si>
    <t>Address:Sadar Bazar</t>
  </si>
  <si>
    <t xml:space="preserve">Shaheen Bakers </t>
  </si>
  <si>
    <t>Mughal Store</t>
  </si>
  <si>
    <t>Liaqat Store</t>
  </si>
  <si>
    <t>Waris Store</t>
  </si>
  <si>
    <t>Fatima Store</t>
  </si>
  <si>
    <t>Jalil GS</t>
  </si>
  <si>
    <t>Faizan GS</t>
  </si>
  <si>
    <t>Butt Kareyana Store</t>
  </si>
  <si>
    <t>Ghani Store</t>
  </si>
  <si>
    <t xml:space="preserve">Stara Bakers </t>
  </si>
  <si>
    <t>Shalimar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</si>
</sst>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3" sqref="S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Cant Madical Store</v>
      </c>
      <c r="T3" s="301">
        <f>+'1'!P35</f>
        <v>6199.2810791694919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Shaheen Bakers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Mughal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Liaqat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Waris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Fatima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Jalil GS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Faizan GS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</v>
      </c>
      <c r="I11" s="236">
        <f t="shared" si="0"/>
        <v>3777.28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302.18240000000003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132.20480000000001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3342.8928000000001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713.89830508474574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20.283955525423728</v>
      </c>
      <c r="P11" s="311">
        <f t="shared" si="2"/>
        <v>4077.0750606101697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Butt Kareyana Store</v>
      </c>
      <c r="T11" s="301">
        <f>+'9'!P35</f>
        <v>235.21586888135593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319.61600000000004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21.454183728813558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Ghani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Stara Bakers </v>
      </c>
      <c r="T13" s="301">
        <f>+'11'!P35</f>
        <v>6272.4231701694916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Shalimar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</v>
      </c>
      <c r="H16" s="113">
        <f t="shared" ref="H16:M16" si="3">SUM(H7:H15)</f>
        <v>320</v>
      </c>
      <c r="I16" s="114">
        <f t="shared" si="3"/>
        <v>18957.800000000003</v>
      </c>
      <c r="J16" s="274">
        <f>SUM(J7:J15)</f>
        <v>1422.4720000000002</v>
      </c>
      <c r="K16" s="275">
        <f t="shared" si="3"/>
        <v>663.52300000000002</v>
      </c>
      <c r="L16" s="276">
        <f t="shared" si="3"/>
        <v>160.05840000000001</v>
      </c>
      <c r="M16" s="232">
        <f t="shared" si="3"/>
        <v>16711.746599999999</v>
      </c>
      <c r="N16" s="233">
        <f>SUM(N7:N15)</f>
        <v>3599.9999999999991</v>
      </c>
      <c r="O16" s="101">
        <f>SUM(O7:O15)</f>
        <v>101.558733</v>
      </c>
      <c r="P16" s="113">
        <f>SUM(P7:P15)</f>
        <v>20413.305333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18957.800000000003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1422.4720000000002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823.58140000000003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16711.746600000002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3599.9999999999991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20311.746600000002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101.558733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20413.305333000004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20413.305333000004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5766.2000000000007</v>
      </c>
      <c r="J25" s="274">
        <f>SUM(J16:J24)</f>
        <v>414.22</v>
      </c>
      <c r="K25" s="275">
        <f t="shared" si="10"/>
        <v>201.81700000000001</v>
      </c>
      <c r="L25" s="276">
        <f t="shared" si="10"/>
        <v>80.029200000000003</v>
      </c>
      <c r="M25" s="232">
        <f t="shared" si="10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5766.2000000000007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414.22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281.84620000000001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5070.1338000000005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6168.4388847457631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42" t="s">
        <v>88</v>
      </c>
      <c r="O35" s="343"/>
      <c r="P35" s="297">
        <f>+P33+P34</f>
        <v>6199.2810791694919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217.92000000000002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17.433600000000002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7.6272000000000011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192.85920000000002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234.04564067796611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2" t="s">
        <v>88</v>
      </c>
      <c r="O35" s="343"/>
      <c r="P35" s="297">
        <f>+P33+P34</f>
        <v>235.21586888135593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14"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2026-08-19T04:18:59Z</dcterms:modified>
</cp:coreProperties>
</file>