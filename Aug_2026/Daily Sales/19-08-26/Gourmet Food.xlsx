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9D818C0-6D0E-45D0-B7A6-4D93A16DB9D4}" xr6:coauthVersionLast="47" xr6:coauthVersionMax="47" xr10:uidLastSave="{00000000-0000-0000-0000-000000000000}"/>
  <bookViews>
    <workbookView xWindow="-110" yWindow="-110" windowWidth="19420" windowHeight="10420" tabRatio="594" firstSheet="3" activeTab="2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M16" i="59"/>
  <c r="M23" i="72"/>
  <c r="O23" i="72" s="1"/>
  <c r="P23" i="72" s="1"/>
  <c r="M23" i="64"/>
  <c r="M23" i="59"/>
  <c r="M23" i="44"/>
  <c r="O23" i="44" s="1"/>
  <c r="P23" i="44" s="1"/>
  <c r="M16" i="66"/>
  <c r="M16" i="44"/>
  <c r="M20" i="70"/>
  <c r="O20" i="70" s="1"/>
  <c r="P20" i="70" s="1"/>
  <c r="R20" i="70" s="1"/>
  <c r="M23" i="65"/>
  <c r="M21" i="5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 s="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O25" i="52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<sst xmlns="http://schemas.openxmlformats.org/spreadsheetml/2006/main" count="3948" uniqueCount="550">
  <si>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</si>
  <si>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</si>
  <si>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</si>
  <si>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</si>
  <si>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</si>
  <si>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</si>
  <si>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</si>
  <si>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</si>
  <si>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</si>
  <si>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</si>
  <si>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</si>
  <si>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</si>
  <si>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</si>
  <si>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</si>
  <si>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</si>
  <si>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</si>
  <si>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</si>
  <si>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</si>
  <si>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</si>
  <si>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</si>
  <si>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</si>
  <si>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</si>
  <si>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</si>
  <si>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</si>
  <si>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</si>
  <si>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</si>
  <si>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</si>
  <si>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</si>
  <si>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</si>
  <si>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</si>
  <si>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</si>
  <si>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</si>
  <si>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</si>
  <si>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</si>
  <si>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</si>
  <si>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</si>
  <si>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</si>
  <si>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</si>
  <si>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</si>
  <si>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</si>
  <si>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</si>
  <si>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</si>
  <si>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</si>
  <si>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</si>
  <si>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</si>
  <si>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</si>
  <si>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</si>
  <si>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</si>
  <si>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</si>
  <si>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</si>
  <si>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</si>
  <si>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</si>
  <si>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</si>
  <si>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</si>
  <si>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</si>
  <si>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</si>
  <si>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</si>
  <si>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</si>
  <si>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</si>
  <si>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</si>
  <si>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</si>
  <si>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</si>
  <si>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</si>
  <si>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</si>
  <si>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</si>
  <si>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</si>
  <si>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</si>
  <si>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</si>
  <si>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</si>
  <si>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</si>
  <si>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</si>
  <si>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</si>
  <si>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</si>
  <si>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</si>
  <si>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</si>
  <si>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</si>
  <si>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</si>
  <si>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</si>
  <si>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</si>
  <si>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</si>
  <si>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</si>
  <si>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</si>
  <si>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</si>
  <si>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</si>
  <si>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</si>
  <si>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</si>
  <si>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</si>
  <si>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</si>
  <si>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</si>
  <si>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</si>
  <si>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</si>
  <si>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</si>
  <si>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</si>
  <si>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</si>
  <si>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</si>
  <si>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</si>
  <si>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</si>
  <si>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</si>
  <si>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</si>
  <si>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</si>
  <si>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</si>
  <si>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</si>
  <si>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</si>
  <si>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</si>
  <si>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</si>
  <si>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</si>
  <si>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</si>
  <si>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</si>
  <si>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</si>
  <si>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</si>
  <si>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</si>
  <si>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</si>
  <si>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</si>
  <si>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</si>
  <si>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</si>
  <si>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</si>
  <si>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</si>
  <si>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</si>
  <si>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</si>
  <si>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</si>
  <si>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</si>
  <si>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</si>
  <si>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</si>
  <si>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</si>
  <si>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</si>
  <si>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</si>
  <si>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</si>
  <si>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</si>
  <si>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</si>
  <si>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</si>
  <si>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</si>
  <si>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</si>
  <si>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</si>
  <si>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</si>
  <si>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</si>
  <si>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</si>
  <si>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</si>
  <si>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</si>
  <si>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</si>
  <si>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</si>
  <si>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</si>
  <si>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</si>
  <si>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</si>
  <si>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</si>
  <si>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</si>
  <si>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</si>
  <si>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</si>
  <si>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</si>
  <si>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</si>
  <si>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</si>
  <si>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</si>
  <si>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</si>
  <si>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</si>
  <si>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</si>
  <si>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</si>
  <si>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</si>
  <si>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</si>
  <si>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</si>
  <si>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</si>
  <si>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</si>
  <si>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</si>
  <si>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</si>
  <si>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</si>
  <si>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</si>
  <si>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</si>
  <si>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</si>
  <si>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</si>
  <si>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</si>
  <si>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</si>
  <si>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</si>
  <si>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</si>
  <si>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</si>
  <si>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</si>
  <si>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</si>
  <si>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</si>
  <si>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</si>
  <si>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</si>
  <si>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</si>
  <si>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</si>
  <si>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</si>
  <si>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</si>
  <si>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</si>
  <si>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</si>
  <si>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</si>
  <si>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</si>
  <si>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</si>
  <si>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</si>
  <si>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</si>
  <si>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</si>
  <si>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</si>
  <si>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</si>
  <si>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</si>
  <si>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</si>
  <si>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</si>
  <si>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</si>
  <si>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</si>
  <si>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</si>
  <si>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</si>
  <si>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</si>
  <si>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</si>
  <si>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</si>
  <si>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</si>
  <si>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</si>
  <si>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</si>
  <si>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</si>
  <si>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</si>
  <si>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</si>
  <si>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</si>
  <si>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</si>
  <si>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</si>
  <si>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</si>
  <si>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</si>
  <si>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</si>
  <si>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</si>
  <si>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</si>
  <si>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</si>
  <si>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</si>
  <si>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</si>
  <si>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</si>
  <si>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</si>
  <si>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</si>
  <si>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</si>
  <si>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</si>
  <si>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</si>
  <si>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</si>
  <si>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</si>
  <si>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</si>
  <si>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</si>
  <si>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</si>
  <si>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</si>
  <si>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</si>
  <si>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</si>
  <si>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</si>
  <si>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</si>
  <si>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</si>
  <si>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</si>
  <si>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</si>
  <si>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</si>
  <si>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</si>
  <si>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</si>
  <si>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</si>
  <si>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</si>
  <si>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</si>
  <si>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</si>
  <si>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</si>
  <si>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</si>
  <si>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</si>
  <si>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</si>
  <si>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</si>
  <si>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</si>
  <si>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</si>
  <si>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</si>
  <si>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</si>
  <si>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</si>
  <si>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</si>
  <si>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</si>
  <si>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</si>
  <si>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</si>
  <si>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</si>
  <si>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</si>
  <si>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</si>
  <si>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</si>
  <si>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</si>
  <si>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</si>
  <si>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</si>
  <si>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</si>
  <si>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</si>
  <si>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</si>
  <si>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</si>
  <si>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</si>
  <si>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</si>
  <si>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</si>
  <si>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</si>
  <si>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</si>
  <si>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</si>
  <si>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</si>
  <si>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</si>
  <si>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</si>
  <si>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</si>
  <si>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</si>
  <si>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</si>
  <si>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</si>
  <si>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</si>
  <si>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</si>
  <si>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</si>
  <si>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</si>
  <si>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</si>
  <si>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</si>
  <si>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</si>
  <si>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</si>
  <si>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</si>
  <si>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</si>
  <si>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</si>
  <si>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</si>
  <si>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</si>
  <si>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</si>
  <si>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</si>
  <si>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</si>
  <si>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</si>
  <si>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</si>
  <si>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</si>
  <si>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</si>
  <si>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</si>
  <si>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</si>
  <si>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</si>
  <si>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</si>
  <si>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</si>
  <si>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</si>
  <si>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</si>
  <si>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</si>
  <si>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</si>
  <si>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</si>
  <si>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</si>
  <si>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</si>
  <si>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</si>
  <si>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</si>
  <si>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</si>
  <si>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</si>
  <si>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</si>
  <si>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</si>
  <si>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</si>
  <si>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</si>
  <si>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</si>
  <si>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</si>
  <si>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</si>
  <si>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</si>
  <si>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</si>
  <si>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</si>
  <si>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</si>
  <si>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</si>
  <si>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</si>
  <si>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</si>
  <si>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</si>
  <si>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</si>
  <si>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</si>
  <si>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</si>
  <si>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</si>
  <si>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</si>
  <si>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</si>
  <si>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</si>
  <si>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</si>
  <si>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</si>
  <si>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</si>
  <si>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</si>
  <si>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</si>
  <si>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</si>
  <si>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</si>
  <si>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</si>
  <si>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</si>
  <si>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</si>
  <si>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</si>
  <si>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</si>
  <si>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</si>
  <si>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</si>
  <si>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</si>
  <si>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</si>
  <si>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</si>
  <si>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</si>
  <si>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</si>
  <si>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</si>
  <si>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</si>
  <si>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</si>
  <si>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</si>
  <si>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</si>
  <si>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</si>
  <si>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</si>
  <si>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</si>
  <si>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</si>
  <si>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</si>
  <si>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</si>
  <si>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</si>
  <si>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</si>
  <si>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</si>
  <si>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</si>
  <si>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</si>
  <si>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</si>
  <si>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</si>
  <si>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</si>
  <si>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</si>
  <si>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</si>
  <si>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</si>
  <si>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</si>
  <si>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</si>
  <si>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</si>
  <si>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</si>
  <si>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</si>
  <si>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</si>
  <si>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</si>
  <si>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</si>
  <si>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</si>
  <si>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</si>
  <si>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</si>
  <si>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</si>
  <si>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</si>
  <si>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</si>
  <si>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</si>
  <si>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</si>
  <si>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</si>
  <si>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</si>
  <si>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</si>
  <si>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</si>
  <si>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</si>
  <si>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</si>
  <si>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</si>
  <si>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</si>
  <si>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</si>
  <si>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</si>
  <si>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</si>
  <si>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</si>
  <si>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</si>
  <si>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</si>
  <si>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</si>
  <si>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</si>
  <si>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</si>
  <si>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</si>
  <si>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</si>
  <si>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</si>
  <si>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</si>
  <si>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</si>
  <si>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</si>
  <si>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</si>
  <si>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</si>
  <si>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</si>
  <si>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</si>
  <si>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</si>
  <si>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</si>
  <si>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</si>
  <si>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</si>
  <si>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</si>
  <si>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</si>
  <si>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</si>
  <si>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</si>
  <si>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</si>
  <si>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</si>
  <si>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</si>
  <si>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</si>
  <si>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</si>
  <si>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</si>
  <si>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</si>
  <si>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</si>
  <si>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</si>
  <si>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</si>
  <si>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</si>
  <si>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</si>
  <si>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</si>
  <si>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</si>
  <si>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</si>
  <si>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</si>
  <si>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</si>
  <si>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</si>
  <si>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</si>
  <si>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</si>
  <si>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</si>
  <si>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</si>
  <si>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</si>
  <si>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</si>
  <si>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</si>
  <si>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</si>
  <si>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</si>
  <si>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</si>
  <si>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</si>
  <si>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</si>
  <si>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</si>
  <si>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</si>
  <si>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</si>
  <si>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</si>
  <si>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</si>
  <si>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</si>
  <si>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</si>
  <si>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</si>
  <si>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</si>
  <si>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</si>
  <si>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</si>
  <si>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</si>
  <si>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</si>
  <si>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</si>
  <si>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</si>
  <si>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</si>
  <si>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</si>
  <si>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</si>
  <si>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</si>
  <si>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</si>
  <si>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</si>
  <si>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</si>
  <si>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</si>
  <si>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</si>
  <si>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</si>
  <si>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</si>
  <si>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</si>
  <si>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</si>
  <si>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</si>
  <si>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</si>
  <si>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</si>
  <si>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</si>
  <si>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</si>
  <si>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</si>
  <si>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</si>
  <si>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</si>
  <si>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</si>
  <si>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</si>
  <si>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</si>
  <si>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</si>
  <si>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</si>
  <si>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</si>
  <si>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</si>
  <si>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</si>
  <si>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</si>
  <si>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</si>
  <si>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</si>
  <si>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</si>
  <si>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</si>
  <si>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</si>
  <si>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</si>
  <si>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</si>
  <si>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</si>
  <si>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</si>
  <si>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Gourmet Food Rehman Pura</t>
  </si>
  <si>
    <t>Address: Rehman Pura</t>
  </si>
  <si>
    <t>Gourmet Food Ghalib Market</t>
  </si>
  <si>
    <t>Address: Ghalib Market</t>
  </si>
  <si>
    <t xml:space="preserve">Gourmet Food Shama </t>
  </si>
  <si>
    <t xml:space="preserve">Address: Shahma </t>
  </si>
  <si>
    <t xml:space="preserve">Address: Muslim Town Ayubia </t>
  </si>
  <si>
    <t xml:space="preserve">Gourmet Food Muslim Town Ayubia </t>
  </si>
  <si>
    <t xml:space="preserve">Gourmet Food Walton </t>
  </si>
  <si>
    <t xml:space="preserve">Address: Walton </t>
  </si>
  <si>
    <t>Gourmet Food Barkat Market</t>
  </si>
  <si>
    <t>Address: Barker Market</t>
  </si>
  <si>
    <t xml:space="preserve">Gourmet Food Firdos Market </t>
  </si>
  <si>
    <t>Address:Firdos Market</t>
  </si>
  <si>
    <t xml:space="preserve">Gourmet Food Umer Chowk </t>
  </si>
  <si>
    <t xml:space="preserve">Address: Umer Chowk </t>
  </si>
  <si>
    <t>Gourmet Food Choung</t>
  </si>
  <si>
    <t>Address: Choung</t>
  </si>
  <si>
    <t xml:space="preserve">Address:  Johar Town </t>
  </si>
  <si>
    <t>Gourmet Food Link Road</t>
  </si>
  <si>
    <t>Address: Link Road</t>
  </si>
  <si>
    <t>Gourmet Food Riwind Road</t>
  </si>
  <si>
    <t>Address: Riwind Road</t>
  </si>
  <si>
    <t>Gourmet Food Moterway</t>
  </si>
  <si>
    <t>Address: Moterway</t>
  </si>
  <si>
    <t>Address: Militry Account</t>
  </si>
  <si>
    <t>Gourmet Food Militry Account</t>
  </si>
  <si>
    <t>Gourmet Food Iqbal Town</t>
  </si>
  <si>
    <t xml:space="preserve">Address: Iqbal Town Cream Block </t>
  </si>
  <si>
    <t>Gourmet Food Wahdat Road</t>
  </si>
  <si>
    <t>Address: Wahdat Road</t>
  </si>
  <si>
    <t>Gourmet Food Nadeem Shaheed</t>
  </si>
  <si>
    <t>Address: Nadeem Shaheed</t>
  </si>
  <si>
    <t>Invoice No # :10012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</si>
</sst>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10" workbookViewId="0">
      <selection activeCell="S19" sqref="S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515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510</v>
      </c>
      <c r="F3" s="388"/>
      <c r="G3" s="388"/>
      <c r="H3" s="385">
        <f ca="1">TODAY()</f>
        <v>46253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Gourmet Food</v>
      </c>
      <c r="T3" s="301">
        <f>+'1'!P35</f>
        <v>9796.7022358474551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Gourmet Food Rehman Pura</v>
      </c>
      <c r="T4" s="301">
        <f>+'2'!P35</f>
        <v>4898.3511179237294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300" t="str">
        <f>+'3'!A6:A6</f>
        <v>Gourmet Food Ghalib Market</v>
      </c>
      <c r="T5" s="301">
        <f>+'3'!P35</f>
        <v>4898.3511179237294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00" t="str">
        <f>+'4'!A6:A6</f>
        <v xml:space="preserve">Gourmet Food Shama </v>
      </c>
      <c r="T6" s="301">
        <f>+'4'!P35</f>
        <v>4898.3511179237294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1510.9199999999998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6589.29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40.878653389830504</v>
      </c>
      <c r="P7" s="310">
        <f>M7+N7+O7</f>
        <v>8216.6093313559322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4">
        <v>5</v>
      </c>
      <c r="S7" s="300" t="str">
        <f>+'5'!A6:A6</f>
        <v xml:space="preserve">Gourmet Food Muslim Town Ayubia </v>
      </c>
      <c r="T7" s="301">
        <f>+'5'!P35</f>
        <v>4108.3046656779661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6589.29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40.878653389830504</v>
      </c>
      <c r="P8" s="311">
        <f t="shared" ref="P8:P15" si="2">M8+N8+O8</f>
        <v>8216.6093313559322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4">
        <v>6</v>
      </c>
      <c r="S8" s="300" t="str">
        <f>+'6'!A6:A6</f>
        <v xml:space="preserve">Gourmet Food Walton </v>
      </c>
      <c r="T8" s="301">
        <f>+'6'!P35</f>
        <v>7742.5499030084757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600</v>
      </c>
      <c r="I9" s="236">
        <f t="shared" si="0"/>
        <v>31477.5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5665.949999999998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1101.7125000000001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24709.837500000001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5949.1525423728772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153.29495021186443</v>
      </c>
      <c r="P9" s="311">
        <f t="shared" si="2"/>
        <v>30812.284992584744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4">
        <v>7</v>
      </c>
      <c r="S9" s="300" t="str">
        <f>+'7'!A6:A6</f>
        <v>Gourmet Food Barkat Market</v>
      </c>
      <c r="T9" s="301">
        <f>+'7'!P35</f>
        <v>11850.854568686438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360</v>
      </c>
      <c r="I10" s="236">
        <f t="shared" si="0"/>
        <v>26150.400000000001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4707.0719999999992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915.26400000000012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20528.064000000002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4942.3728813559328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127.35218440677966</v>
      </c>
      <c r="P10" s="311">
        <f t="shared" si="2"/>
        <v>25597.789065762714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 xml:space="preserve">Gourmet Food Firdos Market </v>
      </c>
      <c r="T10" s="301">
        <f>+'8'!P35</f>
        <v>9796.7022358474551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2092.0319999999997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9123.5839999999989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56.600970847457624</v>
      </c>
      <c r="P11" s="311">
        <f t="shared" si="2"/>
        <v>11376.795140338982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4">
        <v>9</v>
      </c>
      <c r="S11" s="300" t="str">
        <f>+'9'!A6:A6</f>
        <v xml:space="preserve">Gourmet Food Umer Chowk </v>
      </c>
      <c r="T11" s="301">
        <f>+'9'!P35</f>
        <v>11850.854568686438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340</v>
      </c>
      <c r="I12" s="236">
        <f t="shared" si="0"/>
        <v>24697.599999999999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4445.5679999999993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864.41600000000005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19387.615999999998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4667.7966101694919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120.27706305084745</v>
      </c>
      <c r="P12" s="311">
        <f t="shared" si="2"/>
        <v>24175.689673220335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4">
        <v>10</v>
      </c>
      <c r="S12" s="300" t="str">
        <f>+'10'!A6:A6</f>
        <v>Gourmet Food Link Road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Gourmet Food Riwind Road</v>
      </c>
      <c r="T13" s="301">
        <f>+'11'!P35</f>
        <v>2844.1987850847459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Gourmet Food Choung</v>
      </c>
      <c r="T14" s="301">
        <f>+'12'!P35</f>
        <v>7742.5499030084757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Gourmet Food Moterway</v>
      </c>
      <c r="T15" s="301">
        <f>+'13'!P35</f>
        <v>6952.5034507627115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44.5</v>
      </c>
      <c r="H16" s="113">
        <f t="shared" ref="H16:M16" si="3">SUM(H7:H15)</f>
        <v>1780</v>
      </c>
      <c r="I16" s="114">
        <f t="shared" si="3"/>
        <v>110735.9</v>
      </c>
      <c r="J16" s="274">
        <f>SUM(J7:J15)</f>
        <v>19932.461999999996</v>
      </c>
      <c r="K16" s="275">
        <f t="shared" si="3"/>
        <v>3875.7565000000004</v>
      </c>
      <c r="L16" s="276">
        <f t="shared" si="3"/>
        <v>0</v>
      </c>
      <c r="M16" s="232">
        <f t="shared" si="3"/>
        <v>86927.681500000006</v>
      </c>
      <c r="N16" s="233">
        <f>SUM(N7:N15)</f>
        <v>20928.813559322029</v>
      </c>
      <c r="O16" s="101">
        <f>SUM(O7:O15)</f>
        <v>539.28247529661019</v>
      </c>
      <c r="P16" s="113">
        <f>SUM(P7:P15)</f>
        <v>108395.77753461862</v>
      </c>
      <c r="Q16" s="128">
        <f>SUM(Q7:Q15)</f>
        <v>220</v>
      </c>
      <c r="R16" s="314">
        <v>14</v>
      </c>
      <c r="S16" s="300" t="str">
        <f>+'14'!A6:A6</f>
        <v>Gourmet Food Militry Account</v>
      </c>
      <c r="T16" s="301">
        <f>+'14'!P35</f>
        <v>7742.5499030084757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Gourmet Food Iqbal Town</v>
      </c>
      <c r="T17" s="301">
        <f>+'15'!P35</f>
        <v>4898.3511179237294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Gourmet Food Wahdat Road</v>
      </c>
      <c r="T18" s="301">
        <f>+'16'!P35</f>
        <v>4898.3511179237294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110735.9</v>
      </c>
      <c r="R19" s="299">
        <v>17</v>
      </c>
      <c r="S19" s="300" t="str">
        <f>+'17'!A6:A6</f>
        <v>Gourmet Food Nadeem Shaheed</v>
      </c>
      <c r="T19" s="301">
        <f>+'17'!P35</f>
        <v>3476.2517253813558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19932.461999999996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3875.7565000000004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86927.681499999992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20928.813559322029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107856.49505932201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539.28247529661019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108395.77753461862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108395.77753461864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534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10008.199999999999</v>
      </c>
      <c r="J25" s="274">
        <f>SUM(J16:J24)</f>
        <v>1801.4759999999997</v>
      </c>
      <c r="K25" s="275">
        <f t="shared" si="10"/>
        <v>350.28700000000003</v>
      </c>
      <c r="L25" s="276">
        <f t="shared" si="10"/>
        <v>0</v>
      </c>
      <c r="M25" s="232">
        <f t="shared" si="10"/>
        <v>7856.4369999999999</v>
      </c>
      <c r="N25" s="233">
        <f>SUM(N16:N24)</f>
        <v>1891.5254237288132</v>
      </c>
      <c r="O25" s="101">
        <f>SUM(O16:O24)</f>
        <v>48.739812118644068</v>
      </c>
      <c r="P25" s="113">
        <f>SUM(P16:P24)</f>
        <v>9796.7022358474569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10008.199999999999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1801.4759999999997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350.28700000000003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7856.4369999999981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9747.9624237288117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48.73981211864406</v>
      </c>
    </row>
    <row r="35" spans="2:16" ht="15.75" customHeight="1" thickBot="1" x14ac:dyDescent="0.4">
      <c r="N35" s="372" t="s">
        <v>88</v>
      </c>
      <c r="O35" s="373"/>
      <c r="P35" s="297">
        <f>+P33+P34</f>
        <v>9796.7022358474551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517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519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521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3928.2184999999995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522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4197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755.45999999999992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146.89500000000001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3294.645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4087.8653389830506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72" t="s">
        <v>88</v>
      </c>
      <c r="O35" s="373"/>
      <c r="P35" s="297">
        <f>+P33+P34</f>
        <v>4108.3046656779661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1494.9152542372879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7909.7000000000007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1423.7459999999996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276.83950000000004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6209.1145000000015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7704.0297542372891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72" t="s">
        <v>88</v>
      </c>
      <c r="O35" s="373"/>
      <c r="P35" s="297">
        <f>+P33+P34</f>
        <v>7742.5499030084757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527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200</v>
      </c>
      <c r="I25" s="114">
        <f t="shared" si="7"/>
        <v>12106.699999999999</v>
      </c>
      <c r="J25" s="274">
        <f>SUM(J16:J24)</f>
        <v>2179.2059999999997</v>
      </c>
      <c r="K25" s="275">
        <f t="shared" si="7"/>
        <v>423.73450000000008</v>
      </c>
      <c r="L25" s="276">
        <f t="shared" si="7"/>
        <v>0</v>
      </c>
      <c r="M25" s="232">
        <f t="shared" si="7"/>
        <v>9503.7595000000001</v>
      </c>
      <c r="N25" s="233">
        <f>SUM(N16:N24)</f>
        <v>2288.1355932203383</v>
      </c>
      <c r="O25" s="101">
        <f>SUM(O16:O24)</f>
        <v>58.959475466101694</v>
      </c>
      <c r="P25" s="113">
        <f>SUM(P16:P24)</f>
        <v>11850.854568686438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12106.699999999999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2179.2059999999997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423.73450000000008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9503.7594999999983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11791.895093220337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58.959475466101686</v>
      </c>
    </row>
    <row r="35" spans="2:16" ht="15.75" customHeight="1" thickBot="1" x14ac:dyDescent="0.4">
      <c r="N35" s="372" t="s">
        <v>88</v>
      </c>
      <c r="O35" s="373"/>
      <c r="P35" s="297">
        <f>+P33+P34</f>
        <v>11850.854568686438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529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160</v>
      </c>
      <c r="I25" s="114">
        <f t="shared" si="7"/>
        <v>10008.199999999999</v>
      </c>
      <c r="J25" s="274">
        <f>SUM(J16:J24)</f>
        <v>1801.4759999999997</v>
      </c>
      <c r="K25" s="275">
        <f t="shared" si="7"/>
        <v>350.28700000000003</v>
      </c>
      <c r="L25" s="276">
        <f t="shared" si="7"/>
        <v>0</v>
      </c>
      <c r="M25" s="232">
        <f t="shared" si="7"/>
        <v>7856.4369999999999</v>
      </c>
      <c r="N25" s="233">
        <f>SUM(N16:N24)</f>
        <v>1891.5254237288132</v>
      </c>
      <c r="O25" s="101">
        <f>SUM(O16:O24)</f>
        <v>48.739812118644068</v>
      </c>
      <c r="P25" s="113">
        <f>SUM(P16:P24)</f>
        <v>9796.7022358474569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10008.199999999999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1801.4759999999997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350.28700000000003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7856.4369999999981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9747.9624237288117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48.73981211864406</v>
      </c>
    </row>
    <row r="35" spans="2:16" ht="15.75" customHeight="1" thickBot="1" x14ac:dyDescent="0.4">
      <c r="N35" s="372" t="s">
        <v>88</v>
      </c>
      <c r="O35" s="373"/>
      <c r="P35" s="297">
        <f>+P33+P34</f>
        <v>9796.7022358474551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531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200</v>
      </c>
      <c r="I25" s="114">
        <f t="shared" si="7"/>
        <v>12106.699999999999</v>
      </c>
      <c r="J25" s="274">
        <f>SUM(J16:J24)</f>
        <v>2179.2059999999997</v>
      </c>
      <c r="K25" s="275">
        <f t="shared" si="7"/>
        <v>423.73450000000008</v>
      </c>
      <c r="L25" s="276">
        <f t="shared" si="7"/>
        <v>0</v>
      </c>
      <c r="M25" s="232">
        <f t="shared" si="7"/>
        <v>9503.7595000000001</v>
      </c>
      <c r="N25" s="233">
        <f>SUM(N16:N24)</f>
        <v>2288.1355932203383</v>
      </c>
      <c r="O25" s="101">
        <f>SUM(O16:O24)</f>
        <v>58.959475466101694</v>
      </c>
      <c r="P25" s="113">
        <f>SUM(P16:P24)</f>
        <v>11850.854568686438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12106.699999999999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2179.2059999999997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423.73450000000008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9503.7594999999983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11791.895093220337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58.959475466101686</v>
      </c>
    </row>
    <row r="35" spans="2:16" ht="15.75" customHeight="1" thickBot="1" x14ac:dyDescent="0.4">
      <c r="N35" s="372" t="s">
        <v>88</v>
      </c>
      <c r="O35" s="373"/>
      <c r="P35" s="297">
        <f>+P33+P34</f>
        <v>11850.854568686438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8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536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538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2905.6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523.00799999999992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101.69600000000001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2280.8960000000002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2830.0485423728815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72" t="s">
        <v>88</v>
      </c>
      <c r="O35" s="373"/>
      <c r="P35" s="297">
        <f>+P33+P34</f>
        <v>2844.1987850847459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533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1494.9152542372879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7909.7000000000007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1423.7459999999996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276.83950000000004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6209.1145000000015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7704.0297542372891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72" t="s">
        <v>88</v>
      </c>
      <c r="O35" s="373"/>
      <c r="P35" s="297">
        <f>+P33+P34</f>
        <v>7742.5499030084757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540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248.59100000000001</v>
      </c>
      <c r="L25" s="276">
        <f t="shared" si="7"/>
        <v>0</v>
      </c>
      <c r="M25" s="232">
        <f t="shared" si="7"/>
        <v>5575.5409999999993</v>
      </c>
      <c r="N25" s="233">
        <f>SUM(N16:N24)</f>
        <v>1342.3728813559319</v>
      </c>
      <c r="O25" s="101">
        <f>SUM(O16:O24)</f>
        <v>34.58956940677966</v>
      </c>
      <c r="P25" s="113">
        <f>SUM(P16:P24)</f>
        <v>6952.5034507627115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7102.6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1278.4679999999998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248.59100000000001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5575.5410000000002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6917.9138813559321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34.58956940677966</v>
      </c>
    </row>
    <row r="35" spans="2:16" ht="15.75" customHeight="1" thickBot="1" x14ac:dyDescent="0.4">
      <c r="N35" s="372" t="s">
        <v>88</v>
      </c>
      <c r="O35" s="373"/>
      <c r="P35" s="297">
        <f>+P33+P34</f>
        <v>6952.5034507627115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541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1494.9152542372879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7909.7000000000007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1423.7459999999996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276.83950000000004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6209.1145000000015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7704.0297542372891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72" t="s">
        <v>88</v>
      </c>
      <c r="O35" s="373"/>
      <c r="P35" s="297">
        <f>+P33+P34</f>
        <v>7742.5499030084757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544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546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topLeftCell="A20" workbookViewId="0">
      <selection activeCell="D27" sqref="D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547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548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3551.3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639.23399999999992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124.2955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2787.7705000000001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3458.956940677966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72" t="s">
        <v>88</v>
      </c>
      <c r="O35" s="373"/>
      <c r="P35" s="297">
        <f>+P33+P34</f>
        <v>3476.2517253813558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8.7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549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501</v>
      </c>
      <c r="B4" s="392"/>
      <c r="C4" s="392"/>
      <c r="F4" s="85"/>
      <c r="G4" s="1"/>
      <c r="K4" s="393" t="s">
        <v>44</v>
      </c>
      <c r="L4" s="393"/>
      <c r="M4" s="393"/>
      <c r="N4" s="396">
        <v>46252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46251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507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507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46254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46253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2026-08-19T12:39:09Z</dcterms:modified>
</cp:coreProperties>
</file>