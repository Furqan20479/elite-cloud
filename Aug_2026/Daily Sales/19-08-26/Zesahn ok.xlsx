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348C5D6-3AFE-434B-BFEB-2AC8FF90C290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<sst xmlns="http://schemas.openxmlformats.org/spreadsheetml/2006/main" count="3978" uniqueCount="532">
  <si>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</si>
  <si>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</si>
  <si>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</si>
  <si>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</si>
  <si>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</si>
  <si>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</si>
  <si>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</si>
  <si>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</si>
  <si>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</si>
  <si>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</si>
  <si>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</si>
  <si>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</si>
  <si>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</si>
  <si>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</si>
  <si>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</si>
  <si>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</si>
  <si>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</si>
  <si>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</si>
  <si>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</si>
  <si>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</si>
  <si>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</si>
  <si>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</si>
  <si>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</si>
  <si>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</si>
  <si>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</si>
  <si>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</si>
  <si>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</si>
  <si>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</si>
  <si>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</si>
  <si>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</si>
  <si>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</si>
  <si>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</si>
  <si>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</si>
  <si>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</si>
  <si>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</si>
  <si>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</si>
  <si>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</si>
  <si>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</si>
  <si>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</si>
  <si>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</si>
  <si>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</si>
  <si>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</si>
  <si>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</si>
  <si>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</si>
  <si>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</si>
  <si>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</si>
  <si>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</si>
  <si>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</si>
  <si>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</si>
  <si>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</si>
  <si>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</si>
  <si>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</si>
  <si>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</si>
  <si>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</si>
  <si>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</si>
  <si>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</si>
  <si>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</si>
  <si>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</si>
  <si>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</si>
  <si>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</si>
  <si>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</si>
  <si>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</si>
  <si>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</si>
  <si>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</si>
  <si>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</si>
  <si>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</si>
  <si>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</si>
  <si>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</si>
  <si>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</si>
  <si>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</si>
  <si>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</si>
  <si>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</si>
  <si>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</si>
  <si>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</si>
  <si>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</si>
  <si>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</si>
  <si>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</si>
  <si>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</si>
  <si>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</si>
  <si>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</si>
  <si>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</si>
  <si>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</si>
  <si>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</si>
  <si>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</si>
  <si>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</si>
  <si>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</si>
  <si>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</si>
  <si>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</si>
  <si>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</si>
  <si>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</si>
  <si>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</si>
  <si>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</si>
  <si>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</si>
  <si>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</si>
  <si>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</si>
  <si>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</si>
  <si>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</si>
  <si>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</si>
  <si>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</si>
  <si>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</si>
  <si>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</si>
  <si>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</si>
  <si>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</si>
  <si>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</si>
  <si>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</si>
  <si>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</si>
  <si>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</si>
  <si>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</si>
  <si>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</si>
  <si>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</si>
  <si>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</si>
  <si>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</si>
  <si>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</si>
  <si>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</si>
  <si>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</si>
  <si>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</si>
  <si>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</si>
  <si>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</si>
  <si>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</si>
  <si>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</si>
  <si>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</si>
  <si>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</si>
  <si>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</si>
  <si>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</si>
  <si>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</si>
  <si>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</si>
  <si>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</si>
  <si>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</si>
  <si>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</si>
  <si>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</si>
  <si>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</si>
  <si>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</si>
  <si>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</si>
  <si>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</si>
  <si>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</si>
  <si>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</si>
  <si>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</si>
  <si>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</si>
  <si>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</si>
  <si>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</si>
  <si>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</si>
  <si>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</si>
  <si>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</si>
  <si>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</si>
  <si>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</si>
  <si>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</si>
  <si>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</si>
  <si>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</si>
  <si>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</si>
  <si>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</si>
  <si>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</si>
  <si>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</si>
  <si>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</si>
  <si>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</si>
  <si>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</si>
  <si>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</si>
  <si>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</si>
  <si>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</si>
  <si>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</si>
  <si>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</si>
  <si>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</si>
  <si>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</si>
  <si>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</si>
  <si>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</si>
  <si>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</si>
  <si>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</si>
  <si>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</si>
  <si>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</si>
  <si>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</si>
  <si>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</si>
  <si>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</si>
  <si>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</si>
  <si>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</si>
  <si>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</si>
  <si>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</si>
  <si>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</si>
  <si>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</si>
  <si>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</si>
  <si>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</si>
  <si>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</si>
  <si>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</si>
  <si>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</si>
  <si>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</si>
  <si>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</si>
  <si>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</si>
  <si>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</si>
  <si>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</si>
  <si>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</si>
  <si>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</si>
  <si>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</si>
  <si>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</si>
  <si>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</si>
  <si>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</si>
  <si>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</si>
  <si>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</si>
  <si>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</si>
  <si>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</si>
  <si>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</si>
  <si>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</si>
  <si>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</si>
  <si>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</si>
  <si>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</si>
  <si>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</si>
  <si>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</si>
  <si>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</si>
  <si>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</si>
  <si>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</si>
  <si>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</si>
  <si>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</si>
  <si>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</si>
  <si>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</si>
  <si>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</si>
  <si>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</si>
  <si>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</si>
  <si>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</si>
  <si>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</si>
  <si>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</si>
  <si>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</si>
  <si>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</si>
  <si>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</si>
  <si>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</si>
  <si>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</si>
  <si>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</si>
  <si>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</si>
  <si>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</si>
  <si>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</si>
  <si>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</si>
  <si>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</si>
  <si>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</si>
  <si>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</si>
  <si>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</si>
  <si>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</si>
  <si>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</si>
  <si>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</si>
  <si>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</si>
  <si>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</si>
  <si>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</si>
  <si>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</si>
  <si>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</si>
  <si>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</si>
  <si>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</si>
  <si>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</si>
  <si>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</si>
  <si>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</si>
  <si>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</si>
  <si>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</si>
  <si>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</si>
  <si>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</si>
  <si>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</si>
  <si>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</si>
  <si>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</si>
  <si>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</si>
  <si>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</si>
  <si>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</si>
  <si>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</si>
  <si>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</si>
  <si>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</si>
  <si>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</si>
  <si>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</si>
  <si>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</si>
  <si>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</si>
  <si>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</si>
  <si>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</si>
  <si>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</si>
  <si>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</si>
  <si>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</si>
  <si>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</si>
  <si>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</si>
  <si>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</si>
  <si>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</si>
  <si>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</si>
  <si>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</si>
  <si>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</si>
  <si>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</si>
  <si>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</si>
  <si>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</si>
  <si>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</si>
  <si>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</si>
  <si>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</si>
  <si>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</si>
  <si>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</si>
  <si>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</si>
  <si>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</si>
  <si>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</si>
  <si>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</si>
  <si>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</si>
  <si>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</si>
  <si>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</si>
  <si>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</si>
  <si>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</si>
  <si>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</si>
  <si>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</si>
  <si>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</si>
  <si>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</si>
  <si>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</si>
  <si>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</si>
  <si>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</si>
  <si>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</si>
  <si>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</si>
  <si>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</si>
  <si>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</si>
  <si>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</si>
  <si>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</si>
  <si>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</si>
  <si>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</si>
  <si>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</si>
  <si>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</si>
  <si>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</si>
  <si>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</si>
  <si>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</si>
  <si>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</si>
  <si>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</si>
  <si>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</si>
  <si>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</si>
  <si>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</si>
  <si>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</si>
  <si>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</si>
  <si>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</si>
  <si>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</si>
  <si>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</si>
  <si>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</si>
  <si>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</si>
  <si>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</si>
  <si>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</si>
  <si>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</si>
  <si>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</si>
  <si>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</si>
  <si>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</si>
  <si>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</si>
  <si>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</si>
  <si>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</si>
  <si>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</si>
  <si>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</si>
  <si>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</si>
  <si>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</si>
  <si>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</si>
  <si>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</si>
  <si>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</si>
  <si>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</si>
  <si>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</si>
  <si>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</si>
  <si>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</si>
  <si>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</si>
  <si>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</si>
  <si>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</si>
  <si>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</si>
  <si>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</si>
  <si>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</si>
  <si>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</si>
  <si>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</si>
  <si>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</si>
  <si>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</si>
  <si>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</si>
  <si>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</si>
  <si>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</si>
  <si>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</si>
  <si>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</si>
  <si>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</si>
  <si>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</si>
  <si>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</si>
  <si>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</si>
  <si>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</si>
  <si>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</si>
  <si>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</si>
  <si>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</si>
  <si>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</si>
  <si>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</si>
  <si>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</si>
  <si>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</si>
  <si>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</si>
  <si>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</si>
  <si>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</si>
  <si>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</si>
  <si>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</si>
  <si>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</si>
  <si>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</si>
  <si>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</si>
  <si>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</si>
  <si>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</si>
  <si>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</si>
  <si>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</si>
  <si>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</si>
  <si>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</si>
  <si>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</si>
  <si>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</si>
  <si>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</si>
  <si>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</si>
  <si>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</si>
  <si>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</si>
  <si>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</si>
  <si>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</si>
  <si>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</si>
  <si>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</si>
  <si>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</si>
  <si>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</si>
  <si>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</si>
  <si>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</si>
  <si>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</si>
  <si>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</si>
  <si>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</si>
  <si>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</si>
  <si>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</si>
  <si>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</si>
  <si>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</si>
  <si>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</si>
  <si>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</si>
  <si>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</si>
  <si>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</si>
  <si>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</si>
  <si>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</si>
  <si>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</si>
  <si>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</si>
  <si>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</si>
  <si>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</si>
  <si>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</si>
  <si>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</si>
  <si>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</si>
  <si>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</si>
  <si>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</si>
  <si>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</si>
  <si>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</si>
  <si>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</si>
  <si>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</si>
  <si>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</si>
  <si>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</si>
  <si>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</si>
  <si>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</si>
  <si>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</si>
  <si>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</si>
  <si>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</si>
  <si>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</si>
  <si>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</si>
  <si>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</si>
  <si>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</si>
  <si>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</si>
  <si>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</si>
  <si>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</si>
  <si>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</si>
  <si>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</si>
  <si>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</si>
  <si>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</si>
  <si>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</si>
  <si>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</si>
  <si>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</si>
  <si>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</si>
  <si>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</si>
  <si>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</si>
  <si>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</si>
  <si>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</si>
  <si>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</si>
  <si>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</si>
  <si>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</si>
  <si>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</si>
  <si>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</si>
  <si>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</si>
  <si>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</si>
  <si>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</si>
  <si>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</si>
  <si>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</si>
  <si>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</si>
  <si>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</si>
  <si>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</si>
  <si>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</si>
  <si>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</si>
  <si>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</si>
  <si>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</si>
  <si>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</si>
  <si>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</si>
  <si>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</si>
  <si>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</si>
  <si>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</si>
  <si>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</si>
  <si>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</si>
  <si>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</si>
  <si>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</si>
  <si>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</si>
  <si>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</si>
  <si>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</si>
  <si>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</si>
  <si>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</si>
  <si>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</si>
  <si>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</si>
  <si>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</si>
  <si>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</si>
  <si>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</si>
  <si>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</si>
  <si>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</si>
  <si>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</si>
  <si>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</si>
  <si>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</si>
  <si>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</si>
  <si>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</si>
  <si>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</si>
  <si>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</si>
  <si>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</si>
  <si>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</si>
  <si>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</si>
  <si>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</si>
  <si>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</si>
  <si>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</si>
  <si>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</si>
  <si>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</si>
  <si>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</si>
  <si>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</si>
  <si>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</si>
  <si>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</si>
  <si>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</si>
  <si>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</si>
  <si>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</si>
  <si>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</si>
  <si>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</si>
  <si>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</si>
  <si>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</si>
  <si>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</si>
  <si>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</si>
  <si>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Zeshan </t>
  </si>
  <si>
    <t>Nisaht Store</t>
  </si>
  <si>
    <t>Address: Nishat Colony</t>
  </si>
  <si>
    <t>Qadri Store</t>
  </si>
  <si>
    <t xml:space="preserve">Delisia Bakery </t>
  </si>
  <si>
    <t>Bilal Store</t>
  </si>
  <si>
    <t>786 Store</t>
  </si>
  <si>
    <t>Rana Store</t>
  </si>
  <si>
    <t>Chaurahi Store</t>
  </si>
  <si>
    <t>MS Store</t>
  </si>
  <si>
    <t>Khalis Store</t>
  </si>
  <si>
    <t>Khan Store</t>
  </si>
  <si>
    <t xml:space="preserve">Values Mart </t>
  </si>
  <si>
    <t xml:space="preserve">Shareef Mart </t>
  </si>
  <si>
    <t>Latif Store</t>
  </si>
  <si>
    <t>Abdullah Store</t>
  </si>
  <si>
    <t>Ali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</si>
</sst>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Q34" sqref="Q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515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511</v>
      </c>
      <c r="F3" s="358"/>
      <c r="G3" s="358"/>
      <c r="H3" s="355">
        <f ca="1">TODAY()</f>
        <v>46254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Nisaht Store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Qadri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 xml:space="preserve">Delisia Bakery 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Bilal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786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Rana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Chaurahi Store</v>
      </c>
      <c r="T9" s="301">
        <f>+'7'!P35</f>
        <v>1942.3702236203389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59</v>
      </c>
      <c r="I10" s="236">
        <f t="shared" si="0"/>
        <v>4285.76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342.86079999999998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150.00160000000002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3792.8976000000002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810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23.014488</v>
      </c>
      <c r="P10" s="311">
        <f t="shared" si="2"/>
        <v>4625.912088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4">
        <v>8</v>
      </c>
      <c r="S10" s="300" t="str">
        <f>+'8'!A6:A6</f>
        <v>MS Store</v>
      </c>
      <c r="T10" s="301">
        <f>+'8'!P35</f>
        <v>2352.1586888135594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24</v>
      </c>
      <c r="I11" s="236">
        <f t="shared" si="0"/>
        <v>1743.3600000000001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139.46880000000002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61.017600000000002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1542.8736000000001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329.49152542372883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9.3618256271186446</v>
      </c>
      <c r="P11" s="311">
        <f t="shared" si="2"/>
        <v>1881.7269510508474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15</v>
      </c>
      <c r="R11" s="314">
        <v>9</v>
      </c>
      <c r="S11" s="300" t="str">
        <f>+'9'!A6:A6</f>
        <v>Khalis Store</v>
      </c>
      <c r="T11" s="301">
        <f>+'9'!P35</f>
        <v>417.29447837288137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79</v>
      </c>
      <c r="I12" s="236">
        <f t="shared" si="0"/>
        <v>5738.56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459.08479999999997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200.84960000000001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5078.6256000000003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1084.5762711864409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30.816009355932206</v>
      </c>
      <c r="P12" s="311">
        <f t="shared" si="2"/>
        <v>6194.017880542373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90</v>
      </c>
      <c r="R12" s="314">
        <v>10</v>
      </c>
      <c r="S12" s="300" t="str">
        <f>+'10'!A6:A6</f>
        <v>Khan Store</v>
      </c>
      <c r="T12" s="301">
        <f>+'10'!P35</f>
        <v>417.29447837288137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254</v>
      </c>
      <c r="I13" s="236">
        <f t="shared" si="0"/>
        <v>9964.4200000000019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498.22100000000012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348.75470000000007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508.18541999999991</v>
      </c>
      <c r="M13" s="230">
        <f t="shared" si="1"/>
        <v>8609.2588800000012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1937.2881355932191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52.732735077966097</v>
      </c>
      <c r="P13" s="311">
        <f t="shared" si="2"/>
        <v>10599.279750671187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Values Mart </v>
      </c>
      <c r="T13" s="301">
        <f>+'11'!P35</f>
        <v>417.29447837288137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Shareef Mart </v>
      </c>
      <c r="T14" s="301">
        <f>+'12'!P35</f>
        <v>417.29447837288137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786 Store</v>
      </c>
      <c r="T15" s="301">
        <f>+'13'!P35</f>
        <v>417.29447837288137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10.9</v>
      </c>
      <c r="H16" s="113">
        <f t="shared" ref="H16:M16" si="3">SUM(H7:H15)</f>
        <v>436</v>
      </c>
      <c r="I16" s="114">
        <f t="shared" si="3"/>
        <v>22781.350000000002</v>
      </c>
      <c r="J16" s="274">
        <f>SUM(J7:J15)</f>
        <v>1523.5754000000002</v>
      </c>
      <c r="K16" s="275">
        <f t="shared" si="3"/>
        <v>797.34725000000003</v>
      </c>
      <c r="L16" s="276">
        <f t="shared" si="3"/>
        <v>508.18541999999991</v>
      </c>
      <c r="M16" s="232">
        <f t="shared" si="3"/>
        <v>19952.241930000004</v>
      </c>
      <c r="N16" s="233">
        <f>SUM(N7:N15)</f>
        <v>4359.6610169491514</v>
      </c>
      <c r="O16" s="101">
        <f>SUM(O7:O15)</f>
        <v>121.55951473474576</v>
      </c>
      <c r="P16" s="113">
        <f>SUM(P7:P15)</f>
        <v>24433.462461683899</v>
      </c>
      <c r="Q16" s="128">
        <f>SUM(Q7:Q15)</f>
        <v>120</v>
      </c>
      <c r="R16" s="314">
        <v>14</v>
      </c>
      <c r="S16" s="300" t="str">
        <f>+'14'!A6:A6</f>
        <v>Latif Store</v>
      </c>
      <c r="T16" s="301">
        <f>+'14'!P35</f>
        <v>11279.956910644067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Abdullah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Ali Store</v>
      </c>
      <c r="T18" s="301">
        <f>+'16'!P35</f>
        <v>1967.114748165254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22781.350000000002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1523.5754000000002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1305.5326700000001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19952.24193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4359.6610169491514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24311.902946949151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121.55951473474576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24433.462461683896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24433.462461683899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514</v>
      </c>
    </row>
    <row r="51" spans="2:2" x14ac:dyDescent="0.35">
      <c r="B51" t="s">
        <v>513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8.7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15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311">
        <f t="shared" si="5"/>
        <v>313.62115850847459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311">
        <f t="shared" si="5"/>
        <v>313.62115850847459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36</v>
      </c>
      <c r="I25" s="114">
        <f t="shared" si="7"/>
        <v>1813.2000000000003</v>
      </c>
      <c r="J25" s="274">
        <f>SUM(J16:J24)</f>
        <v>116.81040000000002</v>
      </c>
      <c r="K25" s="275">
        <f t="shared" si="7"/>
        <v>63.46200000000001</v>
      </c>
      <c r="L25" s="276">
        <f t="shared" si="7"/>
        <v>48.017520000000005</v>
      </c>
      <c r="M25" s="232">
        <f t="shared" si="7"/>
        <v>1584.9100800000001</v>
      </c>
      <c r="N25" s="233">
        <f>SUM(N16:N24)</f>
        <v>347.79661016949143</v>
      </c>
      <c r="O25" s="101">
        <f>SUM(O16:O24)</f>
        <v>9.6635334508474564</v>
      </c>
      <c r="P25" s="113">
        <f>SUM(P16:P24)</f>
        <v>1942.3702236203389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1813.2000000000003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116.81040000000002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111.47952000000001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1584.9100800000001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347.79661016949143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1932.7066901694916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9.6635334508474582</v>
      </c>
    </row>
    <row r="35" spans="2:16" ht="15.75" customHeight="1" thickBot="1" x14ac:dyDescent="0.4">
      <c r="N35" s="342" t="s">
        <v>88</v>
      </c>
      <c r="O35" s="343"/>
      <c r="P35" s="297">
        <f>+P33+P34</f>
        <v>1942.3702236203389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113">
        <f>SUM(P16:P24)</f>
        <v>2352.1586888135594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2179.1999999999998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174.33600000000001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76.272000000000006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1928.5919999999999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2340.4564067796609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2" t="s">
        <v>88</v>
      </c>
      <c r="O35" s="343"/>
      <c r="P35" s="297">
        <f>+P33+P34</f>
        <v>2352.1586888135594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120</v>
      </c>
      <c r="I22" s="236">
        <f t="shared" si="0"/>
        <v>4707.6000000000004</v>
      </c>
      <c r="J22" s="272">
        <f t="shared" si="1"/>
        <v>235.38000000000002</v>
      </c>
      <c r="K22" s="128">
        <f t="shared" si="1"/>
        <v>164.76600000000002</v>
      </c>
      <c r="L22" s="119">
        <f t="shared" si="1"/>
        <v>240.08760000000001</v>
      </c>
      <c r="M22" s="230">
        <f t="shared" si="2"/>
        <v>4067.3664000000003</v>
      </c>
      <c r="N22" s="277">
        <f t="shared" si="3"/>
        <v>915.25423728813507</v>
      </c>
      <c r="O22" s="239">
        <f t="shared" si="4"/>
        <v>24.913103186440676</v>
      </c>
      <c r="P22" s="311">
        <f t="shared" si="5"/>
        <v>5007.533740474576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200</v>
      </c>
      <c r="I25" s="114">
        <f t="shared" si="7"/>
        <v>10518.8</v>
      </c>
      <c r="J25" s="274">
        <f>SUM(J16:J24)</f>
        <v>700.27600000000007</v>
      </c>
      <c r="K25" s="275">
        <f t="shared" si="7"/>
        <v>368.15800000000002</v>
      </c>
      <c r="L25" s="276">
        <f t="shared" si="7"/>
        <v>240.08760000000001</v>
      </c>
      <c r="M25" s="232">
        <f t="shared" si="7"/>
        <v>9210.2784000000011</v>
      </c>
      <c r="N25" s="233">
        <f>SUM(N16:N24)</f>
        <v>2013.5593220338978</v>
      </c>
      <c r="O25" s="101">
        <f>SUM(O16:O24)</f>
        <v>56.119188610169488</v>
      </c>
      <c r="P25" s="113">
        <f>SUM(P16:P24)</f>
        <v>11279.956910644069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10518.8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700.27600000000007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608.24559999999997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9210.2783999999992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2013.5593220338978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11223.837722033897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56.119188610169488</v>
      </c>
    </row>
    <row r="35" spans="2:16" ht="15.75" customHeight="1" thickBot="1" x14ac:dyDescent="0.4">
      <c r="N35" s="342" t="s">
        <v>88</v>
      </c>
      <c r="O35" s="343"/>
      <c r="P35" s="297">
        <f>+P33+P34</f>
        <v>11279.956910644067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530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80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5" workbookViewId="0">
      <selection activeCell="G39" sqref="G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531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1833.8500000000001</v>
      </c>
      <c r="J25" s="274">
        <f>SUM(J16:J24)</f>
        <v>123.17000000000002</v>
      </c>
      <c r="K25" s="275">
        <f t="shared" si="7"/>
        <v>64.184750000000008</v>
      </c>
      <c r="L25" s="276">
        <f t="shared" si="7"/>
        <v>40.014600000000002</v>
      </c>
      <c r="M25" s="232">
        <f t="shared" si="7"/>
        <v>1606.4806500000002</v>
      </c>
      <c r="N25" s="233">
        <f>SUM(N16:N24)</f>
        <v>350.8474576271185</v>
      </c>
      <c r="O25" s="101">
        <f>SUM(O16:O24)</f>
        <v>9.7866405381355932</v>
      </c>
      <c r="P25" s="113">
        <f>SUM(P16:P24)</f>
        <v>1967.1147481652542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1833.8500000000001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123.17000000000002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104.19935000000001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1606.48065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350.8474576271185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1957.3281076271185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9.7866405381355932</v>
      </c>
    </row>
    <row r="35" spans="2:16" ht="15.75" customHeight="1" thickBot="1" x14ac:dyDescent="0.4">
      <c r="N35" s="342" t="s">
        <v>88</v>
      </c>
      <c r="O35" s="343"/>
      <c r="P35" s="297">
        <f>+P33+P34</f>
        <v>1967.114748165254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46254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2026-08-20T04:18:49Z</dcterms:modified>
</cp:coreProperties>
</file>