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15DC82F-1F8D-4AC4-8AD5-28A11908A01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<sst xmlns="http://schemas.openxmlformats.org/spreadsheetml/2006/main" count="3977" uniqueCount="520">
  <si>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</si>
  <si>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</si>
  <si>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</si>
  <si>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</si>
  <si>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</si>
  <si>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</si>
  <si>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</si>
  <si>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</si>
  <si>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</si>
  <si>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</si>
  <si>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</si>
  <si>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</si>
  <si>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</si>
  <si>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</si>
  <si>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</si>
  <si>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</si>
  <si>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</si>
  <si>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</si>
  <si>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</si>
  <si>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</si>
  <si>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</si>
  <si>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</si>
  <si>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</si>
  <si>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</si>
  <si>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</si>
  <si>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</si>
  <si>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</si>
  <si>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</si>
  <si>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</si>
  <si>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</si>
  <si>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</si>
  <si>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</si>
  <si>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</si>
  <si>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</si>
  <si>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</si>
  <si>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</si>
  <si>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</si>
  <si>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</si>
  <si>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</si>
  <si>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</si>
  <si>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</si>
  <si>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</si>
  <si>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</si>
  <si>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</si>
  <si>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</si>
  <si>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</si>
  <si>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</si>
  <si>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</si>
  <si>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</si>
  <si>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</si>
  <si>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</si>
  <si>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</si>
  <si>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</si>
  <si>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</si>
  <si>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</si>
  <si>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</si>
  <si>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</si>
  <si>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</si>
  <si>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</si>
  <si>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</si>
  <si>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</si>
  <si>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</si>
  <si>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</si>
  <si>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</si>
  <si>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</si>
  <si>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</si>
  <si>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</si>
  <si>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</si>
  <si>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</si>
  <si>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</si>
  <si>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</si>
  <si>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</si>
  <si>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</si>
  <si>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</si>
  <si>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</si>
  <si>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</si>
  <si>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</si>
  <si>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</si>
  <si>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</si>
  <si>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</si>
  <si>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</si>
  <si>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</si>
  <si>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</si>
  <si>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</si>
  <si>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</si>
  <si>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</si>
  <si>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</si>
  <si>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</si>
  <si>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</si>
  <si>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</si>
  <si>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</si>
  <si>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</si>
  <si>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</si>
  <si>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</si>
  <si>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</si>
  <si>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</si>
  <si>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</si>
  <si>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</si>
  <si>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</si>
  <si>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</si>
  <si>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</si>
  <si>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</si>
  <si>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</si>
  <si>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</si>
  <si>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</si>
  <si>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</si>
  <si>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</si>
  <si>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</si>
  <si>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</si>
  <si>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</si>
  <si>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</si>
  <si>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</si>
  <si>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</si>
  <si>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</si>
  <si>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</si>
  <si>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</si>
  <si>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</si>
  <si>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</si>
  <si>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</si>
  <si>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</si>
  <si>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</si>
  <si>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</si>
  <si>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</si>
  <si>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</si>
  <si>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</si>
  <si>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</si>
  <si>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</si>
  <si>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</si>
  <si>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</si>
  <si>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</si>
  <si>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</si>
  <si>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</si>
  <si>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</si>
  <si>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</si>
  <si>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</si>
  <si>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</si>
  <si>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</si>
  <si>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</si>
  <si>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</si>
  <si>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</si>
  <si>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</si>
  <si>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</si>
  <si>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</si>
  <si>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</si>
  <si>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</si>
  <si>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</si>
  <si>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</si>
  <si>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</si>
  <si>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</si>
  <si>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</si>
  <si>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</si>
  <si>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</si>
  <si>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</si>
  <si>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</si>
  <si>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</si>
  <si>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</si>
  <si>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</si>
  <si>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</si>
  <si>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</si>
  <si>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</si>
  <si>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</si>
  <si>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</si>
  <si>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</si>
  <si>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</si>
  <si>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</si>
  <si>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</si>
  <si>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</si>
  <si>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</si>
  <si>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</si>
  <si>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</si>
  <si>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</si>
  <si>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</si>
  <si>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</si>
  <si>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</si>
  <si>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</si>
  <si>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</si>
  <si>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</si>
  <si>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</si>
  <si>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</si>
  <si>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</si>
  <si>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</si>
  <si>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</si>
  <si>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</si>
  <si>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</si>
  <si>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</si>
  <si>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</si>
  <si>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</si>
  <si>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</si>
  <si>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</si>
  <si>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</si>
  <si>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</si>
  <si>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</si>
  <si>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</si>
  <si>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</si>
  <si>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</si>
  <si>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</si>
  <si>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</si>
  <si>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</si>
  <si>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</si>
  <si>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</si>
  <si>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</si>
  <si>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</si>
  <si>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</si>
  <si>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</si>
  <si>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</si>
  <si>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</si>
  <si>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</si>
  <si>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</si>
  <si>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</si>
  <si>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</si>
  <si>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</si>
  <si>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</si>
  <si>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</si>
  <si>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</si>
  <si>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</si>
  <si>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</si>
  <si>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</si>
  <si>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</si>
  <si>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</si>
  <si>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</si>
  <si>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</si>
  <si>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</si>
  <si>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</si>
  <si>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</si>
  <si>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</si>
  <si>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</si>
  <si>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</si>
  <si>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</si>
  <si>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</si>
  <si>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</si>
  <si>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</si>
  <si>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</si>
  <si>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</si>
  <si>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</si>
  <si>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</si>
  <si>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</si>
  <si>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</si>
  <si>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</si>
  <si>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</si>
  <si>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</si>
  <si>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</si>
  <si>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</si>
  <si>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</si>
  <si>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</si>
  <si>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</si>
  <si>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</si>
  <si>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</si>
  <si>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</si>
  <si>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</si>
  <si>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</si>
  <si>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</si>
  <si>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</si>
  <si>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</si>
  <si>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</si>
  <si>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</si>
  <si>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</si>
  <si>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</si>
  <si>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</si>
  <si>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</si>
  <si>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</si>
  <si>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</si>
  <si>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</si>
  <si>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</si>
  <si>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</si>
  <si>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</si>
  <si>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</si>
  <si>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</si>
  <si>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</si>
  <si>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</si>
  <si>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</si>
  <si>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</si>
  <si>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</si>
  <si>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</si>
  <si>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</si>
  <si>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</si>
  <si>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</si>
  <si>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</si>
  <si>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</si>
  <si>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</si>
  <si>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</si>
  <si>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</si>
  <si>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</si>
  <si>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</si>
  <si>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</si>
  <si>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</si>
  <si>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</si>
  <si>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</si>
  <si>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</si>
  <si>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</si>
  <si>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</si>
  <si>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</si>
  <si>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</si>
  <si>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</si>
  <si>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</si>
  <si>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</si>
  <si>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</si>
  <si>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</si>
  <si>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</si>
  <si>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</si>
  <si>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</si>
  <si>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</si>
  <si>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</si>
  <si>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</si>
  <si>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</si>
  <si>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</si>
  <si>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</si>
  <si>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</si>
  <si>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</si>
  <si>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</si>
  <si>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</si>
  <si>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</si>
  <si>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</si>
  <si>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</si>
  <si>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</si>
  <si>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</si>
  <si>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</si>
  <si>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</si>
  <si>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</si>
  <si>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</si>
  <si>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</si>
  <si>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</si>
  <si>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</si>
  <si>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</si>
  <si>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</si>
  <si>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</si>
  <si>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</si>
  <si>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</si>
  <si>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</si>
  <si>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</si>
  <si>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</si>
  <si>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</si>
  <si>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</si>
  <si>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</si>
  <si>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</si>
  <si>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</si>
  <si>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</si>
  <si>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</si>
  <si>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</si>
  <si>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</si>
  <si>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</si>
  <si>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</si>
  <si>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</si>
  <si>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</si>
  <si>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</si>
  <si>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</si>
  <si>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</si>
  <si>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</si>
  <si>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</si>
  <si>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</si>
  <si>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</si>
  <si>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</si>
  <si>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</si>
  <si>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</si>
  <si>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</si>
  <si>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</si>
  <si>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</si>
  <si>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</si>
  <si>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</si>
  <si>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</si>
  <si>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</si>
  <si>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</si>
  <si>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</si>
  <si>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</si>
  <si>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</si>
  <si>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</si>
  <si>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</si>
  <si>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</si>
  <si>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</si>
  <si>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</si>
  <si>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</si>
  <si>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</si>
  <si>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</si>
  <si>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</si>
  <si>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</si>
  <si>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</si>
  <si>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</si>
  <si>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</si>
  <si>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</si>
  <si>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</si>
  <si>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</si>
  <si>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</si>
  <si>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</si>
  <si>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</si>
  <si>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</si>
  <si>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</si>
  <si>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</si>
  <si>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</si>
  <si>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</si>
  <si>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</si>
  <si>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</si>
  <si>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</si>
  <si>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</si>
  <si>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</si>
  <si>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</si>
  <si>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</si>
  <si>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</si>
  <si>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</si>
  <si>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</si>
  <si>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</si>
  <si>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</si>
  <si>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</si>
  <si>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</si>
  <si>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</si>
  <si>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</si>
  <si>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</si>
  <si>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</si>
  <si>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</si>
  <si>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</si>
  <si>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</si>
  <si>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</si>
  <si>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</si>
  <si>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</si>
  <si>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</si>
  <si>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</si>
  <si>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</si>
  <si>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</si>
  <si>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</si>
  <si>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</si>
  <si>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</si>
  <si>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</si>
  <si>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</si>
  <si>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</si>
  <si>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</si>
  <si>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</si>
  <si>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</si>
  <si>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</si>
  <si>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</si>
  <si>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</si>
  <si>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</si>
  <si>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</si>
  <si>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</si>
  <si>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</si>
  <si>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</si>
  <si>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</si>
  <si>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</si>
  <si>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</si>
  <si>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</si>
  <si>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</si>
  <si>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</si>
  <si>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</si>
  <si>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</si>
  <si>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</si>
  <si>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</si>
  <si>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</si>
  <si>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</si>
  <si>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</si>
  <si>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</si>
  <si>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</si>
  <si>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</si>
  <si>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</si>
  <si>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</si>
  <si>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</si>
  <si>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</si>
  <si>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</si>
  <si>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</si>
  <si>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</si>
  <si>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</si>
  <si>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</si>
  <si>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</si>
  <si>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</si>
  <si>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</si>
  <si>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</si>
  <si>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</si>
  <si>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</si>
  <si>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</si>
  <si>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</si>
  <si>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</si>
  <si>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</si>
  <si>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</si>
  <si>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</si>
  <si>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</si>
  <si>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</si>
  <si>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</si>
  <si>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</si>
  <si>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</si>
  <si>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</si>
  <si>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</si>
  <si>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</si>
  <si>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</si>
  <si>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</si>
  <si>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</si>
  <si>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</si>
  <si>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</si>
  <si>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</si>
  <si>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</si>
  <si>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</si>
  <si>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</si>
  <si>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</si>
  <si>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</si>
  <si>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</si>
  <si>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</si>
  <si>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</si>
  <si>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</si>
  <si>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</si>
  <si>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</si>
  <si>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</si>
  <si>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</si>
  <si>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</si>
  <si>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</si>
  <si>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</si>
  <si>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</si>
  <si>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</si>
  <si>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</si>
  <si>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</si>
  <si>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</si>
  <si>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</si>
  <si>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</si>
  <si>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</si>
  <si>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</si>
  <si>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</si>
  <si>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</si>
  <si>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</si>
  <si>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</si>
  <si>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</si>
  <si>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</si>
  <si>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</si>
  <si>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</si>
  <si>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</si>
  <si>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Shalimar </t>
  </si>
  <si>
    <t>Address: Sadar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</si>
</sst>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Shalimar </v>
      </c>
      <c r="T3" s="301">
        <f>+'1'!P35</f>
        <v>18291.646470508473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639.23199999999997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4968.576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30.334405423728814</v>
      </c>
      <c r="P10" s="311">
        <f t="shared" si="2"/>
        <v>6097.2154901694912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639.23199999999997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4968.576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30.334405423728814</v>
      </c>
      <c r="P11" s="311">
        <f t="shared" si="2"/>
        <v>6097.2154901694912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639.23199999999997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4968.576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30.334405423728814</v>
      </c>
      <c r="P12" s="311">
        <f t="shared" si="2"/>
        <v>6097.2154901694912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</v>
      </c>
      <c r="H16" s="113">
        <f t="shared" ref="H16:M16" si="3">SUM(H7:H15)</f>
        <v>240</v>
      </c>
      <c r="I16" s="114">
        <f t="shared" si="3"/>
        <v>17433.599999999999</v>
      </c>
      <c r="J16" s="274">
        <f>SUM(J7:J15)</f>
        <v>1917.6959999999999</v>
      </c>
      <c r="K16" s="275">
        <f t="shared" si="3"/>
        <v>610.17600000000004</v>
      </c>
      <c r="L16" s="276">
        <f t="shared" si="3"/>
        <v>0</v>
      </c>
      <c r="M16" s="232">
        <f t="shared" si="3"/>
        <v>14905.727999999999</v>
      </c>
      <c r="N16" s="233">
        <f>SUM(N7:N15)</f>
        <v>3294.9152542372885</v>
      </c>
      <c r="O16" s="101">
        <f>SUM(O7:O15)</f>
        <v>91.003216271186446</v>
      </c>
      <c r="P16" s="113">
        <f>SUM(P7:P15)</f>
        <v>18291.646470508473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17433.599999999999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1917.6959999999999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610.17600000000004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14905.727999999999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3294.9152542372885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18200.643254237286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91.003216271186446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18291.646470508473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18291.646470508473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509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639.23199999999997</v>
      </c>
      <c r="K19" s="128">
        <f t="shared" si="1"/>
        <v>203.39200000000002</v>
      </c>
      <c r="L19" s="119">
        <f t="shared" si="1"/>
        <v>0</v>
      </c>
      <c r="M19" s="230">
        <f t="shared" si="2"/>
        <v>4968.576</v>
      </c>
      <c r="N19" s="277">
        <f t="shared" si="3"/>
        <v>1098.3050847457628</v>
      </c>
      <c r="O19" s="239">
        <f t="shared" si="4"/>
        <v>30.334405423728814</v>
      </c>
      <c r="P19" s="311">
        <f t="shared" si="5"/>
        <v>6097.2154901694912</v>
      </c>
      <c r="Q19" s="156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639.23199999999997</v>
      </c>
      <c r="K20" s="128">
        <f t="shared" si="1"/>
        <v>203.39200000000002</v>
      </c>
      <c r="L20" s="119">
        <f t="shared" si="1"/>
        <v>0</v>
      </c>
      <c r="M20" s="230">
        <f t="shared" si="2"/>
        <v>4968.576</v>
      </c>
      <c r="N20" s="277">
        <f t="shared" si="3"/>
        <v>1098.3050847457628</v>
      </c>
      <c r="O20" s="239">
        <f t="shared" si="4"/>
        <v>30.334405423728814</v>
      </c>
      <c r="P20" s="311">
        <f t="shared" si="5"/>
        <v>6097.2154901694912</v>
      </c>
      <c r="Q20" s="156"/>
      <c r="R20">
        <f>P20/21</f>
        <v>290.34359476997577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639.23199999999997</v>
      </c>
      <c r="K21" s="128">
        <f t="shared" si="1"/>
        <v>203.39200000000002</v>
      </c>
      <c r="L21" s="119">
        <f t="shared" si="1"/>
        <v>0</v>
      </c>
      <c r="M21" s="230">
        <f t="shared" si="2"/>
        <v>4968.576</v>
      </c>
      <c r="N21" s="277">
        <f t="shared" si="3"/>
        <v>1098.3050847457628</v>
      </c>
      <c r="O21" s="239">
        <f t="shared" si="4"/>
        <v>30.334405423728814</v>
      </c>
      <c r="P21" s="311">
        <f t="shared" si="5"/>
        <v>6097.2154901694912</v>
      </c>
      <c r="Q21" s="156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17433.599999999999</v>
      </c>
      <c r="J25" s="274">
        <f>SUM(J16:J24)</f>
        <v>1917.6959999999999</v>
      </c>
      <c r="K25" s="275">
        <f t="shared" si="10"/>
        <v>610.17600000000004</v>
      </c>
      <c r="L25" s="276">
        <f t="shared" si="10"/>
        <v>0</v>
      </c>
      <c r="M25" s="232">
        <f t="shared" si="10"/>
        <v>14905.727999999999</v>
      </c>
      <c r="N25" s="233">
        <f>SUM(N16:N24)</f>
        <v>3294.9152542372885</v>
      </c>
      <c r="O25" s="101">
        <f>SUM(O16:O24)</f>
        <v>91.003216271186446</v>
      </c>
      <c r="P25" s="113">
        <f>SUM(P16:P24)</f>
        <v>18291.646470508473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17433.599999999999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1917.6959999999999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610.17600000000004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14905.727999999999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18200.643254237286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91.003216271186432</v>
      </c>
    </row>
    <row r="35" spans="2:16" ht="15.75" customHeight="1" thickBot="1" x14ac:dyDescent="0.4">
      <c r="N35" s="371" t="s">
        <v>88</v>
      </c>
      <c r="O35" s="372"/>
      <c r="P35" s="297">
        <f>+P33+P34</f>
        <v>18291.646470508473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2026-08-18T12:04:01Z</dcterms:modified>
</cp:coreProperties>
</file>