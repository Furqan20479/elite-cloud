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B435087-BA4E-4E3B-ACE5-22D13B0562DD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16" i="44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<sst xmlns="http://schemas.openxmlformats.org/spreadsheetml/2006/main" count="3978" uniqueCount="533">
  <si>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</si>
  <si>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</si>
  <si>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</si>
  <si>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</si>
  <si>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</si>
  <si>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</si>
  <si>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</si>
  <si>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</si>
  <si>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</si>
  <si>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</si>
  <si>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</si>
  <si>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</si>
  <si>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</si>
  <si>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</si>
  <si>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</si>
  <si>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</si>
  <si>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</si>
  <si>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</si>
  <si>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</si>
  <si>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</si>
  <si>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</si>
  <si>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</si>
  <si>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</si>
  <si>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</si>
  <si>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</si>
  <si>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</si>
  <si>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</si>
  <si>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</si>
  <si>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</si>
  <si>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</si>
  <si>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</si>
  <si>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</si>
  <si>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</si>
  <si>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</si>
  <si>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</si>
  <si>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</si>
  <si>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</si>
  <si>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</si>
  <si>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</si>
  <si>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</si>
  <si>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</si>
  <si>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</si>
  <si>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</si>
  <si>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</si>
  <si>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</si>
  <si>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</si>
  <si>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</si>
  <si>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</si>
  <si>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</si>
  <si>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</si>
  <si>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</si>
  <si>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</si>
  <si>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</si>
  <si>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</si>
  <si>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</si>
  <si>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</si>
  <si>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</si>
  <si>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</si>
  <si>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</si>
  <si>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</si>
  <si>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</si>
  <si>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</si>
  <si>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</si>
  <si>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</si>
  <si>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</si>
  <si>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</si>
  <si>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</si>
  <si>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</si>
  <si>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</si>
  <si>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</si>
  <si>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</si>
  <si>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</si>
  <si>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</si>
  <si>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</si>
  <si>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</si>
  <si>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</si>
  <si>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</si>
  <si>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</si>
  <si>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</si>
  <si>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</si>
  <si>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</si>
  <si>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</si>
  <si>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</si>
  <si>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</si>
  <si>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</si>
  <si>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</si>
  <si>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</si>
  <si>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</si>
  <si>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</si>
  <si>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</si>
  <si>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</si>
  <si>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</si>
  <si>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</si>
  <si>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</si>
  <si>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</si>
  <si>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</si>
  <si>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</si>
  <si>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</si>
  <si>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</si>
  <si>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</si>
  <si>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</si>
  <si>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</si>
  <si>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</si>
  <si>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</si>
  <si>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</si>
  <si>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</si>
  <si>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</si>
  <si>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</si>
  <si>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</si>
  <si>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</si>
  <si>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</si>
  <si>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</si>
  <si>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</si>
  <si>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</si>
  <si>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</si>
  <si>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</si>
  <si>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</si>
  <si>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</si>
  <si>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</si>
  <si>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</si>
  <si>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</si>
  <si>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</si>
  <si>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</si>
  <si>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</si>
  <si>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</si>
  <si>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</si>
  <si>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</si>
  <si>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</si>
  <si>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</si>
  <si>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</si>
  <si>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</si>
  <si>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</si>
  <si>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</si>
  <si>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</si>
  <si>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</si>
  <si>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</si>
  <si>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</si>
  <si>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</si>
  <si>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</si>
  <si>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</si>
  <si>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</si>
  <si>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</si>
  <si>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</si>
  <si>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</si>
  <si>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</si>
  <si>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</si>
  <si>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</si>
  <si>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</si>
  <si>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</si>
  <si>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</si>
  <si>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</si>
  <si>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</si>
  <si>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</si>
  <si>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</si>
  <si>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</si>
  <si>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</si>
  <si>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</si>
  <si>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</si>
  <si>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</si>
  <si>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</si>
  <si>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</si>
  <si>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</si>
  <si>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</si>
  <si>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</si>
  <si>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</si>
  <si>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</si>
  <si>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</si>
  <si>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</si>
  <si>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</si>
  <si>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</si>
  <si>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</si>
  <si>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</si>
  <si>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</si>
  <si>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</si>
  <si>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</si>
  <si>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</si>
  <si>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</si>
  <si>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</si>
  <si>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</si>
  <si>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</si>
  <si>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</si>
  <si>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</si>
  <si>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</si>
  <si>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</si>
  <si>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</si>
  <si>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</si>
  <si>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</si>
  <si>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</si>
  <si>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</si>
  <si>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</si>
  <si>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</si>
  <si>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</si>
  <si>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</si>
  <si>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</si>
  <si>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</si>
  <si>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</si>
  <si>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</si>
  <si>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</si>
  <si>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</si>
  <si>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</si>
  <si>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</si>
  <si>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</si>
  <si>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</si>
  <si>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</si>
  <si>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</si>
  <si>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</si>
  <si>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</si>
  <si>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</si>
  <si>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</si>
  <si>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</si>
  <si>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</si>
  <si>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</si>
  <si>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</si>
  <si>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</si>
  <si>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</si>
  <si>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</si>
  <si>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</si>
  <si>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</si>
  <si>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</si>
  <si>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</si>
  <si>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</si>
  <si>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</si>
  <si>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</si>
  <si>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</si>
  <si>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</si>
  <si>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</si>
  <si>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</si>
  <si>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</si>
  <si>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</si>
  <si>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</si>
  <si>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</si>
  <si>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</si>
  <si>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</si>
  <si>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</si>
  <si>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</si>
  <si>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</si>
  <si>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</si>
  <si>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</si>
  <si>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</si>
  <si>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</si>
  <si>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</si>
  <si>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</si>
  <si>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</si>
  <si>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</si>
  <si>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</si>
  <si>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</si>
  <si>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</si>
  <si>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</si>
  <si>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</si>
  <si>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</si>
  <si>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</si>
  <si>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</si>
  <si>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</si>
  <si>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</si>
  <si>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</si>
  <si>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</si>
  <si>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</si>
  <si>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</si>
  <si>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</si>
  <si>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</si>
  <si>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</si>
  <si>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</si>
  <si>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</si>
  <si>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</si>
  <si>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</si>
  <si>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</si>
  <si>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</si>
  <si>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</si>
  <si>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</si>
  <si>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</si>
  <si>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</si>
  <si>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</si>
  <si>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</si>
  <si>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</si>
  <si>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</si>
  <si>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</si>
  <si>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</si>
  <si>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</si>
  <si>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</si>
  <si>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</si>
  <si>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</si>
  <si>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</si>
  <si>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</si>
  <si>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</si>
  <si>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</si>
  <si>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</si>
  <si>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</si>
  <si>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</si>
  <si>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</si>
  <si>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</si>
  <si>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</si>
  <si>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</si>
  <si>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</si>
  <si>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</si>
  <si>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</si>
  <si>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</si>
  <si>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</si>
  <si>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</si>
  <si>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</si>
  <si>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</si>
  <si>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</si>
  <si>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</si>
  <si>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</si>
  <si>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</si>
  <si>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</si>
  <si>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</si>
  <si>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</si>
  <si>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</si>
  <si>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</si>
  <si>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</si>
  <si>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</si>
  <si>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</si>
  <si>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</si>
  <si>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</si>
  <si>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</si>
  <si>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</si>
  <si>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</si>
  <si>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</si>
  <si>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</si>
  <si>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</si>
  <si>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</si>
  <si>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</si>
  <si>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</si>
  <si>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</si>
  <si>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</si>
  <si>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</si>
  <si>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</si>
  <si>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</si>
  <si>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</si>
  <si>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</si>
  <si>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</si>
  <si>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</si>
  <si>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</si>
  <si>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</si>
  <si>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</si>
  <si>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</si>
  <si>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</si>
  <si>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</si>
  <si>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</si>
  <si>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</si>
  <si>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</si>
  <si>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</si>
  <si>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</si>
  <si>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</si>
  <si>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</si>
  <si>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</si>
  <si>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</si>
  <si>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</si>
  <si>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</si>
  <si>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</si>
  <si>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</si>
  <si>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</si>
  <si>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</si>
  <si>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</si>
  <si>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</si>
  <si>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</si>
  <si>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</si>
  <si>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</si>
  <si>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</si>
  <si>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</si>
  <si>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</si>
  <si>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</si>
  <si>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</si>
  <si>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</si>
  <si>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</si>
  <si>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</si>
  <si>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</si>
  <si>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</si>
  <si>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</si>
  <si>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</si>
  <si>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</si>
  <si>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</si>
  <si>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</si>
  <si>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</si>
  <si>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</si>
  <si>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</si>
  <si>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</si>
  <si>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</si>
  <si>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</si>
  <si>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</si>
  <si>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</si>
  <si>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</si>
  <si>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</si>
  <si>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</si>
  <si>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</si>
  <si>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</si>
  <si>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</si>
  <si>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</si>
  <si>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</si>
  <si>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</si>
  <si>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</si>
  <si>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</si>
  <si>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</si>
  <si>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</si>
  <si>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</si>
  <si>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</si>
  <si>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</si>
  <si>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</si>
  <si>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</si>
  <si>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</si>
  <si>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</si>
  <si>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</si>
  <si>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</si>
  <si>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</si>
  <si>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</si>
  <si>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</si>
  <si>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</si>
  <si>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</si>
  <si>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</si>
  <si>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</si>
  <si>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</si>
  <si>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</si>
  <si>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</si>
  <si>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</si>
  <si>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</si>
  <si>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</si>
  <si>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</si>
  <si>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</si>
  <si>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</si>
  <si>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</si>
  <si>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</si>
  <si>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</si>
  <si>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</si>
  <si>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</si>
  <si>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</si>
  <si>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</si>
  <si>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</si>
  <si>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</si>
  <si>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</si>
  <si>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</si>
  <si>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</si>
  <si>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</si>
  <si>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</si>
  <si>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</si>
  <si>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</si>
  <si>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</si>
  <si>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</si>
  <si>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</si>
  <si>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</si>
  <si>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</si>
  <si>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</si>
  <si>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</si>
  <si>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</si>
  <si>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</si>
  <si>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</si>
  <si>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</si>
  <si>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</si>
  <si>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</si>
  <si>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</si>
  <si>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</si>
  <si>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</si>
  <si>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</si>
  <si>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</si>
  <si>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</si>
  <si>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</si>
  <si>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</si>
  <si>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</si>
  <si>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</si>
  <si>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</si>
  <si>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</si>
  <si>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</si>
  <si>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</si>
  <si>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</si>
  <si>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</si>
  <si>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</si>
  <si>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</si>
  <si>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</si>
  <si>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</si>
  <si>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</si>
  <si>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</si>
  <si>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</si>
  <si>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</si>
  <si>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</si>
  <si>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</si>
  <si>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</si>
  <si>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</si>
  <si>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</si>
  <si>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</si>
  <si>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</si>
  <si>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</si>
  <si>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</si>
  <si>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</si>
  <si>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</si>
  <si>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</si>
  <si>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</si>
  <si>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</si>
  <si>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</si>
  <si>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</si>
  <si>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</si>
  <si>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</si>
  <si>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</si>
  <si>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</si>
  <si>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</si>
  <si>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</si>
  <si>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</si>
  <si>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</si>
  <si>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</si>
  <si>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</si>
  <si>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</si>
  <si>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</si>
  <si>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</si>
  <si>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</si>
  <si>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</si>
  <si>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</si>
  <si>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</si>
  <si>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</si>
  <si>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</si>
  <si>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</si>
  <si>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</si>
  <si>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</si>
  <si>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</si>
  <si>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</si>
  <si>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</si>
  <si>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</si>
  <si>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</si>
  <si>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</si>
  <si>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</si>
  <si>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Kamal Store</t>
  </si>
  <si>
    <t xml:space="preserve">Address: Canal Park </t>
  </si>
  <si>
    <t>Fatima Mini Mart</t>
  </si>
  <si>
    <t>Yousaf Store</t>
  </si>
  <si>
    <t xml:space="preserve">Address:Canal Park </t>
  </si>
  <si>
    <t>Khalid Store</t>
  </si>
  <si>
    <t>SM Mart</t>
  </si>
  <si>
    <t xml:space="preserve">Address: Gulberg </t>
  </si>
  <si>
    <t xml:space="preserve">Manchiz Mart </t>
  </si>
  <si>
    <t xml:space="preserve">Bismillah Rise </t>
  </si>
  <si>
    <t xml:space="preserve">Kanza Bakers </t>
  </si>
  <si>
    <t>Address: Gullberg</t>
  </si>
  <si>
    <t>Umair Bakery</t>
  </si>
  <si>
    <t>Ali Store</t>
  </si>
  <si>
    <t xml:space="preserve">Address: Sami Town </t>
  </si>
  <si>
    <t>Usama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</si>
</sst>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Kamal Store</v>
      </c>
      <c r="T3" s="301">
        <f>+'1'!P35</f>
        <v>2430.5684255656784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Fatima Mini Mart</v>
      </c>
      <c r="T4" s="301">
        <f>+'2'!P35</f>
        <v>250.37668702372881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Yousaf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Khalid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42</v>
      </c>
      <c r="I7" s="235">
        <f>(G7*D7)*F7+H7*F7</f>
        <v>2203.4249999999997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176.274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77.119874999999993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1950.0311249999997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416.44067796610159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11.832359014830507</v>
      </c>
      <c r="P7" s="310">
        <f>M7+N7+O7</f>
        <v>2378.3041619809319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7</v>
      </c>
      <c r="R7" s="314">
        <v>5</v>
      </c>
      <c r="S7" s="300" t="str">
        <f>+'5'!A6:A6</f>
        <v>SM Mart</v>
      </c>
      <c r="T7" s="301">
        <f>+'5'!P35</f>
        <v>3397.5773742584738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42</v>
      </c>
      <c r="I8" s="236">
        <f t="shared" ref="I8:I14" si="0">(G8*D8)*F8+H8*F8</f>
        <v>2203.4249999999997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176.274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77.119874999999993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1950.0311249999997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416.44067796610159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11.832359014830507</v>
      </c>
      <c r="P8" s="311">
        <f t="shared" ref="P8:P15" si="2">M8+N8+O8</f>
        <v>2378.3041619809319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7</v>
      </c>
      <c r="R8" s="314">
        <v>6</v>
      </c>
      <c r="S8" s="300" t="str">
        <f>+'6'!A6:A6</f>
        <v xml:space="preserve">Manchiz Mart </v>
      </c>
      <c r="T8" s="301">
        <f>+'6'!P35</f>
        <v>2352.1586888135594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42</v>
      </c>
      <c r="I9" s="236">
        <f t="shared" si="0"/>
        <v>2203.4249999999997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176.274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77.119874999999993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1950.0311249999997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416.44067796610159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11.832359014830507</v>
      </c>
      <c r="P9" s="311">
        <f t="shared" si="2"/>
        <v>2378.3041619809319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7</v>
      </c>
      <c r="R9" s="314">
        <v>7</v>
      </c>
      <c r="S9" s="300" t="str">
        <f>+'7'!A6:A6</f>
        <v xml:space="preserve">Bismillah Rise </v>
      </c>
      <c r="T9" s="301">
        <f>+'7'!P35</f>
        <v>500.75337404745761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7</v>
      </c>
      <c r="R10" s="314">
        <v>8</v>
      </c>
      <c r="S10" s="300" t="str">
        <f>+'8'!A6:A6</f>
        <v xml:space="preserve">Kanza Bakers </v>
      </c>
      <c r="T10" s="301">
        <f>+'8'!P35</f>
        <v>2116.0831655021184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37</v>
      </c>
      <c r="I11" s="236">
        <f t="shared" si="0"/>
        <v>2687.68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215.01440000000002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94.06880000000001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2378.5967999999998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507.96610169491532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14.432814508474578</v>
      </c>
      <c r="P11" s="311">
        <f t="shared" si="2"/>
        <v>2900.9957162033897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</v>
      </c>
      <c r="R11" s="314">
        <v>9</v>
      </c>
      <c r="S11" s="300" t="str">
        <f>+'9'!A6:A6</f>
        <v>Umair Bakery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32</v>
      </c>
      <c r="I12" s="236">
        <f t="shared" si="0"/>
        <v>2324.48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185.95840000000004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81.356800000000007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2057.1648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439.32203389830511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12.482434169491526</v>
      </c>
      <c r="P12" s="311">
        <f t="shared" si="2"/>
        <v>2508.9692680677967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</v>
      </c>
      <c r="R12" s="314">
        <v>10</v>
      </c>
      <c r="S12" s="300" t="str">
        <f>+'10'!A6:A6</f>
        <v>Ali Store</v>
      </c>
      <c r="T12" s="301">
        <f>+'10'!P35</f>
        <v>1340.4725562947035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33</v>
      </c>
      <c r="I13" s="236">
        <f t="shared" si="0"/>
        <v>1294.5900000000001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64.729500000000016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45.31065000000001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66.024090000000001</v>
      </c>
      <c r="M13" s="230">
        <f t="shared" si="1"/>
        <v>1118.52576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251.69491525423715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6.8511033762711859</v>
      </c>
      <c r="P13" s="311">
        <f t="shared" si="2"/>
        <v>1377.0717786305083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6</v>
      </c>
      <c r="R13" s="314">
        <v>11</v>
      </c>
      <c r="S13" s="300" t="str">
        <f>+'11'!A6:A6</f>
        <v>Usama Store</v>
      </c>
      <c r="T13" s="301">
        <f>+'11'!P35</f>
        <v>1533.9589773387713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6.7</v>
      </c>
      <c r="H16" s="113">
        <f t="shared" ref="H16:M16" si="3">SUM(H7:H15)</f>
        <v>268</v>
      </c>
      <c r="I16" s="114">
        <f t="shared" si="3"/>
        <v>15822.625</v>
      </c>
      <c r="J16" s="274">
        <f>SUM(J7:J15)</f>
        <v>1226.9722999999999</v>
      </c>
      <c r="K16" s="275">
        <f t="shared" si="3"/>
        <v>553.79187500000012</v>
      </c>
      <c r="L16" s="276">
        <f t="shared" si="3"/>
        <v>66.024090000000001</v>
      </c>
      <c r="M16" s="232">
        <f t="shared" si="3"/>
        <v>13975.836734999999</v>
      </c>
      <c r="N16" s="233">
        <f>SUM(N7:N15)</f>
        <v>2997.4576271186434</v>
      </c>
      <c r="O16" s="101">
        <f>SUM(O7:O15)</f>
        <v>84.866471810593211</v>
      </c>
      <c r="P16" s="113">
        <f>SUM(P7:P15)</f>
        <v>17058.160833929236</v>
      </c>
      <c r="Q16" s="128">
        <f>SUM(Q7:Q15)</f>
        <v>42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15822.625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1226.9722999999999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619.81596500000012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13975.836735000001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2997.4576271186434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16973.294362118642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84.866471810593211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17058.160833929236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17058.160833929236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ref="I18:I21" si="7">(G18*D18)*F18+H18*F18</f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36</v>
      </c>
      <c r="I25" s="114">
        <f t="shared" ref="I25:M25" si="10">SUM(I16:I24)</f>
        <v>2251.8450000000003</v>
      </c>
      <c r="J25" s="274">
        <f>SUM(J16:J24)</f>
        <v>180.14759999999998</v>
      </c>
      <c r="K25" s="275">
        <f t="shared" si="10"/>
        <v>78.814575000000005</v>
      </c>
      <c r="L25" s="276">
        <f t="shared" si="10"/>
        <v>0</v>
      </c>
      <c r="M25" s="232">
        <f t="shared" si="10"/>
        <v>1992.8828249999999</v>
      </c>
      <c r="N25" s="233">
        <f>SUM(N16:N24)</f>
        <v>425.59322033898309</v>
      </c>
      <c r="O25" s="101">
        <f>SUM(O16:O24)</f>
        <v>12.092380226694914</v>
      </c>
      <c r="P25" s="113">
        <f>SUM(P16:P24)</f>
        <v>2430.5684255656779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2251.8450000000003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180.14759999999998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78.814575000000005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1992.8828250000004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425.59322033898309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2418.4760453389836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12.092380226694917</v>
      </c>
    </row>
    <row r="35" spans="2:16" ht="15.75" customHeight="1" thickBot="1" x14ac:dyDescent="0.4">
      <c r="N35" s="342" t="s">
        <v>88</v>
      </c>
      <c r="O35" s="343"/>
      <c r="P35" s="297">
        <f>+P33+P34</f>
        <v>2430.5684255656784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235.38000000000002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11.769000000000002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20.242680000000004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203.36832000000001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249.13103186440676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2" t="s">
        <v>88</v>
      </c>
      <c r="O35" s="343"/>
      <c r="P35" s="297">
        <f>+P33+P34</f>
        <v>250.37668702372881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9" sqref="H16: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3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3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H22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4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4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4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4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30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524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60</v>
      </c>
      <c r="I25" s="114">
        <f t="shared" si="7"/>
        <v>3147.75</v>
      </c>
      <c r="J25" s="274">
        <f>SUM(J16:J24)</f>
        <v>251.82</v>
      </c>
      <c r="K25" s="275">
        <f t="shared" si="7"/>
        <v>110.17125000000001</v>
      </c>
      <c r="L25" s="276">
        <f t="shared" si="7"/>
        <v>0</v>
      </c>
      <c r="M25" s="232">
        <f t="shared" si="7"/>
        <v>2785.75875</v>
      </c>
      <c r="N25" s="233">
        <f>SUM(N16:N24)</f>
        <v>594.91525423728785</v>
      </c>
      <c r="O25" s="101">
        <f>SUM(O16:O24)</f>
        <v>16.90337002118644</v>
      </c>
      <c r="P25" s="113">
        <f>SUM(P16:P24)</f>
        <v>3397.5773742584743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3147.75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251.82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110.17125000000001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2785.75875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594.91525423728785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3380.6740042372876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16.90337002118644</v>
      </c>
    </row>
    <row r="35" spans="2:16" ht="15.75" customHeight="1" thickBot="1" x14ac:dyDescent="0.4">
      <c r="N35" s="342" t="s">
        <v>88</v>
      </c>
      <c r="O35" s="343"/>
      <c r="P35" s="297">
        <f>+P33+P34</f>
        <v>3397.5773742584738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113">
        <f>SUM(P16:P24)</f>
        <v>2352.1586888135594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2179.1999999999998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174.33600000000001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76.272000000000006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1928.5919999999999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2340.4564067796609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2" t="s">
        <v>88</v>
      </c>
      <c r="O35" s="343"/>
      <c r="P35" s="297">
        <f>+P33+P34</f>
        <v>2352.1586888135594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1966.1750000000002</v>
      </c>
      <c r="J25" s="274">
        <f>SUM(J16:J24)</f>
        <v>145.52500000000001</v>
      </c>
      <c r="K25" s="275">
        <f t="shared" si="7"/>
        <v>68.816125000000014</v>
      </c>
      <c r="L25" s="276">
        <f t="shared" si="7"/>
        <v>20.007300000000001</v>
      </c>
      <c r="M25" s="232">
        <f t="shared" si="7"/>
        <v>1731.826575</v>
      </c>
      <c r="N25" s="233">
        <f>SUM(N16:N24)</f>
        <v>373.72881355932185</v>
      </c>
      <c r="O25" s="101">
        <f>SUM(O16:O24)</f>
        <v>10.52777694279661</v>
      </c>
      <c r="P25" s="113">
        <f>SUM(P16:P24)</f>
        <v>2116.0831655021184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1966.1750000000002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145.52500000000001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88.823425000000015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1731.826575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373.72881355932185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2105.5553885593217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10.527776942796608</v>
      </c>
    </row>
    <row r="35" spans="2:16" ht="15.75" customHeight="1" thickBot="1" x14ac:dyDescent="0.4">
      <c r="N35" s="342" t="s">
        <v>88</v>
      </c>
      <c r="O35" s="343"/>
      <c r="P35" s="297">
        <f>+P33+P34</f>
        <v>2116.0831655021184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529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530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531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311">
        <f t="shared" si="5"/>
        <v>169.87886871292372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3</v>
      </c>
      <c r="I22" s="236">
        <f t="shared" si="0"/>
        <v>117.69000000000001</v>
      </c>
      <c r="J22" s="272">
        <f t="shared" si="1"/>
        <v>5.884500000000001</v>
      </c>
      <c r="K22" s="128">
        <f t="shared" si="1"/>
        <v>4.1191500000000012</v>
      </c>
      <c r="L22" s="119">
        <f t="shared" si="1"/>
        <v>6.0021900000000006</v>
      </c>
      <c r="M22" s="230">
        <f t="shared" si="2"/>
        <v>101.68416000000001</v>
      </c>
      <c r="N22" s="277">
        <f t="shared" si="3"/>
        <v>22.881355932203377</v>
      </c>
      <c r="O22" s="239">
        <f t="shared" si="4"/>
        <v>0.62282757966101687</v>
      </c>
      <c r="P22" s="311">
        <f t="shared" si="5"/>
        <v>125.1883435118644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21</v>
      </c>
      <c r="I25" s="114">
        <f t="shared" si="7"/>
        <v>1243.6125000000002</v>
      </c>
      <c r="J25" s="274">
        <f>SUM(J16:J24)</f>
        <v>95.958299999999994</v>
      </c>
      <c r="K25" s="275">
        <f t="shared" si="7"/>
        <v>43.5264375</v>
      </c>
      <c r="L25" s="276">
        <f t="shared" si="7"/>
        <v>6.0021900000000006</v>
      </c>
      <c r="M25" s="232">
        <f t="shared" si="7"/>
        <v>1098.1255724999999</v>
      </c>
      <c r="N25" s="233">
        <f>SUM(N16:N24)</f>
        <v>235.67796610169492</v>
      </c>
      <c r="O25" s="101">
        <f>SUM(O16:O24)</f>
        <v>6.6690176930084739</v>
      </c>
      <c r="P25" s="113">
        <f>SUM(P16:P24)</f>
        <v>1340.4725562947033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1243.6125000000002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95.958299999999994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49.528627499999999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1098.1255725000001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235.67796610169492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1333.803538601695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6.6690176930084748</v>
      </c>
    </row>
    <row r="35" spans="2:16" ht="15.75" customHeight="1" thickBot="1" x14ac:dyDescent="0.4">
      <c r="N35" s="342" t="s">
        <v>88</v>
      </c>
      <c r="O35" s="343"/>
      <c r="P35" s="297">
        <f>+P33+P34</f>
        <v>1340.4725562947035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532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531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311">
        <f t="shared" si="5"/>
        <v>169.87886871292372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</v>
      </c>
      <c r="I22" s="236">
        <f t="shared" si="0"/>
        <v>78.460000000000008</v>
      </c>
      <c r="J22" s="272">
        <f t="shared" si="1"/>
        <v>3.9230000000000005</v>
      </c>
      <c r="K22" s="128">
        <f t="shared" si="1"/>
        <v>2.7461000000000007</v>
      </c>
      <c r="L22" s="119">
        <f t="shared" si="1"/>
        <v>4.0014599999999998</v>
      </c>
      <c r="M22" s="230">
        <f t="shared" si="2"/>
        <v>67.789440000000013</v>
      </c>
      <c r="N22" s="277">
        <f t="shared" si="3"/>
        <v>15.254237288135585</v>
      </c>
      <c r="O22" s="239">
        <f t="shared" si="4"/>
        <v>0.41521838644067799</v>
      </c>
      <c r="P22" s="311">
        <f t="shared" si="5"/>
        <v>83.458895674576269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23</v>
      </c>
      <c r="I25" s="114">
        <f t="shared" si="7"/>
        <v>1422.3025000000002</v>
      </c>
      <c r="J25" s="274">
        <f>SUM(J16:J24)</f>
        <v>111.43039999999999</v>
      </c>
      <c r="K25" s="275">
        <f t="shared" si="7"/>
        <v>49.780587500000003</v>
      </c>
      <c r="L25" s="276">
        <f t="shared" si="7"/>
        <v>4.0014599999999998</v>
      </c>
      <c r="M25" s="232">
        <f t="shared" si="7"/>
        <v>1257.0900525</v>
      </c>
      <c r="N25" s="233">
        <f>SUM(N16:N24)</f>
        <v>269.23728813559319</v>
      </c>
      <c r="O25" s="101">
        <f>SUM(O16:O24)</f>
        <v>7.6316367031779659</v>
      </c>
      <c r="P25" s="113">
        <f>SUM(P16:P24)</f>
        <v>1533.9589773387711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1422.3025000000002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111.43039999999999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53.782047500000004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1257.0900525000002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269.23728813559319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1526.3273406355934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7.6316367031779668</v>
      </c>
    </row>
    <row r="35" spans="2:16" ht="15.75" customHeight="1" thickBot="1" x14ac:dyDescent="0.4">
      <c r="N35" s="342" t="s">
        <v>88</v>
      </c>
      <c r="O35" s="343"/>
      <c r="P35" s="297">
        <f>+P33+P34</f>
        <v>1533.9589773387713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46254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2026-08-20T04:29:49Z</dcterms:modified>
</cp:coreProperties>
</file>