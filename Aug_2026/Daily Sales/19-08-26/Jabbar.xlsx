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41766C1-C6CE-4E79-8E8D-E7FC914A6042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<sst xmlns="http://schemas.openxmlformats.org/spreadsheetml/2006/main" count="3978" uniqueCount="533">
  <si>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</si>
  <si>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</si>
  <si>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</si>
  <si>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</si>
  <si>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</si>
  <si>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</si>
  <si>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</si>
  <si>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</si>
  <si>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</si>
  <si>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</si>
  <si>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</si>
  <si>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</si>
  <si>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</si>
  <si>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</si>
  <si>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</si>
  <si>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</si>
  <si>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</si>
  <si>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</si>
  <si>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</si>
  <si>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</si>
  <si>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</si>
  <si>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</si>
  <si>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</si>
  <si>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</si>
  <si>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</si>
  <si>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</si>
  <si>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</si>
  <si>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</si>
  <si>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</si>
  <si>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</si>
  <si>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</si>
  <si>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</si>
  <si>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</si>
  <si>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</si>
  <si>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</si>
  <si>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</si>
  <si>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</si>
  <si>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</si>
  <si>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</si>
  <si>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</si>
  <si>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</si>
  <si>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</si>
  <si>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</si>
  <si>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</si>
  <si>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</si>
  <si>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</si>
  <si>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</si>
  <si>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</si>
  <si>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</si>
  <si>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</si>
  <si>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</si>
  <si>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</si>
  <si>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</si>
  <si>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</si>
  <si>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</si>
  <si>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</si>
  <si>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</si>
  <si>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</si>
  <si>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</si>
  <si>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</si>
  <si>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</si>
  <si>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</si>
  <si>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</si>
  <si>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</si>
  <si>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</si>
  <si>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</si>
  <si>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</si>
  <si>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</si>
  <si>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</si>
  <si>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</si>
  <si>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</si>
  <si>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</si>
  <si>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</si>
  <si>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</si>
  <si>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</si>
  <si>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</si>
  <si>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</si>
  <si>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</si>
  <si>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</si>
  <si>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</si>
  <si>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</si>
  <si>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</si>
  <si>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</si>
  <si>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</si>
  <si>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</si>
  <si>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</si>
  <si>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</si>
  <si>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</si>
  <si>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</si>
  <si>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</si>
  <si>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</si>
  <si>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</si>
  <si>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</si>
  <si>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</si>
  <si>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</si>
  <si>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</si>
  <si>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</si>
  <si>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</si>
  <si>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</si>
  <si>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</si>
  <si>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</si>
  <si>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</si>
  <si>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</si>
  <si>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</si>
  <si>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</si>
  <si>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</si>
  <si>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</si>
  <si>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</si>
  <si>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</si>
  <si>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</si>
  <si>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</si>
  <si>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</si>
  <si>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</si>
  <si>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</si>
  <si>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</si>
  <si>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</si>
  <si>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</si>
  <si>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</si>
  <si>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</si>
  <si>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</si>
  <si>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</si>
  <si>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</si>
  <si>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</si>
  <si>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</si>
  <si>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</si>
  <si>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</si>
  <si>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</si>
  <si>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</si>
  <si>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</si>
  <si>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</si>
  <si>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</si>
  <si>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</si>
  <si>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</si>
  <si>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</si>
  <si>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</si>
  <si>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</si>
  <si>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</si>
  <si>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</si>
  <si>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</si>
  <si>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</si>
  <si>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</si>
  <si>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</si>
  <si>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</si>
  <si>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</si>
  <si>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</si>
  <si>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</si>
  <si>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</si>
  <si>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</si>
  <si>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</si>
  <si>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</si>
  <si>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</si>
  <si>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</si>
  <si>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</si>
  <si>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</si>
  <si>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</si>
  <si>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</si>
  <si>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</si>
  <si>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</si>
  <si>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</si>
  <si>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</si>
  <si>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</si>
  <si>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</si>
  <si>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</si>
  <si>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</si>
  <si>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</si>
  <si>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</si>
  <si>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</si>
  <si>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</si>
  <si>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</si>
  <si>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</si>
  <si>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</si>
  <si>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</si>
  <si>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</si>
  <si>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</si>
  <si>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</si>
  <si>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</si>
  <si>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</si>
  <si>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</si>
  <si>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</si>
  <si>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</si>
  <si>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</si>
  <si>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</si>
  <si>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</si>
  <si>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</si>
  <si>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</si>
  <si>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</si>
  <si>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</si>
  <si>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</si>
  <si>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</si>
  <si>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</si>
  <si>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</si>
  <si>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</si>
  <si>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</si>
  <si>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</si>
  <si>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</si>
  <si>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</si>
  <si>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</si>
  <si>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</si>
  <si>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</si>
  <si>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</si>
  <si>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</si>
  <si>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</si>
  <si>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</si>
  <si>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</si>
  <si>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</si>
  <si>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</si>
  <si>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</si>
  <si>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</si>
  <si>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</si>
  <si>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</si>
  <si>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</si>
  <si>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</si>
  <si>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</si>
  <si>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</si>
  <si>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</si>
  <si>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</si>
  <si>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</si>
  <si>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</si>
  <si>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</si>
  <si>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</si>
  <si>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</si>
  <si>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</si>
  <si>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</si>
  <si>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</si>
  <si>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</si>
  <si>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</si>
  <si>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</si>
  <si>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</si>
  <si>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</si>
  <si>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</si>
  <si>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</si>
  <si>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</si>
  <si>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</si>
  <si>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</si>
  <si>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</si>
  <si>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</si>
  <si>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</si>
  <si>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</si>
  <si>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</si>
  <si>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</si>
  <si>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</si>
  <si>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</si>
  <si>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</si>
  <si>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</si>
  <si>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</si>
  <si>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</si>
  <si>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</si>
  <si>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</si>
  <si>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</si>
  <si>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</si>
  <si>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</si>
  <si>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</si>
  <si>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</si>
  <si>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</si>
  <si>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</si>
  <si>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</si>
  <si>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</si>
  <si>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</si>
  <si>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</si>
  <si>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</si>
  <si>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</si>
  <si>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</si>
  <si>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</si>
  <si>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</si>
  <si>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</si>
  <si>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</si>
  <si>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</si>
  <si>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</si>
  <si>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</si>
  <si>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</si>
  <si>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</si>
  <si>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</si>
  <si>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</si>
  <si>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</si>
  <si>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</si>
  <si>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</si>
  <si>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</si>
  <si>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</si>
  <si>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</si>
  <si>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</si>
  <si>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</si>
  <si>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</si>
  <si>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</si>
  <si>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</si>
  <si>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</si>
  <si>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</si>
  <si>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</si>
  <si>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</si>
  <si>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</si>
  <si>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</si>
  <si>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</si>
  <si>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</si>
  <si>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</si>
  <si>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</si>
  <si>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</si>
  <si>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</si>
  <si>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</si>
  <si>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</si>
  <si>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</si>
  <si>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</si>
  <si>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</si>
  <si>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</si>
  <si>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</si>
  <si>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</si>
  <si>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</si>
  <si>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</si>
  <si>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</si>
  <si>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</si>
  <si>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</si>
  <si>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</si>
  <si>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</si>
  <si>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</si>
  <si>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</si>
  <si>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</si>
  <si>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</si>
  <si>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</si>
  <si>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</si>
  <si>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</si>
  <si>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</si>
  <si>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</si>
  <si>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</si>
  <si>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</si>
  <si>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</si>
  <si>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</si>
  <si>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</si>
  <si>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</si>
  <si>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</si>
  <si>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</si>
  <si>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</si>
  <si>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</si>
  <si>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</si>
  <si>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</si>
  <si>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</si>
  <si>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</si>
  <si>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</si>
  <si>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</si>
  <si>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</si>
  <si>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</si>
  <si>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</si>
  <si>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</si>
  <si>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</si>
  <si>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</si>
  <si>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</si>
  <si>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</si>
  <si>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</si>
  <si>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</si>
  <si>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</si>
  <si>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</si>
  <si>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</si>
  <si>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</si>
  <si>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</si>
  <si>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</si>
  <si>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</si>
  <si>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</si>
  <si>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</si>
  <si>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</si>
  <si>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</si>
  <si>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</si>
  <si>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</si>
  <si>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</si>
  <si>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</si>
  <si>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</si>
  <si>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</si>
  <si>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</si>
  <si>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</si>
  <si>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</si>
  <si>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</si>
  <si>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</si>
  <si>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</si>
  <si>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</si>
  <si>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</si>
  <si>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</si>
  <si>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</si>
  <si>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</si>
  <si>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</si>
  <si>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</si>
  <si>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</si>
  <si>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</si>
  <si>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</si>
  <si>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</si>
  <si>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</si>
  <si>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</si>
  <si>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</si>
  <si>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</si>
  <si>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</si>
  <si>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</si>
  <si>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</si>
  <si>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</si>
  <si>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</si>
  <si>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</si>
  <si>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</si>
  <si>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</si>
  <si>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</si>
  <si>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</si>
  <si>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</si>
  <si>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</si>
  <si>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</si>
  <si>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</si>
  <si>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</si>
  <si>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</si>
  <si>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</si>
  <si>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</si>
  <si>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</si>
  <si>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</si>
  <si>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</si>
  <si>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</si>
  <si>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</si>
  <si>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</si>
  <si>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</si>
  <si>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</si>
  <si>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</si>
  <si>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</si>
  <si>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</si>
  <si>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</si>
  <si>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</si>
  <si>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</si>
  <si>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</si>
  <si>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</si>
  <si>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</si>
  <si>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</si>
  <si>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</si>
  <si>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</si>
  <si>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</si>
  <si>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</si>
  <si>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</si>
  <si>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</si>
  <si>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</si>
  <si>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</si>
  <si>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</si>
  <si>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</si>
  <si>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</si>
  <si>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</si>
  <si>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</si>
  <si>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</si>
  <si>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</si>
  <si>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</si>
  <si>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</si>
  <si>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</si>
  <si>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</si>
  <si>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</si>
  <si>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</si>
  <si>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</si>
  <si>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</si>
  <si>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</si>
  <si>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</si>
  <si>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</si>
  <si>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</si>
  <si>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</si>
  <si>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</si>
  <si>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</si>
  <si>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</si>
  <si>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</si>
  <si>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</si>
  <si>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</si>
  <si>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</si>
  <si>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</si>
  <si>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</si>
  <si>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</si>
  <si>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</si>
  <si>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</si>
  <si>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</si>
  <si>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</si>
  <si>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</si>
  <si>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</si>
  <si>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</si>
  <si>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</si>
  <si>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</si>
  <si>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</si>
  <si>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</si>
  <si>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</si>
  <si>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</si>
  <si>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</si>
  <si>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</si>
  <si>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</si>
  <si>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</si>
  <si>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</si>
  <si>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</si>
  <si>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</si>
  <si>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</si>
  <si>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</si>
  <si>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</si>
  <si>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</si>
  <si>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</si>
  <si>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</si>
  <si>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</si>
  <si>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</si>
  <si>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</si>
  <si>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</si>
  <si>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</si>
  <si>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</si>
  <si>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</si>
  <si>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</si>
  <si>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</si>
  <si>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</si>
  <si>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</si>
  <si>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</si>
  <si>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</si>
  <si>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</si>
  <si>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</si>
  <si>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</si>
  <si>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</si>
  <si>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</si>
  <si>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</si>
  <si>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</si>
  <si>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</si>
  <si>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</si>
  <si>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</si>
  <si>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</si>
  <si>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</si>
  <si>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</si>
  <si>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</si>
  <si>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</si>
  <si>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</si>
  <si>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</si>
  <si>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</si>
  <si>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</si>
  <si>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</si>
  <si>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Kamal Store</t>
  </si>
  <si>
    <t xml:space="preserve">Address: Canal Park </t>
  </si>
  <si>
    <t>Fatima Mini Mart</t>
  </si>
  <si>
    <t>Yousaf Store</t>
  </si>
  <si>
    <t xml:space="preserve">Address:Canal Park </t>
  </si>
  <si>
    <t>Khalid Store</t>
  </si>
  <si>
    <t>SM Mart</t>
  </si>
  <si>
    <t xml:space="preserve">Address: Gulberg </t>
  </si>
  <si>
    <t xml:space="preserve">Manchiz Mart </t>
  </si>
  <si>
    <t xml:space="preserve">Bismillah Rise </t>
  </si>
  <si>
    <t xml:space="preserve">Kanza Bakers </t>
  </si>
  <si>
    <t>Address: Gullberg</t>
  </si>
  <si>
    <t>Umair Bakery</t>
  </si>
  <si>
    <t>Ali Store</t>
  </si>
  <si>
    <t xml:space="preserve">Address: Sami Town </t>
  </si>
  <si>
    <t>Usama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</si>
</sst>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5" workbookViewId="0">
      <selection activeCell="F32" sqref="F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46252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Kamal Store</v>
      </c>
      <c r="T3" s="301">
        <f>+'1'!P35</f>
        <v>2430.5684255656784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Fatima Mini Mart</v>
      </c>
      <c r="T4" s="301">
        <f>+'2'!P35</f>
        <v>250.37668702372881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Yousaf Store</v>
      </c>
      <c r="T5" s="301">
        <f>+'3'!P35</f>
        <v>744.85247502012703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Khalid Store</v>
      </c>
      <c r="T6" s="301">
        <f>+'4'!P35</f>
        <v>1870.755637400847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49</v>
      </c>
      <c r="I7" s="235">
        <f>(G7*D7)*F7+H7*F7</f>
        <v>2570.6624999999999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205.65299999999999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89.973187499999995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2275.0363124999999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485.8474576271185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13.80441885063559</v>
      </c>
      <c r="P7" s="310">
        <f>M7+N7+O7</f>
        <v>2774.6881889777542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SM Mart</v>
      </c>
      <c r="T7" s="301">
        <f>+'5'!P35</f>
        <v>3397.5773742584738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49</v>
      </c>
      <c r="I8" s="236">
        <f t="shared" ref="I8:I14" si="0">(G8*D8)*F8+H8*F8</f>
        <v>2570.6624999999999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205.65299999999999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89.973187499999995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2275.0363124999999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485.8474576271185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13.80441885063559</v>
      </c>
      <c r="P8" s="311">
        <f t="shared" ref="P8:P15" si="2">M8+N8+O8</f>
        <v>2774.6881889777542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Manchiz Mart </v>
      </c>
      <c r="T8" s="301">
        <f>+'6'!P35</f>
        <v>2352.1586888135594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49</v>
      </c>
      <c r="I9" s="236">
        <f t="shared" si="0"/>
        <v>2570.6624999999999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205.65299999999999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89.973187499999995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2275.0363124999999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485.8474576271185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13.80441885063559</v>
      </c>
      <c r="P9" s="311">
        <f t="shared" si="2"/>
        <v>2774.6881889777542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Bismillah Rise </v>
      </c>
      <c r="T9" s="301">
        <f>+'7'!P35</f>
        <v>500.75337404745761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47</v>
      </c>
      <c r="I10" s="236">
        <f t="shared" si="0"/>
        <v>3414.08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273.12640000000005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119.4928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3021.4607999999998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645.25423728813564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18.33357518644068</v>
      </c>
      <c r="P10" s="311">
        <f t="shared" si="2"/>
        <v>3685.0486124745762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Kanza Bakers </v>
      </c>
      <c r="T10" s="301">
        <f>+'8'!P35</f>
        <v>2116.0831655021184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41</v>
      </c>
      <c r="I11" s="236">
        <f t="shared" si="0"/>
        <v>2978.2400000000002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238.25920000000002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104.23840000000001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2635.7424000000001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562.88135593220341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15.993118779661017</v>
      </c>
      <c r="P11" s="311">
        <f t="shared" si="2"/>
        <v>3214.6168747118645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Umair Bakery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36</v>
      </c>
      <c r="I12" s="236">
        <f t="shared" si="0"/>
        <v>2615.04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209.20320000000004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91.52640000000001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2314.3103999999998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494.2372881355933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14.042738440677969</v>
      </c>
      <c r="P12" s="311">
        <f t="shared" si="2"/>
        <v>2822.5904265762711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Ali Store</v>
      </c>
      <c r="T12" s="301">
        <f>+'10'!P35</f>
        <v>1340.4725562947035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39</v>
      </c>
      <c r="I13" s="236">
        <f t="shared" si="0"/>
        <v>1529.9700000000003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76.498500000000021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53.548950000000019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78.028469999999999</v>
      </c>
      <c r="M13" s="230">
        <f t="shared" si="1"/>
        <v>1321.8940800000003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297.45762711864387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8.0967585355932208</v>
      </c>
      <c r="P13" s="311">
        <f t="shared" si="2"/>
        <v>1627.4484656542372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Usama Store</v>
      </c>
      <c r="T13" s="301">
        <f>+'11'!P35</f>
        <v>1533.9589773387713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7.75</v>
      </c>
      <c r="H16" s="113">
        <f t="shared" ref="H16:M16" si="3">SUM(H7:H15)</f>
        <v>310</v>
      </c>
      <c r="I16" s="114">
        <f t="shared" si="3"/>
        <v>18249.317500000001</v>
      </c>
      <c r="J16" s="274">
        <f>SUM(J7:J15)</f>
        <v>1414.0462999999997</v>
      </c>
      <c r="K16" s="275">
        <f t="shared" si="3"/>
        <v>638.7261125</v>
      </c>
      <c r="L16" s="276">
        <f t="shared" si="3"/>
        <v>78.028469999999999</v>
      </c>
      <c r="M16" s="232">
        <f t="shared" si="3"/>
        <v>16118.516617499998</v>
      </c>
      <c r="N16" s="233">
        <f>SUM(N7:N15)</f>
        <v>3457.3728813559314</v>
      </c>
      <c r="O16" s="101">
        <f>SUM(O7:O15)</f>
        <v>97.87944749427966</v>
      </c>
      <c r="P16" s="113">
        <f>SUM(P7:P15)</f>
        <v>19673.768946350214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18249.317500000001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1414.0462999999997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716.75458249999997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16118.516617500003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3457.3728813559314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19575.889498855933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97.87944749427966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19673.768946350214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19673.768946350207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36</v>
      </c>
      <c r="I25" s="114">
        <f t="shared" ref="I25:M25" si="10">SUM(I16:I24)</f>
        <v>2251.8450000000003</v>
      </c>
      <c r="J25" s="274">
        <f>SUM(J16:J24)</f>
        <v>180.14759999999998</v>
      </c>
      <c r="K25" s="275">
        <f t="shared" si="10"/>
        <v>78.814575000000005</v>
      </c>
      <c r="L25" s="276">
        <f t="shared" si="10"/>
        <v>0</v>
      </c>
      <c r="M25" s="232">
        <f t="shared" si="10"/>
        <v>1992.8828249999999</v>
      </c>
      <c r="N25" s="233">
        <f>SUM(N16:N24)</f>
        <v>425.59322033898309</v>
      </c>
      <c r="O25" s="101">
        <f>SUM(O16:O24)</f>
        <v>12.092380226694914</v>
      </c>
      <c r="P25" s="113">
        <f>SUM(P16:P24)</f>
        <v>2430.5684255656779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2251.8450000000003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180.14759999999998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78.814575000000005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1992.8828250000004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425.59322033898309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2418.4760453389836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12.092380226694917</v>
      </c>
    </row>
    <row r="35" spans="2:16" ht="15.75" customHeight="1" thickBot="1" x14ac:dyDescent="0.4">
      <c r="N35" s="371" t="s">
        <v>88</v>
      </c>
      <c r="O35" s="372"/>
      <c r="P35" s="297">
        <f>+P33+P34</f>
        <v>2430.5684255656784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521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311">
        <f t="shared" si="5"/>
        <v>169.87886871292372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690.08249999999998</v>
      </c>
      <c r="J25" s="274">
        <f>SUM(J16:J24)</f>
        <v>55.206599999999995</v>
      </c>
      <c r="K25" s="275">
        <f t="shared" si="7"/>
        <v>24.152887500000002</v>
      </c>
      <c r="L25" s="276">
        <f t="shared" si="7"/>
        <v>0</v>
      </c>
      <c r="M25" s="232">
        <f t="shared" si="7"/>
        <v>610.72301249999998</v>
      </c>
      <c r="N25" s="233">
        <f>SUM(N16:N24)</f>
        <v>130.42372881355931</v>
      </c>
      <c r="O25" s="101">
        <f>SUM(O16:O24)</f>
        <v>3.7057337065677962</v>
      </c>
      <c r="P25" s="113">
        <f>SUM(P16:P24)</f>
        <v>744.85247502012714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690.08249999999998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55.206599999999995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24.152887500000002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610.72301249999998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130.42372881355931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741.14674131355923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3.7057337065677962</v>
      </c>
    </row>
    <row r="35" spans="2:16" ht="15.75" customHeight="1" thickBot="1" x14ac:dyDescent="0.4">
      <c r="N35" s="371" t="s">
        <v>88</v>
      </c>
      <c r="O35" s="372"/>
      <c r="P35" s="297">
        <f>+P33+P34</f>
        <v>744.85247502012703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310">
        <f>M16+N16+O16</f>
        <v>226.50515828389825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311">
        <f t="shared" si="5"/>
        <v>226.50515828389825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311">
        <f t="shared" si="5"/>
        <v>313.62115850847459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311">
        <f t="shared" si="5"/>
        <v>313.62115850847459</v>
      </c>
      <c r="Q20" s="156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311">
        <f t="shared" si="5"/>
        <v>313.62115850847459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30</v>
      </c>
      <c r="I25" s="114">
        <f t="shared" si="7"/>
        <v>1736.61</v>
      </c>
      <c r="J25" s="274">
        <f>SUM(J16:J24)</f>
        <v>131.8674</v>
      </c>
      <c r="K25" s="275">
        <f t="shared" si="7"/>
        <v>60.78135000000001</v>
      </c>
      <c r="L25" s="276">
        <f t="shared" si="7"/>
        <v>12.004380000000001</v>
      </c>
      <c r="M25" s="232">
        <f t="shared" si="7"/>
        <v>1531.9568700000002</v>
      </c>
      <c r="N25" s="233">
        <f>SUM(N16:N24)</f>
        <v>329.49152542372877</v>
      </c>
      <c r="O25" s="101">
        <f>SUM(O16:O24)</f>
        <v>9.3072419771186432</v>
      </c>
      <c r="P25" s="113">
        <f>SUM(P16:P24)</f>
        <v>1870.7556374008473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1736.61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131.8674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72.785730000000015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1531.9568699999998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329.49152542372877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1861.4483954237285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9.3072419771186432</v>
      </c>
    </row>
    <row r="35" spans="2:16" ht="15.75" customHeight="1" thickBot="1" x14ac:dyDescent="0.4">
      <c r="N35" s="371" t="s">
        <v>88</v>
      </c>
      <c r="O35" s="372"/>
      <c r="P35" s="297">
        <f>+P33+P34</f>
        <v>1870.755637400847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524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60</v>
      </c>
      <c r="I25" s="114">
        <f t="shared" si="7"/>
        <v>3147.75</v>
      </c>
      <c r="J25" s="274">
        <f>SUM(J16:J24)</f>
        <v>251.82</v>
      </c>
      <c r="K25" s="275">
        <f t="shared" si="7"/>
        <v>110.17125000000001</v>
      </c>
      <c r="L25" s="276">
        <f t="shared" si="7"/>
        <v>0</v>
      </c>
      <c r="M25" s="232">
        <f t="shared" si="7"/>
        <v>2785.75875</v>
      </c>
      <c r="N25" s="233">
        <f>SUM(N16:N24)</f>
        <v>594.91525423728785</v>
      </c>
      <c r="O25" s="101">
        <f>SUM(O16:O24)</f>
        <v>16.90337002118644</v>
      </c>
      <c r="P25" s="113">
        <f>SUM(P16:P24)</f>
        <v>3397.5773742584743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3147.75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251.82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110.17125000000001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2785.75875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594.91525423728785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3380.6740042372876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16.90337002118644</v>
      </c>
    </row>
    <row r="35" spans="2:16" ht="15.75" customHeight="1" thickBot="1" x14ac:dyDescent="0.4">
      <c r="N35" s="371" t="s">
        <v>88</v>
      </c>
      <c r="O35" s="372"/>
      <c r="P35" s="297">
        <f>+P33+P34</f>
        <v>3397.5773742584738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113">
        <f>SUM(P16:P24)</f>
        <v>2352.1586888135594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2179.1999999999998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174.33600000000001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76.272000000000006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1928.5919999999999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2340.4564067796609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71" t="s">
        <v>88</v>
      </c>
      <c r="O35" s="372"/>
      <c r="P35" s="297">
        <f>+P33+P34</f>
        <v>2352.1586888135594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1966.1750000000002</v>
      </c>
      <c r="J25" s="274">
        <f>SUM(J16:J24)</f>
        <v>145.52500000000001</v>
      </c>
      <c r="K25" s="275">
        <f t="shared" si="7"/>
        <v>68.816125000000014</v>
      </c>
      <c r="L25" s="276">
        <f t="shared" si="7"/>
        <v>20.007300000000001</v>
      </c>
      <c r="M25" s="232">
        <f t="shared" si="7"/>
        <v>1731.826575</v>
      </c>
      <c r="N25" s="233">
        <f>SUM(N16:N24)</f>
        <v>373.72881355932185</v>
      </c>
      <c r="O25" s="101">
        <f>SUM(O16:O24)</f>
        <v>10.52777694279661</v>
      </c>
      <c r="P25" s="113">
        <f>SUM(P16:P24)</f>
        <v>2116.0831655021184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1966.1750000000002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145.52500000000001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88.823425000000015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1731.826575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373.72881355932185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2105.5553885593217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10.527776942796608</v>
      </c>
    </row>
    <row r="35" spans="2:16" ht="15.75" customHeight="1" thickBot="1" x14ac:dyDescent="0.4">
      <c r="N35" s="371" t="s">
        <v>88</v>
      </c>
      <c r="O35" s="372"/>
      <c r="P35" s="297">
        <f>+P33+P34</f>
        <v>2116.0831655021184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530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531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311">
        <f t="shared" si="5"/>
        <v>169.87886871292372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3</v>
      </c>
      <c r="I22" s="236">
        <f t="shared" si="0"/>
        <v>117.69000000000001</v>
      </c>
      <c r="J22" s="272">
        <f t="shared" si="1"/>
        <v>5.884500000000001</v>
      </c>
      <c r="K22" s="128">
        <f t="shared" si="1"/>
        <v>4.1191500000000012</v>
      </c>
      <c r="L22" s="119">
        <f t="shared" si="1"/>
        <v>6.0021900000000006</v>
      </c>
      <c r="M22" s="230">
        <f t="shared" si="2"/>
        <v>101.68416000000001</v>
      </c>
      <c r="N22" s="277">
        <f t="shared" si="3"/>
        <v>22.881355932203377</v>
      </c>
      <c r="O22" s="239">
        <f t="shared" si="4"/>
        <v>0.62282757966101687</v>
      </c>
      <c r="P22" s="311">
        <f t="shared" si="5"/>
        <v>125.1883435118644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21</v>
      </c>
      <c r="I25" s="114">
        <f t="shared" si="7"/>
        <v>1243.6125000000002</v>
      </c>
      <c r="J25" s="274">
        <f>SUM(J16:J24)</f>
        <v>95.958299999999994</v>
      </c>
      <c r="K25" s="275">
        <f t="shared" si="7"/>
        <v>43.5264375</v>
      </c>
      <c r="L25" s="276">
        <f t="shared" si="7"/>
        <v>6.0021900000000006</v>
      </c>
      <c r="M25" s="232">
        <f t="shared" si="7"/>
        <v>1098.1255724999999</v>
      </c>
      <c r="N25" s="233">
        <f>SUM(N16:N24)</f>
        <v>235.67796610169492</v>
      </c>
      <c r="O25" s="101">
        <f>SUM(O16:O24)</f>
        <v>6.6690176930084739</v>
      </c>
      <c r="P25" s="113">
        <f>SUM(P16:P24)</f>
        <v>1340.4725562947033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1243.6125000000002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95.958299999999994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49.528627499999999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1098.1255725000001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235.67796610169492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1333.803538601695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6.6690176930084748</v>
      </c>
    </row>
    <row r="35" spans="2:16" ht="15.75" customHeight="1" thickBot="1" x14ac:dyDescent="0.4">
      <c r="N35" s="371" t="s">
        <v>88</v>
      </c>
      <c r="O35" s="372"/>
      <c r="P35" s="297">
        <f>+P33+P34</f>
        <v>1340.4725562947035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532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531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311">
        <f t="shared" si="5"/>
        <v>169.87886871292372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</v>
      </c>
      <c r="I22" s="236">
        <f t="shared" si="0"/>
        <v>78.460000000000008</v>
      </c>
      <c r="J22" s="272">
        <f t="shared" si="1"/>
        <v>3.9230000000000005</v>
      </c>
      <c r="K22" s="128">
        <f t="shared" si="1"/>
        <v>2.7461000000000007</v>
      </c>
      <c r="L22" s="119">
        <f t="shared" si="1"/>
        <v>4.0014599999999998</v>
      </c>
      <c r="M22" s="230">
        <f t="shared" si="2"/>
        <v>67.789440000000013</v>
      </c>
      <c r="N22" s="277">
        <f t="shared" si="3"/>
        <v>15.254237288135585</v>
      </c>
      <c r="O22" s="239">
        <f t="shared" si="4"/>
        <v>0.41521838644067799</v>
      </c>
      <c r="P22" s="311">
        <f t="shared" si="5"/>
        <v>83.458895674576269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23</v>
      </c>
      <c r="I25" s="114">
        <f t="shared" si="7"/>
        <v>1422.3025000000002</v>
      </c>
      <c r="J25" s="274">
        <f>SUM(J16:J24)</f>
        <v>111.43039999999999</v>
      </c>
      <c r="K25" s="275">
        <f t="shared" si="7"/>
        <v>49.780587500000003</v>
      </c>
      <c r="L25" s="276">
        <f t="shared" si="7"/>
        <v>4.0014599999999998</v>
      </c>
      <c r="M25" s="232">
        <f t="shared" si="7"/>
        <v>1257.0900525</v>
      </c>
      <c r="N25" s="233">
        <f>SUM(N16:N24)</f>
        <v>269.23728813559319</v>
      </c>
      <c r="O25" s="101">
        <f>SUM(O16:O24)</f>
        <v>7.6316367031779659</v>
      </c>
      <c r="P25" s="113">
        <f>SUM(P16:P24)</f>
        <v>1533.9589773387711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1422.3025000000002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111.43039999999999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53.782047500000004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1257.0900525000002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269.23728813559319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1526.3273406355934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7.6316367031779668</v>
      </c>
    </row>
    <row r="35" spans="2:16" ht="15.75" customHeight="1" thickBot="1" x14ac:dyDescent="0.4">
      <c r="N35" s="371" t="s">
        <v>88</v>
      </c>
      <c r="O35" s="372"/>
      <c r="P35" s="297">
        <f>+P33+P34</f>
        <v>1533.9589773387713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46253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46252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2026-08-18T12:24:38Z</dcterms:modified>
</cp:coreProperties>
</file>