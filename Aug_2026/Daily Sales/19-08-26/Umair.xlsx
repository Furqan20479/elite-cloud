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D82C7D-8ECC-4AA8-8102-DDB7679BDE21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<sst xmlns="http://schemas.openxmlformats.org/spreadsheetml/2006/main" count="3978" uniqueCount="529">
  <si>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</si>
  <si>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</si>
  <si>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</si>
  <si>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</si>
  <si>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</si>
  <si>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</si>
  <si>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</si>
  <si>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</si>
  <si>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</si>
  <si>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</si>
  <si>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</si>
  <si>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</si>
  <si>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</si>
  <si>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</si>
  <si>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</si>
  <si>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</si>
  <si>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</si>
  <si>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</si>
  <si>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</si>
  <si>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</si>
  <si>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</si>
  <si>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</si>
  <si>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</si>
  <si>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</si>
  <si>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</si>
  <si>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</si>
  <si>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</si>
  <si>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</si>
  <si>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</si>
  <si>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</si>
  <si>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</si>
  <si>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</si>
  <si>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</si>
  <si>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</si>
  <si>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</si>
  <si>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</si>
  <si>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</si>
  <si>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</si>
  <si>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</si>
  <si>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</si>
  <si>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</si>
  <si>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</si>
  <si>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</si>
  <si>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</si>
  <si>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</si>
  <si>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</si>
  <si>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</si>
  <si>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</si>
  <si>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</si>
  <si>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</si>
  <si>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</si>
  <si>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</si>
  <si>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</si>
  <si>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</si>
  <si>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</si>
  <si>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</si>
  <si>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</si>
  <si>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</si>
  <si>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</si>
  <si>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</si>
  <si>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</si>
  <si>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</si>
  <si>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</si>
  <si>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</si>
  <si>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</si>
  <si>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</si>
  <si>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</si>
  <si>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</si>
  <si>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</si>
  <si>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</si>
  <si>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</si>
  <si>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</si>
  <si>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</si>
  <si>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</si>
  <si>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</si>
  <si>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</si>
  <si>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</si>
  <si>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</si>
  <si>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</si>
  <si>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</si>
  <si>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</si>
  <si>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</si>
  <si>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</si>
  <si>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</si>
  <si>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</si>
  <si>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</si>
  <si>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</si>
  <si>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</si>
  <si>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</si>
  <si>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</si>
  <si>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</si>
  <si>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</si>
  <si>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</si>
  <si>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</si>
  <si>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</si>
  <si>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</si>
  <si>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</si>
  <si>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</si>
  <si>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</si>
  <si>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</si>
  <si>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</si>
  <si>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</si>
  <si>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</si>
  <si>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</si>
  <si>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</si>
  <si>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</si>
  <si>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</si>
  <si>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</si>
  <si>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</si>
  <si>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</si>
  <si>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</si>
  <si>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</si>
  <si>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</si>
  <si>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</si>
  <si>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</si>
  <si>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</si>
  <si>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</si>
  <si>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</si>
  <si>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</si>
  <si>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</si>
  <si>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</si>
  <si>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</si>
  <si>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</si>
  <si>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</si>
  <si>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</si>
  <si>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</si>
  <si>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</si>
  <si>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</si>
  <si>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</si>
  <si>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</si>
  <si>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</si>
  <si>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</si>
  <si>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</si>
  <si>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</si>
  <si>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</si>
  <si>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</si>
  <si>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</si>
  <si>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</si>
  <si>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</si>
  <si>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</si>
  <si>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</si>
  <si>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</si>
  <si>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</si>
  <si>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</si>
  <si>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</si>
  <si>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</si>
  <si>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</si>
  <si>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</si>
  <si>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</si>
  <si>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</si>
  <si>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</si>
  <si>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</si>
  <si>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</si>
  <si>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</si>
  <si>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</si>
  <si>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</si>
  <si>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</si>
  <si>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</si>
  <si>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</si>
  <si>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</si>
  <si>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</si>
  <si>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</si>
  <si>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</si>
  <si>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</si>
  <si>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</si>
  <si>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</si>
  <si>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</si>
  <si>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</si>
  <si>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</si>
  <si>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</si>
  <si>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</si>
  <si>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</si>
  <si>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</si>
  <si>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</si>
  <si>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</si>
  <si>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</si>
  <si>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</si>
  <si>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</si>
  <si>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</si>
  <si>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</si>
  <si>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</si>
  <si>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</si>
  <si>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</si>
  <si>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</si>
  <si>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</si>
  <si>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</si>
  <si>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</si>
  <si>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</si>
  <si>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</si>
  <si>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</si>
  <si>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</si>
  <si>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</si>
  <si>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</si>
  <si>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</si>
  <si>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</si>
  <si>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</si>
  <si>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</si>
  <si>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</si>
  <si>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</si>
  <si>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</si>
  <si>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</si>
  <si>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</si>
  <si>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</si>
  <si>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</si>
  <si>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</si>
  <si>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</si>
  <si>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</si>
  <si>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</si>
  <si>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</si>
  <si>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</si>
  <si>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</si>
  <si>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</si>
  <si>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</si>
  <si>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</si>
  <si>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</si>
  <si>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</si>
  <si>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</si>
  <si>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</si>
  <si>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</si>
  <si>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</si>
  <si>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</si>
  <si>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</si>
  <si>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</si>
  <si>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</si>
  <si>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</si>
  <si>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</si>
  <si>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</si>
  <si>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</si>
  <si>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</si>
  <si>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</si>
  <si>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</si>
  <si>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</si>
  <si>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</si>
  <si>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</si>
  <si>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</si>
  <si>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</si>
  <si>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</si>
  <si>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</si>
  <si>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</si>
  <si>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</si>
  <si>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</si>
  <si>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</si>
  <si>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</si>
  <si>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</si>
  <si>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</si>
  <si>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</si>
  <si>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</si>
  <si>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</si>
  <si>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</si>
  <si>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</si>
  <si>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</si>
  <si>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</si>
  <si>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</si>
  <si>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</si>
  <si>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</si>
  <si>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</si>
  <si>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</si>
  <si>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</si>
  <si>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</si>
  <si>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</si>
  <si>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</si>
  <si>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</si>
  <si>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</si>
  <si>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</si>
  <si>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</si>
  <si>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</si>
  <si>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</si>
  <si>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</si>
  <si>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</si>
  <si>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</si>
  <si>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</si>
  <si>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</si>
  <si>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</si>
  <si>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</si>
  <si>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</si>
  <si>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</si>
  <si>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</si>
  <si>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</si>
  <si>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</si>
  <si>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</si>
  <si>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</si>
  <si>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</si>
  <si>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</si>
  <si>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</si>
  <si>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</si>
  <si>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</si>
  <si>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</si>
  <si>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</si>
  <si>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</si>
  <si>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</si>
  <si>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</si>
  <si>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</si>
  <si>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</si>
  <si>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</si>
  <si>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</si>
  <si>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</si>
  <si>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</si>
  <si>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</si>
  <si>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</si>
  <si>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</si>
  <si>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</si>
  <si>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</si>
  <si>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</si>
  <si>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</si>
  <si>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</si>
  <si>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</si>
  <si>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</si>
  <si>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</si>
  <si>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</si>
  <si>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</si>
  <si>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</si>
  <si>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</si>
  <si>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</si>
  <si>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</si>
  <si>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</si>
  <si>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</si>
  <si>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</si>
  <si>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</si>
  <si>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</si>
  <si>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</si>
  <si>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</si>
  <si>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</si>
  <si>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</si>
  <si>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</si>
  <si>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</si>
  <si>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</si>
  <si>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</si>
  <si>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</si>
  <si>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</si>
  <si>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</si>
  <si>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</si>
  <si>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</si>
  <si>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</si>
  <si>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</si>
  <si>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</si>
  <si>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</si>
  <si>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</si>
  <si>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</si>
  <si>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</si>
  <si>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</si>
  <si>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</si>
  <si>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</si>
  <si>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</si>
  <si>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</si>
  <si>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</si>
  <si>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</si>
  <si>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</si>
  <si>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</si>
  <si>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</si>
  <si>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</si>
  <si>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</si>
  <si>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</si>
  <si>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</si>
  <si>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</si>
  <si>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</si>
  <si>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</si>
  <si>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</si>
  <si>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</si>
  <si>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</si>
  <si>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</si>
  <si>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</si>
  <si>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</si>
  <si>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</si>
  <si>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</si>
  <si>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</si>
  <si>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</si>
  <si>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</si>
  <si>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</si>
  <si>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</si>
  <si>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</si>
  <si>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</si>
  <si>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</si>
  <si>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</si>
  <si>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</si>
  <si>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</si>
  <si>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</si>
  <si>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</si>
  <si>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</si>
  <si>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</si>
  <si>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</si>
  <si>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</si>
  <si>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</si>
  <si>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</si>
  <si>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</si>
  <si>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</si>
  <si>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</si>
  <si>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</si>
  <si>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</si>
  <si>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</si>
  <si>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</si>
  <si>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</si>
  <si>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</si>
  <si>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</si>
  <si>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</si>
  <si>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</si>
  <si>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</si>
  <si>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</si>
  <si>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</si>
  <si>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</si>
  <si>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</si>
  <si>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</si>
  <si>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</si>
  <si>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</si>
  <si>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</si>
  <si>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</si>
  <si>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</si>
  <si>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</si>
  <si>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</si>
  <si>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</si>
  <si>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</si>
  <si>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</si>
  <si>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</si>
  <si>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</si>
  <si>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</si>
  <si>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</si>
  <si>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</si>
  <si>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</si>
  <si>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</si>
  <si>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</si>
  <si>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</si>
  <si>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</si>
  <si>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</si>
  <si>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</si>
  <si>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</si>
  <si>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</si>
  <si>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</si>
  <si>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</si>
  <si>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</si>
  <si>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</si>
  <si>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</si>
  <si>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</si>
  <si>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</si>
  <si>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</si>
  <si>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</si>
  <si>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</si>
  <si>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</si>
  <si>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</si>
  <si>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</si>
  <si>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</si>
  <si>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</si>
  <si>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</si>
  <si>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</si>
  <si>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</si>
  <si>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</si>
  <si>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</si>
  <si>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</si>
  <si>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</si>
  <si>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</si>
  <si>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</si>
  <si>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</si>
  <si>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</si>
  <si>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</si>
  <si>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</si>
  <si>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</si>
  <si>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</si>
  <si>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</si>
  <si>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</si>
  <si>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</si>
  <si>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</si>
  <si>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</si>
  <si>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</si>
  <si>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</si>
  <si>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</si>
  <si>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</si>
  <si>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</si>
  <si>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</si>
  <si>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</si>
  <si>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</si>
  <si>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</si>
  <si>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</si>
  <si>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</si>
  <si>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</si>
  <si>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</si>
  <si>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</si>
  <si>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</si>
  <si>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</si>
  <si>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</si>
  <si>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</si>
  <si>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</si>
  <si>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</si>
  <si>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</si>
  <si>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</si>
  <si>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</si>
  <si>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</si>
  <si>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</si>
  <si>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</si>
  <si>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</si>
  <si>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</si>
  <si>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</si>
  <si>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</si>
  <si>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</si>
  <si>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</si>
  <si>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</si>
  <si>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</si>
  <si>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</si>
  <si>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</si>
  <si>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</si>
  <si>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</si>
  <si>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</si>
  <si>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</si>
  <si>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</si>
  <si>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</si>
  <si>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</si>
  <si>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</si>
  <si>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</si>
  <si>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</si>
  <si>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</si>
  <si>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</si>
  <si>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</si>
  <si>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</si>
  <si>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</si>
  <si>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</si>
  <si>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</si>
  <si>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</si>
  <si>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</si>
  <si>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</si>
  <si>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</si>
  <si>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 xml:space="preserve">Awan Market </t>
  </si>
  <si>
    <t>Address: Nashter Bazar</t>
  </si>
  <si>
    <t xml:space="preserve">Al hamd Bakery </t>
  </si>
  <si>
    <t xml:space="preserve">A1 Bakery </t>
  </si>
  <si>
    <t xml:space="preserve">Faridiya Veriety </t>
  </si>
  <si>
    <t xml:space="preserve">Hanif Khan </t>
  </si>
  <si>
    <t xml:space="preserve">Every K Bakery </t>
  </si>
  <si>
    <t>Madina Super Store</t>
  </si>
  <si>
    <t xml:space="preserve">Chanda Bakery </t>
  </si>
  <si>
    <t xml:space="preserve">SS Bakery </t>
  </si>
  <si>
    <t xml:space="preserve">MA Bakery </t>
  </si>
  <si>
    <t xml:space="preserve">Urban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</si>
</sst>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Awan Market 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Al hamd Bakery 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A1 Bakery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Faridiya Veriety </v>
      </c>
      <c r="T6" s="301">
        <f>+'4'!P35</f>
        <v>834.58895674576274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Hanif Khan </v>
      </c>
      <c r="T7" s="301">
        <f>+'5'!P35</f>
        <v>834.58895674576274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Every K Bakery </v>
      </c>
      <c r="T8" s="301">
        <f>+'6'!P35</f>
        <v>834.58895674576274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Madina Super Store</v>
      </c>
      <c r="T9" s="301">
        <f>+'7'!P35</f>
        <v>3136.2115850847463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Chanda Bakery 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94</v>
      </c>
      <c r="I11" s="236">
        <f t="shared" si="0"/>
        <v>6828.16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546.25279999999998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238.98560000000003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6042.9215999999997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1290.5084745762715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36.667150372881352</v>
      </c>
      <c r="P11" s="311">
        <f t="shared" si="2"/>
        <v>7370.0972249491524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SS Bakery </v>
      </c>
      <c r="T11" s="301">
        <f>+'9'!P35</f>
        <v>3136.2115850847463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92</v>
      </c>
      <c r="I12" s="236">
        <f t="shared" si="0"/>
        <v>6682.88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534.63040000000001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233.9008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5914.3487999999998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1263.0508474576272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35.88699823728814</v>
      </c>
      <c r="P12" s="311">
        <f t="shared" si="2"/>
        <v>7213.286645694915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MA Bakery </v>
      </c>
      <c r="T12" s="301">
        <f>+'10'!P35</f>
        <v>3338.355826983051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300</v>
      </c>
      <c r="I13" s="236">
        <f t="shared" si="0"/>
        <v>11769.000000000002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588.45000000000016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411.91500000000008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600.21900000000005</v>
      </c>
      <c r="M13" s="230">
        <f t="shared" si="1"/>
        <v>10168.416000000001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2288.1355932203378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62.282757966101698</v>
      </c>
      <c r="P13" s="311">
        <f t="shared" si="2"/>
        <v>12518.83435118644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Urban Mart </v>
      </c>
      <c r="T13" s="301">
        <f>+'11'!P35</f>
        <v>12746.990582237289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14.65</v>
      </c>
      <c r="H16" s="113">
        <f t="shared" ref="H16:M16" si="3">SUM(H7:H15)</f>
        <v>586</v>
      </c>
      <c r="I16" s="114">
        <f t="shared" si="3"/>
        <v>32544.04</v>
      </c>
      <c r="J16" s="274">
        <f>SUM(J7:J15)</f>
        <v>2250.4532000000004</v>
      </c>
      <c r="K16" s="275">
        <f t="shared" si="3"/>
        <v>1139.0414000000001</v>
      </c>
      <c r="L16" s="276">
        <f t="shared" si="3"/>
        <v>600.21900000000005</v>
      </c>
      <c r="M16" s="232">
        <f t="shared" si="3"/>
        <v>28554.326400000002</v>
      </c>
      <c r="N16" s="233">
        <f>SUM(N7:N15)</f>
        <v>6214.57627118644</v>
      </c>
      <c r="O16" s="101">
        <f>SUM(O7:O15)</f>
        <v>173.84451335593221</v>
      </c>
      <c r="P16" s="113">
        <f>SUM(P7:P15)</f>
        <v>34942.747184542372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32544.04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2250.4532000000004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1739.2604000000001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28554.326400000002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6214.57627118644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34768.902671186443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173.84451335593221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34942.747184542372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34942.747184542372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784.60000000000014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39.230000000000011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67.475600000000014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677.89440000000013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830.43677288135598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1" t="s">
        <v>88</v>
      </c>
      <c r="O35" s="372"/>
      <c r="P35" s="297">
        <f>+P33+P34</f>
        <v>834.58895674576274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784.60000000000014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39.230000000000011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67.475600000000014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677.89440000000013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830.43677288135598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1" t="s">
        <v>88</v>
      </c>
      <c r="O35" s="372"/>
      <c r="P35" s="297">
        <f>+P33+P34</f>
        <v>834.58895674576274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784.60000000000014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39.230000000000011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67.475600000000014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677.89440000000013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830.43677288135598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1" t="s">
        <v>88</v>
      </c>
      <c r="O35" s="372"/>
      <c r="P35" s="297">
        <f>+P33+P34</f>
        <v>834.58895674576274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311">
        <f t="shared" si="5"/>
        <v>1254.4846340338984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3136.2115850847463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435.84000000000003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34.867200000000004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15.254400000000002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385.71840000000003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468.09128135593221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1" t="s">
        <v>88</v>
      </c>
      <c r="O35" s="372"/>
      <c r="P35" s="297">
        <f>+P33+P34</f>
        <v>470.43173776271186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311">
        <f t="shared" si="5"/>
        <v>1254.4846340338984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3136.2115850847463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3138.4000000000005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156.92000000000004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269.90240000000006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2711.5776000000005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3321.7470915254239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1" t="s">
        <v>88</v>
      </c>
      <c r="O35" s="372"/>
      <c r="P35" s="297">
        <f>+P33+P34</f>
        <v>3338.355826983051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200</v>
      </c>
      <c r="I25" s="114">
        <f t="shared" si="7"/>
        <v>11855.2</v>
      </c>
      <c r="J25" s="274">
        <f>SUM(J16:J24)</f>
        <v>854.26400000000012</v>
      </c>
      <c r="K25" s="275">
        <f t="shared" si="7"/>
        <v>414.93200000000002</v>
      </c>
      <c r="L25" s="276">
        <f t="shared" si="7"/>
        <v>160.05840000000001</v>
      </c>
      <c r="M25" s="232">
        <f t="shared" si="7"/>
        <v>10425.945600000001</v>
      </c>
      <c r="N25" s="233">
        <f>SUM(N16:N24)</f>
        <v>2257.6271186440677</v>
      </c>
      <c r="O25" s="101">
        <f>SUM(O16:O24)</f>
        <v>63.417863593220346</v>
      </c>
      <c r="P25" s="113">
        <f>SUM(P16:P24)</f>
        <v>12746.990582237289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11855.2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854.26400000000012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574.99040000000002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10425.945600000001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2257.6271186440677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12683.572718644069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63.417863593220346</v>
      </c>
    </row>
    <row r="35" spans="2:16" ht="15.75" customHeight="1" thickBot="1" x14ac:dyDescent="0.4">
      <c r="N35" s="371" t="s">
        <v>88</v>
      </c>
      <c r="O35" s="372"/>
      <c r="P35" s="297">
        <f>+P33+P34</f>
        <v>12746.990582237289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2026-08-18T12:26:25Z</dcterms:modified>
</cp:coreProperties>
</file>