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7F4D8D1-44BB-4CEC-9853-24282BA3A477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9" l="1"/>
  <c r="M16" i="66"/>
  <c r="M20" i="46"/>
  <c r="O20" i="46" s="1"/>
  <c r="P20" i="46" s="1"/>
  <c r="R20" i="46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<sst xmlns="http://schemas.openxmlformats.org/spreadsheetml/2006/main" count="3977" uniqueCount="515">
  <si>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</si>
  <si>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</si>
  <si>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</si>
  <si>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</si>
  <si>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</si>
  <si>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</si>
  <si>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</si>
  <si>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</si>
  <si>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</si>
  <si>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</si>
  <si>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</si>
  <si>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</si>
  <si>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</si>
  <si>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</si>
  <si>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</si>
  <si>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</si>
  <si>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</si>
  <si>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</si>
  <si>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</si>
  <si>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</si>
  <si>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</si>
  <si>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</si>
  <si>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</si>
  <si>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</si>
  <si>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</si>
  <si>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</si>
  <si>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</si>
  <si>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</si>
  <si>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</si>
  <si>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</si>
  <si>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</si>
  <si>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</si>
  <si>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</si>
  <si>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</si>
  <si>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</si>
  <si>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</si>
  <si>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</si>
  <si>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</si>
  <si>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</si>
  <si>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</si>
  <si>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</si>
  <si>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</si>
  <si>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</si>
  <si>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</si>
  <si>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</si>
  <si>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</si>
  <si>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</si>
  <si>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</si>
  <si>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</si>
  <si>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</si>
  <si>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</si>
  <si>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</si>
  <si>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</si>
  <si>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</si>
  <si>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</si>
  <si>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</si>
  <si>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</si>
  <si>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</si>
  <si>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</si>
  <si>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</si>
  <si>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</si>
  <si>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</si>
  <si>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</si>
  <si>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</si>
  <si>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</si>
  <si>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</si>
  <si>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</si>
  <si>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</si>
  <si>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</si>
  <si>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</si>
  <si>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</si>
  <si>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</si>
  <si>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</si>
  <si>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</si>
  <si>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</si>
  <si>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</si>
  <si>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</si>
  <si>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</si>
  <si>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</si>
  <si>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</si>
  <si>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</si>
  <si>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</si>
  <si>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</si>
  <si>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</si>
  <si>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</si>
  <si>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</si>
  <si>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</si>
  <si>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</si>
  <si>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</si>
  <si>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</si>
  <si>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</si>
  <si>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</si>
  <si>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</si>
  <si>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</si>
  <si>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</si>
  <si>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</si>
  <si>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</si>
  <si>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</si>
  <si>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</si>
  <si>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</si>
  <si>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</si>
  <si>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</si>
  <si>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</si>
  <si>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</si>
  <si>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</si>
  <si>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</si>
  <si>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</si>
  <si>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</si>
  <si>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</si>
  <si>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</si>
  <si>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</si>
  <si>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</si>
  <si>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</si>
  <si>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</si>
  <si>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</si>
  <si>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</si>
  <si>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</si>
  <si>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</si>
  <si>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</si>
  <si>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</si>
  <si>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</si>
  <si>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</si>
  <si>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</si>
  <si>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</si>
  <si>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</si>
  <si>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</si>
  <si>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</si>
  <si>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</si>
  <si>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</si>
  <si>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</si>
  <si>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</si>
  <si>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</si>
  <si>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</si>
  <si>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</si>
  <si>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</si>
  <si>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</si>
  <si>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</si>
  <si>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</si>
  <si>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</si>
  <si>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</si>
  <si>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</si>
  <si>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</si>
  <si>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</si>
  <si>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</si>
  <si>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</si>
  <si>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</si>
  <si>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</si>
  <si>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</si>
  <si>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</si>
  <si>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</si>
  <si>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</si>
  <si>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</si>
  <si>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</si>
  <si>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</si>
  <si>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</si>
  <si>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</si>
  <si>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</si>
  <si>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</si>
  <si>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</si>
  <si>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</si>
  <si>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</si>
  <si>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</si>
  <si>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</si>
  <si>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</si>
  <si>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</si>
  <si>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</si>
  <si>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</si>
  <si>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</si>
  <si>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</si>
  <si>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</si>
  <si>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</si>
  <si>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</si>
  <si>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</si>
  <si>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</si>
  <si>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</si>
  <si>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</si>
  <si>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</si>
  <si>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</si>
  <si>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</si>
  <si>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</si>
  <si>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</si>
  <si>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</si>
  <si>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</si>
  <si>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</si>
  <si>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</si>
  <si>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</si>
  <si>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</si>
  <si>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</si>
  <si>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</si>
  <si>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</si>
  <si>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</si>
  <si>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</si>
  <si>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</si>
  <si>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</si>
  <si>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</si>
  <si>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</si>
  <si>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</si>
  <si>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</si>
  <si>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</si>
  <si>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</si>
  <si>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</si>
  <si>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</si>
  <si>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</si>
  <si>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</si>
  <si>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</si>
  <si>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</si>
  <si>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</si>
  <si>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</si>
  <si>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</si>
  <si>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</si>
  <si>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</si>
  <si>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</si>
  <si>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</si>
  <si>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</si>
  <si>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</si>
  <si>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</si>
  <si>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</si>
  <si>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</si>
  <si>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</si>
  <si>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</si>
  <si>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</si>
  <si>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</si>
  <si>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</si>
  <si>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</si>
  <si>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</si>
  <si>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</si>
  <si>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</si>
  <si>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</si>
  <si>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</si>
  <si>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</si>
  <si>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</si>
  <si>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</si>
  <si>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</si>
  <si>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</si>
  <si>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</si>
  <si>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</si>
  <si>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</si>
  <si>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</si>
  <si>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</si>
  <si>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</si>
  <si>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</si>
  <si>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</si>
  <si>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</si>
  <si>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</si>
  <si>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</si>
  <si>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</si>
  <si>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</si>
  <si>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</si>
  <si>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</si>
  <si>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</si>
  <si>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</si>
  <si>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</si>
  <si>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</si>
  <si>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</si>
  <si>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</si>
  <si>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</si>
  <si>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</si>
  <si>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</si>
  <si>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</si>
  <si>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</si>
  <si>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</si>
  <si>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</si>
  <si>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</si>
  <si>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</si>
  <si>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</si>
  <si>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</si>
  <si>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</si>
  <si>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</si>
  <si>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</si>
  <si>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</si>
  <si>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</si>
  <si>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</si>
  <si>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</si>
  <si>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</si>
  <si>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</si>
  <si>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</si>
  <si>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</si>
  <si>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</si>
  <si>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</si>
  <si>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</si>
  <si>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</si>
  <si>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</si>
  <si>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</si>
  <si>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</si>
  <si>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</si>
  <si>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</si>
  <si>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</si>
  <si>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</si>
  <si>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</si>
  <si>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</si>
  <si>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</si>
  <si>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</si>
  <si>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</si>
  <si>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</si>
  <si>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</si>
  <si>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</si>
  <si>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</si>
  <si>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</si>
  <si>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</si>
  <si>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</si>
  <si>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</si>
  <si>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</si>
  <si>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</si>
  <si>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</si>
  <si>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</si>
  <si>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</si>
  <si>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</si>
  <si>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</si>
  <si>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</si>
  <si>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</si>
  <si>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</si>
  <si>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</si>
  <si>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</si>
  <si>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</si>
  <si>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</si>
  <si>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</si>
  <si>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</si>
  <si>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</si>
  <si>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</si>
  <si>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</si>
  <si>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</si>
  <si>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</si>
  <si>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</si>
  <si>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</si>
  <si>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</si>
  <si>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</si>
  <si>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</si>
  <si>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</si>
  <si>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</si>
  <si>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</si>
  <si>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</si>
  <si>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</si>
  <si>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</si>
  <si>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</si>
  <si>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</si>
  <si>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</si>
  <si>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</si>
  <si>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</si>
  <si>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</si>
  <si>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</si>
  <si>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</si>
  <si>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</si>
  <si>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</si>
  <si>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</si>
  <si>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</si>
  <si>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</si>
  <si>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</si>
  <si>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</si>
  <si>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</si>
  <si>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</si>
  <si>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</si>
  <si>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</si>
  <si>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</si>
  <si>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</si>
  <si>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</si>
  <si>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</si>
  <si>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</si>
  <si>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</si>
  <si>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</si>
  <si>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</si>
  <si>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</si>
  <si>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</si>
  <si>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</si>
  <si>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</si>
  <si>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</si>
  <si>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</si>
  <si>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</si>
  <si>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</si>
  <si>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</si>
  <si>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</si>
  <si>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</si>
  <si>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</si>
  <si>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</si>
  <si>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</si>
  <si>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</si>
  <si>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</si>
  <si>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</si>
  <si>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</si>
  <si>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</si>
  <si>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</si>
  <si>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</si>
  <si>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</si>
  <si>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</si>
  <si>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</si>
  <si>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</si>
  <si>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</si>
  <si>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</si>
  <si>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</si>
  <si>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</si>
  <si>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</si>
  <si>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</si>
  <si>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</si>
  <si>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</si>
  <si>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</si>
  <si>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</si>
  <si>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</si>
  <si>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</si>
  <si>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</si>
  <si>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</si>
  <si>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</si>
  <si>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</si>
  <si>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</si>
  <si>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</si>
  <si>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</si>
  <si>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</si>
  <si>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</si>
  <si>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</si>
  <si>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</si>
  <si>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</si>
  <si>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</si>
  <si>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</si>
  <si>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</si>
  <si>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</si>
  <si>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</si>
  <si>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</si>
  <si>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</si>
  <si>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</si>
  <si>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</si>
  <si>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</si>
  <si>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</si>
  <si>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</si>
  <si>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</si>
  <si>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</si>
  <si>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</si>
  <si>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</si>
  <si>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</si>
  <si>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</si>
  <si>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</si>
  <si>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</si>
  <si>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</si>
  <si>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</si>
  <si>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</si>
  <si>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</si>
  <si>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</si>
  <si>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</si>
  <si>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</si>
  <si>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</si>
  <si>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</si>
  <si>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</si>
  <si>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</si>
  <si>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</si>
  <si>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</si>
  <si>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</si>
  <si>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</si>
  <si>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</si>
  <si>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</si>
  <si>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</si>
  <si>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</si>
  <si>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</si>
  <si>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</si>
  <si>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</si>
  <si>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</si>
  <si>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</si>
  <si>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</si>
  <si>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</si>
  <si>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</si>
  <si>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</si>
  <si>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</si>
  <si>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</si>
  <si>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</si>
  <si>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</si>
  <si>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</si>
  <si>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</si>
  <si>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</si>
  <si>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</si>
  <si>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</si>
  <si>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</si>
  <si>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</si>
  <si>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</si>
  <si>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</si>
  <si>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</si>
  <si>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</si>
  <si>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</si>
  <si>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</si>
  <si>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</si>
  <si>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</si>
  <si>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</si>
  <si>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</si>
  <si>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</si>
  <si>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</si>
  <si>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</si>
  <si>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</si>
  <si>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</si>
  <si>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</si>
  <si>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</si>
  <si>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</si>
  <si>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</si>
  <si>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</si>
  <si>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</si>
  <si>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</si>
  <si>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</si>
  <si>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</si>
  <si>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</si>
  <si>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</si>
  <si>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</si>
  <si>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</si>
  <si>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</si>
  <si>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</si>
  <si>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</si>
  <si>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</si>
  <si>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</si>
  <si>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</si>
  <si>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</si>
  <si>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</si>
  <si>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</si>
  <si>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</si>
  <si>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</si>
  <si>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</si>
  <si>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</si>
  <si>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</si>
  <si>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</si>
  <si>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</si>
  <si>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7278831-0</t>
  </si>
  <si>
    <t xml:space="preserve">Jalal Sons </t>
  </si>
  <si>
    <t xml:space="preserve">Address: Chatri Chowk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</si>
</sst>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498</v>
      </c>
      <c r="F2" s="354"/>
      <c r="G2" s="354"/>
      <c r="H2" s="351"/>
      <c r="I2" s="351"/>
      <c r="J2" s="352"/>
      <c r="R2" s="348" t="s">
        <v>497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508</v>
      </c>
      <c r="F3" s="358"/>
      <c r="G3" s="358"/>
      <c r="H3" s="355">
        <f ca="1">TODAY()</f>
        <v>46253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 xml:space="preserve">Jalal Sons </v>
      </c>
      <c r="T3" s="301">
        <f>+'1'!P35</f>
        <v>227215.1129815678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Jalal Sons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Jalal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Jalal Sons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600</v>
      </c>
      <c r="I7" s="235">
        <f>(G7*D7)*F7+H7*F7</f>
        <v>31477.5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4721.625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1101.7125000000001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25654.162499999999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5949.152542372879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158.01657521186439</v>
      </c>
      <c r="P7" s="310">
        <f>M7+N7+O7</f>
        <v>31761.331617584739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</v>
      </c>
      <c r="R7" s="314">
        <v>5</v>
      </c>
      <c r="S7" s="300" t="str">
        <f>+'5'!A6:A6</f>
        <v xml:space="preserve">Jalal Sons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600</v>
      </c>
      <c r="I8" s="236">
        <f t="shared" ref="I8:I14" si="0">(G8*D8)*F8+H8*F8</f>
        <v>31477.5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4721.625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1101.7125000000001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25654.162499999999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5949.152542372879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158.01657521186439</v>
      </c>
      <c r="P8" s="311">
        <f t="shared" ref="P8:P15" si="2">M8+N8+O8</f>
        <v>31761.331617584739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Jalal Sons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600</v>
      </c>
      <c r="I9" s="236">
        <f t="shared" si="0"/>
        <v>31477.5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4721.625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1101.7125000000001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25654.162499999999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5949.152542372879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158.01657521186439</v>
      </c>
      <c r="P9" s="311">
        <f t="shared" si="2"/>
        <v>31761.331617584739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Jalal Sons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600</v>
      </c>
      <c r="I10" s="236">
        <f t="shared" si="0"/>
        <v>43584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6537.5999999999995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1525.44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35520.959999999999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8237.2881355932204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218.7912406779661</v>
      </c>
      <c r="P10" s="311">
        <f t="shared" si="2"/>
        <v>43977.039376271183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</v>
      </c>
      <c r="R10" s="314">
        <v>8</v>
      </c>
      <c r="S10" s="300" t="str">
        <f>+'8'!A6:A6</f>
        <v xml:space="preserve">Jalal Sons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600</v>
      </c>
      <c r="I11" s="236">
        <f t="shared" si="0"/>
        <v>43584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6537.5999999999995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1525.44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35520.959999999999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8237.2881355932204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218.7912406779661</v>
      </c>
      <c r="P11" s="311">
        <f t="shared" si="2"/>
        <v>43977.039376271183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8</v>
      </c>
      <c r="R11" s="314">
        <v>9</v>
      </c>
      <c r="S11" s="300" t="str">
        <f>+'9'!A6:A6</f>
        <v xml:space="preserve">Jalal Sons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600</v>
      </c>
      <c r="I12" s="236">
        <f t="shared" si="0"/>
        <v>43584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6537.5999999999995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1525.44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35520.959999999999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8237.2881355932204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218.7912406779661</v>
      </c>
      <c r="P12" s="311">
        <f t="shared" si="2"/>
        <v>43977.039376271183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</v>
      </c>
      <c r="R12" s="314">
        <v>10</v>
      </c>
      <c r="S12" s="300" t="str">
        <f>+'10'!A6:A6</f>
        <v xml:space="preserve">Jalal Sons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Jalal Sons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Jalal Sons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Jalal Sons 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90</v>
      </c>
      <c r="H16" s="113">
        <f t="shared" ref="H16:M16" si="3">SUM(H7:H15)</f>
        <v>3600</v>
      </c>
      <c r="I16" s="114">
        <f t="shared" si="3"/>
        <v>225184.5</v>
      </c>
      <c r="J16" s="274">
        <f>SUM(J7:J15)</f>
        <v>33777.674999999996</v>
      </c>
      <c r="K16" s="275">
        <f t="shared" si="3"/>
        <v>7881.4575000000004</v>
      </c>
      <c r="L16" s="276">
        <f t="shared" si="3"/>
        <v>0</v>
      </c>
      <c r="M16" s="232">
        <f t="shared" si="3"/>
        <v>183525.36749999996</v>
      </c>
      <c r="N16" s="233">
        <f>SUM(N7:N15)</f>
        <v>42559.322033898294</v>
      </c>
      <c r="O16" s="101">
        <f>SUM(O7:O15)</f>
        <v>1130.4234476694915</v>
      </c>
      <c r="P16" s="113">
        <f>SUM(P7:P15)</f>
        <v>227215.11298156777</v>
      </c>
      <c r="Q16" s="128">
        <f>SUM(Q7:Q15)</f>
        <v>14</v>
      </c>
      <c r="R16" s="314">
        <v>14</v>
      </c>
      <c r="S16" s="300" t="str">
        <f>+'14'!A6:A6</f>
        <v xml:space="preserve">Jalal Sons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Jalal Sons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Jalal Sons 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225184.5</v>
      </c>
      <c r="R19" s="299">
        <v>17</v>
      </c>
      <c r="S19" s="300" t="str">
        <f>+'17'!A6:A6</f>
        <v xml:space="preserve">Jalal Sons 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33777.674999999996</v>
      </c>
      <c r="R20" s="299">
        <v>18</v>
      </c>
      <c r="S20" s="300" t="str">
        <f>+'18'!A6:A6</f>
        <v xml:space="preserve">Jalal Sons 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7881.4575000000004</v>
      </c>
      <c r="R21" s="299">
        <v>19</v>
      </c>
      <c r="S21" s="300" t="str">
        <f>+'19'!A6:A6</f>
        <v xml:space="preserve">Jalal Sons 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183525.36750000002</v>
      </c>
      <c r="R22" s="299">
        <v>20</v>
      </c>
      <c r="S22" s="300" t="str">
        <f>+'20'!A6:A6</f>
        <v xml:space="preserve">Jalal Sons 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42559.322033898294</v>
      </c>
      <c r="R23" s="299">
        <v>21</v>
      </c>
      <c r="S23" s="300" t="str">
        <f>+'21'!A6:A6</f>
        <v xml:space="preserve">Jalal Sons 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226084.68953389832</v>
      </c>
      <c r="R24" s="299">
        <v>22</v>
      </c>
      <c r="S24" s="300" t="str">
        <f>+'22'!A6:A6</f>
        <v xml:space="preserve">Jalal Sons 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1130.4234476694915</v>
      </c>
      <c r="R25" s="299">
        <v>23</v>
      </c>
      <c r="S25" s="300" t="str">
        <f>+'23'!A6:A6</f>
        <v xml:space="preserve">Jalal Sons 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227215.1129815678</v>
      </c>
      <c r="R26" s="299">
        <v>24</v>
      </c>
      <c r="S26" s="300" t="str">
        <f>+'24'!A6:A6</f>
        <v xml:space="preserve">Jalal Sons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 xml:space="preserve">Jalal Sons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Jalal Sons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Jalal Sons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Jalal Sons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Jalal Sons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Jalal Sons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227215.1129815678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20" workbookViewId="0">
      <selection sqref="A1:Q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7.2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500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600</v>
      </c>
      <c r="I16" s="235">
        <f>(G16*D16)*F16+H16*F16</f>
        <v>31477.5</v>
      </c>
      <c r="J16" s="271">
        <f>$I16*S16</f>
        <v>4721.625</v>
      </c>
      <c r="K16" s="127">
        <f>$I16*T16</f>
        <v>1101.7125000000001</v>
      </c>
      <c r="L16" s="118">
        <f>$I16*U16</f>
        <v>0</v>
      </c>
      <c r="M16" s="229">
        <f>I16-SUM(J16:L16)</f>
        <v>25654.162499999999</v>
      </c>
      <c r="N16" s="248">
        <f>+(G16*D16+H16)*V16</f>
        <v>5949.152542372879</v>
      </c>
      <c r="O16" s="238">
        <f>(N16+M16)*$O$15</f>
        <v>158.01657521186439</v>
      </c>
      <c r="P16" s="310">
        <f>M16+N16+O16</f>
        <v>31761.331617584739</v>
      </c>
      <c r="Q16" s="313">
        <v>1</v>
      </c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600</v>
      </c>
      <c r="I17" s="236">
        <f t="shared" ref="I17:I23" si="0">(G17*D17)*F17+H17*F17</f>
        <v>31477.5</v>
      </c>
      <c r="J17" s="272">
        <f t="shared" ref="J17:L24" si="1">$I17*S17</f>
        <v>4721.625</v>
      </c>
      <c r="K17" s="128">
        <f>$I17*T17</f>
        <v>1101.7125000000001</v>
      </c>
      <c r="L17" s="119">
        <f>$I17*U17</f>
        <v>0</v>
      </c>
      <c r="M17" s="230">
        <f t="shared" ref="M17:M24" si="2">I17-SUM(J17:L17)</f>
        <v>25654.162499999999</v>
      </c>
      <c r="N17" s="277">
        <f t="shared" ref="N17:N24" si="3">+(G17*D17+H17)*V17</f>
        <v>5949.152542372879</v>
      </c>
      <c r="O17" s="239">
        <f t="shared" ref="O17:O24" si="4">(N17+M17)*$O$15</f>
        <v>158.01657521186439</v>
      </c>
      <c r="P17" s="311">
        <f t="shared" ref="P17:P24" si="5">M17+N17+O17</f>
        <v>31761.331617584739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600</v>
      </c>
      <c r="I18" s="236">
        <f t="shared" ref="I18:I21" si="7">(G18*D18)*F18+H18*F18</f>
        <v>31477.5</v>
      </c>
      <c r="J18" s="272">
        <f t="shared" si="1"/>
        <v>4721.625</v>
      </c>
      <c r="K18" s="128">
        <f t="shared" si="1"/>
        <v>1101.7125000000001</v>
      </c>
      <c r="L18" s="119">
        <f t="shared" si="1"/>
        <v>0</v>
      </c>
      <c r="M18" s="230">
        <f t="shared" si="2"/>
        <v>25654.162499999999</v>
      </c>
      <c r="N18" s="277">
        <f t="shared" si="3"/>
        <v>5949.152542372879</v>
      </c>
      <c r="O18" s="239">
        <f t="shared" si="4"/>
        <v>158.01657521186439</v>
      </c>
      <c r="P18" s="311">
        <f t="shared" si="5"/>
        <v>31761.331617584739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600</v>
      </c>
      <c r="I19" s="236">
        <f t="shared" si="7"/>
        <v>43584</v>
      </c>
      <c r="J19" s="272">
        <f t="shared" si="1"/>
        <v>6537.5999999999995</v>
      </c>
      <c r="K19" s="128">
        <f t="shared" si="1"/>
        <v>1525.44</v>
      </c>
      <c r="L19" s="119">
        <f t="shared" si="1"/>
        <v>0</v>
      </c>
      <c r="M19" s="230">
        <f t="shared" si="2"/>
        <v>35520.959999999999</v>
      </c>
      <c r="N19" s="277">
        <f t="shared" si="3"/>
        <v>8237.2881355932204</v>
      </c>
      <c r="O19" s="239">
        <f t="shared" si="4"/>
        <v>218.7912406779661</v>
      </c>
      <c r="P19" s="311">
        <f t="shared" si="5"/>
        <v>43977.039376271183</v>
      </c>
      <c r="Q19" s="156">
        <v>1</v>
      </c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600</v>
      </c>
      <c r="I20" s="236">
        <f t="shared" si="7"/>
        <v>43584</v>
      </c>
      <c r="J20" s="272">
        <f t="shared" si="1"/>
        <v>6537.5999999999995</v>
      </c>
      <c r="K20" s="128">
        <f t="shared" si="1"/>
        <v>1525.44</v>
      </c>
      <c r="L20" s="119">
        <f t="shared" si="1"/>
        <v>0</v>
      </c>
      <c r="M20" s="230">
        <f t="shared" si="2"/>
        <v>35520.959999999999</v>
      </c>
      <c r="N20" s="277">
        <f t="shared" si="3"/>
        <v>8237.2881355932204</v>
      </c>
      <c r="O20" s="239">
        <f t="shared" si="4"/>
        <v>218.7912406779661</v>
      </c>
      <c r="P20" s="311">
        <f t="shared" si="5"/>
        <v>43977.039376271183</v>
      </c>
      <c r="Q20" s="156">
        <v>8</v>
      </c>
      <c r="R20">
        <f>P20/21</f>
        <v>2094.1447322033896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600</v>
      </c>
      <c r="I21" s="236">
        <f t="shared" si="7"/>
        <v>43584</v>
      </c>
      <c r="J21" s="272">
        <f t="shared" si="1"/>
        <v>6537.5999999999995</v>
      </c>
      <c r="K21" s="128">
        <f t="shared" si="1"/>
        <v>1525.44</v>
      </c>
      <c r="L21" s="119">
        <f t="shared" si="1"/>
        <v>0</v>
      </c>
      <c r="M21" s="230">
        <f t="shared" si="2"/>
        <v>35520.959999999999</v>
      </c>
      <c r="N21" s="277">
        <f t="shared" si="3"/>
        <v>8237.2881355932204</v>
      </c>
      <c r="O21" s="239">
        <f t="shared" si="4"/>
        <v>218.7912406779661</v>
      </c>
      <c r="P21" s="311">
        <f t="shared" si="5"/>
        <v>43977.039376271183</v>
      </c>
      <c r="Q21" s="156">
        <v>4</v>
      </c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3600</v>
      </c>
      <c r="I25" s="114">
        <f t="shared" ref="I25:M25" si="10">SUM(I16:I24)</f>
        <v>225184.5</v>
      </c>
      <c r="J25" s="274">
        <f>SUM(J16:J24)</f>
        <v>33777.674999999996</v>
      </c>
      <c r="K25" s="275">
        <f t="shared" si="10"/>
        <v>7881.4575000000004</v>
      </c>
      <c r="L25" s="276">
        <f t="shared" si="10"/>
        <v>0</v>
      </c>
      <c r="M25" s="232">
        <f t="shared" si="10"/>
        <v>183525.36749999996</v>
      </c>
      <c r="N25" s="233">
        <f>SUM(N16:N24)</f>
        <v>42559.322033898294</v>
      </c>
      <c r="O25" s="101">
        <f>SUM(O16:O24)</f>
        <v>1130.4234476694915</v>
      </c>
      <c r="P25" s="113">
        <f>SUM(P16:P24)</f>
        <v>227215.11298156777</v>
      </c>
      <c r="Q25" s="128">
        <f>SUM(Q16:Q24)</f>
        <v>14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225184.5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33777.674999999996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7881.4575000000004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183525.36750000002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42559.322033898294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226084.68953389832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1130.4234476694917</v>
      </c>
    </row>
    <row r="35" spans="2:16" ht="15.75" customHeight="1" thickBot="1" x14ac:dyDescent="0.4">
      <c r="N35" s="342" t="s">
        <v>88</v>
      </c>
      <c r="O35" s="343"/>
      <c r="P35" s="297">
        <f>+P33+P34</f>
        <v>227215.1129815678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8.7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8.7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499</v>
      </c>
      <c r="B4" s="367"/>
      <c r="C4" s="367"/>
      <c r="F4" s="85"/>
      <c r="G4" s="1"/>
      <c r="K4" s="368" t="s">
        <v>44</v>
      </c>
      <c r="L4" s="368"/>
      <c r="M4" s="368"/>
      <c r="N4" s="398">
        <v>46253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46252</v>
      </c>
      <c r="O5" s="367"/>
      <c r="P5" s="367"/>
      <c r="R5" s="85"/>
      <c r="S5" s="266"/>
    </row>
    <row r="6" spans="1:22 16383:16384" ht="15" customHeight="1" x14ac:dyDescent="0.4">
      <c r="A6" s="396" t="s">
        <v>513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512</v>
      </c>
      <c r="B7" s="368"/>
      <c r="C7" s="368"/>
      <c r="F7" s="85"/>
      <c r="G7" s="86"/>
      <c r="K7" s="368" t="s">
        <v>66</v>
      </c>
      <c r="L7" s="368"/>
      <c r="M7" s="368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514</v>
      </c>
      <c r="B8" s="394"/>
      <c r="C8" s="394"/>
      <c r="F8" s="85"/>
      <c r="G8" s="86"/>
      <c r="K8" s="368" t="s">
        <v>67</v>
      </c>
      <c r="L8" s="368"/>
      <c r="M8" s="368"/>
      <c r="N8" s="397" t="s">
        <v>505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46254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46253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2026-08-19T12:37:58Z</dcterms:modified>
</cp:coreProperties>
</file>