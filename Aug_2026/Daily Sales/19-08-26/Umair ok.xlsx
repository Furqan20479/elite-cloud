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FF6DF67-7503-43C0-A4C4-746417A38B0C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3" l="1"/>
  <c r="O24" i="43" s="1"/>
  <c r="P24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<sst xmlns="http://schemas.openxmlformats.org/spreadsheetml/2006/main" count="3978" uniqueCount="529">
  <si>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</si>
  <si>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</si>
  <si>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</si>
  <si>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</si>
  <si>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</si>
  <si>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</si>
  <si>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</si>
  <si>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</si>
  <si>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</si>
  <si>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</si>
  <si>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</si>
  <si>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</si>
  <si>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</si>
  <si>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</si>
  <si>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</si>
  <si>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</si>
  <si>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</si>
  <si>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</si>
  <si>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</si>
  <si>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</si>
  <si>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</si>
  <si>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</si>
  <si>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</si>
  <si>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</si>
  <si>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</si>
  <si>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</si>
  <si>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</si>
  <si>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</si>
  <si>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</si>
  <si>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</si>
  <si>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</si>
  <si>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</si>
  <si>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</si>
  <si>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</si>
  <si>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</si>
  <si>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</si>
  <si>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</si>
  <si>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</si>
  <si>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</si>
  <si>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</si>
  <si>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</si>
  <si>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</si>
  <si>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</si>
  <si>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</si>
  <si>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</si>
  <si>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</si>
  <si>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</si>
  <si>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</si>
  <si>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</si>
  <si>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</si>
  <si>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</si>
  <si>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</si>
  <si>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</si>
  <si>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</si>
  <si>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</si>
  <si>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</si>
  <si>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</si>
  <si>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</si>
  <si>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</si>
  <si>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</si>
  <si>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</si>
  <si>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</si>
  <si>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</si>
  <si>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</si>
  <si>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</si>
  <si>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</si>
  <si>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</si>
  <si>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</si>
  <si>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</si>
  <si>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</si>
  <si>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</si>
  <si>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</si>
  <si>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</si>
  <si>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</si>
  <si>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</si>
  <si>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</si>
  <si>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</si>
  <si>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</si>
  <si>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</si>
  <si>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</si>
  <si>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</si>
  <si>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</si>
  <si>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</si>
  <si>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</si>
  <si>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</si>
  <si>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</si>
  <si>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</si>
  <si>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</si>
  <si>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</si>
  <si>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</si>
  <si>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</si>
  <si>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</si>
  <si>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</si>
  <si>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</si>
  <si>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</si>
  <si>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</si>
  <si>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</si>
  <si>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</si>
  <si>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</si>
  <si>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</si>
  <si>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</si>
  <si>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</si>
  <si>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</si>
  <si>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</si>
  <si>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</si>
  <si>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</si>
  <si>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</si>
  <si>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</si>
  <si>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</si>
  <si>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</si>
  <si>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</si>
  <si>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</si>
  <si>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</si>
  <si>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</si>
  <si>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</si>
  <si>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</si>
  <si>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</si>
  <si>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</si>
  <si>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</si>
  <si>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</si>
  <si>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</si>
  <si>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</si>
  <si>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</si>
  <si>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</si>
  <si>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</si>
  <si>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</si>
  <si>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</si>
  <si>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</si>
  <si>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</si>
  <si>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</si>
  <si>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</si>
  <si>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</si>
  <si>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</si>
  <si>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</si>
  <si>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</si>
  <si>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</si>
  <si>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</si>
  <si>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</si>
  <si>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</si>
  <si>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</si>
  <si>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</si>
  <si>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</si>
  <si>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</si>
  <si>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</si>
  <si>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</si>
  <si>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</si>
  <si>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</si>
  <si>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</si>
  <si>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</si>
  <si>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</si>
  <si>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</si>
  <si>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</si>
  <si>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</si>
  <si>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</si>
  <si>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</si>
  <si>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</si>
  <si>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</si>
  <si>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</si>
  <si>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</si>
  <si>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</si>
  <si>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</si>
  <si>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</si>
  <si>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</si>
  <si>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</si>
  <si>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</si>
  <si>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</si>
  <si>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</si>
  <si>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</si>
  <si>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</si>
  <si>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</si>
  <si>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</si>
  <si>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</si>
  <si>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</si>
  <si>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</si>
  <si>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</si>
  <si>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</si>
  <si>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</si>
  <si>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</si>
  <si>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</si>
  <si>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</si>
  <si>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</si>
  <si>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</si>
  <si>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</si>
  <si>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</si>
  <si>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</si>
  <si>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</si>
  <si>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</si>
  <si>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</si>
  <si>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</si>
  <si>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</si>
  <si>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</si>
  <si>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</si>
  <si>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</si>
  <si>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</si>
  <si>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</si>
  <si>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</si>
  <si>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</si>
  <si>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</si>
  <si>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</si>
  <si>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</si>
  <si>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</si>
  <si>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</si>
  <si>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</si>
  <si>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</si>
  <si>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</si>
  <si>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</si>
  <si>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</si>
  <si>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</si>
  <si>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</si>
  <si>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</si>
  <si>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</si>
  <si>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</si>
  <si>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</si>
  <si>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</si>
  <si>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</si>
  <si>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</si>
  <si>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</si>
  <si>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</si>
  <si>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</si>
  <si>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</si>
  <si>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</si>
  <si>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</si>
  <si>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</si>
  <si>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</si>
  <si>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</si>
  <si>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</si>
  <si>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</si>
  <si>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</si>
  <si>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</si>
  <si>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</si>
  <si>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</si>
  <si>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</si>
  <si>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</si>
  <si>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</si>
  <si>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</si>
  <si>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</si>
  <si>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</si>
  <si>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</si>
  <si>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</si>
  <si>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</si>
  <si>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</si>
  <si>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</si>
  <si>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</si>
  <si>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</si>
  <si>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</si>
  <si>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</si>
  <si>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</si>
  <si>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</si>
  <si>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</si>
  <si>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</si>
  <si>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</si>
  <si>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</si>
  <si>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</si>
  <si>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</si>
  <si>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</si>
  <si>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</si>
  <si>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</si>
  <si>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</si>
  <si>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</si>
  <si>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</si>
  <si>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</si>
  <si>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</si>
  <si>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</si>
  <si>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</si>
  <si>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</si>
  <si>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</si>
  <si>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</si>
  <si>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</si>
  <si>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</si>
  <si>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</si>
  <si>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</si>
  <si>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</si>
  <si>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</si>
  <si>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</si>
  <si>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</si>
  <si>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</si>
  <si>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</si>
  <si>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</si>
  <si>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</si>
  <si>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</si>
  <si>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</si>
  <si>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</si>
  <si>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</si>
  <si>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</si>
  <si>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</si>
  <si>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</si>
  <si>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</si>
  <si>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</si>
  <si>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</si>
  <si>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</si>
  <si>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</si>
  <si>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</si>
  <si>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</si>
  <si>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</si>
  <si>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</si>
  <si>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</si>
  <si>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</si>
  <si>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</si>
  <si>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</si>
  <si>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</si>
  <si>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</si>
  <si>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</si>
  <si>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</si>
  <si>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</si>
  <si>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</si>
  <si>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</si>
  <si>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</si>
  <si>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</si>
  <si>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</si>
  <si>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</si>
  <si>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</si>
  <si>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</si>
  <si>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</si>
  <si>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</si>
  <si>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</si>
  <si>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</si>
  <si>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</si>
  <si>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</si>
  <si>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</si>
  <si>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</si>
  <si>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</si>
  <si>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</si>
  <si>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</si>
  <si>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</si>
  <si>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</si>
  <si>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</si>
  <si>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</si>
  <si>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</si>
  <si>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</si>
  <si>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</si>
  <si>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</si>
  <si>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</si>
  <si>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</si>
  <si>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</si>
  <si>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</si>
  <si>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</si>
  <si>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</si>
  <si>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</si>
  <si>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</si>
  <si>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</si>
  <si>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</si>
  <si>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</si>
  <si>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</si>
  <si>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</si>
  <si>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</si>
  <si>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</si>
  <si>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</si>
  <si>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</si>
  <si>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</si>
  <si>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</si>
  <si>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</si>
  <si>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</si>
  <si>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</si>
  <si>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</si>
  <si>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</si>
  <si>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</si>
  <si>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</si>
  <si>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</si>
  <si>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</si>
  <si>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</si>
  <si>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</si>
  <si>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</si>
  <si>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</si>
  <si>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</si>
  <si>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</si>
  <si>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</si>
  <si>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</si>
  <si>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</si>
  <si>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</si>
  <si>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</si>
  <si>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</si>
  <si>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</si>
  <si>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</si>
  <si>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</si>
  <si>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</si>
  <si>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</si>
  <si>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</si>
  <si>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</si>
  <si>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</si>
  <si>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</si>
  <si>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</si>
  <si>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</si>
  <si>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</si>
  <si>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</si>
  <si>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</si>
  <si>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</si>
  <si>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</si>
  <si>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</si>
  <si>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</si>
  <si>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</si>
  <si>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</si>
  <si>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</si>
  <si>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</si>
  <si>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</si>
  <si>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</si>
  <si>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</si>
  <si>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</si>
  <si>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</si>
  <si>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</si>
  <si>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</si>
  <si>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</si>
  <si>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</si>
  <si>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</si>
  <si>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</si>
  <si>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</si>
  <si>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</si>
  <si>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</si>
  <si>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</si>
  <si>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</si>
  <si>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</si>
  <si>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</si>
  <si>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</si>
  <si>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</si>
  <si>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</si>
  <si>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</si>
  <si>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</si>
  <si>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</si>
  <si>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</si>
  <si>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</si>
  <si>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</si>
  <si>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</si>
  <si>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</si>
  <si>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</si>
  <si>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</si>
  <si>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</si>
  <si>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</si>
  <si>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</si>
  <si>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</si>
  <si>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</si>
  <si>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</si>
  <si>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</si>
  <si>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</si>
  <si>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</si>
  <si>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</si>
  <si>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</si>
  <si>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</si>
  <si>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</si>
  <si>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</si>
  <si>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</si>
  <si>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</si>
  <si>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</si>
  <si>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</si>
  <si>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</si>
  <si>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</si>
  <si>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</si>
  <si>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</si>
  <si>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</si>
  <si>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</si>
  <si>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</si>
  <si>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</si>
  <si>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</si>
  <si>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</si>
  <si>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</si>
  <si>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</si>
  <si>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</si>
  <si>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</si>
  <si>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</si>
  <si>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</si>
  <si>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</si>
  <si>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</si>
  <si>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</si>
  <si>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</si>
  <si>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</si>
  <si>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</si>
  <si>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</si>
  <si>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</si>
  <si>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</si>
  <si>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</si>
  <si>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</si>
  <si>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</si>
  <si>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</si>
  <si>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</si>
  <si>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</si>
  <si>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</si>
  <si>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</si>
  <si>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</si>
  <si>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</si>
  <si>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</si>
  <si>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</si>
  <si>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</si>
  <si>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</si>
  <si>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</si>
  <si>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</si>
  <si>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</si>
  <si>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</si>
  <si>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</si>
  <si>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</si>
  <si>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</si>
  <si>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</si>
  <si>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</si>
  <si>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</si>
  <si>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</si>
  <si>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</si>
  <si>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</si>
  <si>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</si>
  <si>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</si>
  <si>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</si>
  <si>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</si>
  <si>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</si>
  <si>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</si>
  <si>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</si>
  <si>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</si>
  <si>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</si>
  <si>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</si>
  <si>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</si>
  <si>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</si>
  <si>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</si>
  <si>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</si>
  <si>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</si>
  <si>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</si>
  <si>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</si>
  <si>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</si>
  <si>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</si>
  <si>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</si>
  <si>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</si>
  <si>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</si>
  <si>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</si>
  <si>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 xml:space="preserve">Awan Market </t>
  </si>
  <si>
    <t>Address: Nashter Bazar</t>
  </si>
  <si>
    <t xml:space="preserve">Al hamd Bakery </t>
  </si>
  <si>
    <t xml:space="preserve">A1 Bakery </t>
  </si>
  <si>
    <t xml:space="preserve">Faridiya Veriety </t>
  </si>
  <si>
    <t xml:space="preserve">Hanif Khan </t>
  </si>
  <si>
    <t xml:space="preserve">Every K Bakery </t>
  </si>
  <si>
    <t>Madina Super Store</t>
  </si>
  <si>
    <t xml:space="preserve">Chanda Bakery </t>
  </si>
  <si>
    <t xml:space="preserve">SS Bakery </t>
  </si>
  <si>
    <t xml:space="preserve">MA Bakery 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</si>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</sst>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499</v>
      </c>
      <c r="F2" s="384"/>
      <c r="G2" s="384"/>
      <c r="H2" s="381" t="s">
        <v>516</v>
      </c>
      <c r="I2" s="381"/>
      <c r="J2" s="382"/>
      <c r="R2" s="378" t="s">
        <v>498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512</v>
      </c>
      <c r="F3" s="388"/>
      <c r="G3" s="388"/>
      <c r="H3" s="385">
        <f ca="1">TODAY()</f>
        <v>46254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Awan Market 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hamd Bakery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A1 Bakery 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Faridiya Veriety </v>
      </c>
      <c r="T6" s="301">
        <f>+'4'!P35</f>
        <v>834.58895674576274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Hanif Khan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Every K Bakery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Madina Super Store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73</v>
      </c>
      <c r="I10" s="236">
        <f t="shared" si="0"/>
        <v>5302.72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424.2176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185.59520000000003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4692.9072000000006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1002.2033898305085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28.475552949152544</v>
      </c>
      <c r="P10" s="311">
        <f t="shared" si="2"/>
        <v>5723.5861427796608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27</v>
      </c>
      <c r="R10" s="314">
        <v>8</v>
      </c>
      <c r="S10" s="300" t="str">
        <f>+'8'!A6:A6</f>
        <v xml:space="preserve">Chanda Bakery </v>
      </c>
      <c r="T10" s="301">
        <f>+'8'!P35</f>
        <v>470.43173776271186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67</v>
      </c>
      <c r="I11" s="236">
        <f t="shared" si="0"/>
        <v>4866.88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389.35040000000004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170.3408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4307.1887999999999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919.83050847457639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26.135096542372882</v>
      </c>
      <c r="P11" s="311">
        <f t="shared" si="2"/>
        <v>5253.1544050169487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27</v>
      </c>
      <c r="R11" s="314">
        <v>9</v>
      </c>
      <c r="S11" s="300" t="str">
        <f>+'9'!A6:A6</f>
        <v xml:space="preserve">SS Bakery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66</v>
      </c>
      <c r="I12" s="236">
        <f t="shared" si="0"/>
        <v>4794.24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383.53920000000005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167.79840000000002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4242.9023999999999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906.10169491525426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25.745020474576272</v>
      </c>
      <c r="P12" s="311">
        <f t="shared" si="2"/>
        <v>5174.7491153898309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26</v>
      </c>
      <c r="R12" s="314">
        <v>10</v>
      </c>
      <c r="S12" s="300" t="str">
        <f>+'10'!A6:A6</f>
        <v xml:space="preserve">MA Bakery </v>
      </c>
      <c r="T12" s="301">
        <f>+'10'!P35</f>
        <v>3338.355826983051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220</v>
      </c>
      <c r="I13" s="236">
        <f t="shared" si="0"/>
        <v>8630.6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431.53000000000009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302.07100000000003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440.16060000000004</v>
      </c>
      <c r="M13" s="230">
        <f t="shared" si="1"/>
        <v>7456.8384000000005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1677.9661016949144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45.674022508474579</v>
      </c>
      <c r="P13" s="311">
        <f t="shared" si="2"/>
        <v>9180.4785242033886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60</v>
      </c>
      <c r="R13" s="314">
        <v>11</v>
      </c>
      <c r="S13" s="300" t="str">
        <f>+'11'!A6:A6</f>
        <v xml:space="preserve">Urban Mart </v>
      </c>
      <c r="T13" s="301">
        <f>+'11'!P35</f>
        <v>12746.990582237289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10.65</v>
      </c>
      <c r="H16" s="113">
        <f t="shared" ref="H16:M16" si="3">SUM(H7:H15)</f>
        <v>426</v>
      </c>
      <c r="I16" s="114">
        <f t="shared" si="3"/>
        <v>23594.440000000002</v>
      </c>
      <c r="J16" s="274">
        <f>SUM(J7:J15)</f>
        <v>1628.6372000000001</v>
      </c>
      <c r="K16" s="275">
        <f t="shared" si="3"/>
        <v>825.80540000000008</v>
      </c>
      <c r="L16" s="276">
        <f t="shared" si="3"/>
        <v>440.16060000000004</v>
      </c>
      <c r="M16" s="232">
        <f t="shared" si="3"/>
        <v>20699.836800000001</v>
      </c>
      <c r="N16" s="233">
        <f>SUM(N7:N15)</f>
        <v>4506.1016949152536</v>
      </c>
      <c r="O16" s="101">
        <f>SUM(O7:O15)</f>
        <v>126.02969247457627</v>
      </c>
      <c r="P16" s="113">
        <f>SUM(P7:P15)</f>
        <v>25331.96818738983</v>
      </c>
      <c r="Q16" s="128">
        <f>SUM(Q7:Q15)</f>
        <v>140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23594.440000000002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1628.6372000000001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1265.9660000000001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20699.836800000001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4506.1016949152536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25205.938494915255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126.02969247457627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25331.968187389833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25331.968187389833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7.25" customHeight="1" x14ac:dyDescent="0.4">
      <c r="A6" s="398" t="s">
        <v>517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1569.2000000000003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78.460000000000022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134.95120000000003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1355.7888000000003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1660.873545762712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2" t="s">
        <v>88</v>
      </c>
      <c r="O35" s="373"/>
      <c r="P35" s="297">
        <f>+P33+P34</f>
        <v>1669.1779134915255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G4" sqref="G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18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18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318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8">
        <v>15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318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318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318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8.7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2905.6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232.44799999999998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101.69600000000001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2571.4560000000001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3120.6085423728814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2" t="s">
        <v>88</v>
      </c>
      <c r="O35" s="373"/>
      <c r="P35" s="297">
        <f>+P33+P34</f>
        <v>3136.2115850847458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784.60000000000014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39.230000000000011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67.475600000000014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677.89440000000013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830.43677288135598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72" t="s">
        <v>88</v>
      </c>
      <c r="O35" s="373"/>
      <c r="P35" s="297">
        <f>+P33+P34</f>
        <v>834.58895674576274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2" sqref="I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R22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</v>
      </c>
      <c r="I21" s="236">
        <f t="shared" si="0"/>
        <v>1162.24</v>
      </c>
      <c r="J21" s="272">
        <f t="shared" si="1"/>
        <v>92.979200000000006</v>
      </c>
      <c r="K21" s="128">
        <f t="shared" si="1"/>
        <v>40.678400000000003</v>
      </c>
      <c r="L21" s="119">
        <f t="shared" si="1"/>
        <v>0</v>
      </c>
      <c r="M21" s="230">
        <f t="shared" si="2"/>
        <v>1028.5824</v>
      </c>
      <c r="N21" s="277">
        <f t="shared" si="3"/>
        <v>219.66101694915255</v>
      </c>
      <c r="O21" s="239">
        <f t="shared" si="4"/>
        <v>6.2412170847457631</v>
      </c>
      <c r="P21" s="311">
        <f t="shared" si="5"/>
        <v>1254.4846340338984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2905.6000000000004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232.44800000000004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101.69600000000001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2571.4560000000006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3120.6085423728819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2" t="s">
        <v>88</v>
      </c>
      <c r="O35" s="373"/>
      <c r="P35" s="297">
        <f>+P33+P34</f>
        <v>3136.2115850847463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435.84000000000003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34.867200000000004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15.254400000000002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385.71840000000003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468.09128135593221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2" t="s">
        <v>88</v>
      </c>
      <c r="O35" s="373"/>
      <c r="P35" s="297">
        <f>+P33+P34</f>
        <v>470.43173776271186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18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18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318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8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318">
        <v>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318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113">
        <f>SUM(P16:P24)</f>
        <v>3338.355826983051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3138.4000000000005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156.92000000000004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269.90240000000006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2711.5776000000005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3321.7470915254239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2" t="s">
        <v>88</v>
      </c>
      <c r="O35" s="373"/>
      <c r="P35" s="297">
        <f>+P33+P34</f>
        <v>3338.355826983051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506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200</v>
      </c>
      <c r="I25" s="114">
        <f t="shared" si="7"/>
        <v>11855.2</v>
      </c>
      <c r="J25" s="274">
        <f>SUM(J16:J24)</f>
        <v>854.26400000000012</v>
      </c>
      <c r="K25" s="275">
        <f t="shared" si="7"/>
        <v>414.93200000000002</v>
      </c>
      <c r="L25" s="276">
        <f t="shared" si="7"/>
        <v>160.05840000000001</v>
      </c>
      <c r="M25" s="232">
        <f t="shared" si="7"/>
        <v>10425.945600000001</v>
      </c>
      <c r="N25" s="233">
        <f>SUM(N16:N24)</f>
        <v>2257.6271186440677</v>
      </c>
      <c r="O25" s="101">
        <f>SUM(O16:O24)</f>
        <v>63.417863593220346</v>
      </c>
      <c r="P25" s="113">
        <f>SUM(P16:P24)</f>
        <v>12746.990582237289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11855.2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854.26400000000012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574.99040000000002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10425.945600000001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2257.6271186440677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12683.572718644069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63.417863593220346</v>
      </c>
    </row>
    <row r="35" spans="2:16" ht="15.75" customHeight="1" thickBot="1" x14ac:dyDescent="0.4">
      <c r="N35" s="372" t="s">
        <v>88</v>
      </c>
      <c r="O35" s="373"/>
      <c r="P35" s="297">
        <f>+P33+P34</f>
        <v>12746.990582237289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500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501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8.75" customHeight="1" x14ac:dyDescent="0.4">
      <c r="A6" s="398" t="s">
        <v>502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503</v>
      </c>
      <c r="B4" s="392"/>
      <c r="C4" s="392"/>
      <c r="F4" s="85"/>
      <c r="G4" s="1"/>
      <c r="K4" s="393" t="s">
        <v>44</v>
      </c>
      <c r="L4" s="393"/>
      <c r="M4" s="393"/>
      <c r="N4" s="396">
        <v>46253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46252</v>
      </c>
      <c r="O5" s="392"/>
      <c r="P5" s="392"/>
      <c r="R5" s="85"/>
      <c r="S5" s="266"/>
    </row>
    <row r="6" spans="1:22 16383:16384" ht="15" customHeight="1" x14ac:dyDescent="0.4">
      <c r="A6" s="398" t="s">
        <v>496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73</v>
      </c>
      <c r="B7" s="393"/>
      <c r="C7" s="393"/>
      <c r="F7" s="85"/>
      <c r="G7" s="86"/>
      <c r="K7" s="393" t="s">
        <v>66</v>
      </c>
      <c r="L7" s="393"/>
      <c r="M7" s="393"/>
      <c r="N7" s="395" t="s">
        <v>509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518</v>
      </c>
      <c r="B8" s="399"/>
      <c r="C8" s="399"/>
      <c r="F8" s="85"/>
      <c r="G8" s="86"/>
      <c r="K8" s="393" t="s">
        <v>67</v>
      </c>
      <c r="L8" s="393"/>
      <c r="M8" s="393"/>
      <c r="N8" s="395" t="s">
        <v>509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46255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46254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2026-08-20T04:30:22Z</dcterms:modified>
</cp:coreProperties>
</file>