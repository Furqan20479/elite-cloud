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CACB21F-9B3E-4A4C-AA43-82A631E40FD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<sst xmlns="http://schemas.openxmlformats.org/spreadsheetml/2006/main" count="3978" uniqueCount="532">
  <si>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</si>
  <si>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</si>
  <si>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</si>
  <si>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</si>
  <si>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</si>
  <si>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</si>
  <si>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</si>
  <si>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</si>
  <si>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</si>
  <si>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</si>
  <si>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</si>
  <si>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</si>
  <si>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</si>
  <si>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</si>
  <si>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</si>
  <si>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</si>
  <si>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</si>
  <si>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</si>
  <si>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</si>
  <si>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</si>
  <si>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</si>
  <si>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</si>
  <si>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</si>
  <si>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</si>
  <si>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</si>
  <si>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</si>
  <si>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</si>
  <si>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</si>
  <si>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</si>
  <si>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</si>
  <si>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</si>
  <si>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</si>
  <si>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</si>
  <si>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</si>
  <si>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</si>
  <si>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</si>
  <si>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</si>
  <si>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</si>
  <si>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</si>
  <si>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</si>
  <si>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</si>
  <si>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</si>
  <si>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</si>
  <si>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</si>
  <si>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</si>
  <si>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</si>
  <si>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</si>
  <si>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</si>
  <si>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</si>
  <si>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</si>
  <si>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</si>
  <si>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</si>
  <si>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</si>
  <si>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</si>
  <si>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</si>
  <si>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</si>
  <si>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</si>
  <si>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</si>
  <si>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</si>
  <si>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</si>
  <si>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</si>
  <si>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</si>
  <si>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</si>
  <si>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</si>
  <si>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</si>
  <si>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</si>
  <si>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</si>
  <si>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</si>
  <si>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</si>
  <si>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</si>
  <si>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</si>
  <si>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</si>
  <si>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</si>
  <si>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</si>
  <si>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</si>
  <si>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</si>
  <si>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</si>
  <si>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</si>
  <si>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</si>
  <si>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</si>
  <si>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</si>
  <si>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</si>
  <si>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</si>
  <si>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</si>
  <si>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</si>
  <si>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</si>
  <si>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</si>
  <si>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</si>
  <si>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</si>
  <si>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</si>
  <si>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</si>
  <si>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</si>
  <si>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</si>
  <si>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</si>
  <si>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</si>
  <si>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</si>
  <si>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</si>
  <si>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</si>
  <si>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</si>
  <si>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</si>
  <si>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</si>
  <si>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</si>
  <si>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</si>
  <si>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</si>
  <si>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</si>
  <si>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</si>
  <si>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</si>
  <si>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</si>
  <si>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</si>
  <si>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</si>
  <si>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</si>
  <si>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</si>
  <si>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</si>
  <si>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</si>
  <si>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</si>
  <si>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</si>
  <si>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</si>
  <si>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</si>
  <si>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</si>
  <si>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</si>
  <si>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</si>
  <si>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</si>
  <si>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</si>
  <si>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</si>
  <si>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</si>
  <si>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</si>
  <si>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</si>
  <si>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</si>
  <si>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</si>
  <si>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</si>
  <si>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</si>
  <si>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</si>
  <si>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</si>
  <si>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</si>
  <si>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</si>
  <si>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</si>
  <si>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</si>
  <si>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</si>
  <si>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</si>
  <si>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</si>
  <si>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</si>
  <si>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</si>
  <si>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</si>
  <si>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</si>
  <si>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</si>
  <si>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</si>
  <si>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</si>
  <si>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</si>
  <si>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</si>
  <si>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</si>
  <si>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</si>
  <si>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</si>
  <si>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</si>
  <si>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</si>
  <si>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</si>
  <si>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</si>
  <si>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</si>
  <si>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</si>
  <si>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</si>
  <si>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</si>
  <si>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</si>
  <si>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</si>
  <si>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</si>
  <si>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</si>
  <si>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</si>
  <si>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</si>
  <si>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</si>
  <si>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</si>
  <si>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</si>
  <si>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</si>
  <si>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</si>
  <si>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</si>
  <si>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</si>
  <si>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</si>
  <si>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</si>
  <si>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</si>
  <si>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</si>
  <si>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</si>
  <si>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</si>
  <si>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</si>
  <si>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</si>
  <si>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</si>
  <si>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</si>
  <si>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</si>
  <si>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</si>
  <si>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</si>
  <si>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</si>
  <si>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</si>
  <si>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</si>
  <si>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</si>
  <si>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</si>
  <si>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</si>
  <si>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</si>
  <si>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</si>
  <si>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</si>
  <si>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</si>
  <si>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</si>
  <si>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</si>
  <si>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</si>
  <si>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</si>
  <si>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</si>
  <si>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</si>
  <si>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</si>
  <si>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</si>
  <si>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</si>
  <si>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</si>
  <si>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</si>
  <si>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</si>
  <si>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</si>
  <si>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</si>
  <si>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</si>
  <si>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</si>
  <si>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</si>
  <si>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</si>
  <si>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</si>
  <si>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</si>
  <si>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</si>
  <si>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</si>
  <si>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</si>
  <si>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</si>
  <si>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</si>
  <si>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</si>
  <si>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</si>
  <si>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</si>
  <si>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</si>
  <si>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</si>
  <si>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</si>
  <si>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</si>
  <si>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</si>
  <si>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</si>
  <si>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</si>
  <si>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</si>
  <si>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</si>
  <si>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</si>
  <si>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</si>
  <si>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</si>
  <si>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</si>
  <si>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</si>
  <si>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</si>
  <si>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</si>
  <si>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</si>
  <si>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</si>
  <si>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</si>
  <si>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</si>
  <si>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</si>
  <si>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</si>
  <si>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</si>
  <si>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</si>
  <si>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</si>
  <si>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</si>
  <si>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</si>
  <si>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</si>
  <si>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</si>
  <si>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</si>
  <si>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</si>
  <si>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</si>
  <si>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</si>
  <si>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</si>
  <si>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</si>
  <si>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</si>
  <si>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</si>
  <si>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</si>
  <si>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</si>
  <si>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</si>
  <si>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</si>
  <si>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</si>
  <si>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</si>
  <si>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</si>
  <si>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</si>
  <si>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</si>
  <si>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</si>
  <si>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</si>
  <si>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</si>
  <si>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</si>
  <si>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</si>
  <si>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</si>
  <si>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</si>
  <si>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</si>
  <si>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</si>
  <si>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</si>
  <si>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</si>
  <si>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</si>
  <si>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</si>
  <si>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</si>
  <si>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</si>
  <si>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</si>
  <si>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</si>
  <si>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</si>
  <si>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</si>
  <si>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</si>
  <si>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</si>
  <si>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</si>
  <si>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</si>
  <si>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</si>
  <si>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</si>
  <si>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</si>
  <si>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</si>
  <si>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</si>
  <si>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</si>
  <si>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</si>
  <si>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</si>
  <si>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</si>
  <si>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</si>
  <si>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</si>
  <si>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</si>
  <si>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</si>
  <si>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</si>
  <si>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</si>
  <si>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</si>
  <si>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</si>
  <si>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</si>
  <si>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</si>
  <si>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</si>
  <si>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</si>
  <si>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</si>
  <si>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</si>
  <si>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</si>
  <si>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</si>
  <si>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</si>
  <si>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</si>
  <si>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</si>
  <si>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</si>
  <si>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</si>
  <si>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</si>
  <si>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</si>
  <si>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</si>
  <si>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</si>
  <si>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</si>
  <si>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</si>
  <si>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</si>
  <si>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</si>
  <si>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</si>
  <si>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</si>
  <si>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</si>
  <si>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</si>
  <si>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</si>
  <si>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</si>
  <si>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</si>
  <si>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</si>
  <si>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</si>
  <si>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</si>
  <si>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</si>
  <si>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</si>
  <si>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</si>
  <si>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</si>
  <si>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</si>
  <si>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</si>
  <si>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</si>
  <si>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</si>
  <si>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</si>
  <si>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</si>
  <si>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</si>
  <si>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</si>
  <si>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</si>
  <si>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</si>
  <si>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</si>
  <si>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</si>
  <si>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</si>
  <si>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</si>
  <si>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</si>
  <si>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</si>
  <si>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</si>
  <si>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</si>
  <si>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</si>
  <si>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</si>
  <si>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</si>
  <si>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</si>
  <si>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</si>
  <si>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</si>
  <si>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</si>
  <si>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</si>
  <si>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</si>
  <si>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</si>
  <si>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</si>
  <si>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</si>
  <si>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</si>
  <si>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</si>
  <si>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</si>
  <si>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</si>
  <si>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</si>
  <si>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</si>
  <si>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</si>
  <si>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</si>
  <si>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</si>
  <si>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</si>
  <si>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</si>
  <si>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</si>
  <si>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</si>
  <si>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</si>
  <si>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</si>
  <si>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</si>
  <si>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</si>
  <si>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</si>
  <si>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</si>
  <si>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</si>
  <si>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</si>
  <si>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</si>
  <si>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</si>
  <si>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</si>
  <si>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</si>
  <si>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</si>
  <si>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</si>
  <si>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</si>
  <si>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</si>
  <si>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</si>
  <si>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</si>
  <si>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</si>
  <si>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</si>
  <si>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</si>
  <si>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</si>
  <si>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</si>
  <si>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</si>
  <si>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</si>
  <si>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</si>
  <si>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</si>
  <si>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</si>
  <si>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</si>
  <si>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</si>
  <si>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</si>
  <si>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</si>
  <si>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</si>
  <si>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</si>
  <si>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</si>
  <si>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</si>
  <si>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</si>
  <si>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</si>
  <si>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</si>
  <si>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</si>
  <si>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</si>
  <si>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</si>
  <si>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</si>
  <si>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</si>
  <si>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</si>
  <si>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</si>
  <si>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</si>
  <si>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</si>
  <si>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</si>
  <si>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</si>
  <si>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</si>
  <si>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</si>
  <si>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</si>
  <si>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</si>
  <si>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</si>
  <si>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</si>
  <si>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</si>
  <si>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</si>
  <si>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</si>
  <si>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</si>
  <si>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</si>
  <si>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</si>
  <si>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</si>
  <si>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</si>
  <si>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</si>
  <si>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</si>
  <si>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</si>
  <si>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</si>
  <si>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</si>
  <si>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</si>
  <si>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</si>
  <si>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</si>
  <si>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</si>
  <si>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</si>
  <si>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</si>
  <si>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</si>
  <si>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</si>
  <si>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</si>
  <si>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</si>
  <si>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</si>
  <si>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</si>
  <si>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</si>
  <si>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</si>
  <si>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</si>
  <si>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</si>
  <si>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</si>
  <si>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</si>
  <si>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</si>
  <si>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</si>
  <si>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</si>
  <si>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</si>
  <si>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</si>
  <si>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</si>
  <si>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</si>
  <si>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</si>
  <si>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</si>
  <si>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</si>
  <si>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</si>
  <si>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</si>
  <si>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</si>
  <si>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</si>
  <si>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</si>
  <si>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</si>
  <si>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</si>
  <si>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</si>
  <si>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</si>
  <si>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</si>
  <si>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</si>
  <si>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</si>
  <si>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</si>
  <si>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</si>
  <si>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</si>
  <si>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</si>
  <si>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</si>
  <si>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</si>
  <si>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</si>
  <si>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</si>
  <si>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</si>
  <si>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</si>
  <si>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</si>
  <si>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</si>
  <si>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</si>
  <si>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</si>
  <si>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</si>
  <si>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</si>
  <si>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</si>
  <si>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</si>
  <si>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</si>
  <si>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>Nisaht Store</t>
  </si>
  <si>
    <t>Address: Nishat Colony</t>
  </si>
  <si>
    <t>Qadri Store</t>
  </si>
  <si>
    <t xml:space="preserve">Delisia Bakery </t>
  </si>
  <si>
    <t>Bilal Store</t>
  </si>
  <si>
    <t>786 Store</t>
  </si>
  <si>
    <t>Rana Store</t>
  </si>
  <si>
    <t>Chaurahi Store</t>
  </si>
  <si>
    <t>MS Store</t>
  </si>
  <si>
    <t>Khalis Store</t>
  </si>
  <si>
    <t>Khan Store</t>
  </si>
  <si>
    <t xml:space="preserve">Values Mart </t>
  </si>
  <si>
    <t xml:space="preserve">Shareef Mart </t>
  </si>
  <si>
    <t>Latif Store</t>
  </si>
  <si>
    <t>Abdullah Store</t>
  </si>
  <si>
    <t>Ali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</si>
</sst>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511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Nisaht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Qadri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 xml:space="preserve">Delisia Bakery 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Bilal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786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Rana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Chaurahi Store</v>
      </c>
      <c r="T9" s="301">
        <f>+'7'!P35</f>
        <v>1942.3702236203389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74</v>
      </c>
      <c r="I10" s="236">
        <f t="shared" si="0"/>
        <v>5375.36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430.02879999999999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188.13760000000002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4757.1935999999996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1015.9322033898306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28.865629016949153</v>
      </c>
      <c r="P10" s="311">
        <f t="shared" si="2"/>
        <v>5801.9914324067795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 Store</v>
      </c>
      <c r="T10" s="301">
        <f>+'8'!P35</f>
        <v>2352.1586888135594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39</v>
      </c>
      <c r="I11" s="236">
        <f t="shared" si="0"/>
        <v>2832.96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226.63679999999999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99.153600000000012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2507.1696000000002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535.42372881355936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15.212966644067798</v>
      </c>
      <c r="P11" s="311">
        <f t="shared" si="2"/>
        <v>3057.8062954576271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Khalis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169</v>
      </c>
      <c r="I12" s="236">
        <f t="shared" si="0"/>
        <v>12276.16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982.09280000000012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429.66560000000004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10864.401599999999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2320.1694915254238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65.922855457627122</v>
      </c>
      <c r="P12" s="311">
        <f t="shared" si="2"/>
        <v>13250.493946983052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Khan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254</v>
      </c>
      <c r="I13" s="236">
        <f t="shared" si="0"/>
        <v>9964.4200000000019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498.22100000000012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348.75470000000007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508.18541999999991</v>
      </c>
      <c r="M13" s="230">
        <f t="shared" si="1"/>
        <v>8609.2588800000012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1937.2881355932191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52.732735077966097</v>
      </c>
      <c r="P13" s="311">
        <f t="shared" si="2"/>
        <v>10599.279750671187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Values Mart </v>
      </c>
      <c r="T13" s="301">
        <f>+'11'!P35</f>
        <v>417.29447837288137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Shareef Mart </v>
      </c>
      <c r="T14" s="301">
        <f>+'12'!P35</f>
        <v>417.29447837288137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786 Store</v>
      </c>
      <c r="T15" s="301">
        <f>+'13'!P35</f>
        <v>417.29447837288137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13.9</v>
      </c>
      <c r="H16" s="113">
        <f t="shared" ref="H16:M16" si="3">SUM(H7:H15)</f>
        <v>556</v>
      </c>
      <c r="I16" s="114">
        <f t="shared" si="3"/>
        <v>31498.15</v>
      </c>
      <c r="J16" s="274">
        <f>SUM(J7:J15)</f>
        <v>2220.9194000000002</v>
      </c>
      <c r="K16" s="275">
        <f t="shared" si="3"/>
        <v>1102.43525</v>
      </c>
      <c r="L16" s="276">
        <f t="shared" si="3"/>
        <v>508.18541999999991</v>
      </c>
      <c r="M16" s="232">
        <f t="shared" si="3"/>
        <v>27666.609929999999</v>
      </c>
      <c r="N16" s="233">
        <f>SUM(N7:N15)</f>
        <v>6007.1186440677957</v>
      </c>
      <c r="O16" s="101">
        <f>SUM(O7:O15)</f>
        <v>168.36864287033899</v>
      </c>
      <c r="P16" s="113">
        <f>SUM(P7:P15)</f>
        <v>33842.097216938135</v>
      </c>
      <c r="Q16" s="128">
        <f>SUM(Q7:Q15)</f>
        <v>0</v>
      </c>
      <c r="R16" s="314">
        <v>14</v>
      </c>
      <c r="S16" s="300" t="str">
        <f>+'14'!A6:A6</f>
        <v>Latif Store</v>
      </c>
      <c r="T16" s="301">
        <f>+'14'!P35</f>
        <v>11279.956910644067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Abdullah Store</v>
      </c>
      <c r="T17" s="301">
        <f>+'15'!P35</f>
        <v>6272.4231701694916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Ali Store</v>
      </c>
      <c r="T18" s="301">
        <f>+'16'!P35</f>
        <v>1967.114748165254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31498.15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2220.9194000000002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1610.6206699999998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27666.609930000002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6007.1186440677957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33673.728574067798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168.36864287033899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33842.097216938135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33842.097216938135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36</v>
      </c>
      <c r="I25" s="114">
        <f t="shared" si="7"/>
        <v>1813.2000000000003</v>
      </c>
      <c r="J25" s="274">
        <f>SUM(J16:J24)</f>
        <v>116.81040000000002</v>
      </c>
      <c r="K25" s="275">
        <f t="shared" si="7"/>
        <v>63.46200000000001</v>
      </c>
      <c r="L25" s="276">
        <f t="shared" si="7"/>
        <v>48.017520000000005</v>
      </c>
      <c r="M25" s="232">
        <f t="shared" si="7"/>
        <v>1584.9100800000001</v>
      </c>
      <c r="N25" s="233">
        <f>SUM(N16:N24)</f>
        <v>347.79661016949143</v>
      </c>
      <c r="O25" s="101">
        <f>SUM(O16:O24)</f>
        <v>9.6635334508474564</v>
      </c>
      <c r="P25" s="113">
        <f>SUM(P16:P24)</f>
        <v>1942.3702236203389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1813.2000000000003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116.81040000000002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111.47952000000001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1584.9100800000001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347.79661016949143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1932.7066901694916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9.6635334508474582</v>
      </c>
    </row>
    <row r="35" spans="2:16" ht="15.75" customHeight="1" thickBot="1" x14ac:dyDescent="0.4">
      <c r="N35" s="371" t="s">
        <v>88</v>
      </c>
      <c r="O35" s="372"/>
      <c r="P35" s="297">
        <f>+P33+P34</f>
        <v>1942.3702236203389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2179.1999999999998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174.33600000000001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76.272000000000006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1928.5919999999999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2340.4564067796609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1" t="s">
        <v>88</v>
      </c>
      <c r="O35" s="372"/>
      <c r="P35" s="297">
        <f>+P33+P34</f>
        <v>2352.1586888135594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200</v>
      </c>
      <c r="I25" s="114">
        <f t="shared" si="7"/>
        <v>10518.8</v>
      </c>
      <c r="J25" s="274">
        <f>SUM(J16:J24)</f>
        <v>700.27600000000007</v>
      </c>
      <c r="K25" s="275">
        <f t="shared" si="7"/>
        <v>368.15800000000002</v>
      </c>
      <c r="L25" s="276">
        <f t="shared" si="7"/>
        <v>240.08760000000001</v>
      </c>
      <c r="M25" s="232">
        <f t="shared" si="7"/>
        <v>9210.2784000000011</v>
      </c>
      <c r="N25" s="233">
        <f>SUM(N16:N24)</f>
        <v>2013.5593220338978</v>
      </c>
      <c r="O25" s="101">
        <f>SUM(O16:O24)</f>
        <v>56.119188610169488</v>
      </c>
      <c r="P25" s="113">
        <f>SUM(P16:P24)</f>
        <v>11279.956910644069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10518.8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700.27600000000007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608.24559999999997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9210.2783999999992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2013.5593220338978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11223.837722033897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56.119188610169488</v>
      </c>
    </row>
    <row r="35" spans="2:16" ht="15.75" customHeight="1" thickBot="1" x14ac:dyDescent="0.4">
      <c r="N35" s="371" t="s">
        <v>88</v>
      </c>
      <c r="O35" s="372"/>
      <c r="P35" s="297">
        <f>+P33+P34</f>
        <v>11279.956910644067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5" workbookViewId="0">
      <selection activeCell="G39" sqref="G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1833.8500000000001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123.17000000000002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104.19935000000001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1606.48065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1957.3281076271185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71" t="s">
        <v>88</v>
      </c>
      <c r="O35" s="372"/>
      <c r="P35" s="297">
        <f>+P33+P34</f>
        <v>1967.114748165254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2026-08-18T11:49:16Z</dcterms:modified>
</cp:coreProperties>
</file>