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11F33CF-A1F0-43E9-BDEE-B7CD88C8AA4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8" i="11" l="1"/>
  <c r="H9" i="62" s="1"/>
  <c r="H20" i="11"/>
  <c r="H19" i="11"/>
  <c r="H17" i="11"/>
  <c r="H16" i="1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<sst xmlns="http://schemas.openxmlformats.org/spreadsheetml/2006/main" count="3977" uniqueCount="515">
  <si>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</si>
  <si>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</si>
  <si>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</si>
  <si>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</si>
  <si>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</si>
  <si>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</si>
  <si>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</si>
  <si>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</si>
  <si>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</si>
  <si>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</si>
  <si>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</si>
  <si>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</si>
  <si>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</si>
  <si>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</si>
  <si>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</si>
  <si>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</si>
  <si>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</si>
  <si>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</si>
  <si>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</si>
  <si>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</si>
  <si>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</si>
  <si>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</si>
  <si>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</si>
  <si>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</si>
  <si>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</si>
  <si>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</si>
  <si>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</si>
  <si>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</si>
  <si>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</si>
  <si>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</si>
  <si>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</si>
  <si>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</si>
  <si>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</si>
  <si>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</si>
  <si>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</si>
  <si>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</si>
  <si>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</si>
  <si>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</si>
  <si>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</si>
  <si>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</si>
  <si>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</si>
  <si>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</si>
  <si>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</si>
  <si>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</si>
  <si>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</si>
  <si>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</si>
  <si>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</si>
  <si>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</si>
  <si>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</si>
  <si>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</si>
  <si>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</si>
  <si>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</si>
  <si>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</si>
  <si>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</si>
  <si>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</si>
  <si>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</si>
  <si>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</si>
  <si>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</si>
  <si>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</si>
  <si>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</si>
  <si>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</si>
  <si>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</si>
  <si>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</si>
  <si>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</si>
  <si>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</si>
  <si>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</si>
  <si>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</si>
  <si>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</si>
  <si>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</si>
  <si>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</si>
  <si>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</si>
  <si>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</si>
  <si>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</si>
  <si>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</si>
  <si>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</si>
  <si>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</si>
  <si>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</si>
  <si>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</si>
  <si>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</si>
  <si>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</si>
  <si>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</si>
  <si>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</si>
  <si>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</si>
  <si>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</si>
  <si>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</si>
  <si>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</si>
  <si>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</si>
  <si>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</si>
  <si>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</si>
  <si>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</si>
  <si>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</si>
  <si>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</si>
  <si>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</si>
  <si>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</si>
  <si>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</si>
  <si>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</si>
  <si>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</si>
  <si>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</si>
  <si>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</si>
  <si>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</si>
  <si>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</si>
  <si>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</si>
  <si>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</si>
  <si>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</si>
  <si>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</si>
  <si>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</si>
  <si>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</si>
  <si>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</si>
  <si>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</si>
  <si>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</si>
  <si>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</si>
  <si>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</si>
  <si>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</si>
  <si>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</si>
  <si>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</si>
  <si>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</si>
  <si>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</si>
  <si>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</si>
  <si>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</si>
  <si>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</si>
  <si>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</si>
  <si>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</si>
  <si>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</si>
  <si>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</si>
  <si>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</si>
  <si>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</si>
  <si>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</si>
  <si>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</si>
  <si>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</si>
  <si>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</si>
  <si>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</si>
  <si>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</si>
  <si>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</si>
  <si>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</si>
  <si>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</si>
  <si>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</si>
  <si>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</si>
  <si>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</si>
  <si>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</si>
  <si>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</si>
  <si>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</si>
  <si>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</si>
  <si>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</si>
  <si>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</si>
  <si>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</si>
  <si>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</si>
  <si>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</si>
  <si>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</si>
  <si>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</si>
  <si>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</si>
  <si>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</si>
  <si>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</si>
  <si>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</si>
  <si>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</si>
  <si>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</si>
  <si>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</si>
  <si>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</si>
  <si>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</si>
  <si>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</si>
  <si>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</si>
  <si>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</si>
  <si>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</si>
  <si>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</si>
  <si>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</si>
  <si>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</si>
  <si>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</si>
  <si>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</si>
  <si>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</si>
  <si>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</si>
  <si>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</si>
  <si>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</si>
  <si>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</si>
  <si>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</si>
  <si>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</si>
  <si>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</si>
  <si>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</si>
  <si>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</si>
  <si>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</si>
  <si>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</si>
  <si>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</si>
  <si>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</si>
  <si>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</si>
  <si>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</si>
  <si>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</si>
  <si>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</si>
  <si>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</si>
  <si>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</si>
  <si>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</si>
  <si>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</si>
  <si>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</si>
  <si>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</si>
  <si>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</si>
  <si>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</si>
  <si>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</si>
  <si>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</si>
  <si>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</si>
  <si>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</si>
  <si>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</si>
  <si>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</si>
  <si>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</si>
  <si>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</si>
  <si>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</si>
  <si>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</si>
  <si>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</si>
  <si>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</si>
  <si>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</si>
  <si>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</si>
  <si>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</si>
  <si>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</si>
  <si>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</si>
  <si>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</si>
  <si>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</si>
  <si>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</si>
  <si>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</si>
  <si>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</si>
  <si>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</si>
  <si>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</si>
  <si>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</si>
  <si>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</si>
  <si>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</si>
  <si>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</si>
  <si>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</si>
  <si>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</si>
  <si>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</si>
  <si>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</si>
  <si>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</si>
  <si>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</si>
  <si>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</si>
  <si>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</si>
  <si>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</si>
  <si>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</si>
  <si>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</si>
  <si>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</si>
  <si>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</si>
  <si>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</si>
  <si>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</si>
  <si>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</si>
  <si>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</si>
  <si>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</si>
  <si>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</si>
  <si>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</si>
  <si>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</si>
  <si>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</si>
  <si>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</si>
  <si>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</si>
  <si>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</si>
  <si>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</si>
  <si>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</si>
  <si>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</si>
  <si>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</si>
  <si>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</si>
  <si>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</si>
  <si>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</si>
  <si>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</si>
  <si>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</si>
  <si>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</si>
  <si>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</si>
  <si>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</si>
  <si>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</si>
  <si>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</si>
  <si>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</si>
  <si>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</si>
  <si>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</si>
  <si>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</si>
  <si>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</si>
  <si>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</si>
  <si>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</si>
  <si>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</si>
  <si>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</si>
  <si>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</si>
  <si>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</si>
  <si>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</si>
  <si>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</si>
  <si>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</si>
  <si>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</si>
  <si>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</si>
  <si>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</si>
  <si>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</si>
  <si>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</si>
  <si>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</si>
  <si>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</si>
  <si>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</si>
  <si>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</si>
  <si>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</si>
  <si>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</si>
  <si>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</si>
  <si>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</si>
  <si>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</si>
  <si>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</si>
  <si>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</si>
  <si>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</si>
  <si>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</si>
  <si>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</si>
  <si>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</si>
  <si>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</si>
  <si>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</si>
  <si>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</si>
  <si>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</si>
  <si>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</si>
  <si>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</si>
  <si>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</si>
  <si>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</si>
  <si>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</si>
  <si>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</si>
  <si>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</si>
  <si>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</si>
  <si>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</si>
  <si>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</si>
  <si>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</si>
  <si>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</si>
  <si>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</si>
  <si>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</si>
  <si>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</si>
  <si>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</si>
  <si>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</si>
  <si>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</si>
  <si>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</si>
  <si>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</si>
  <si>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</si>
  <si>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</si>
  <si>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</si>
  <si>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</si>
  <si>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</si>
  <si>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</si>
  <si>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</si>
  <si>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</si>
  <si>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</si>
  <si>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</si>
  <si>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</si>
  <si>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</si>
  <si>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</si>
  <si>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</si>
  <si>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</si>
  <si>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</si>
  <si>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</si>
  <si>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</si>
  <si>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</si>
  <si>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</si>
  <si>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</si>
  <si>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</si>
  <si>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</si>
  <si>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</si>
  <si>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</si>
  <si>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</si>
  <si>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</si>
  <si>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</si>
  <si>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</si>
  <si>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</si>
  <si>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</si>
  <si>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</si>
  <si>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</si>
  <si>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</si>
  <si>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</si>
  <si>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</si>
  <si>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</si>
  <si>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</si>
  <si>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</si>
  <si>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</si>
  <si>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</si>
  <si>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</si>
  <si>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</si>
  <si>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</si>
  <si>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</si>
  <si>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</si>
  <si>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</si>
  <si>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</si>
  <si>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</si>
  <si>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</si>
  <si>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</si>
  <si>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</si>
  <si>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</si>
  <si>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</si>
  <si>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</si>
  <si>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</si>
  <si>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</si>
  <si>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</si>
  <si>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</si>
  <si>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</si>
  <si>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</si>
  <si>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</si>
  <si>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</si>
  <si>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</si>
  <si>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</si>
  <si>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</si>
  <si>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</si>
  <si>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</si>
  <si>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</si>
  <si>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</si>
  <si>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</si>
  <si>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</si>
  <si>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</si>
  <si>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</si>
  <si>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</si>
  <si>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</si>
  <si>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</si>
  <si>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</si>
  <si>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</si>
  <si>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</si>
  <si>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</si>
  <si>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</si>
  <si>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</si>
  <si>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</si>
  <si>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</si>
  <si>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</si>
  <si>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</si>
  <si>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</si>
  <si>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</si>
  <si>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</si>
  <si>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</si>
  <si>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</si>
  <si>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</si>
  <si>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</si>
  <si>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</si>
  <si>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</si>
  <si>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</si>
  <si>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</si>
  <si>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</si>
  <si>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</si>
  <si>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</si>
  <si>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</si>
  <si>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</si>
  <si>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</si>
  <si>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</si>
  <si>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</si>
  <si>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</si>
  <si>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</si>
  <si>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</si>
  <si>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</si>
  <si>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</si>
  <si>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</si>
  <si>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</si>
  <si>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</si>
  <si>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</si>
  <si>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</si>
  <si>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</si>
  <si>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</si>
  <si>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</si>
  <si>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</si>
  <si>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</si>
  <si>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</si>
  <si>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</si>
  <si>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</si>
  <si>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</si>
  <si>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</si>
  <si>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</si>
  <si>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</si>
  <si>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</si>
  <si>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</si>
  <si>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</si>
  <si>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</si>
  <si>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</si>
  <si>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</si>
  <si>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</si>
  <si>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</si>
  <si>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</si>
  <si>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</si>
  <si>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</si>
  <si>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</si>
  <si>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</si>
  <si>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</si>
  <si>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</si>
  <si>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</si>
  <si>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</si>
  <si>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</si>
  <si>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</si>
  <si>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</si>
  <si>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</si>
  <si>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</si>
  <si>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</si>
  <si>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</si>
  <si>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</si>
  <si>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</si>
  <si>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</si>
  <si>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</si>
  <si>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</si>
  <si>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</si>
  <si>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</si>
  <si>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</si>
  <si>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</si>
  <si>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</si>
  <si>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</si>
  <si>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</si>
  <si>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</si>
  <si>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</si>
  <si>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</si>
  <si>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</si>
  <si>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</si>
  <si>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</si>
  <si>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</si>
  <si>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</si>
  <si>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</si>
  <si>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</si>
  <si>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</si>
  <si>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</si>
  <si>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</si>
  <si>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</si>
  <si>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</si>
  <si>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</si>
  <si>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</si>
  <si>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</si>
  <si>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</si>
  <si>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</si>
  <si>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</si>
  <si>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</si>
  <si>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</si>
  <si>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</si>
  <si>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</si>
  <si>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</si>
  <si>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</si>
  <si>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</si>
  <si>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</si>
  <si>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</si>
  <si>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Imperia Departmental Store</t>
  </si>
  <si>
    <t>Address: Rehmanpura Wahdat Road</t>
  </si>
  <si>
    <t>NTN #: 1533359-7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</si>
</sst>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3" fontId="31" fillId="0" borderId="46" xfId="0" applyNumberFormat="1" applyFont="1" applyBorder="1" applyAlignment="1">
      <alignment horizontal="center" vertical="top" shrinkToFit="1"/>
    </xf>
    <xf numFmtId="3" fontId="31" fillId="0" borderId="2" xfId="0" applyNumberFormat="1" applyFont="1" applyBorder="1" applyAlignment="1">
      <alignment horizontal="center" vertical="top" shrinkToFi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F49" sqref="F4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46244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Imperia Departmental Store</v>
      </c>
      <c r="T3" s="301">
        <f>+'1'!P35</f>
        <v>18727.629149793429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Imperia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Imperia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Imperia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24</v>
      </c>
      <c r="I7" s="235">
        <f>(G7*D7)*F7+H7*F7</f>
        <v>1259.0999999999999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44.0685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1089.1215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237.96610169491515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6.6354380084745754</v>
      </c>
      <c r="P7" s="310">
        <f>M7+N7+O7</f>
        <v>1333.7230397033895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Imperia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</v>
      </c>
      <c r="I8" s="236">
        <f t="shared" ref="I8:I14" si="0">(G8*D8)*F8+H8*F8</f>
        <v>209.85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20.984999999999999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7.3447500000000003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181.52025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39.661016949152526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1.1059063347457627</v>
      </c>
      <c r="P8" s="311">
        <f t="shared" ref="P8:P15" si="2">M8+N8+O8</f>
        <v>222.28717328389828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Imperia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39</v>
      </c>
      <c r="I9" s="236">
        <f t="shared" si="0"/>
        <v>2046.0374999999999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204.60374999999999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71.611312499999997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1769.8224375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386.69491525423712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10.782586763771185</v>
      </c>
      <c r="P9" s="311">
        <f t="shared" si="2"/>
        <v>2167.2999395180082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Imperia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38</v>
      </c>
      <c r="I10" s="236">
        <f t="shared" si="0"/>
        <v>2760.32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276.03200000000004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96.611200000000011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2387.6768000000002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521.69491525423734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14.546858576271189</v>
      </c>
      <c r="P10" s="311">
        <f t="shared" si="2"/>
        <v>2923.9185738305086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Imperia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77</v>
      </c>
      <c r="I11" s="236">
        <f t="shared" si="0"/>
        <v>5593.28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559.32799999999997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195.76480000000001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4838.1871999999994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1057.1186440677966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29.476529220338982</v>
      </c>
      <c r="P11" s="311">
        <f t="shared" si="2"/>
        <v>5924.7823732881352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Imperia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Imperia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Imperia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Imperia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Imperia Departmental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6.55</v>
      </c>
      <c r="H16" s="113">
        <f t="shared" ref="H16:M16" si="3">SUM(H7:H15)</f>
        <v>262</v>
      </c>
      <c r="I16" s="114">
        <f t="shared" si="3"/>
        <v>17679.787499999999</v>
      </c>
      <c r="J16" s="274">
        <f>SUM(J7:J15)</f>
        <v>1767.9787499999998</v>
      </c>
      <c r="K16" s="275">
        <f t="shared" si="3"/>
        <v>618.79256250000003</v>
      </c>
      <c r="L16" s="276">
        <f t="shared" si="3"/>
        <v>0</v>
      </c>
      <c r="M16" s="232">
        <f t="shared" si="3"/>
        <v>15293.016187499999</v>
      </c>
      <c r="N16" s="233">
        <f>SUM(N7:N15)</f>
        <v>3341.4406779661012</v>
      </c>
      <c r="O16" s="101">
        <f>SUM(O7:O15)</f>
        <v>93.172284327330502</v>
      </c>
      <c r="P16" s="113">
        <f>SUM(P7:P15)</f>
        <v>18727.629149793433</v>
      </c>
      <c r="Q16" s="128">
        <f>SUM(Q7:Q15)</f>
        <v>0</v>
      </c>
      <c r="R16" s="314">
        <v>14</v>
      </c>
      <c r="S16" s="300" t="str">
        <f>+'14'!A6:A6</f>
        <v>Imperia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Imperia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Imperia Departmental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17679.787499999999</v>
      </c>
      <c r="R19" s="299">
        <v>17</v>
      </c>
      <c r="S19" s="300" t="str">
        <f>+'17'!A6:A6</f>
        <v>Imperia Departmental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1767.9787499999998</v>
      </c>
      <c r="R20" s="299">
        <v>18</v>
      </c>
      <c r="S20" s="300" t="str">
        <f>+'18'!A6:A6</f>
        <v>Imperia Departmental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618.79256250000003</v>
      </c>
      <c r="R21" s="299">
        <v>19</v>
      </c>
      <c r="S21" s="300" t="str">
        <f>+'19'!A6:A6</f>
        <v>Imperia Departmental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15293.016187499998</v>
      </c>
      <c r="R22" s="299">
        <v>20</v>
      </c>
      <c r="S22" s="300" t="str">
        <f>+'20'!A6:A6</f>
        <v>Imperia Departmental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3341.4406779661012</v>
      </c>
      <c r="R23" s="299">
        <v>21</v>
      </c>
      <c r="S23" s="300" t="str">
        <f>+'21'!A6:A6</f>
        <v>Imperia Departmental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18634.456865466098</v>
      </c>
      <c r="R24" s="299">
        <v>22</v>
      </c>
      <c r="S24" s="300" t="str">
        <f>+'22'!A6:A6</f>
        <v>Imperia Departmental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93.172284327330502</v>
      </c>
      <c r="R25" s="299">
        <v>23</v>
      </c>
      <c r="S25" s="300" t="str">
        <f>+'23'!A6:A6</f>
        <v>Imperia Departmental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18727.629149793429</v>
      </c>
      <c r="R26" s="299">
        <v>24</v>
      </c>
      <c r="S26" s="300" t="str">
        <f>+'24'!A6:A6</f>
        <v>Imperia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Imperia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Imperia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Imperia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Imperia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Imperia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Imperia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18727.629149793429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6" workbookViewId="0">
      <selection activeCell="M28" sqref="M2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412">
        <f>40-16</f>
        <v>24</v>
      </c>
      <c r="I16" s="235">
        <f>(G16*D16)*F16+H16*F16</f>
        <v>1259.0999999999999</v>
      </c>
      <c r="J16" s="271">
        <f>$I16*S16</f>
        <v>125.91</v>
      </c>
      <c r="K16" s="127">
        <f>$I16*T16</f>
        <v>44.0685</v>
      </c>
      <c r="L16" s="118">
        <f>$I16*U16</f>
        <v>0</v>
      </c>
      <c r="M16" s="229">
        <f>I16-SUM(J16:L16)</f>
        <v>1089.1215</v>
      </c>
      <c r="N16" s="248">
        <f>+(G16*D16+H16)*V16</f>
        <v>237.96610169491515</v>
      </c>
      <c r="O16" s="238">
        <f>(N16+M16)*$O$15</f>
        <v>6.6354380084745754</v>
      </c>
      <c r="P16" s="310">
        <f>M16+N16+O16</f>
        <v>1333.7230397033895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413">
        <f>40-36</f>
        <v>4</v>
      </c>
      <c r="I17" s="236">
        <f t="shared" ref="I17:I23" si="0">(G17*D17)*F17+H17*F17</f>
        <v>209.85</v>
      </c>
      <c r="J17" s="272">
        <f t="shared" ref="J17:L24" si="1">$I17*S17</f>
        <v>20.984999999999999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181.52025</v>
      </c>
      <c r="N17" s="277">
        <f t="shared" ref="N17:N24" si="3">+(G17*D17+H17)*V17</f>
        <v>39.661016949152526</v>
      </c>
      <c r="O17" s="239">
        <f t="shared" ref="O17:O24" si="4">(N17+M17)*$O$15</f>
        <v>1.1059063347457627</v>
      </c>
      <c r="P17" s="311">
        <f t="shared" ref="P17:P24" si="5">M17+N17+O17</f>
        <v>222.28717328389828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413">
        <f>40-1</f>
        <v>39</v>
      </c>
      <c r="I18" s="236">
        <f t="shared" ref="I18:I21" si="7">(G18*D18)*F18+H18*F18</f>
        <v>2046.0374999999999</v>
      </c>
      <c r="J18" s="272">
        <f t="shared" si="1"/>
        <v>204.60374999999999</v>
      </c>
      <c r="K18" s="128">
        <f t="shared" si="1"/>
        <v>71.611312499999997</v>
      </c>
      <c r="L18" s="119">
        <f t="shared" si="1"/>
        <v>0</v>
      </c>
      <c r="M18" s="230">
        <f t="shared" si="2"/>
        <v>1769.8224375</v>
      </c>
      <c r="N18" s="277">
        <f t="shared" si="3"/>
        <v>386.69491525423712</v>
      </c>
      <c r="O18" s="239">
        <f t="shared" si="4"/>
        <v>10.782586763771185</v>
      </c>
      <c r="P18" s="311">
        <f t="shared" si="5"/>
        <v>2167.2999395180082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413">
        <f>40-2</f>
        <v>38</v>
      </c>
      <c r="I19" s="236">
        <f t="shared" si="7"/>
        <v>2760.32</v>
      </c>
      <c r="J19" s="272">
        <f t="shared" si="1"/>
        <v>276.03200000000004</v>
      </c>
      <c r="K19" s="128">
        <f t="shared" si="1"/>
        <v>96.611200000000011</v>
      </c>
      <c r="L19" s="119">
        <f t="shared" si="1"/>
        <v>0</v>
      </c>
      <c r="M19" s="230">
        <f t="shared" si="2"/>
        <v>2387.6768000000002</v>
      </c>
      <c r="N19" s="277">
        <f t="shared" si="3"/>
        <v>521.69491525423734</v>
      </c>
      <c r="O19" s="239">
        <f t="shared" si="4"/>
        <v>14.546858576271189</v>
      </c>
      <c r="P19" s="311">
        <f t="shared" si="5"/>
        <v>2923.9185738305086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413">
        <f>80-3</f>
        <v>77</v>
      </c>
      <c r="I20" s="236">
        <f t="shared" si="7"/>
        <v>5593.28</v>
      </c>
      <c r="J20" s="272">
        <f t="shared" si="1"/>
        <v>559.32799999999997</v>
      </c>
      <c r="K20" s="128">
        <f t="shared" si="1"/>
        <v>195.76480000000001</v>
      </c>
      <c r="L20" s="119">
        <f t="shared" si="1"/>
        <v>0</v>
      </c>
      <c r="M20" s="230">
        <f t="shared" si="2"/>
        <v>4838.1871999999994</v>
      </c>
      <c r="N20" s="277">
        <f t="shared" si="3"/>
        <v>1057.1186440677966</v>
      </c>
      <c r="O20" s="239">
        <f t="shared" si="4"/>
        <v>29.476529220338982</v>
      </c>
      <c r="P20" s="311">
        <f t="shared" si="5"/>
        <v>5924.7823732881352</v>
      </c>
      <c r="Q20" s="156"/>
      <c r="R20">
        <f>P20/21</f>
        <v>282.13249396610166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262</v>
      </c>
      <c r="I25" s="114">
        <f t="shared" ref="I25:M25" si="10">SUM(I16:I24)</f>
        <v>17679.787499999999</v>
      </c>
      <c r="J25" s="274">
        <f>SUM(J16:J24)</f>
        <v>1767.9787499999998</v>
      </c>
      <c r="K25" s="275">
        <f t="shared" si="10"/>
        <v>618.79256250000003</v>
      </c>
      <c r="L25" s="276">
        <f t="shared" si="10"/>
        <v>0</v>
      </c>
      <c r="M25" s="232">
        <f t="shared" si="10"/>
        <v>15293.016187499999</v>
      </c>
      <c r="N25" s="233">
        <f>SUM(N16:N24)</f>
        <v>3341.4406779661012</v>
      </c>
      <c r="O25" s="101">
        <f>SUM(O16:O24)</f>
        <v>93.172284327330502</v>
      </c>
      <c r="P25" s="113">
        <f>SUM(P16:P24)</f>
        <v>18727.629149793433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17679.787499999999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1767.9787499999998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618.79256250000003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15293.016187499998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3341.4406779661012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18634.456865466098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93.172284327330487</v>
      </c>
    </row>
    <row r="35" spans="2:16" ht="15.75" customHeight="1" thickBot="1" x14ac:dyDescent="0.4">
      <c r="N35" s="371" t="s">
        <v>88</v>
      </c>
      <c r="O35" s="372"/>
      <c r="P35" s="297">
        <f>+P33+P34</f>
        <v>18727.629149793429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>
      <c r="P37" s="223"/>
    </row>
    <row r="38" spans="2:16" x14ac:dyDescent="0.35">
      <c r="L38">
        <v>0</v>
      </c>
      <c r="P38" s="223"/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46245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46244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2026-08-10T03:47:13Z</dcterms:modified>
</cp:coreProperties>
</file>