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FE07ACD-0524-4C60-8355-3DA1F7BC539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K12" i="62"/>
  <c r="M20" i="47"/>
  <c r="O20" i="47" s="1"/>
  <c r="P20" i="47" s="1"/>
  <c r="R20" i="47" s="1"/>
  <c r="M21" i="47"/>
  <c r="O21" i="47" s="1"/>
  <c r="P21" i="47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<sst xmlns="http://schemas.openxmlformats.org/spreadsheetml/2006/main" count="3978" uniqueCount="527">
  <si>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</si>
  <si>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</si>
  <si>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</si>
  <si>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</si>
  <si>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</si>
  <si>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</si>
  <si>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</si>
  <si>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</si>
  <si>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</si>
  <si>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</si>
  <si>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</si>
  <si>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</si>
  <si>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</si>
  <si>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</si>
  <si>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</si>
  <si>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</si>
  <si>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</si>
  <si>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</si>
  <si>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</si>
  <si>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</si>
  <si>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</si>
  <si>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</si>
  <si>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</si>
  <si>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</si>
  <si>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</si>
  <si>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</si>
  <si>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</si>
  <si>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</si>
  <si>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</si>
  <si>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</si>
  <si>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</si>
  <si>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</si>
  <si>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</si>
  <si>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</si>
  <si>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</si>
  <si>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</si>
  <si>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</si>
  <si>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</si>
  <si>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</si>
  <si>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</si>
  <si>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</si>
  <si>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</si>
  <si>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</si>
  <si>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</si>
  <si>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</si>
  <si>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</si>
  <si>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</si>
  <si>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</si>
  <si>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</si>
  <si>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</si>
  <si>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</si>
  <si>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</si>
  <si>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</si>
  <si>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</si>
  <si>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</si>
  <si>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</si>
  <si>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</si>
  <si>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</si>
  <si>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</si>
  <si>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</si>
  <si>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</si>
  <si>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</si>
  <si>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</si>
  <si>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</si>
  <si>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</si>
  <si>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</si>
  <si>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</si>
  <si>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</si>
  <si>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</si>
  <si>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</si>
  <si>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</si>
  <si>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</si>
  <si>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</si>
  <si>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</si>
  <si>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</si>
  <si>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</si>
  <si>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</si>
  <si>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</si>
  <si>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</si>
  <si>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</si>
  <si>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</si>
  <si>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</si>
  <si>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</si>
  <si>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</si>
  <si>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</si>
  <si>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</si>
  <si>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</si>
  <si>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</si>
  <si>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</si>
  <si>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</si>
  <si>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</si>
  <si>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</si>
  <si>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</si>
  <si>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</si>
  <si>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</si>
  <si>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</si>
  <si>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</si>
  <si>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</si>
  <si>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</si>
  <si>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</si>
  <si>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</si>
  <si>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</si>
  <si>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</si>
  <si>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</si>
  <si>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</si>
  <si>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</si>
  <si>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</si>
  <si>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</si>
  <si>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</si>
  <si>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</si>
  <si>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</si>
  <si>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</si>
  <si>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</si>
  <si>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</si>
  <si>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</si>
  <si>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</si>
  <si>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</si>
  <si>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</si>
  <si>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</si>
  <si>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</si>
  <si>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</si>
  <si>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</si>
  <si>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</si>
  <si>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</si>
  <si>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</si>
  <si>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</si>
  <si>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</si>
  <si>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</si>
  <si>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</si>
  <si>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</si>
  <si>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</si>
  <si>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</si>
  <si>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</si>
  <si>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</si>
  <si>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</si>
  <si>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</si>
  <si>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</si>
  <si>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</si>
  <si>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</si>
  <si>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</si>
  <si>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</si>
  <si>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</si>
  <si>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</si>
  <si>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</si>
  <si>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</si>
  <si>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</si>
  <si>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</si>
  <si>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</si>
  <si>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</si>
  <si>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</si>
  <si>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</si>
  <si>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</si>
  <si>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</si>
  <si>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</si>
  <si>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</si>
  <si>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</si>
  <si>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</si>
  <si>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</si>
  <si>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</si>
  <si>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</si>
  <si>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</si>
  <si>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</si>
  <si>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</si>
  <si>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</si>
  <si>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</si>
  <si>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</si>
  <si>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</si>
  <si>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</si>
  <si>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</si>
  <si>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</si>
  <si>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</si>
  <si>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</si>
  <si>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</si>
  <si>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</si>
  <si>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</si>
  <si>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</si>
  <si>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</si>
  <si>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</si>
  <si>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</si>
  <si>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</si>
  <si>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</si>
  <si>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</si>
  <si>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</si>
  <si>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</si>
  <si>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</si>
  <si>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</si>
  <si>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</si>
  <si>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</si>
  <si>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</si>
  <si>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</si>
  <si>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</si>
  <si>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</si>
  <si>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</si>
  <si>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</si>
  <si>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</si>
  <si>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</si>
  <si>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</si>
  <si>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</si>
  <si>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</si>
  <si>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</si>
  <si>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</si>
  <si>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</si>
  <si>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</si>
  <si>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</si>
  <si>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</si>
  <si>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</si>
  <si>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</si>
  <si>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</si>
  <si>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</si>
  <si>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</si>
  <si>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</si>
  <si>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</si>
  <si>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</si>
  <si>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</si>
  <si>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</si>
  <si>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</si>
  <si>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</si>
  <si>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</si>
  <si>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</si>
  <si>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</si>
  <si>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</si>
  <si>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</si>
  <si>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</si>
  <si>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</si>
  <si>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</si>
  <si>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</si>
  <si>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</si>
  <si>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</si>
  <si>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</si>
  <si>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</si>
  <si>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</si>
  <si>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</si>
  <si>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</si>
  <si>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</si>
  <si>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</si>
  <si>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</si>
  <si>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</si>
  <si>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</si>
  <si>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</si>
  <si>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</si>
  <si>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</si>
  <si>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</si>
  <si>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</si>
  <si>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</si>
  <si>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</si>
  <si>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</si>
  <si>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</si>
  <si>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</si>
  <si>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</si>
  <si>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</si>
  <si>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</si>
  <si>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</si>
  <si>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</si>
  <si>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</si>
  <si>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</si>
  <si>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</si>
  <si>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</si>
  <si>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</si>
  <si>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</si>
  <si>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</si>
  <si>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</si>
  <si>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</si>
  <si>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</si>
  <si>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</si>
  <si>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</si>
  <si>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</si>
  <si>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</si>
  <si>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</si>
  <si>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</si>
  <si>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</si>
  <si>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</si>
  <si>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</si>
  <si>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</si>
  <si>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</si>
  <si>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</si>
  <si>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</si>
  <si>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</si>
  <si>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</si>
  <si>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</si>
  <si>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</si>
  <si>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</si>
  <si>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</si>
  <si>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</si>
  <si>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</si>
  <si>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</si>
  <si>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</si>
  <si>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</si>
  <si>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</si>
  <si>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</si>
  <si>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</si>
  <si>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</si>
  <si>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</si>
  <si>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</si>
  <si>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</si>
  <si>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</si>
  <si>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</si>
  <si>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</si>
  <si>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</si>
  <si>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</si>
  <si>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</si>
  <si>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</si>
  <si>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</si>
  <si>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</si>
  <si>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</si>
  <si>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</si>
  <si>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</si>
  <si>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</si>
  <si>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</si>
  <si>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</si>
  <si>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</si>
  <si>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</si>
  <si>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</si>
  <si>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</si>
  <si>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</si>
  <si>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</si>
  <si>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</si>
  <si>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</si>
  <si>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</si>
  <si>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</si>
  <si>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</si>
  <si>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</si>
  <si>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</si>
  <si>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</si>
  <si>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</si>
  <si>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</si>
  <si>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</si>
  <si>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</si>
  <si>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</si>
  <si>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</si>
  <si>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</si>
  <si>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</si>
  <si>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</si>
  <si>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</si>
  <si>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</si>
  <si>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</si>
  <si>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</si>
  <si>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</si>
  <si>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</si>
  <si>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</si>
  <si>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</si>
  <si>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</si>
  <si>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</si>
  <si>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</si>
  <si>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</si>
  <si>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</si>
  <si>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</si>
  <si>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</si>
  <si>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</si>
  <si>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</si>
  <si>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</si>
  <si>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</si>
  <si>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</si>
  <si>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</si>
  <si>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</si>
  <si>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</si>
  <si>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</si>
  <si>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</si>
  <si>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</si>
  <si>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</si>
  <si>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</si>
  <si>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</si>
  <si>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</si>
  <si>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</si>
  <si>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</si>
  <si>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</si>
  <si>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</si>
  <si>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</si>
  <si>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</si>
  <si>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</si>
  <si>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</si>
  <si>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</si>
  <si>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</si>
  <si>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</si>
  <si>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</si>
  <si>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</si>
  <si>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</si>
  <si>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</si>
  <si>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</si>
  <si>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</si>
  <si>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</si>
  <si>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</si>
  <si>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</si>
  <si>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</si>
  <si>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</si>
  <si>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</si>
  <si>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</si>
  <si>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</si>
  <si>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</si>
  <si>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</si>
  <si>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</si>
  <si>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</si>
  <si>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</si>
  <si>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</si>
  <si>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</si>
  <si>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</si>
  <si>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</si>
  <si>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</si>
  <si>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</si>
  <si>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</si>
  <si>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</si>
  <si>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</si>
  <si>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</si>
  <si>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</si>
  <si>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</si>
  <si>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</si>
  <si>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</si>
  <si>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</si>
  <si>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</si>
  <si>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</si>
  <si>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</si>
  <si>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</si>
  <si>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</si>
  <si>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</si>
  <si>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</si>
  <si>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</si>
  <si>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</si>
  <si>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</si>
  <si>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</si>
  <si>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</si>
  <si>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</si>
  <si>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</si>
  <si>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</si>
  <si>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</si>
  <si>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</si>
  <si>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</si>
  <si>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</si>
  <si>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</si>
  <si>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</si>
  <si>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</si>
  <si>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</si>
  <si>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</si>
  <si>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</si>
  <si>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</si>
  <si>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</si>
  <si>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</si>
  <si>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</si>
  <si>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</si>
  <si>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</si>
  <si>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</si>
  <si>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</si>
  <si>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</si>
  <si>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</si>
  <si>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</si>
  <si>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</si>
  <si>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</si>
  <si>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</si>
  <si>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</si>
  <si>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</si>
  <si>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</si>
  <si>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</si>
  <si>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</si>
  <si>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</si>
  <si>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</si>
  <si>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</si>
  <si>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</si>
  <si>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</si>
  <si>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</si>
  <si>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</si>
  <si>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</si>
  <si>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</si>
  <si>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</si>
  <si>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</si>
  <si>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</si>
  <si>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</si>
  <si>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</si>
  <si>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</si>
  <si>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</si>
  <si>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</si>
  <si>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</si>
  <si>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</si>
  <si>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</si>
  <si>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</si>
  <si>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</si>
  <si>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</si>
  <si>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</si>
  <si>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</si>
  <si>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</si>
  <si>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</si>
  <si>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</si>
  <si>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</si>
  <si>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</si>
  <si>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</si>
  <si>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</si>
  <si>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</si>
  <si>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</si>
  <si>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</si>
  <si>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</si>
  <si>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</si>
  <si>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</si>
  <si>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</si>
  <si>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</si>
  <si>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</si>
  <si>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</si>
  <si>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</si>
  <si>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</si>
  <si>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</si>
  <si>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</si>
  <si>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</si>
  <si>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</si>
  <si>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</si>
  <si>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</si>
  <si>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</si>
  <si>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</si>
  <si>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</si>
  <si>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</si>
  <si>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</si>
  <si>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</si>
  <si>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</si>
  <si>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</si>
  <si>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</si>
  <si>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</si>
  <si>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</si>
  <si>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</si>
  <si>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</si>
  <si>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</si>
  <si>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</si>
  <si>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Jabbar</t>
  </si>
  <si>
    <t>Smoke Store</t>
  </si>
  <si>
    <t xml:space="preserve">Address: Canal Park </t>
  </si>
  <si>
    <t xml:space="preserve">Fatima Mini Mart </t>
  </si>
  <si>
    <t>Bake And Bite</t>
  </si>
  <si>
    <t xml:space="preserve">Umair Bakery </t>
  </si>
  <si>
    <t>Kanza Bakers</t>
  </si>
  <si>
    <t>Khalid Store</t>
  </si>
  <si>
    <t>Munches Store</t>
  </si>
  <si>
    <t>Peers Store</t>
  </si>
  <si>
    <t>Address: Zahor Ilahi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</si>
</sst>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46242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Smoke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Fatima Mini Mart </v>
      </c>
      <c r="T4" s="301">
        <f>+'2'!P35</f>
        <v>2026.7021150999997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Bake And Bite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Umair Bakery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21</v>
      </c>
      <c r="I7" s="235">
        <f>(G7*D7)*F7+H7*F7</f>
        <v>1101.7124999999999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88.137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38.559937500000004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975.01556249999987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208.22033898305077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5.9161795074152534</v>
      </c>
      <c r="P7" s="310">
        <f>M7+N7+O7</f>
        <v>1189.1520809904659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Kanza Bakers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21</v>
      </c>
      <c r="I8" s="236">
        <f t="shared" ref="I8:I14" si="0">(G8*D8)*F8+H8*F8</f>
        <v>1101.7124999999999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88.137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38.559937500000004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975.01556249999987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208.22033898305077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5.9161795074152534</v>
      </c>
      <c r="P8" s="311">
        <f t="shared" ref="P8:P15" si="2">M8+N8+O8</f>
        <v>1189.1520809904659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Khalid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22</v>
      </c>
      <c r="I9" s="236">
        <f t="shared" si="0"/>
        <v>1154.175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92.334000000000003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40.396125000000005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1021.4448749999999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218.13559322033888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6.1979023411016945</v>
      </c>
      <c r="P9" s="311">
        <f t="shared" si="2"/>
        <v>1245.7783705614406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Munches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Peers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87.167999999999992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5.8511410169491525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</v>
      </c>
      <c r="I13" s="236">
        <f t="shared" si="0"/>
        <v>627.68000000000006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31.384000000000004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21.968800000000005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32.011679999999998</v>
      </c>
      <c r="M13" s="230">
        <f t="shared" si="1"/>
        <v>542.31552000000011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122.03389830508468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3.3217470915254239</v>
      </c>
      <c r="P13" s="311">
        <f t="shared" si="2"/>
        <v>667.67116539661015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3</v>
      </c>
      <c r="H16" s="113">
        <f t="shared" ref="H16:M16" si="3">SUM(H7:H15)</f>
        <v>120</v>
      </c>
      <c r="I16" s="114">
        <f t="shared" si="3"/>
        <v>6890.8799999999992</v>
      </c>
      <c r="J16" s="274">
        <f>SUM(J7:J15)</f>
        <v>532.44000000000005</v>
      </c>
      <c r="K16" s="275">
        <f t="shared" si="3"/>
        <v>241.18080000000003</v>
      </c>
      <c r="L16" s="276">
        <f t="shared" si="3"/>
        <v>32.011679999999998</v>
      </c>
      <c r="M16" s="232">
        <f t="shared" si="3"/>
        <v>6085.2475199999999</v>
      </c>
      <c r="N16" s="233">
        <f>SUM(N7:N15)</f>
        <v>1305.7627118644064</v>
      </c>
      <c r="O16" s="101">
        <f>SUM(O7:O15)</f>
        <v>36.955051159322032</v>
      </c>
      <c r="P16" s="113">
        <f>SUM(P7:P15)</f>
        <v>7427.9652830237292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6890.8799999999992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532.44000000000005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273.19248000000005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6085.247519999999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1305.7627118644064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7391.0102318644058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36.955051159322032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7427.9652830237283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7427.9652830237283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17" sqref="H17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310">
        <f>M16+N16+O16</f>
        <v>453.01031656779651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311">
        <f t="shared" ref="P17:P24" si="5">M17+N17+O17</f>
        <v>453.01031656779651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311">
        <f t="shared" si="5"/>
        <v>453.01031656779651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</v>
      </c>
      <c r="I22" s="236">
        <f t="shared" si="0"/>
        <v>627.68000000000006</v>
      </c>
      <c r="J22" s="272">
        <f t="shared" si="1"/>
        <v>31.384000000000004</v>
      </c>
      <c r="K22" s="128">
        <f t="shared" si="1"/>
        <v>21.968800000000005</v>
      </c>
      <c r="L22" s="119">
        <f t="shared" si="1"/>
        <v>32.011679999999998</v>
      </c>
      <c r="M22" s="230">
        <f t="shared" si="2"/>
        <v>542.31552000000011</v>
      </c>
      <c r="N22" s="277">
        <f t="shared" si="3"/>
        <v>122.03389830508468</v>
      </c>
      <c r="O22" s="239">
        <f t="shared" si="4"/>
        <v>3.3217470915254239</v>
      </c>
      <c r="P22" s="311">
        <f t="shared" si="5"/>
        <v>667.67116539661015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1886.78</v>
      </c>
      <c r="J25" s="274">
        <f>SUM(J16:J24)</f>
        <v>132.11200000000002</v>
      </c>
      <c r="K25" s="275">
        <f t="shared" si="7"/>
        <v>66.037300000000002</v>
      </c>
      <c r="L25" s="276">
        <f t="shared" si="7"/>
        <v>32.011679999999998</v>
      </c>
      <c r="M25" s="232">
        <f t="shared" si="7"/>
        <v>1656.6190200000001</v>
      </c>
      <c r="N25" s="233">
        <f>SUM(N16:N24)</f>
        <v>359.99999999999983</v>
      </c>
      <c r="O25" s="101">
        <f>SUM(O16:O24)</f>
        <v>10.0830951</v>
      </c>
      <c r="P25" s="113">
        <f>SUM(P16:P24)</f>
        <v>2026.7021150999997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1886.78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132.11200000000002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98.04898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1656.6190199999999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359.99999999999983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2016.6190199999996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10.083095099999998</v>
      </c>
    </row>
    <row r="35" spans="2:16" ht="15.75" customHeight="1" thickBot="1" x14ac:dyDescent="0.4">
      <c r="N35" s="342" t="s">
        <v>88</v>
      </c>
      <c r="O35" s="343"/>
      <c r="P35" s="297">
        <f>+P33+P34</f>
        <v>2026.7021150999997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310">
        <f>M16+N16+O16</f>
        <v>736.14176442266944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311">
        <f t="shared" ref="P17:P24" si="5">M17+N17+O17</f>
        <v>736.14176442266944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311">
        <f t="shared" si="5"/>
        <v>792.76805399364412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3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46242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2026-08-08T11:28:25Z</dcterms:modified>
</cp:coreProperties>
</file>