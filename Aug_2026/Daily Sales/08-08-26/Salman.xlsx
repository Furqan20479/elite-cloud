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276865-18B2-4774-84CB-D191BFA719C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<sst xmlns="http://schemas.openxmlformats.org/spreadsheetml/2006/main" count="3978" uniqueCount="523">
  <si>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</si>
  <si>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</si>
  <si>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</si>
  <si>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</si>
  <si>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</si>
  <si>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</si>
  <si>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</si>
  <si>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</si>
  <si>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</si>
  <si>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</si>
  <si>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</si>
  <si>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</si>
  <si>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</si>
  <si>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</si>
  <si>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</si>
  <si>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</si>
  <si>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</si>
  <si>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</si>
  <si>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</si>
  <si>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</si>
  <si>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</si>
  <si>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</si>
  <si>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</si>
  <si>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</si>
  <si>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</si>
  <si>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</si>
  <si>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</si>
  <si>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</si>
  <si>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</si>
  <si>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</si>
  <si>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</si>
  <si>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</si>
  <si>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</si>
  <si>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</si>
  <si>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</si>
  <si>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</si>
  <si>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</si>
  <si>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</si>
  <si>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</si>
  <si>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</si>
  <si>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</si>
  <si>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</si>
  <si>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</si>
  <si>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</si>
  <si>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</si>
  <si>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</si>
  <si>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</si>
  <si>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</si>
  <si>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</si>
  <si>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</si>
  <si>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</si>
  <si>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</si>
  <si>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</si>
  <si>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</si>
  <si>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</si>
  <si>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</si>
  <si>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</si>
  <si>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</si>
  <si>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</si>
  <si>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</si>
  <si>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</si>
  <si>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</si>
  <si>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</si>
  <si>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</si>
  <si>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</si>
  <si>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</si>
  <si>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</si>
  <si>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</si>
  <si>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</si>
  <si>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</si>
  <si>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</si>
  <si>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</si>
  <si>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</si>
  <si>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</si>
  <si>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</si>
  <si>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</si>
  <si>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</si>
  <si>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</si>
  <si>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</si>
  <si>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</si>
  <si>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</si>
  <si>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</si>
  <si>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</si>
  <si>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</si>
  <si>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</si>
  <si>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</si>
  <si>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</si>
  <si>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</si>
  <si>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</si>
  <si>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</si>
  <si>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</si>
  <si>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</si>
  <si>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</si>
  <si>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</si>
  <si>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</si>
  <si>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</si>
  <si>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</si>
  <si>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</si>
  <si>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</si>
  <si>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</si>
  <si>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</si>
  <si>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</si>
  <si>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</si>
  <si>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</si>
  <si>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</si>
  <si>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</si>
  <si>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</si>
  <si>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</si>
  <si>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</si>
  <si>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</si>
  <si>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</si>
  <si>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</si>
  <si>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</si>
  <si>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</si>
  <si>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</si>
  <si>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</si>
  <si>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</si>
  <si>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</si>
  <si>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</si>
  <si>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</si>
  <si>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</si>
  <si>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</si>
  <si>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</si>
  <si>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</si>
  <si>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</si>
  <si>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</si>
  <si>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</si>
  <si>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</si>
  <si>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</si>
  <si>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</si>
  <si>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</si>
  <si>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</si>
  <si>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</si>
  <si>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</si>
  <si>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</si>
  <si>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</si>
  <si>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</si>
  <si>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</si>
  <si>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</si>
  <si>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</si>
  <si>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</si>
  <si>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</si>
  <si>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</si>
  <si>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</si>
  <si>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</si>
  <si>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</si>
  <si>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</si>
  <si>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</si>
  <si>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</si>
  <si>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</si>
  <si>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</si>
  <si>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</si>
  <si>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</si>
  <si>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</si>
  <si>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</si>
  <si>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</si>
  <si>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</si>
  <si>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</si>
  <si>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</si>
  <si>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</si>
  <si>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</si>
  <si>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</si>
  <si>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</si>
  <si>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</si>
  <si>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</si>
  <si>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</si>
  <si>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</si>
  <si>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</si>
  <si>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</si>
  <si>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</si>
  <si>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</si>
  <si>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</si>
  <si>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</si>
  <si>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</si>
  <si>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</si>
  <si>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</si>
  <si>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</si>
  <si>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</si>
  <si>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</si>
  <si>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</si>
  <si>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</si>
  <si>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</si>
  <si>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</si>
  <si>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</si>
  <si>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</si>
  <si>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</si>
  <si>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</si>
  <si>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</si>
  <si>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</si>
  <si>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</si>
  <si>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</si>
  <si>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</si>
  <si>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</si>
  <si>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</si>
  <si>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</si>
  <si>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</si>
  <si>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</si>
  <si>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</si>
  <si>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</si>
  <si>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</si>
  <si>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</si>
  <si>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</si>
  <si>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</si>
  <si>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</si>
  <si>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</si>
  <si>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</si>
  <si>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</si>
  <si>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</si>
  <si>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</si>
  <si>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</si>
  <si>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</si>
  <si>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</si>
  <si>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</si>
  <si>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</si>
  <si>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</si>
  <si>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</si>
  <si>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</si>
  <si>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</si>
  <si>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</si>
  <si>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</si>
  <si>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</si>
  <si>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</si>
  <si>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</si>
  <si>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</si>
  <si>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</si>
  <si>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</si>
  <si>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</si>
  <si>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</si>
  <si>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</si>
  <si>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</si>
  <si>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</si>
  <si>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</si>
  <si>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</si>
  <si>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</si>
  <si>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</si>
  <si>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</si>
  <si>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</si>
  <si>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</si>
  <si>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</si>
  <si>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</si>
  <si>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</si>
  <si>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</si>
  <si>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</si>
  <si>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</si>
  <si>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</si>
  <si>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</si>
  <si>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</si>
  <si>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</si>
  <si>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</si>
  <si>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</si>
  <si>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</si>
  <si>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</si>
  <si>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</si>
  <si>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</si>
  <si>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</si>
  <si>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</si>
  <si>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</si>
  <si>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</si>
  <si>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</si>
  <si>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</si>
  <si>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</si>
  <si>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</si>
  <si>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</si>
  <si>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</si>
  <si>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</si>
  <si>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</si>
  <si>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</si>
  <si>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</si>
  <si>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</si>
  <si>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</si>
  <si>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</si>
  <si>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</si>
  <si>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</si>
  <si>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</si>
  <si>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</si>
  <si>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</si>
  <si>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</si>
  <si>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</si>
  <si>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</si>
  <si>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</si>
  <si>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</si>
  <si>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</si>
  <si>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</si>
  <si>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</si>
  <si>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</si>
  <si>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</si>
  <si>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</si>
  <si>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</si>
  <si>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</si>
  <si>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</si>
  <si>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</si>
  <si>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</si>
  <si>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</si>
  <si>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</si>
  <si>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</si>
  <si>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</si>
  <si>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</si>
  <si>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</si>
  <si>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</si>
  <si>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</si>
  <si>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</si>
  <si>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</si>
  <si>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</si>
  <si>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</si>
  <si>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</si>
  <si>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</si>
  <si>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</si>
  <si>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</si>
  <si>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</si>
  <si>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</si>
  <si>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</si>
  <si>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</si>
  <si>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</si>
  <si>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</si>
  <si>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</si>
  <si>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</si>
  <si>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</si>
  <si>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</si>
  <si>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</si>
  <si>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</si>
  <si>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</si>
  <si>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</si>
  <si>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</si>
  <si>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</si>
  <si>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</si>
  <si>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</si>
  <si>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</si>
  <si>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</si>
  <si>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</si>
  <si>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</si>
  <si>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</si>
  <si>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</si>
  <si>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</si>
  <si>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</si>
  <si>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</si>
  <si>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</si>
  <si>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</si>
  <si>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</si>
  <si>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</si>
  <si>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</si>
  <si>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</si>
  <si>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</si>
  <si>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</si>
  <si>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</si>
  <si>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</si>
  <si>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</si>
  <si>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</si>
  <si>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</si>
  <si>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</si>
  <si>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</si>
  <si>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</si>
  <si>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</si>
  <si>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</si>
  <si>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</si>
  <si>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</si>
  <si>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</si>
  <si>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</si>
  <si>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</si>
  <si>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</si>
  <si>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</si>
  <si>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</si>
  <si>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</si>
  <si>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</si>
  <si>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</si>
  <si>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</si>
  <si>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</si>
  <si>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</si>
  <si>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</si>
  <si>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</si>
  <si>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</si>
  <si>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</si>
  <si>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</si>
  <si>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</si>
  <si>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</si>
  <si>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</si>
  <si>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</si>
  <si>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</si>
  <si>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</si>
  <si>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</si>
  <si>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</si>
  <si>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</si>
  <si>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</si>
  <si>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</si>
  <si>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</si>
  <si>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</si>
  <si>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</si>
  <si>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</si>
  <si>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</si>
  <si>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</si>
  <si>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</si>
  <si>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</si>
  <si>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</si>
  <si>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</si>
  <si>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</si>
  <si>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</si>
  <si>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</si>
  <si>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</si>
  <si>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</si>
  <si>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</si>
  <si>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</si>
  <si>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</si>
  <si>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</si>
  <si>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</si>
  <si>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</si>
  <si>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</si>
  <si>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</si>
  <si>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</si>
  <si>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</si>
  <si>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</si>
  <si>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</si>
  <si>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</si>
  <si>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</si>
  <si>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</si>
  <si>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</si>
  <si>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</si>
  <si>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</si>
  <si>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</si>
  <si>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</si>
  <si>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</si>
  <si>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</si>
  <si>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</si>
  <si>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</si>
  <si>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</si>
  <si>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</si>
  <si>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</si>
  <si>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</si>
  <si>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</si>
  <si>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</si>
  <si>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</si>
  <si>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</si>
  <si>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</si>
  <si>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</si>
  <si>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</si>
  <si>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</si>
  <si>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</si>
  <si>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</si>
  <si>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</si>
  <si>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</si>
  <si>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</si>
  <si>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</si>
  <si>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</si>
  <si>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</si>
  <si>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</si>
  <si>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</si>
  <si>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</si>
  <si>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</si>
  <si>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</si>
  <si>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</si>
  <si>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</si>
  <si>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</si>
  <si>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</si>
  <si>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</si>
  <si>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</si>
  <si>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</si>
  <si>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</si>
  <si>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</si>
  <si>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</si>
  <si>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</si>
  <si>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</si>
  <si>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</si>
  <si>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</si>
  <si>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</si>
  <si>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</si>
  <si>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</si>
  <si>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</si>
  <si>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</si>
  <si>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</si>
  <si>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</si>
  <si>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</si>
  <si>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</si>
  <si>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</si>
  <si>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</si>
  <si>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</si>
  <si>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</si>
  <si>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</si>
  <si>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</si>
  <si>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</si>
  <si>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</si>
  <si>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</si>
  <si>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</si>
  <si>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</si>
  <si>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</si>
  <si>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</si>
  <si>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</si>
  <si>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</si>
  <si>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</si>
  <si>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</si>
  <si>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</si>
  <si>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</si>
  <si>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</si>
  <si>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</si>
  <si>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</si>
  <si>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</si>
  <si>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</si>
  <si>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</si>
  <si>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</si>
  <si>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</si>
  <si>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</si>
  <si>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</si>
  <si>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</si>
  <si>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</si>
  <si>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</si>
  <si>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</si>
  <si>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</si>
  <si>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</si>
  <si>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</si>
  <si>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</si>
  <si>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</si>
  <si>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</si>
  <si>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</si>
  <si>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</si>
  <si>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</si>
  <si>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</si>
  <si>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</si>
  <si>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</si>
  <si>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</si>
  <si>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</si>
  <si>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</si>
  <si>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Khan Zada Store</t>
  </si>
  <si>
    <t xml:space="preserve">Address: Cavelary </t>
  </si>
  <si>
    <t>Ali General Store</t>
  </si>
  <si>
    <t>Aashiyana Store</t>
  </si>
  <si>
    <t xml:space="preserve">Address:Cavelary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</si>
</sst>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513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Khan Zada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Ali General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Aashiyana Store</v>
      </c>
      <c r="T5" s="301">
        <f>+'3'!P35</f>
        <v>2769.4531671864411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</v>
      </c>
      <c r="I13" s="236">
        <f t="shared" si="0"/>
        <v>392.30000000000007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19.615000000000006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13.730500000000003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20.007300000000001</v>
      </c>
      <c r="M13" s="230">
        <f t="shared" si="1"/>
        <v>338.94720000000007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76.271186440677923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2.0760919322033899</v>
      </c>
      <c r="P13" s="311">
        <f t="shared" si="2"/>
        <v>417.29447837288137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</v>
      </c>
      <c r="H16" s="113">
        <f t="shared" ref="H16:M16" si="3">SUM(H7:H15)</f>
        <v>200</v>
      </c>
      <c r="I16" s="114">
        <f t="shared" si="3"/>
        <v>13386.8</v>
      </c>
      <c r="J16" s="274">
        <f>SUM(J7:J15)</f>
        <v>1059.175</v>
      </c>
      <c r="K16" s="275">
        <f t="shared" si="3"/>
        <v>468.53800000000007</v>
      </c>
      <c r="L16" s="276">
        <f t="shared" si="3"/>
        <v>20.007300000000001</v>
      </c>
      <c r="M16" s="232">
        <f t="shared" si="3"/>
        <v>11839.0797</v>
      </c>
      <c r="N16" s="233">
        <f>SUM(N7:N15)</f>
        <v>2532.2033898305085</v>
      </c>
      <c r="O16" s="101">
        <f>SUM(O7:O15)</f>
        <v>71.856415449152536</v>
      </c>
      <c r="P16" s="113">
        <f>SUM(P7:P15)</f>
        <v>14443.139505279662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13386.8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1059.175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488.54530000000005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11839.0797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2532.2033898305085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14371.283089830509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71.856415449152536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14443.139505279662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14443.139505279662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515</v>
      </c>
    </row>
    <row r="51" spans="2:2" x14ac:dyDescent="0.35">
      <c r="B51" t="s">
        <v>516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519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2098.5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167.88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73.447500000000005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1857.1724999999999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2253.7826694915252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1" t="s">
        <v>88</v>
      </c>
      <c r="O35" s="372"/>
      <c r="P35" s="297">
        <f>+P33+P34</f>
        <v>2265.051582838983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2571.5</v>
      </c>
      <c r="J25" s="274">
        <f>SUM(J16:J24)</f>
        <v>193.95100000000002</v>
      </c>
      <c r="K25" s="275">
        <f t="shared" si="7"/>
        <v>90.002500000000012</v>
      </c>
      <c r="L25" s="276">
        <f t="shared" si="7"/>
        <v>20.007300000000001</v>
      </c>
      <c r="M25" s="232">
        <f t="shared" si="7"/>
        <v>2267.5392000000002</v>
      </c>
      <c r="N25" s="233">
        <f>SUM(N16:N24)</f>
        <v>488.13559322033899</v>
      </c>
      <c r="O25" s="101">
        <f>SUM(O16:O24)</f>
        <v>13.778373966101697</v>
      </c>
      <c r="P25" s="113">
        <f>SUM(P16:P24)</f>
        <v>2769.4531671864406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2571.5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193.95100000000002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110.00980000000001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2267.5392000000002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488.13559322033899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2755.6747932203393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13.778373966101697</v>
      </c>
    </row>
    <row r="35" spans="2:16" ht="15.75" customHeight="1" thickBot="1" x14ac:dyDescent="0.4">
      <c r="N35" s="371" t="s">
        <v>88</v>
      </c>
      <c r="O35" s="372"/>
      <c r="P35" s="297">
        <f>+P33+P34</f>
        <v>2769.4531671864411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46242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2026-08-07T11:29:22Z</dcterms:modified>
</cp:coreProperties>
</file>