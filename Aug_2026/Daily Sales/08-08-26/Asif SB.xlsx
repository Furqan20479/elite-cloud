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993028B-07B1-4F3D-8EC8-D5947DB69090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<sst xmlns="http://schemas.openxmlformats.org/spreadsheetml/2006/main" count="3977" uniqueCount="519">
  <si>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</si>
  <si>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</si>
  <si>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</si>
  <si>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</si>
  <si>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</si>
  <si>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</si>
  <si>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</si>
  <si>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</si>
  <si>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</si>
  <si>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</si>
  <si>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</si>
  <si>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</si>
  <si>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</si>
  <si>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</si>
  <si>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</si>
  <si>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</si>
  <si>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</si>
  <si>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</si>
  <si>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</si>
  <si>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</si>
  <si>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</si>
  <si>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</si>
  <si>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</si>
  <si>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</si>
  <si>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</si>
  <si>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</si>
  <si>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</si>
  <si>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</si>
  <si>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</si>
  <si>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</si>
  <si>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</si>
  <si>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</si>
  <si>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</si>
  <si>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</si>
  <si>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</si>
  <si>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</si>
  <si>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</si>
  <si>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</si>
  <si>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</si>
  <si>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</si>
  <si>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</si>
  <si>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</si>
  <si>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</si>
  <si>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</si>
  <si>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</si>
  <si>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</si>
  <si>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</si>
  <si>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</si>
  <si>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</si>
  <si>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</si>
  <si>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</si>
  <si>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</si>
  <si>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</si>
  <si>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</si>
  <si>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</si>
  <si>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</si>
  <si>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</si>
  <si>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</si>
  <si>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</si>
  <si>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</si>
  <si>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</si>
  <si>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</si>
  <si>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</si>
  <si>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</si>
  <si>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</si>
  <si>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</si>
  <si>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</si>
  <si>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</si>
  <si>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</si>
  <si>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</si>
  <si>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</si>
  <si>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</si>
  <si>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</si>
  <si>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</si>
  <si>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</si>
  <si>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</si>
  <si>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</si>
  <si>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</si>
  <si>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</si>
  <si>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</si>
  <si>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</si>
  <si>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</si>
  <si>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</si>
  <si>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</si>
  <si>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</si>
  <si>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</si>
  <si>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</si>
  <si>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</si>
  <si>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</si>
  <si>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</si>
  <si>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</si>
  <si>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</si>
  <si>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</si>
  <si>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</si>
  <si>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</si>
  <si>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</si>
  <si>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</si>
  <si>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</si>
  <si>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</si>
  <si>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</si>
  <si>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</si>
  <si>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</si>
  <si>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</si>
  <si>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</si>
  <si>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</si>
  <si>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</si>
  <si>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</si>
  <si>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</si>
  <si>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</si>
  <si>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</si>
  <si>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</si>
  <si>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</si>
  <si>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</si>
  <si>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</si>
  <si>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</si>
  <si>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</si>
  <si>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</si>
  <si>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</si>
  <si>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</si>
  <si>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</si>
  <si>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</si>
  <si>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</si>
  <si>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</si>
  <si>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</si>
  <si>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</si>
  <si>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</si>
  <si>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</si>
  <si>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</si>
  <si>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</si>
  <si>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</si>
  <si>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</si>
  <si>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</si>
  <si>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</si>
  <si>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</si>
  <si>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</si>
  <si>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</si>
  <si>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</si>
  <si>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</si>
  <si>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</si>
  <si>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</si>
  <si>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</si>
  <si>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</si>
  <si>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</si>
  <si>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</si>
  <si>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</si>
  <si>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</si>
  <si>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</si>
  <si>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</si>
  <si>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</si>
  <si>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</si>
  <si>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</si>
  <si>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</si>
  <si>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</si>
  <si>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</si>
  <si>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</si>
  <si>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</si>
  <si>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</si>
  <si>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</si>
  <si>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</si>
  <si>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</si>
  <si>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</si>
  <si>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</si>
  <si>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</si>
  <si>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</si>
  <si>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</si>
  <si>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</si>
  <si>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</si>
  <si>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</si>
  <si>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</si>
  <si>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</si>
  <si>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</si>
  <si>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</si>
  <si>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</si>
  <si>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</si>
  <si>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</si>
  <si>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</si>
  <si>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</si>
  <si>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</si>
  <si>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</si>
  <si>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</si>
  <si>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</si>
  <si>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</si>
  <si>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</si>
  <si>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</si>
  <si>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</si>
  <si>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</si>
  <si>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</si>
  <si>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</si>
  <si>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</si>
  <si>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</si>
  <si>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</si>
  <si>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</si>
  <si>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</si>
  <si>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</si>
  <si>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</si>
  <si>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</si>
  <si>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</si>
  <si>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</si>
  <si>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</si>
  <si>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</si>
  <si>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</si>
  <si>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</si>
  <si>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</si>
  <si>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</si>
  <si>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</si>
  <si>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</si>
  <si>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</si>
  <si>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</si>
  <si>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</si>
  <si>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</si>
  <si>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</si>
  <si>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</si>
  <si>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</si>
  <si>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</si>
  <si>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</si>
  <si>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</si>
  <si>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</si>
  <si>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</si>
  <si>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</si>
  <si>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</si>
  <si>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</si>
  <si>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</si>
  <si>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</si>
  <si>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</si>
  <si>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</si>
  <si>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</si>
  <si>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</si>
  <si>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</si>
  <si>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</si>
  <si>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</si>
  <si>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</si>
  <si>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</si>
  <si>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</si>
  <si>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</si>
  <si>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</si>
  <si>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</si>
  <si>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</si>
  <si>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</si>
  <si>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</si>
  <si>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</si>
  <si>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</si>
  <si>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</si>
  <si>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</si>
  <si>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</si>
  <si>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</si>
  <si>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</si>
  <si>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</si>
  <si>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</si>
  <si>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</si>
  <si>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</si>
  <si>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</si>
  <si>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</si>
  <si>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</si>
  <si>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</si>
  <si>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</si>
  <si>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</si>
  <si>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</si>
  <si>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</si>
  <si>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</si>
  <si>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</si>
  <si>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</si>
  <si>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</si>
  <si>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</si>
  <si>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</si>
  <si>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</si>
  <si>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</si>
  <si>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</si>
  <si>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</si>
  <si>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</si>
  <si>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</si>
  <si>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</si>
  <si>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</si>
  <si>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</si>
  <si>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</si>
  <si>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</si>
  <si>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</si>
  <si>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</si>
  <si>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</si>
  <si>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</si>
  <si>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</si>
  <si>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</si>
  <si>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</si>
  <si>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</si>
  <si>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</si>
  <si>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</si>
  <si>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</si>
  <si>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</si>
  <si>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</si>
  <si>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</si>
  <si>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</si>
  <si>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</si>
  <si>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</si>
  <si>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</si>
  <si>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</si>
  <si>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</si>
  <si>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</si>
  <si>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</si>
  <si>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</si>
  <si>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</si>
  <si>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</si>
  <si>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</si>
  <si>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</si>
  <si>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</si>
  <si>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</si>
  <si>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</si>
  <si>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</si>
  <si>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</si>
  <si>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</si>
  <si>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</si>
  <si>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</si>
  <si>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</si>
  <si>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</si>
  <si>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</si>
  <si>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</si>
  <si>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</si>
  <si>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</si>
  <si>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</si>
  <si>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</si>
  <si>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</si>
  <si>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</si>
  <si>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</si>
  <si>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</si>
  <si>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</si>
  <si>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</si>
  <si>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</si>
  <si>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</si>
  <si>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</si>
  <si>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</si>
  <si>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</si>
  <si>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</si>
  <si>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</si>
  <si>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</si>
  <si>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</si>
  <si>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</si>
  <si>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</si>
  <si>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</si>
  <si>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</si>
  <si>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</si>
  <si>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</si>
  <si>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</si>
  <si>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</si>
  <si>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</si>
  <si>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</si>
  <si>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</si>
  <si>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</si>
  <si>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</si>
  <si>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</si>
  <si>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</si>
  <si>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</si>
  <si>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</si>
  <si>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</si>
  <si>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</si>
  <si>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</si>
  <si>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</si>
  <si>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</si>
  <si>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</si>
  <si>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</si>
  <si>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</si>
  <si>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</si>
  <si>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</si>
  <si>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</si>
  <si>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</si>
  <si>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</si>
  <si>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</si>
  <si>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</si>
  <si>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</si>
  <si>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</si>
  <si>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</si>
  <si>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</si>
  <si>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</si>
  <si>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</si>
  <si>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</si>
  <si>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</si>
  <si>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</si>
  <si>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</si>
  <si>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</si>
  <si>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</si>
  <si>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</si>
  <si>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</si>
  <si>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</si>
  <si>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</si>
  <si>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</si>
  <si>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</si>
  <si>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</si>
  <si>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</si>
  <si>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</si>
  <si>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</si>
  <si>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</si>
  <si>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</si>
  <si>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</si>
  <si>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</si>
  <si>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</si>
  <si>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</si>
  <si>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</si>
  <si>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</si>
  <si>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</si>
  <si>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</si>
  <si>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</si>
  <si>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</si>
  <si>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</si>
  <si>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</si>
  <si>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</si>
  <si>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</si>
  <si>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</si>
  <si>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</si>
  <si>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</si>
  <si>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</si>
  <si>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</si>
  <si>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</si>
  <si>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</si>
  <si>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</si>
  <si>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</si>
  <si>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</si>
  <si>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</si>
  <si>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</si>
  <si>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</si>
  <si>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</si>
  <si>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</si>
  <si>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</si>
  <si>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</si>
  <si>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</si>
  <si>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</si>
  <si>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</si>
  <si>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</si>
  <si>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</si>
  <si>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</si>
  <si>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</si>
  <si>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</si>
  <si>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</si>
  <si>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</si>
  <si>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</si>
  <si>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</si>
  <si>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</si>
  <si>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</si>
  <si>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</si>
  <si>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</si>
  <si>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</si>
  <si>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</si>
  <si>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</si>
  <si>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</si>
  <si>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</si>
  <si>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</si>
  <si>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</si>
  <si>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</si>
  <si>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</si>
  <si>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</si>
  <si>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</si>
  <si>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</si>
  <si>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</si>
  <si>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</si>
  <si>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</si>
  <si>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</si>
  <si>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</si>
  <si>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</si>
  <si>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</si>
  <si>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</si>
  <si>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</si>
  <si>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</si>
  <si>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</si>
  <si>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</si>
  <si>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</si>
  <si>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</si>
  <si>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</si>
  <si>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</si>
  <si>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</si>
  <si>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</si>
  <si>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</si>
  <si>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</si>
  <si>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</si>
  <si>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</si>
  <si>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</si>
  <si>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</si>
  <si>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</si>
  <si>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</si>
  <si>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</si>
  <si>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</si>
  <si>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</si>
  <si>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</si>
  <si>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</si>
  <si>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</si>
  <si>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</si>
  <si>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</si>
  <si>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</si>
  <si>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</si>
  <si>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</si>
  <si>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</si>
  <si>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</si>
  <si>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</si>
  <si>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</si>
  <si>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</si>
  <si>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</si>
  <si>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</si>
  <si>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</si>
  <si>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</si>
  <si>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</si>
  <si>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</si>
  <si>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</si>
  <si>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</si>
  <si>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</si>
  <si>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</si>
  <si>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</si>
  <si>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</si>
  <si>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</si>
  <si>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</si>
  <si>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</si>
  <si>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</si>
  <si>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</si>
  <si>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</si>
  <si>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</si>
  <si>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</si>
  <si>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</si>
  <si>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</si>
  <si>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</si>
  <si>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</si>
  <si>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</si>
  <si>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</si>
  <si>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</si>
  <si>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</si>
  <si>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Shehzad (Brother_Asif SB)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</si>
</sst>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opLeftCell="A40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/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514</v>
      </c>
      <c r="F3" s="387"/>
      <c r="G3" s="387"/>
      <c r="H3" s="384">
        <f ca="1">TODAY()</f>
        <v>46241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Shehzad (Brother_Asif SB)</v>
      </c>
      <c r="T3" s="301">
        <f>+'1'!P35</f>
        <v>53618.902251788117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503.64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5571.5174999999999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33.80674004237288</v>
      </c>
      <c r="P7" s="310">
        <f>M7+N7+O7</f>
        <v>6795.1547485169476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503.64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220.34250000000003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5571.5174999999999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33.80674004237288</v>
      </c>
      <c r="P8" s="311">
        <f t="shared" ref="P8:P15" si="2">M8+N8+O8</f>
        <v>6795.1547485169476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503.64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5571.5174999999999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33.80674004237288</v>
      </c>
      <c r="P9" s="311">
        <f t="shared" si="2"/>
        <v>6795.1547485169476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697.34399999999994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7714.3679999999995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46.80912813559322</v>
      </c>
      <c r="P10" s="311">
        <f t="shared" si="2"/>
        <v>9408.6347552542375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697.34399999999994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305.08800000000002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7714.3679999999995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46.80912813559322</v>
      </c>
      <c r="P11" s="311">
        <f t="shared" si="2"/>
        <v>9408.6347552542375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697.34399999999994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7714.3679999999995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46.80912813559322</v>
      </c>
      <c r="P12" s="311">
        <f t="shared" si="2"/>
        <v>9408.6347552542375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120</v>
      </c>
      <c r="I13" s="236">
        <f t="shared" si="0"/>
        <v>4707.6000000000004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235.38000000000002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164.76600000000002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240.08760000000001</v>
      </c>
      <c r="M13" s="230">
        <f t="shared" si="1"/>
        <v>4067.3664000000003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915.25423728813507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24.913103186440676</v>
      </c>
      <c r="P13" s="311">
        <f t="shared" si="2"/>
        <v>5007.533740474576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21</v>
      </c>
      <c r="H16" s="113">
        <f t="shared" ref="H16:M16" si="3">SUM(H7:H15)</f>
        <v>840</v>
      </c>
      <c r="I16" s="114">
        <f t="shared" si="3"/>
        <v>49744.499999999993</v>
      </c>
      <c r="J16" s="274">
        <f>SUM(J7:J15)</f>
        <v>3838.3320000000003</v>
      </c>
      <c r="K16" s="275">
        <f t="shared" si="3"/>
        <v>1741.0575000000001</v>
      </c>
      <c r="L16" s="276">
        <f t="shared" si="3"/>
        <v>240.08760000000001</v>
      </c>
      <c r="M16" s="232">
        <f t="shared" si="3"/>
        <v>43925.022899999996</v>
      </c>
      <c r="N16" s="233">
        <f>SUM(N7:N15)</f>
        <v>9427.1186440677939</v>
      </c>
      <c r="O16" s="101">
        <f>SUM(O7:O15)</f>
        <v>266.76070772033898</v>
      </c>
      <c r="P16" s="113">
        <f>SUM(P7:P15)</f>
        <v>53618.902251788124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49744.499999999993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3838.3320000000003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1981.1451000000002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43925.022899999989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9427.1186440677939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53352.141544067781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266.76070772033898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53618.902251788117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53618.902251788117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516</v>
      </c>
    </row>
    <row r="51" spans="2:2" x14ac:dyDescent="0.35">
      <c r="B51" t="s">
        <v>517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I7" sqref="I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7.25" customHeight="1" x14ac:dyDescent="0.4">
      <c r="A6" s="397" t="s">
        <v>518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503.64</v>
      </c>
      <c r="K16" s="127">
        <f>$I16*T16</f>
        <v>220.34250000000003</v>
      </c>
      <c r="L16" s="118">
        <f>$I16*U16</f>
        <v>0</v>
      </c>
      <c r="M16" s="229">
        <f>I16-SUM(J16:L16)</f>
        <v>5571.5174999999999</v>
      </c>
      <c r="N16" s="248">
        <f>+(G16*D16+H16)*V16</f>
        <v>1189.8305084745757</v>
      </c>
      <c r="O16" s="238">
        <f>(N16+M16)*$O$15</f>
        <v>33.80674004237288</v>
      </c>
      <c r="P16" s="310">
        <f>M16+N16+O16</f>
        <v>6795.1547485169476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120</v>
      </c>
      <c r="I17" s="236">
        <f t="shared" ref="I17:I23" si="0">(G17*D17)*F17+H17*F17</f>
        <v>6295.5</v>
      </c>
      <c r="J17" s="272">
        <f t="shared" ref="J17:L24" si="1">$I17*S17</f>
        <v>503.64</v>
      </c>
      <c r="K17" s="128">
        <f>$I17*T17</f>
        <v>220.34250000000003</v>
      </c>
      <c r="L17" s="119">
        <f>$I17*U17</f>
        <v>0</v>
      </c>
      <c r="M17" s="230">
        <f t="shared" ref="M17:M24" si="2">I17-SUM(J17:L17)</f>
        <v>5571.5174999999999</v>
      </c>
      <c r="N17" s="277">
        <f t="shared" ref="N17:N24" si="3">+(G17*D17+H17)*V17</f>
        <v>1189.8305084745757</v>
      </c>
      <c r="O17" s="239">
        <f t="shared" ref="O17:O24" si="4">(N17+M17)*$O$15</f>
        <v>33.80674004237288</v>
      </c>
      <c r="P17" s="311">
        <f t="shared" ref="P17:P24" si="5">M17+N17+O17</f>
        <v>6795.1547485169476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503.64</v>
      </c>
      <c r="K18" s="128">
        <f t="shared" si="1"/>
        <v>220.34250000000003</v>
      </c>
      <c r="L18" s="119">
        <f t="shared" si="1"/>
        <v>0</v>
      </c>
      <c r="M18" s="230">
        <f t="shared" si="2"/>
        <v>5571.5174999999999</v>
      </c>
      <c r="N18" s="277">
        <f t="shared" si="3"/>
        <v>1189.8305084745757</v>
      </c>
      <c r="O18" s="239">
        <f t="shared" si="4"/>
        <v>33.80674004237288</v>
      </c>
      <c r="P18" s="311">
        <f t="shared" si="5"/>
        <v>6795.1547485169476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7"/>
        <v>8716.7999999999993</v>
      </c>
      <c r="J19" s="272">
        <f t="shared" si="1"/>
        <v>697.34399999999994</v>
      </c>
      <c r="K19" s="128">
        <f t="shared" si="1"/>
        <v>305.08800000000002</v>
      </c>
      <c r="L19" s="119">
        <f t="shared" si="1"/>
        <v>0</v>
      </c>
      <c r="M19" s="230">
        <f t="shared" si="2"/>
        <v>7714.3679999999995</v>
      </c>
      <c r="N19" s="277">
        <f t="shared" si="3"/>
        <v>1647.4576271186443</v>
      </c>
      <c r="O19" s="239">
        <f t="shared" si="4"/>
        <v>46.80912813559322</v>
      </c>
      <c r="P19" s="311">
        <f t="shared" si="5"/>
        <v>9408.6347552542375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7"/>
        <v>8716.7999999999993</v>
      </c>
      <c r="J20" s="272">
        <f t="shared" si="1"/>
        <v>697.34399999999994</v>
      </c>
      <c r="K20" s="128">
        <f t="shared" si="1"/>
        <v>305.08800000000002</v>
      </c>
      <c r="L20" s="119">
        <f t="shared" si="1"/>
        <v>0</v>
      </c>
      <c r="M20" s="230">
        <f t="shared" si="2"/>
        <v>7714.3679999999995</v>
      </c>
      <c r="N20" s="277">
        <f t="shared" si="3"/>
        <v>1647.4576271186443</v>
      </c>
      <c r="O20" s="239">
        <f t="shared" si="4"/>
        <v>46.80912813559322</v>
      </c>
      <c r="P20" s="311">
        <f t="shared" si="5"/>
        <v>9408.6347552542375</v>
      </c>
      <c r="Q20" s="156"/>
      <c r="R20">
        <f>P20/21</f>
        <v>448.03022644067795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697.34399999999994</v>
      </c>
      <c r="K21" s="128">
        <f t="shared" si="1"/>
        <v>305.08800000000002</v>
      </c>
      <c r="L21" s="119">
        <f t="shared" si="1"/>
        <v>0</v>
      </c>
      <c r="M21" s="230">
        <f t="shared" si="2"/>
        <v>7714.3679999999995</v>
      </c>
      <c r="N21" s="277">
        <f t="shared" si="3"/>
        <v>1647.4576271186443</v>
      </c>
      <c r="O21" s="239">
        <f t="shared" si="4"/>
        <v>46.80912813559322</v>
      </c>
      <c r="P21" s="311">
        <f t="shared" si="5"/>
        <v>9408.6347552542375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120</v>
      </c>
      <c r="I22" s="236">
        <f t="shared" si="0"/>
        <v>4707.6000000000004</v>
      </c>
      <c r="J22" s="272">
        <f t="shared" si="1"/>
        <v>235.38000000000002</v>
      </c>
      <c r="K22" s="128">
        <f t="shared" si="1"/>
        <v>164.76600000000002</v>
      </c>
      <c r="L22" s="119">
        <f t="shared" si="1"/>
        <v>240.08760000000001</v>
      </c>
      <c r="M22" s="230">
        <f t="shared" si="2"/>
        <v>4067.3664000000003</v>
      </c>
      <c r="N22" s="277">
        <f t="shared" si="3"/>
        <v>915.25423728813507</v>
      </c>
      <c r="O22" s="239">
        <f t="shared" si="4"/>
        <v>24.913103186440676</v>
      </c>
      <c r="P22" s="311">
        <f t="shared" si="5"/>
        <v>5007.533740474576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840</v>
      </c>
      <c r="I25" s="114">
        <f t="shared" ref="I25:M25" si="10">SUM(I16:I24)</f>
        <v>49744.499999999993</v>
      </c>
      <c r="J25" s="274">
        <f>SUM(J16:J24)</f>
        <v>3838.3320000000003</v>
      </c>
      <c r="K25" s="275">
        <f t="shared" si="10"/>
        <v>1741.0575000000001</v>
      </c>
      <c r="L25" s="276">
        <f t="shared" si="10"/>
        <v>240.08760000000001</v>
      </c>
      <c r="M25" s="232">
        <f t="shared" si="10"/>
        <v>43925.022899999996</v>
      </c>
      <c r="N25" s="233">
        <f>SUM(N16:N24)</f>
        <v>9427.1186440677939</v>
      </c>
      <c r="O25" s="101">
        <f>SUM(O16:O24)</f>
        <v>266.76070772033898</v>
      </c>
      <c r="P25" s="113">
        <f>SUM(P16:P24)</f>
        <v>53618.902251788124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49744.499999999993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3838.3320000000003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1981.1451000000002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43925.022899999989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9427.1186440677939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53352.141544067781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266.76070772033893</v>
      </c>
    </row>
    <row r="35" spans="2:16" ht="15.75" customHeight="1" thickBot="1" x14ac:dyDescent="0.4">
      <c r="N35" s="371" t="s">
        <v>88</v>
      </c>
      <c r="O35" s="372"/>
      <c r="P35" s="297">
        <f>+P33+P34</f>
        <v>53618.902251788117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8.7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503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8.75" customHeight="1" x14ac:dyDescent="0.4">
      <c r="A6" s="397" t="s">
        <v>504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46242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46241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2026-08-07T12:43:59Z</dcterms:modified>
</cp:coreProperties>
</file>