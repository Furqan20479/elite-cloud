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FE88BD-62D3-49D5-8753-865FA01CBD5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47"/>
  <c r="O20" i="47" s="1"/>
  <c r="P20" i="47" s="1"/>
  <c r="R20" i="47" s="1"/>
  <c r="M21" i="47"/>
  <c r="O21" i="47" s="1"/>
  <c r="P21" i="47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<sst xmlns="http://schemas.openxmlformats.org/spreadsheetml/2006/main" count="3978" uniqueCount="527">
  <si>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</si>
  <si>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</si>
  <si>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</si>
  <si>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</si>
  <si>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</si>
  <si>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</si>
  <si>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</si>
  <si>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</si>
  <si>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</si>
  <si>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</si>
  <si>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</si>
  <si>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</si>
  <si>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</si>
  <si>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</si>
  <si>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</si>
  <si>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</si>
  <si>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</si>
  <si>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</si>
  <si>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</si>
  <si>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</si>
  <si>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</si>
  <si>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</si>
  <si>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</si>
  <si>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</si>
  <si>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</si>
  <si>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</si>
  <si>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</si>
  <si>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</si>
  <si>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</si>
  <si>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</si>
  <si>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</si>
  <si>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</si>
  <si>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</si>
  <si>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</si>
  <si>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</si>
  <si>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</si>
  <si>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</si>
  <si>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</si>
  <si>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</si>
  <si>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</si>
  <si>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</si>
  <si>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</si>
  <si>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</si>
  <si>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</si>
  <si>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</si>
  <si>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</si>
  <si>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</si>
  <si>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</si>
  <si>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</si>
  <si>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</si>
  <si>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</si>
  <si>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</si>
  <si>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</si>
  <si>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</si>
  <si>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</si>
  <si>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</si>
  <si>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</si>
  <si>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</si>
  <si>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</si>
  <si>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</si>
  <si>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</si>
  <si>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</si>
  <si>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</si>
  <si>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</si>
  <si>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</si>
  <si>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</si>
  <si>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</si>
  <si>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</si>
  <si>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</si>
  <si>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</si>
  <si>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</si>
  <si>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</si>
  <si>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</si>
  <si>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</si>
  <si>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</si>
  <si>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</si>
  <si>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</si>
  <si>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</si>
  <si>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</si>
  <si>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</si>
  <si>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</si>
  <si>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</si>
  <si>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</si>
  <si>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</si>
  <si>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</si>
  <si>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</si>
  <si>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</si>
  <si>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</si>
  <si>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</si>
  <si>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</si>
  <si>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</si>
  <si>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</si>
  <si>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</si>
  <si>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</si>
  <si>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</si>
  <si>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</si>
  <si>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</si>
  <si>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</si>
  <si>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</si>
  <si>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</si>
  <si>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</si>
  <si>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</si>
  <si>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</si>
  <si>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</si>
  <si>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</si>
  <si>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</si>
  <si>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</si>
  <si>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</si>
  <si>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</si>
  <si>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</si>
  <si>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</si>
  <si>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</si>
  <si>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</si>
  <si>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</si>
  <si>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</si>
  <si>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</si>
  <si>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</si>
  <si>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</si>
  <si>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</si>
  <si>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</si>
  <si>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</si>
  <si>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</si>
  <si>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</si>
  <si>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</si>
  <si>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</si>
  <si>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</si>
  <si>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</si>
  <si>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</si>
  <si>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</si>
  <si>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</si>
  <si>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</si>
  <si>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</si>
  <si>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</si>
  <si>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</si>
  <si>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</si>
  <si>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</si>
  <si>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</si>
  <si>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</si>
  <si>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</si>
  <si>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</si>
  <si>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</si>
  <si>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</si>
  <si>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</si>
  <si>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</si>
  <si>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</si>
  <si>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</si>
  <si>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</si>
  <si>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</si>
  <si>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</si>
  <si>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</si>
  <si>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</si>
  <si>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</si>
  <si>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</si>
  <si>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</si>
  <si>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</si>
  <si>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</si>
  <si>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</si>
  <si>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</si>
  <si>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</si>
  <si>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</si>
  <si>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</si>
  <si>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</si>
  <si>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</si>
  <si>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</si>
  <si>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</si>
  <si>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</si>
  <si>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</si>
  <si>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</si>
  <si>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</si>
  <si>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</si>
  <si>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</si>
  <si>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</si>
  <si>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</si>
  <si>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</si>
  <si>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</si>
  <si>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</si>
  <si>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</si>
  <si>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</si>
  <si>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</si>
  <si>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</si>
  <si>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</si>
  <si>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</si>
  <si>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</si>
  <si>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</si>
  <si>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</si>
  <si>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</si>
  <si>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</si>
  <si>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</si>
  <si>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</si>
  <si>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</si>
  <si>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</si>
  <si>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</si>
  <si>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</si>
  <si>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</si>
  <si>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</si>
  <si>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</si>
  <si>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</si>
  <si>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</si>
  <si>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</si>
  <si>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</si>
  <si>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</si>
  <si>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</si>
  <si>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</si>
  <si>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</si>
  <si>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</si>
  <si>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</si>
  <si>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</si>
  <si>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</si>
  <si>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</si>
  <si>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</si>
  <si>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</si>
  <si>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</si>
  <si>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</si>
  <si>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</si>
  <si>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</si>
  <si>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</si>
  <si>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</si>
  <si>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</si>
  <si>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</si>
  <si>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</si>
  <si>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</si>
  <si>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</si>
  <si>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</si>
  <si>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</si>
  <si>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</si>
  <si>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</si>
  <si>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</si>
  <si>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</si>
  <si>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</si>
  <si>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</si>
  <si>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</si>
  <si>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</si>
  <si>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</si>
  <si>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</si>
  <si>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</si>
  <si>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</si>
  <si>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</si>
  <si>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</si>
  <si>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</si>
  <si>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</si>
  <si>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</si>
  <si>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</si>
  <si>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</si>
  <si>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</si>
  <si>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</si>
  <si>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</si>
  <si>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</si>
  <si>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</si>
  <si>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</si>
  <si>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</si>
  <si>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</si>
  <si>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</si>
  <si>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</si>
  <si>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</si>
  <si>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</si>
  <si>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</si>
  <si>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</si>
  <si>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</si>
  <si>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</si>
  <si>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</si>
  <si>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</si>
  <si>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</si>
  <si>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</si>
  <si>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</si>
  <si>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</si>
  <si>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</si>
  <si>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</si>
  <si>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</si>
  <si>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</si>
  <si>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</si>
  <si>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</si>
  <si>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</si>
  <si>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</si>
  <si>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</si>
  <si>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</si>
  <si>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</si>
  <si>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</si>
  <si>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</si>
  <si>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</si>
  <si>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</si>
  <si>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</si>
  <si>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</si>
  <si>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</si>
  <si>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</si>
  <si>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</si>
  <si>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</si>
  <si>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</si>
  <si>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</si>
  <si>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</si>
  <si>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</si>
  <si>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</si>
  <si>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</si>
  <si>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</si>
  <si>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</si>
  <si>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</si>
  <si>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</si>
  <si>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</si>
  <si>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</si>
  <si>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</si>
  <si>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</si>
  <si>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</si>
  <si>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</si>
  <si>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</si>
  <si>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</si>
  <si>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</si>
  <si>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</si>
  <si>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</si>
  <si>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</si>
  <si>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</si>
  <si>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</si>
  <si>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</si>
  <si>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</si>
  <si>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</si>
  <si>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</si>
  <si>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</si>
  <si>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</si>
  <si>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</si>
  <si>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</si>
  <si>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</si>
  <si>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</si>
  <si>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</si>
  <si>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</si>
  <si>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</si>
  <si>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</si>
  <si>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</si>
  <si>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</si>
  <si>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</si>
  <si>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</si>
  <si>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</si>
  <si>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</si>
  <si>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</si>
  <si>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</si>
  <si>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</si>
  <si>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</si>
  <si>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</si>
  <si>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</si>
  <si>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</si>
  <si>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</si>
  <si>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</si>
  <si>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</si>
  <si>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</si>
  <si>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</si>
  <si>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</si>
  <si>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</si>
  <si>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</si>
  <si>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</si>
  <si>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</si>
  <si>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</si>
  <si>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</si>
  <si>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</si>
  <si>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</si>
  <si>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</si>
  <si>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</si>
  <si>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</si>
  <si>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</si>
  <si>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</si>
  <si>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</si>
  <si>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</si>
  <si>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</si>
  <si>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</si>
  <si>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</si>
  <si>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</si>
  <si>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</si>
  <si>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</si>
  <si>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</si>
  <si>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</si>
  <si>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</si>
  <si>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</si>
  <si>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</si>
  <si>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</si>
  <si>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</si>
  <si>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</si>
  <si>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</si>
  <si>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</si>
  <si>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</si>
  <si>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</si>
  <si>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</si>
  <si>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</si>
  <si>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</si>
  <si>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</si>
  <si>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</si>
  <si>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</si>
  <si>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</si>
  <si>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</si>
  <si>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</si>
  <si>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</si>
  <si>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</si>
  <si>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</si>
  <si>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</si>
  <si>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</si>
  <si>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</si>
  <si>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</si>
  <si>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</si>
  <si>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</si>
  <si>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</si>
  <si>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</si>
  <si>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</si>
  <si>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</si>
  <si>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</si>
  <si>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</si>
  <si>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</si>
  <si>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</si>
  <si>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</si>
  <si>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</si>
  <si>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</si>
  <si>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</si>
  <si>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</si>
  <si>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</si>
  <si>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</si>
  <si>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</si>
  <si>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</si>
  <si>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</si>
  <si>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</si>
  <si>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</si>
  <si>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</si>
  <si>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</si>
  <si>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</si>
  <si>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</si>
  <si>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</si>
  <si>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</si>
  <si>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</si>
  <si>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</si>
  <si>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</si>
  <si>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</si>
  <si>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</si>
  <si>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</si>
  <si>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</si>
  <si>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</si>
  <si>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</si>
  <si>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</si>
  <si>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</si>
  <si>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</si>
  <si>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</si>
  <si>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</si>
  <si>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</si>
  <si>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</si>
  <si>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</si>
  <si>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</si>
  <si>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</si>
  <si>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</si>
  <si>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</si>
  <si>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</si>
  <si>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</si>
  <si>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</si>
  <si>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</si>
  <si>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</si>
  <si>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</si>
  <si>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</si>
  <si>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</si>
  <si>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</si>
  <si>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</si>
  <si>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</si>
  <si>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</si>
  <si>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</si>
  <si>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</si>
  <si>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</si>
  <si>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</si>
  <si>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</si>
  <si>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</si>
  <si>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</si>
  <si>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</si>
  <si>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</si>
  <si>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</si>
  <si>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</si>
  <si>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</si>
  <si>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</si>
  <si>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</si>
  <si>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</si>
  <si>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</si>
  <si>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</si>
  <si>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</si>
  <si>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</si>
  <si>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</si>
  <si>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</si>
  <si>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</si>
  <si>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</si>
  <si>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</si>
  <si>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</si>
  <si>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</si>
  <si>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</si>
  <si>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</si>
  <si>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</si>
  <si>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</si>
  <si>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</si>
  <si>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</si>
  <si>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</si>
  <si>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</si>
  <si>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</si>
  <si>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</si>
  <si>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</si>
  <si>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</si>
  <si>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</si>
  <si>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</si>
  <si>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</si>
  <si>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</si>
  <si>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</si>
  <si>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</si>
  <si>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</si>
  <si>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</si>
  <si>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</si>
  <si>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</si>
  <si>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</si>
  <si>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</si>
  <si>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</si>
  <si>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</si>
  <si>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</si>
  <si>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</si>
  <si>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</si>
  <si>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</si>
  <si>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</si>
  <si>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</si>
  <si>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</si>
  <si>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</si>
  <si>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</si>
  <si>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</si>
  <si>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</si>
  <si>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</si>
  <si>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>Smoke Store</t>
  </si>
  <si>
    <t xml:space="preserve">Address: Canal Park </t>
  </si>
  <si>
    <t xml:space="preserve">Fatima Mini Mart </t>
  </si>
  <si>
    <t>Bake And Bite</t>
  </si>
  <si>
    <t xml:space="preserve">Umair Bakery </t>
  </si>
  <si>
    <t>Kanza Bakers</t>
  </si>
  <si>
    <t>Khalid Store</t>
  </si>
  <si>
    <t>Munches Store</t>
  </si>
  <si>
    <t>Peers Store</t>
  </si>
  <si>
    <t>Address: Zahor Ilahi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</si>
</sst>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H36" sqref="H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Smoke Store</v>
      </c>
      <c r="T3" s="301">
        <f>+'1'!P35</f>
        <v>810.1894751885593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Fatima Mini Mart </v>
      </c>
      <c r="T4" s="301">
        <f>+'2'!P35</f>
        <v>2026.7021150999997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Bake And Bite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Umair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25</v>
      </c>
      <c r="I7" s="235">
        <f>(G7*D7)*F7+H7*F7</f>
        <v>1311.5625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104.925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45.904687500000001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1160.7328124999999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247.88135593220329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7.0430708421610158</v>
      </c>
      <c r="P7" s="310">
        <f>M7+N7+O7</f>
        <v>1415.6572392743644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Kanza Bakers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</v>
      </c>
      <c r="I8" s="236">
        <f t="shared" ref="I8:I14" si="0">(G8*D8)*F8+H8*F8</f>
        <v>1311.5625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45.904687500000001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1160.7328124999999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247.88135593220329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7.0430708421610158</v>
      </c>
      <c r="P8" s="311">
        <f t="shared" ref="P8:P15" si="2">M8+N8+O8</f>
        <v>1415.6572392743644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Khalid Store</v>
      </c>
      <c r="T8" s="301">
        <f>+'6'!P35</f>
        <v>1870.755637400847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52</v>
      </c>
      <c r="I9" s="236">
        <f t="shared" si="0"/>
        <v>2728.0499999999997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218.244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95.481750000000005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2414.3242499999997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515.59322033898286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14.649587351694914</v>
      </c>
      <c r="P9" s="311">
        <f t="shared" si="2"/>
        <v>2944.5670576906778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Munches Store</v>
      </c>
      <c r="T9" s="301">
        <f>+'7'!P35</f>
        <v>1646.5110821694916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Peers Store</v>
      </c>
      <c r="T10" s="301">
        <f>+'8'!P35</f>
        <v>6671.4321257923739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16.383194847457631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44</v>
      </c>
      <c r="I12" s="236">
        <f t="shared" si="0"/>
        <v>3196.16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255.69279999999998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111.86560000000001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2828.6016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604.06779661016958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17.16334698305085</v>
      </c>
      <c r="P12" s="311">
        <f t="shared" si="2"/>
        <v>3449.8327435932201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82</v>
      </c>
      <c r="I13" s="236">
        <f t="shared" si="0"/>
        <v>3216.86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160.84300000000005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112.59010000000004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164.05986000000001</v>
      </c>
      <c r="M13" s="230">
        <f t="shared" si="1"/>
        <v>2779.3670400000001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625.42372881355891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17.023953844067798</v>
      </c>
      <c r="P13" s="311">
        <f t="shared" si="2"/>
        <v>3421.814722657627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8.0749999999999993</v>
      </c>
      <c r="H16" s="113">
        <f t="shared" ref="H16:M16" si="3">SUM(H7:H15)</f>
        <v>323</v>
      </c>
      <c r="I16" s="114">
        <f t="shared" si="3"/>
        <v>18664.994999999999</v>
      </c>
      <c r="J16" s="274">
        <f>SUM(J7:J15)</f>
        <v>1396.6938000000002</v>
      </c>
      <c r="K16" s="275">
        <f t="shared" si="3"/>
        <v>653.27482500000008</v>
      </c>
      <c r="L16" s="276">
        <f t="shared" si="3"/>
        <v>164.05986000000001</v>
      </c>
      <c r="M16" s="232">
        <f t="shared" si="3"/>
        <v>16450.966515</v>
      </c>
      <c r="N16" s="233">
        <f>SUM(N7:N15)</f>
        <v>3545.0847457627115</v>
      </c>
      <c r="O16" s="101">
        <f>SUM(O7:O15)</f>
        <v>99.980256303813547</v>
      </c>
      <c r="P16" s="113">
        <f>SUM(P7:P15)</f>
        <v>20096.031517066524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18664.994999999999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1396.6938000000002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817.33468500000004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16450.966514999996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3545.0847457627115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19996.05126076271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99.980256303813547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20096.031517066524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20096.031517066524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750.61500000000001</v>
      </c>
      <c r="J25" s="274">
        <f>SUM(J16:J24)</f>
        <v>60.049199999999999</v>
      </c>
      <c r="K25" s="275">
        <f t="shared" si="10"/>
        <v>26.271525000000004</v>
      </c>
      <c r="L25" s="276">
        <f t="shared" si="10"/>
        <v>0</v>
      </c>
      <c r="M25" s="232">
        <f t="shared" si="10"/>
        <v>664.29427499999997</v>
      </c>
      <c r="N25" s="233">
        <f>SUM(N16:N24)</f>
        <v>141.86440677966101</v>
      </c>
      <c r="O25" s="101">
        <f>SUM(O16:O24)</f>
        <v>4.0307934088983046</v>
      </c>
      <c r="P25" s="113">
        <f>SUM(P16:P24)</f>
        <v>810.1894751885593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750.61500000000001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60.049199999999999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26.271525000000004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664.29427499999997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806.15868177966104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71" t="s">
        <v>88</v>
      </c>
      <c r="O35" s="372"/>
      <c r="P35" s="297">
        <f>+P33+P34</f>
        <v>810.1894751885593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310">
        <f>M16+N16+O16</f>
        <v>453.01031656779651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311">
        <f t="shared" ref="P17:P24" si="5">M17+N17+O17</f>
        <v>453.01031656779651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311">
        <f t="shared" si="5"/>
        <v>453.01031656779651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311">
        <f t="shared" si="5"/>
        <v>667.67116539661015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1886.78</v>
      </c>
      <c r="J25" s="274">
        <f>SUM(J16:J24)</f>
        <v>132.11200000000002</v>
      </c>
      <c r="K25" s="275">
        <f t="shared" si="7"/>
        <v>66.037300000000002</v>
      </c>
      <c r="L25" s="276">
        <f t="shared" si="7"/>
        <v>32.011679999999998</v>
      </c>
      <c r="M25" s="232">
        <f t="shared" si="7"/>
        <v>1656.6190200000001</v>
      </c>
      <c r="N25" s="233">
        <f>SUM(N16:N24)</f>
        <v>359.99999999999983</v>
      </c>
      <c r="O25" s="101">
        <f>SUM(O16:O24)</f>
        <v>10.0830951</v>
      </c>
      <c r="P25" s="113">
        <f>SUM(P16:P24)</f>
        <v>2026.7021150999997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1886.78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132.11200000000002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98.04898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1656.6190199999999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359.99999999999983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2016.6190199999996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10.083095099999998</v>
      </c>
    </row>
    <row r="35" spans="2:16" ht="15.75" customHeight="1" thickBot="1" x14ac:dyDescent="0.4">
      <c r="N35" s="371" t="s">
        <v>88</v>
      </c>
      <c r="O35" s="372"/>
      <c r="P35" s="297">
        <f>+P33+P34</f>
        <v>2026.7021150999997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311">
        <f t="shared" si="5"/>
        <v>792.76805399364412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1736.61</v>
      </c>
      <c r="J25" s="274">
        <f>SUM(J16:J24)</f>
        <v>131.8674</v>
      </c>
      <c r="K25" s="275">
        <f t="shared" si="7"/>
        <v>60.78135000000001</v>
      </c>
      <c r="L25" s="276">
        <f t="shared" si="7"/>
        <v>12.004380000000001</v>
      </c>
      <c r="M25" s="232">
        <f t="shared" si="7"/>
        <v>1531.9568700000002</v>
      </c>
      <c r="N25" s="233">
        <f>SUM(N16:N24)</f>
        <v>329.49152542372877</v>
      </c>
      <c r="O25" s="101">
        <f>SUM(O16:O24)</f>
        <v>9.3072419771186432</v>
      </c>
      <c r="P25" s="113">
        <f>SUM(P16:P24)</f>
        <v>1870.7556374008473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1736.61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131.8674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72.785730000000015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1531.9568699999998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1861.4483954237285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9.3072419771186432</v>
      </c>
    </row>
    <row r="35" spans="2:16" ht="15.75" customHeight="1" thickBot="1" x14ac:dyDescent="0.4">
      <c r="N35" s="371" t="s">
        <v>88</v>
      </c>
      <c r="O35" s="372"/>
      <c r="P35" s="297">
        <f>+P33+P34</f>
        <v>1870.755637400847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311">
        <f t="shared" si="5"/>
        <v>627.24231701694919</v>
      </c>
      <c r="Q20" s="156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21</v>
      </c>
      <c r="I25" s="114">
        <f t="shared" si="7"/>
        <v>1525.44</v>
      </c>
      <c r="J25" s="274">
        <f>SUM(J16:J24)</f>
        <v>122.0352</v>
      </c>
      <c r="K25" s="275">
        <f t="shared" si="7"/>
        <v>53.390400000000007</v>
      </c>
      <c r="L25" s="276">
        <f t="shared" si="7"/>
        <v>0</v>
      </c>
      <c r="M25" s="232">
        <f t="shared" si="7"/>
        <v>1350.0144</v>
      </c>
      <c r="N25" s="233">
        <f>SUM(N16:N24)</f>
        <v>288.30508474576271</v>
      </c>
      <c r="O25" s="101">
        <f>SUM(O16:O24)</f>
        <v>8.1915974237288136</v>
      </c>
      <c r="P25" s="113">
        <f>SUM(P16:P24)</f>
        <v>1646.5110821694916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1525.44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122.0352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53.390400000000007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1350.0144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288.30508474576271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1638.3194847457628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8.1915974237288136</v>
      </c>
    </row>
    <row r="35" spans="2:16" ht="15.75" customHeight="1" thickBot="1" x14ac:dyDescent="0.4">
      <c r="N35" s="371" t="s">
        <v>88</v>
      </c>
      <c r="O35" s="372"/>
      <c r="P35" s="297">
        <f>+P33+P34</f>
        <v>1646.5110821694916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100</v>
      </c>
      <c r="I25" s="114">
        <f t="shared" si="7"/>
        <v>6192.2500000000009</v>
      </c>
      <c r="J25" s="274">
        <f>SUM(J16:J24)</f>
        <v>471.84199999999998</v>
      </c>
      <c r="K25" s="275">
        <f t="shared" si="7"/>
        <v>216.72875000000005</v>
      </c>
      <c r="L25" s="276">
        <f t="shared" si="7"/>
        <v>40.014600000000002</v>
      </c>
      <c r="M25" s="232">
        <f t="shared" si="7"/>
        <v>5463.6646500000006</v>
      </c>
      <c r="N25" s="233">
        <f>SUM(N16:N24)</f>
        <v>1174.5762711864404</v>
      </c>
      <c r="O25" s="101">
        <f>SUM(O16:O24)</f>
        <v>33.191204605932207</v>
      </c>
      <c r="P25" s="113">
        <f>SUM(P16:P24)</f>
        <v>6671.432125792373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6192.2500000000009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471.84199999999998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256.74335000000008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5463.6646500000015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1174.5762711864404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6638.2409211864415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33.191204605932207</v>
      </c>
    </row>
    <row r="35" spans="2:16" ht="15.75" customHeight="1" thickBot="1" x14ac:dyDescent="0.4">
      <c r="N35" s="371" t="s">
        <v>88</v>
      </c>
      <c r="O35" s="372"/>
      <c r="P35" s="297">
        <f>+P33+P34</f>
        <v>6671.4321257923739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2026-08-07T11:28:11Z</dcterms:modified>
</cp:coreProperties>
</file>