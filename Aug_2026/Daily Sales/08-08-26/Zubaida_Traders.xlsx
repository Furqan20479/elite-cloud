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FD504C2-AD6F-441A-9E4D-7BE2FF8A029E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J25" i="61"/>
  <c r="P29" i="61" s="1"/>
  <c r="M21" i="44"/>
  <c r="O21" i="44" s="1"/>
  <c r="P21" i="44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J7" i="62"/>
  <c r="M17" i="56"/>
  <c r="O17" i="56" s="1"/>
  <c r="P17" i="56" s="1"/>
  <c r="M17" i="60"/>
  <c r="O17" i="60" s="1"/>
  <c r="P17" i="60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<sst xmlns="http://schemas.openxmlformats.org/spreadsheetml/2006/main" count="3978" uniqueCount="516">
  <si>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</si>
  <si>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</si>
  <si>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</si>
  <si>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</si>
  <si>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</si>
  <si>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</si>
  <si>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</si>
  <si>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</si>
  <si>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</si>
  <si>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</si>
  <si>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</si>
  <si>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</si>
  <si>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</si>
  <si>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</si>
  <si>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</si>
  <si>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</si>
  <si>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</si>
  <si>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</si>
  <si>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</si>
  <si>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</si>
  <si>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</si>
  <si>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</si>
  <si>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</si>
  <si>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</si>
  <si>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</si>
  <si>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</si>
  <si>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</si>
  <si>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</si>
  <si>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</si>
  <si>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</si>
  <si>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</si>
  <si>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</si>
  <si>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</si>
  <si>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</si>
  <si>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</si>
  <si>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</si>
  <si>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</si>
  <si>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</si>
  <si>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</si>
  <si>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</si>
  <si>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</si>
  <si>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</si>
  <si>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</si>
  <si>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</si>
  <si>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</si>
  <si>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</si>
  <si>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</si>
  <si>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</si>
  <si>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</si>
  <si>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</si>
  <si>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</si>
  <si>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</si>
  <si>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</si>
  <si>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</si>
  <si>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</si>
  <si>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</si>
  <si>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</si>
  <si>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</si>
  <si>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</si>
  <si>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</si>
  <si>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</si>
  <si>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</si>
  <si>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</si>
  <si>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</si>
  <si>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</si>
  <si>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</si>
  <si>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</si>
  <si>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</si>
  <si>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</si>
  <si>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</si>
  <si>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</si>
  <si>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</si>
  <si>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</si>
  <si>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</si>
  <si>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</si>
  <si>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</si>
  <si>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</si>
  <si>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</si>
  <si>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</si>
  <si>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</si>
  <si>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</si>
  <si>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</si>
  <si>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</si>
  <si>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</si>
  <si>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</si>
  <si>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</si>
  <si>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</si>
  <si>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</si>
  <si>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</si>
  <si>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</si>
  <si>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</si>
  <si>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</si>
  <si>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</si>
  <si>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</si>
  <si>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</si>
  <si>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</si>
  <si>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</si>
  <si>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</si>
  <si>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</si>
  <si>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</si>
  <si>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</si>
  <si>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</si>
  <si>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</si>
  <si>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</si>
  <si>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</si>
  <si>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</si>
  <si>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</si>
  <si>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</si>
  <si>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</si>
  <si>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</si>
  <si>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</si>
  <si>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</si>
  <si>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</si>
  <si>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</si>
  <si>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</si>
  <si>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</si>
  <si>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</si>
  <si>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</si>
  <si>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</si>
  <si>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</si>
  <si>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</si>
  <si>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</si>
  <si>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</si>
  <si>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</si>
  <si>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</si>
  <si>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</si>
  <si>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</si>
  <si>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</si>
  <si>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</si>
  <si>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</si>
  <si>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</si>
  <si>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</si>
  <si>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</si>
  <si>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</si>
  <si>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</si>
  <si>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</si>
  <si>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</si>
  <si>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</si>
  <si>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</si>
  <si>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</si>
  <si>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</si>
  <si>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</si>
  <si>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</si>
  <si>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</si>
  <si>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</si>
  <si>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</si>
  <si>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</si>
  <si>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</si>
  <si>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</si>
  <si>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</si>
  <si>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</si>
  <si>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</si>
  <si>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</si>
  <si>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</si>
  <si>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</si>
  <si>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</si>
  <si>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</si>
  <si>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</si>
  <si>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</si>
  <si>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</si>
  <si>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</si>
  <si>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</si>
  <si>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</si>
  <si>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</si>
  <si>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</si>
  <si>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</si>
  <si>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</si>
  <si>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</si>
  <si>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</si>
  <si>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</si>
  <si>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</si>
  <si>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</si>
  <si>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</si>
  <si>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</si>
  <si>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</si>
  <si>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</si>
  <si>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</si>
  <si>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</si>
  <si>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</si>
  <si>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</si>
  <si>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</si>
  <si>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</si>
  <si>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</si>
  <si>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</si>
  <si>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</si>
  <si>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</si>
  <si>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</si>
  <si>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</si>
  <si>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</si>
  <si>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</si>
  <si>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</si>
  <si>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</si>
  <si>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</si>
  <si>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</si>
  <si>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</si>
  <si>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</si>
  <si>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</si>
  <si>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</si>
  <si>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</si>
  <si>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</si>
  <si>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</si>
  <si>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</si>
  <si>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</si>
  <si>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</si>
  <si>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</si>
  <si>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</si>
  <si>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</si>
  <si>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</si>
  <si>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</si>
  <si>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</si>
  <si>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</si>
  <si>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</si>
  <si>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</si>
  <si>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</si>
  <si>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</si>
  <si>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</si>
  <si>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</si>
  <si>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</si>
  <si>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</si>
  <si>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</si>
  <si>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</si>
  <si>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</si>
  <si>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</si>
  <si>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</si>
  <si>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</si>
  <si>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</si>
  <si>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</si>
  <si>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</si>
  <si>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</si>
  <si>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</si>
  <si>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</si>
  <si>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</si>
  <si>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</si>
  <si>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</si>
  <si>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</si>
  <si>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</si>
  <si>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</si>
  <si>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</si>
  <si>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</si>
  <si>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</si>
  <si>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</si>
  <si>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</si>
  <si>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</si>
  <si>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</si>
  <si>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</si>
  <si>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</si>
  <si>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</si>
  <si>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</si>
  <si>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</si>
  <si>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</si>
  <si>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</si>
  <si>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</si>
  <si>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</si>
  <si>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</si>
  <si>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</si>
  <si>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</si>
  <si>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</si>
  <si>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</si>
  <si>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</si>
  <si>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</si>
  <si>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</si>
  <si>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</si>
  <si>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</si>
  <si>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</si>
  <si>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</si>
  <si>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</si>
  <si>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</si>
  <si>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</si>
  <si>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</si>
  <si>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</si>
  <si>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</si>
  <si>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</si>
  <si>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</si>
  <si>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</si>
  <si>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</si>
  <si>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</si>
  <si>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</si>
  <si>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</si>
  <si>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</si>
  <si>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</si>
  <si>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</si>
  <si>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</si>
  <si>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</si>
  <si>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</si>
  <si>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</si>
  <si>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</si>
  <si>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</si>
  <si>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</si>
  <si>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</si>
  <si>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</si>
  <si>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</si>
  <si>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</si>
  <si>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</si>
  <si>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</si>
  <si>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</si>
  <si>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</si>
  <si>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</si>
  <si>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</si>
  <si>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</si>
  <si>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</si>
  <si>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</si>
  <si>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</si>
  <si>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</si>
  <si>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</si>
  <si>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</si>
  <si>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</si>
  <si>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</si>
  <si>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</si>
  <si>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</si>
  <si>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</si>
  <si>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</si>
  <si>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</si>
  <si>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</si>
  <si>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</si>
  <si>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</si>
  <si>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</si>
  <si>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</si>
  <si>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</si>
  <si>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</si>
  <si>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</si>
  <si>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</si>
  <si>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</si>
  <si>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</si>
  <si>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</si>
  <si>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</si>
  <si>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</si>
  <si>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</si>
  <si>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</si>
  <si>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</si>
  <si>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</si>
  <si>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</si>
  <si>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</si>
  <si>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</si>
  <si>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</si>
  <si>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</si>
  <si>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</si>
  <si>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</si>
  <si>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</si>
  <si>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</si>
  <si>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</si>
  <si>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</si>
  <si>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</si>
  <si>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</si>
  <si>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</si>
  <si>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</si>
  <si>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</si>
  <si>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</si>
  <si>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</si>
  <si>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</si>
  <si>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</si>
  <si>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</si>
  <si>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</si>
  <si>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</si>
  <si>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</si>
  <si>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</si>
  <si>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</si>
  <si>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</si>
  <si>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</si>
  <si>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</si>
  <si>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</si>
  <si>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</si>
  <si>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</si>
  <si>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</si>
  <si>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</si>
  <si>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</si>
  <si>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</si>
  <si>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</si>
  <si>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</si>
  <si>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</si>
  <si>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</si>
  <si>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</si>
  <si>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</si>
  <si>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</si>
  <si>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</si>
  <si>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</si>
  <si>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</si>
  <si>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</si>
  <si>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</si>
  <si>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</si>
  <si>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</si>
  <si>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</si>
  <si>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</si>
  <si>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</si>
  <si>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</si>
  <si>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</si>
  <si>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</si>
  <si>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</si>
  <si>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</si>
  <si>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</si>
  <si>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</si>
  <si>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</si>
  <si>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</si>
  <si>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</si>
  <si>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</si>
  <si>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</si>
  <si>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</si>
  <si>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</si>
  <si>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</si>
  <si>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</si>
  <si>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</si>
  <si>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</si>
  <si>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</si>
  <si>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</si>
  <si>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</si>
  <si>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</si>
  <si>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</si>
  <si>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</si>
  <si>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</si>
  <si>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</si>
  <si>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</si>
  <si>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</si>
  <si>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</si>
  <si>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</si>
  <si>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</si>
  <si>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</si>
  <si>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</si>
  <si>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</si>
  <si>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</si>
  <si>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</si>
  <si>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</si>
  <si>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</si>
  <si>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</si>
  <si>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</si>
  <si>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</si>
  <si>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</si>
  <si>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</si>
  <si>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</si>
  <si>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</si>
  <si>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</si>
  <si>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</si>
  <si>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</si>
  <si>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</si>
  <si>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</si>
  <si>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</si>
  <si>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</si>
  <si>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</si>
  <si>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</si>
  <si>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</si>
  <si>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</si>
  <si>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</si>
  <si>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</si>
  <si>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</si>
  <si>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</si>
  <si>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</si>
  <si>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</si>
  <si>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</si>
  <si>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</si>
  <si>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</si>
  <si>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</si>
  <si>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</si>
  <si>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</si>
  <si>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</si>
  <si>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</si>
  <si>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</si>
  <si>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</si>
  <si>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</si>
  <si>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</si>
  <si>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</si>
  <si>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</si>
  <si>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</si>
  <si>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</si>
  <si>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</si>
  <si>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</si>
  <si>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</si>
  <si>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</si>
  <si>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</si>
  <si>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</si>
  <si>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</si>
  <si>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</si>
  <si>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</si>
  <si>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</si>
  <si>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</si>
  <si>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</si>
  <si>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</si>
  <si>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</si>
  <si>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</si>
  <si>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</si>
  <si>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</si>
  <si>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</si>
  <si>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</si>
  <si>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</si>
  <si>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</si>
  <si>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</si>
  <si>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</si>
  <si>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</si>
  <si>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</si>
  <si>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</si>
  <si>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</si>
  <si>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</si>
  <si>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</si>
  <si>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</si>
  <si>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</si>
  <si>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</si>
  <si>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</si>
  <si>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</si>
  <si>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</si>
  <si>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</si>
  <si>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</si>
  <si>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</si>
  <si>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</si>
  <si>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</si>
  <si>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</si>
  <si>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</si>
  <si>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</si>
  <si>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</si>
  <si>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</si>
  <si>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</si>
  <si>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</si>
  <si>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</si>
  <si>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</si>
  <si>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</si>
  <si>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</si>
  <si>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Zubaida Associate</t>
  </si>
  <si>
    <t>Address: Attari Darbar Ferozpur Road</t>
  </si>
  <si>
    <t>NTN #: 4269497-3</t>
  </si>
  <si>
    <t>Zubaida Traders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</si>
</sst>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498</v>
      </c>
      <c r="F2" s="383"/>
      <c r="G2" s="383"/>
      <c r="H2" s="380" t="s">
        <v>515</v>
      </c>
      <c r="I2" s="380"/>
      <c r="J2" s="381"/>
      <c r="R2" s="377" t="s">
        <v>497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508</v>
      </c>
      <c r="F3" s="387"/>
      <c r="G3" s="387"/>
      <c r="H3" s="384">
        <f ca="1">TODAY()</f>
        <v>46241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Zubaida Associate</v>
      </c>
      <c r="T3" s="301">
        <f>+'1'!P35</f>
        <v>461393.12394152541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Zubaida Associate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Zubaida Associate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Zubaida Associate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600</v>
      </c>
      <c r="I7" s="235">
        <f>(G7*D7)*F7+H7*F7</f>
        <v>31477.5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5665.95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1101.7125000000001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24709.837500000001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5949.152542372879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153.2949502118644</v>
      </c>
      <c r="P7" s="310">
        <f>M7+N7+O7</f>
        <v>30812.284992584744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Zubaida Associate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600</v>
      </c>
      <c r="I8" s="236">
        <f t="shared" ref="I8:I14" si="0">(G8*D8)*F8+H8*F8</f>
        <v>31477.5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5665.95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1101.7125000000001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24709.837500000001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5949.152542372879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153.2949502118644</v>
      </c>
      <c r="P8" s="311">
        <f t="shared" ref="P8:P15" si="2">M8+N8+O8</f>
        <v>30812.284992584744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Zubaida Associate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2800</v>
      </c>
      <c r="I9" s="236">
        <f t="shared" si="0"/>
        <v>146895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26441.1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5141.3250000000007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115312.575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27762.711864406767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715.3764343220339</v>
      </c>
      <c r="P9" s="311">
        <f t="shared" si="2"/>
        <v>143790.66329872882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Zubaida Associate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600</v>
      </c>
      <c r="I10" s="236">
        <f t="shared" si="0"/>
        <v>43584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7845.12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1525.44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34213.440000000002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8237.2881355932204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212.2536406779661</v>
      </c>
      <c r="P10" s="311">
        <f t="shared" si="2"/>
        <v>42662.98177627119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Zubaida Associate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1000</v>
      </c>
      <c r="I11" s="236">
        <f t="shared" si="0"/>
        <v>72640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13075.199999999999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2542.4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57022.400000000001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13728.813559322034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353.75606779661018</v>
      </c>
      <c r="P11" s="311">
        <f t="shared" si="2"/>
        <v>71104.96962711864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Zubaida Associate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2000</v>
      </c>
      <c r="I12" s="236">
        <f t="shared" si="0"/>
        <v>145280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26150.399999999998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5084.8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114044.8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27457.627118644068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707.51213559322036</v>
      </c>
      <c r="P12" s="311">
        <f t="shared" si="2"/>
        <v>142209.93925423728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Zubaida Associate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Zubaida Associate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Zubaida Associate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Zubaida Associate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190</v>
      </c>
      <c r="H16" s="113">
        <f t="shared" ref="H16:M16" si="3">SUM(H7:H15)</f>
        <v>7600</v>
      </c>
      <c r="I16" s="114">
        <f t="shared" si="3"/>
        <v>471354</v>
      </c>
      <c r="J16" s="274">
        <f>SUM(J7:J15)</f>
        <v>84843.72</v>
      </c>
      <c r="K16" s="275">
        <f t="shared" si="3"/>
        <v>16497.39</v>
      </c>
      <c r="L16" s="276">
        <f t="shared" si="3"/>
        <v>0</v>
      </c>
      <c r="M16" s="232">
        <f t="shared" si="3"/>
        <v>370012.89</v>
      </c>
      <c r="N16" s="233">
        <f>SUM(N7:N15)</f>
        <v>89084.745762711842</v>
      </c>
      <c r="O16" s="101">
        <f>SUM(O7:O15)</f>
        <v>2295.488178813559</v>
      </c>
      <c r="P16" s="113">
        <f>SUM(P7:P15)</f>
        <v>461393.12394152541</v>
      </c>
      <c r="Q16" s="128">
        <f>SUM(Q7:Q15)</f>
        <v>0</v>
      </c>
      <c r="R16" s="314">
        <v>14</v>
      </c>
      <c r="S16" s="300" t="str">
        <f>+'14'!A6:A6</f>
        <v>Zubaida Associate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Zubaida Associate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Zubaida Associate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471354</v>
      </c>
      <c r="R19" s="299">
        <v>17</v>
      </c>
      <c r="S19" s="300" t="str">
        <f>+'17'!A6:A6</f>
        <v>Zubaida Associate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84843.72</v>
      </c>
      <c r="R20" s="299">
        <v>18</v>
      </c>
      <c r="S20" s="300" t="str">
        <f>+'18'!A6:A6</f>
        <v>Zubaida Associate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16497.39</v>
      </c>
      <c r="R21" s="299">
        <v>19</v>
      </c>
      <c r="S21" s="300" t="str">
        <f>+'19'!A6:A6</f>
        <v>Zubaida Associate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370012.89</v>
      </c>
      <c r="R22" s="299">
        <v>20</v>
      </c>
      <c r="S22" s="300" t="str">
        <f>+'20'!A6:A6</f>
        <v>Zubaida Associate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89084.745762711842</v>
      </c>
      <c r="R23" s="299">
        <v>21</v>
      </c>
      <c r="S23" s="300" t="str">
        <f>+'21'!A6:A6</f>
        <v>Zubaida Associate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459097.63576271187</v>
      </c>
      <c r="R24" s="299">
        <v>22</v>
      </c>
      <c r="S24" s="300" t="str">
        <f>+'22'!A6:A6</f>
        <v>Zubaida Associate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2295.488178813559</v>
      </c>
      <c r="R25" s="299">
        <v>23</v>
      </c>
      <c r="S25" s="300" t="str">
        <f>+'23'!A6:A6</f>
        <v>Zubaida Associate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461393.12394152541</v>
      </c>
      <c r="R26" s="299">
        <v>24</v>
      </c>
      <c r="S26" s="300" t="str">
        <f>+'24'!A6:A6</f>
        <v>Zubaida Associate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Zubaida Associate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Zubaida Associate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Zubaida Associate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Zubaida Associate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Zubaida Associate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Zubaida Associate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461393.12394152541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7" workbookViewId="0">
      <selection activeCell="I11" sqref="I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9.36328125" bestFit="1" customWidth="1"/>
    <col min="10" max="10" width="8.36328125" bestFit="1" customWidth="1"/>
    <col min="11" max="11" width="7.36328125" bestFit="1" customWidth="1"/>
    <col min="12" max="12" width="4.36328125" bestFit="1" customWidth="1"/>
    <col min="13" max="13" width="6.8164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7.2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500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3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600</v>
      </c>
      <c r="I16" s="235">
        <f>(G16*D16)*F16+H16*F16</f>
        <v>31477.5</v>
      </c>
      <c r="J16" s="271">
        <f>$I16*S16</f>
        <v>5665.95</v>
      </c>
      <c r="K16" s="127">
        <f>$I16*T16</f>
        <v>1101.7125000000001</v>
      </c>
      <c r="L16" s="118">
        <f>$I16*U16</f>
        <v>0</v>
      </c>
      <c r="M16" s="229">
        <f>I16-SUM(J16:L16)</f>
        <v>24709.837500000001</v>
      </c>
      <c r="N16" s="248">
        <f>+(G16*D16+H16)*V16</f>
        <v>5949.152542372879</v>
      </c>
      <c r="O16" s="238">
        <f>(N16+M16)*$O$15</f>
        <v>153.2949502118644</v>
      </c>
      <c r="P16" s="310">
        <f>M16+N16+O16</f>
        <v>30812.284992584744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600</v>
      </c>
      <c r="I17" s="236">
        <f t="shared" ref="I17:I23" si="0">(G17*D17)*F17+H17*F17</f>
        <v>31477.5</v>
      </c>
      <c r="J17" s="272">
        <f t="shared" ref="J17:L24" si="1">$I17*S17</f>
        <v>5665.95</v>
      </c>
      <c r="K17" s="128">
        <f>$I17*T17</f>
        <v>1101.7125000000001</v>
      </c>
      <c r="L17" s="119">
        <f>$I17*U17</f>
        <v>0</v>
      </c>
      <c r="M17" s="230">
        <f t="shared" ref="M17:M24" si="2">I17-SUM(J17:L17)</f>
        <v>24709.837500000001</v>
      </c>
      <c r="N17" s="277">
        <f t="shared" ref="N17:N24" si="3">+(G17*D17+H17)*V17</f>
        <v>5949.152542372879</v>
      </c>
      <c r="O17" s="239">
        <f t="shared" ref="O17:O24" si="4">(N17+M17)*$O$15</f>
        <v>153.2949502118644</v>
      </c>
      <c r="P17" s="311">
        <f t="shared" ref="P17:P24" si="5">M17+N17+O17</f>
        <v>30812.284992584744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2800</v>
      </c>
      <c r="I18" s="236">
        <f t="shared" ref="I18:I21" si="7">(G18*D18)*F18+H18*F18</f>
        <v>146895</v>
      </c>
      <c r="J18" s="272">
        <f t="shared" si="1"/>
        <v>26441.1</v>
      </c>
      <c r="K18" s="128">
        <f t="shared" si="1"/>
        <v>5141.3250000000007</v>
      </c>
      <c r="L18" s="119">
        <f t="shared" si="1"/>
        <v>0</v>
      </c>
      <c r="M18" s="230">
        <f t="shared" si="2"/>
        <v>115312.575</v>
      </c>
      <c r="N18" s="277">
        <f t="shared" si="3"/>
        <v>27762.711864406767</v>
      </c>
      <c r="O18" s="239">
        <f t="shared" si="4"/>
        <v>715.3764343220339</v>
      </c>
      <c r="P18" s="311">
        <f t="shared" si="5"/>
        <v>143790.66329872882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600</v>
      </c>
      <c r="I19" s="236">
        <f t="shared" si="7"/>
        <v>43584</v>
      </c>
      <c r="J19" s="272">
        <f t="shared" si="1"/>
        <v>7845.12</v>
      </c>
      <c r="K19" s="128">
        <f t="shared" si="1"/>
        <v>1525.44</v>
      </c>
      <c r="L19" s="119">
        <f t="shared" si="1"/>
        <v>0</v>
      </c>
      <c r="M19" s="230">
        <f t="shared" si="2"/>
        <v>34213.440000000002</v>
      </c>
      <c r="N19" s="277">
        <f t="shared" si="3"/>
        <v>8237.2881355932204</v>
      </c>
      <c r="O19" s="239">
        <f t="shared" si="4"/>
        <v>212.2536406779661</v>
      </c>
      <c r="P19" s="311">
        <f t="shared" si="5"/>
        <v>42662.98177627119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1000</v>
      </c>
      <c r="I20" s="236">
        <f t="shared" si="7"/>
        <v>72640</v>
      </c>
      <c r="J20" s="272">
        <f t="shared" si="1"/>
        <v>13075.199999999999</v>
      </c>
      <c r="K20" s="128">
        <f t="shared" si="1"/>
        <v>2542.4</v>
      </c>
      <c r="L20" s="119">
        <f t="shared" si="1"/>
        <v>0</v>
      </c>
      <c r="M20" s="230">
        <f t="shared" si="2"/>
        <v>57022.400000000001</v>
      </c>
      <c r="N20" s="277">
        <f t="shared" si="3"/>
        <v>13728.813559322034</v>
      </c>
      <c r="O20" s="239">
        <f t="shared" si="4"/>
        <v>353.75606779661018</v>
      </c>
      <c r="P20" s="311">
        <f t="shared" si="5"/>
        <v>71104.96962711864</v>
      </c>
      <c r="Q20" s="156"/>
      <c r="R20">
        <f>P20/21</f>
        <v>3385.9509346246973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2000</v>
      </c>
      <c r="I21" s="236">
        <f t="shared" si="7"/>
        <v>145280</v>
      </c>
      <c r="J21" s="272">
        <f t="shared" si="1"/>
        <v>26150.399999999998</v>
      </c>
      <c r="K21" s="128">
        <f t="shared" si="1"/>
        <v>5084.8</v>
      </c>
      <c r="L21" s="119">
        <f t="shared" si="1"/>
        <v>0</v>
      </c>
      <c r="M21" s="230">
        <f t="shared" si="2"/>
        <v>114044.8</v>
      </c>
      <c r="N21" s="277">
        <f t="shared" si="3"/>
        <v>27457.627118644068</v>
      </c>
      <c r="O21" s="239">
        <f t="shared" si="4"/>
        <v>707.51213559322036</v>
      </c>
      <c r="P21" s="311">
        <f t="shared" si="5"/>
        <v>142209.93925423728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7600</v>
      </c>
      <c r="I25" s="114">
        <f t="shared" ref="I25:M25" si="10">SUM(I16:I24)</f>
        <v>471354</v>
      </c>
      <c r="J25" s="274">
        <f>SUM(J16:J24)</f>
        <v>84843.72</v>
      </c>
      <c r="K25" s="275">
        <f t="shared" si="10"/>
        <v>16497.39</v>
      </c>
      <c r="L25" s="276">
        <f t="shared" si="10"/>
        <v>0</v>
      </c>
      <c r="M25" s="232">
        <f t="shared" si="10"/>
        <v>370012.89</v>
      </c>
      <c r="N25" s="233">
        <f>SUM(N16:N24)</f>
        <v>89084.745762711842</v>
      </c>
      <c r="O25" s="101">
        <f>SUM(O16:O24)</f>
        <v>2295.488178813559</v>
      </c>
      <c r="P25" s="113">
        <f>SUM(P16:P24)</f>
        <v>461393.12394152541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471354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84843.72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16497.39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370012.89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89084.745762711842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459097.63576271187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2295.4881788135594</v>
      </c>
    </row>
    <row r="35" spans="2:16" ht="15.75" customHeight="1" thickBot="1" x14ac:dyDescent="0.4">
      <c r="N35" s="371" t="s">
        <v>88</v>
      </c>
      <c r="O35" s="372"/>
      <c r="P35" s="297">
        <f>+P33+P34</f>
        <v>461393.12394152541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46242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46241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2026-08-07T12:19:56Z</dcterms:modified>
</cp:coreProperties>
</file>