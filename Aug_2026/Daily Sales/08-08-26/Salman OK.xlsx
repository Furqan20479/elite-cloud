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310CB3F-C0CD-4A31-BF1B-E621E965D3B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<sst xmlns="http://schemas.openxmlformats.org/spreadsheetml/2006/main" count="3978" uniqueCount="523">
  <si>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</si>
  <si>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</si>
  <si>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</si>
  <si>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</si>
  <si>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</si>
  <si>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</si>
  <si>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</si>
  <si>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</si>
  <si>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</si>
  <si>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</si>
  <si>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</si>
  <si>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</si>
  <si>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</si>
  <si>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</si>
  <si>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</si>
  <si>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</si>
  <si>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</si>
  <si>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</si>
  <si>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</si>
  <si>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</si>
  <si>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</si>
  <si>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</si>
  <si>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</si>
  <si>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</si>
  <si>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</si>
  <si>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</si>
  <si>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</si>
  <si>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</si>
  <si>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</si>
  <si>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</si>
  <si>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</si>
  <si>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</si>
  <si>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</si>
  <si>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</si>
  <si>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</si>
  <si>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</si>
  <si>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</si>
  <si>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</si>
  <si>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</si>
  <si>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</si>
  <si>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</si>
  <si>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</si>
  <si>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</si>
  <si>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</si>
  <si>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</si>
  <si>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</si>
  <si>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</si>
  <si>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</si>
  <si>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</si>
  <si>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</si>
  <si>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</si>
  <si>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</si>
  <si>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</si>
  <si>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</si>
  <si>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</si>
  <si>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</si>
  <si>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</si>
  <si>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</si>
  <si>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</si>
  <si>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</si>
  <si>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</si>
  <si>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</si>
  <si>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</si>
  <si>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</si>
  <si>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</si>
  <si>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</si>
  <si>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</si>
  <si>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</si>
  <si>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</si>
  <si>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</si>
  <si>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</si>
  <si>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</si>
  <si>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</si>
  <si>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</si>
  <si>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</si>
  <si>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</si>
  <si>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</si>
  <si>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</si>
  <si>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</si>
  <si>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</si>
  <si>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</si>
  <si>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</si>
  <si>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</si>
  <si>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</si>
  <si>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</si>
  <si>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</si>
  <si>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</si>
  <si>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</si>
  <si>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</si>
  <si>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</si>
  <si>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</si>
  <si>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</si>
  <si>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</si>
  <si>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</si>
  <si>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</si>
  <si>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</si>
  <si>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</si>
  <si>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</si>
  <si>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</si>
  <si>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</si>
  <si>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</si>
  <si>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</si>
  <si>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</si>
  <si>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</si>
  <si>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</si>
  <si>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</si>
  <si>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</si>
  <si>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</si>
  <si>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</si>
  <si>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</si>
  <si>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</si>
  <si>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</si>
  <si>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</si>
  <si>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</si>
  <si>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</si>
  <si>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</si>
  <si>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</si>
  <si>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</si>
  <si>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</si>
  <si>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</si>
  <si>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</si>
  <si>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</si>
  <si>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</si>
  <si>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</si>
  <si>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</si>
  <si>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</si>
  <si>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</si>
  <si>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</si>
  <si>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</si>
  <si>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</si>
  <si>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</si>
  <si>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</si>
  <si>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</si>
  <si>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</si>
  <si>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</si>
  <si>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</si>
  <si>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</si>
  <si>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</si>
  <si>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</si>
  <si>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</si>
  <si>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</si>
  <si>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</si>
  <si>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</si>
  <si>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</si>
  <si>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</si>
  <si>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</si>
  <si>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</si>
  <si>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</si>
  <si>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</si>
  <si>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</si>
  <si>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</si>
  <si>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</si>
  <si>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</si>
  <si>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</si>
  <si>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</si>
  <si>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</si>
  <si>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</si>
  <si>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</si>
  <si>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</si>
  <si>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</si>
  <si>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</si>
  <si>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</si>
  <si>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</si>
  <si>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</si>
  <si>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</si>
  <si>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</si>
  <si>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</si>
  <si>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</si>
  <si>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</si>
  <si>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</si>
  <si>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</si>
  <si>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</si>
  <si>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</si>
  <si>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</si>
  <si>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</si>
  <si>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</si>
  <si>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</si>
  <si>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</si>
  <si>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</si>
  <si>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</si>
  <si>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</si>
  <si>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</si>
  <si>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</si>
  <si>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</si>
  <si>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</si>
  <si>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</si>
  <si>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</si>
  <si>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</si>
  <si>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</si>
  <si>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</si>
  <si>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</si>
  <si>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</si>
  <si>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</si>
  <si>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</si>
  <si>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</si>
  <si>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</si>
  <si>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</si>
  <si>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</si>
  <si>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</si>
  <si>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</si>
  <si>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</si>
  <si>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</si>
  <si>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</si>
  <si>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</si>
  <si>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</si>
  <si>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</si>
  <si>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</si>
  <si>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</si>
  <si>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</si>
  <si>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</si>
  <si>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</si>
  <si>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</si>
  <si>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</si>
  <si>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</si>
  <si>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</si>
  <si>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</si>
  <si>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</si>
  <si>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</si>
  <si>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</si>
  <si>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</si>
  <si>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</si>
  <si>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</si>
  <si>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</si>
  <si>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</si>
  <si>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</si>
  <si>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</si>
  <si>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</si>
  <si>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</si>
  <si>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</si>
  <si>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</si>
  <si>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</si>
  <si>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</si>
  <si>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</si>
  <si>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</si>
  <si>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</si>
  <si>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</si>
  <si>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</si>
  <si>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</si>
  <si>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</si>
  <si>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</si>
  <si>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</si>
  <si>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</si>
  <si>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</si>
  <si>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</si>
  <si>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</si>
  <si>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</si>
  <si>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</si>
  <si>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</si>
  <si>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</si>
  <si>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</si>
  <si>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</si>
  <si>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</si>
  <si>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</si>
  <si>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</si>
  <si>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</si>
  <si>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</si>
  <si>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</si>
  <si>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</si>
  <si>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</si>
  <si>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</si>
  <si>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</si>
  <si>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</si>
  <si>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</si>
  <si>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</si>
  <si>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</si>
  <si>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</si>
  <si>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</si>
  <si>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</si>
  <si>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</si>
  <si>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</si>
  <si>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</si>
  <si>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</si>
  <si>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</si>
  <si>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</si>
  <si>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</si>
  <si>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</si>
  <si>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</si>
  <si>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</si>
  <si>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</si>
  <si>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</si>
  <si>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</si>
  <si>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</si>
  <si>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</si>
  <si>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</si>
  <si>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</si>
  <si>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</si>
  <si>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</si>
  <si>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</si>
  <si>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</si>
  <si>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</si>
  <si>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</si>
  <si>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</si>
  <si>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</si>
  <si>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</si>
  <si>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</si>
  <si>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</si>
  <si>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</si>
  <si>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</si>
  <si>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</si>
  <si>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</si>
  <si>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</si>
  <si>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</si>
  <si>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</si>
  <si>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</si>
  <si>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</si>
  <si>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</si>
  <si>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</si>
  <si>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</si>
  <si>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</si>
  <si>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</si>
  <si>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</si>
  <si>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</si>
  <si>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</si>
  <si>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</si>
  <si>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</si>
  <si>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</si>
  <si>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</si>
  <si>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</si>
  <si>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</si>
  <si>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</si>
  <si>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</si>
  <si>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</si>
  <si>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</si>
  <si>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</si>
  <si>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</si>
  <si>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</si>
  <si>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</si>
  <si>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</si>
  <si>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</si>
  <si>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</si>
  <si>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</si>
  <si>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</si>
  <si>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</si>
  <si>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</si>
  <si>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</si>
  <si>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</si>
  <si>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</si>
  <si>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</si>
  <si>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</si>
  <si>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</si>
  <si>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</si>
  <si>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</si>
  <si>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</si>
  <si>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</si>
  <si>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</si>
  <si>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</si>
  <si>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</si>
  <si>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</si>
  <si>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</si>
  <si>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</si>
  <si>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</si>
  <si>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</si>
  <si>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</si>
  <si>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</si>
  <si>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</si>
  <si>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</si>
  <si>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</si>
  <si>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</si>
  <si>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</si>
  <si>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</si>
  <si>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</si>
  <si>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</si>
  <si>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</si>
  <si>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</si>
  <si>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</si>
  <si>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</si>
  <si>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</si>
  <si>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</si>
  <si>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</si>
  <si>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</si>
  <si>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</si>
  <si>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</si>
  <si>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</si>
  <si>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</si>
  <si>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</si>
  <si>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</si>
  <si>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</si>
  <si>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</si>
  <si>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</si>
  <si>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</si>
  <si>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</si>
  <si>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</si>
  <si>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</si>
  <si>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</si>
  <si>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</si>
  <si>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</si>
  <si>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</si>
  <si>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</si>
  <si>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</si>
  <si>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</si>
  <si>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</si>
  <si>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</si>
  <si>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</si>
  <si>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</si>
  <si>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</si>
  <si>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</si>
  <si>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</si>
  <si>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</si>
  <si>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</si>
  <si>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</si>
  <si>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</si>
  <si>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</si>
  <si>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</si>
  <si>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</si>
  <si>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</si>
  <si>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</si>
  <si>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</si>
  <si>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</si>
  <si>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</si>
  <si>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</si>
  <si>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</si>
  <si>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</si>
  <si>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</si>
  <si>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</si>
  <si>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</si>
  <si>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</si>
  <si>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</si>
  <si>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</si>
  <si>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</si>
  <si>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</si>
  <si>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</si>
  <si>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</si>
  <si>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</si>
  <si>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</si>
  <si>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</si>
  <si>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</si>
  <si>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</si>
  <si>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</si>
  <si>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</si>
  <si>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</si>
  <si>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</si>
  <si>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</si>
  <si>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</si>
  <si>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</si>
  <si>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</si>
  <si>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</si>
  <si>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</si>
  <si>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</si>
  <si>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</si>
  <si>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</si>
  <si>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</si>
  <si>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</si>
  <si>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</si>
  <si>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</si>
  <si>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</si>
  <si>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</si>
  <si>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</si>
  <si>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</si>
  <si>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</si>
  <si>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</si>
  <si>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</si>
  <si>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</si>
  <si>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</si>
  <si>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</si>
  <si>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</si>
  <si>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</si>
  <si>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</si>
  <si>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</si>
  <si>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</si>
  <si>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</si>
  <si>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</si>
  <si>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</si>
  <si>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</si>
  <si>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</si>
  <si>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</si>
  <si>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</si>
  <si>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</si>
  <si>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</si>
  <si>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</si>
  <si>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</si>
  <si>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</si>
  <si>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</si>
  <si>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</si>
  <si>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</si>
  <si>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</si>
  <si>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</si>
  <si>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</si>
  <si>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</si>
  <si>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</si>
  <si>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</si>
  <si>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</si>
  <si>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</si>
  <si>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</si>
  <si>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</si>
  <si>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</si>
  <si>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</si>
  <si>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</si>
  <si>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</si>
  <si>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</si>
  <si>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</si>
  <si>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</si>
  <si>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</si>
  <si>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</si>
  <si>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</si>
  <si>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</si>
  <si>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</si>
  <si>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</si>
  <si>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</si>
  <si>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</si>
  <si>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</si>
  <si>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</si>
  <si>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</si>
  <si>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</si>
  <si>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</si>
  <si>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</si>
  <si>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</si>
  <si>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</si>
  <si>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</si>
  <si>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</si>
  <si>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</si>
  <si>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</si>
  <si>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</si>
  <si>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</si>
  <si>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</si>
  <si>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</si>
  <si>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</si>
  <si>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</si>
  <si>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Salman</t>
  </si>
  <si>
    <t>Khan Zada Store</t>
  </si>
  <si>
    <t xml:space="preserve">Address: Cavelary </t>
  </si>
  <si>
    <t>Ali General Store</t>
  </si>
  <si>
    <t>Aashiyana Store</t>
  </si>
  <si>
    <t xml:space="preserve">Address:Cavelary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</si>
</sst>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C24" workbookViewId="0">
      <selection activeCell="S27" sqref="S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517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513</v>
      </c>
      <c r="F3" s="358"/>
      <c r="G3" s="358"/>
      <c r="H3" s="355">
        <f ca="1">TODAY()</f>
        <v>46242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Khan Zada Store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Ali General Store</v>
      </c>
      <c r="T4" s="301">
        <f>+'2'!P35</f>
        <v>679.51547485169476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Aashiyana Store</v>
      </c>
      <c r="T5" s="301">
        <f>+'3'!P35</f>
        <v>2769.4531671864411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13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</v>
      </c>
      <c r="I13" s="236">
        <f t="shared" si="0"/>
        <v>392.30000000000007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19.615000000000006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13.730500000000003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20.007300000000001</v>
      </c>
      <c r="M13" s="230">
        <f t="shared" si="1"/>
        <v>338.94720000000007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76.271186440677923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2.0760919322033899</v>
      </c>
      <c r="P13" s="311">
        <f t="shared" si="2"/>
        <v>417.29447837288137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4.3</v>
      </c>
      <c r="H16" s="113">
        <f t="shared" ref="H16:M16" si="3">SUM(H7:H15)</f>
        <v>172</v>
      </c>
      <c r="I16" s="114">
        <f t="shared" si="3"/>
        <v>11917.849999999999</v>
      </c>
      <c r="J16" s="274">
        <f>SUM(J7:J15)</f>
        <v>941.65899999999988</v>
      </c>
      <c r="K16" s="275">
        <f t="shared" si="3"/>
        <v>417.12475000000006</v>
      </c>
      <c r="L16" s="276">
        <f t="shared" si="3"/>
        <v>20.007300000000001</v>
      </c>
      <c r="M16" s="232">
        <f t="shared" si="3"/>
        <v>10539.058950000001</v>
      </c>
      <c r="N16" s="233">
        <f>SUM(N7:N15)</f>
        <v>2254.5762711864404</v>
      </c>
      <c r="O16" s="101">
        <f>SUM(O7:O15)</f>
        <v>63.968176105932208</v>
      </c>
      <c r="P16" s="113">
        <f>SUM(P7:P15)</f>
        <v>12857.603397292374</v>
      </c>
      <c r="Q16" s="128">
        <f>SUM(Q7:Q15)</f>
        <v>28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11917.849999999999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941.65899999999988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437.13205000000005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10539.058949999999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2254.5762711864404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12793.63522118644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63.968176105932208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12857.603397292372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12857.603397292372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515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9" workbookViewId="0">
      <selection activeCell="A2" sqref="A2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412">
        <v>13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412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412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412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412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412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412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412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412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412">
        <f>SUM(Q16:Q24)</f>
        <v>28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629.54999999999995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50.363999999999997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22.03425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557.15174999999988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676.13480084745743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2" t="s">
        <v>88</v>
      </c>
      <c r="O35" s="343"/>
      <c r="P35" s="297">
        <f>+P33+P34</f>
        <v>679.51547485169476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2571.5</v>
      </c>
      <c r="J25" s="274">
        <f>SUM(J16:J24)</f>
        <v>193.95100000000002</v>
      </c>
      <c r="K25" s="275">
        <f t="shared" si="7"/>
        <v>90.002500000000012</v>
      </c>
      <c r="L25" s="276">
        <f t="shared" si="7"/>
        <v>20.007300000000001</v>
      </c>
      <c r="M25" s="232">
        <f t="shared" si="7"/>
        <v>2267.5392000000002</v>
      </c>
      <c r="N25" s="233">
        <f>SUM(N16:N24)</f>
        <v>488.13559322033899</v>
      </c>
      <c r="O25" s="101">
        <f>SUM(O16:O24)</f>
        <v>13.778373966101697</v>
      </c>
      <c r="P25" s="113">
        <f>SUM(P16:P24)</f>
        <v>2769.4531671864406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2571.5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193.95100000000002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110.00980000000001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2267.5392000000002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488.13559322033899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2755.6747932203393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13.778373966101697</v>
      </c>
    </row>
    <row r="35" spans="2:16" ht="15.75" customHeight="1" thickBot="1" x14ac:dyDescent="0.4">
      <c r="N35" s="342" t="s">
        <v>88</v>
      </c>
      <c r="O35" s="343"/>
      <c r="P35" s="297">
        <f>+P33+P34</f>
        <v>2769.4531671864411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2026-08-08T11:23:41Z</dcterms:modified>
</cp:coreProperties>
</file>