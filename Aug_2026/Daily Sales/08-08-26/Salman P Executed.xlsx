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7E3D552-E351-4190-B76D-6F7C33131B04}" xr6:coauthVersionLast="47" xr6:coauthVersionMax="47" xr10:uidLastSave="{00000000-0000-0000-0000-000000000000}"/>
  <bookViews>
    <workbookView xWindow="-110" yWindow="-110" windowWidth="19420" windowHeight="10420" tabRatio="594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J7" i="62"/>
  <c r="M16" i="48"/>
  <c r="M20" i="47"/>
  <c r="O20" i="47" s="1"/>
  <c r="P20" i="47" s="1"/>
  <c r="R20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<sst xmlns="http://schemas.openxmlformats.org/spreadsheetml/2006/main" count="3978" uniqueCount="534">
  <si>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</si>
  <si>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</si>
  <si>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</si>
  <si>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</si>
  <si>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</si>
  <si>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</si>
  <si>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</si>
  <si>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</si>
  <si>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</si>
  <si>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</si>
  <si>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</si>
  <si>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</si>
  <si>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</si>
  <si>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</si>
  <si>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</si>
  <si>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</si>
  <si>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</si>
  <si>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</si>
  <si>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</si>
  <si>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</si>
  <si>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</si>
  <si>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</si>
  <si>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</si>
  <si>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</si>
  <si>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</si>
  <si>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</si>
  <si>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</si>
  <si>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</si>
  <si>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</si>
  <si>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</si>
  <si>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</si>
  <si>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</si>
  <si>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</si>
  <si>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</si>
  <si>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</si>
  <si>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</si>
  <si>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</si>
  <si>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</si>
  <si>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</si>
  <si>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</si>
  <si>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</si>
  <si>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</si>
  <si>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</si>
  <si>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</si>
  <si>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</si>
  <si>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</si>
  <si>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</si>
  <si>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</si>
  <si>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</si>
  <si>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</si>
  <si>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</si>
  <si>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</si>
  <si>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</si>
  <si>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</si>
  <si>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</si>
  <si>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</si>
  <si>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</si>
  <si>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</si>
  <si>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</si>
  <si>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</si>
  <si>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</si>
  <si>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</si>
  <si>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</si>
  <si>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</si>
  <si>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</si>
  <si>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</si>
  <si>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</si>
  <si>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</si>
  <si>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</si>
  <si>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</si>
  <si>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</si>
  <si>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</si>
  <si>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</si>
  <si>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</si>
  <si>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</si>
  <si>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</si>
  <si>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</si>
  <si>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</si>
  <si>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</si>
  <si>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</si>
  <si>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</si>
  <si>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</si>
  <si>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</si>
  <si>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</si>
  <si>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</si>
  <si>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</si>
  <si>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</si>
  <si>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</si>
  <si>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</si>
  <si>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</si>
  <si>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</si>
  <si>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</si>
  <si>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</si>
  <si>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</si>
  <si>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</si>
  <si>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</si>
  <si>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</si>
  <si>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</si>
  <si>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</si>
  <si>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</si>
  <si>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</si>
  <si>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</si>
  <si>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</si>
  <si>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</si>
  <si>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</si>
  <si>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</si>
  <si>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</si>
  <si>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</si>
  <si>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</si>
  <si>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</si>
  <si>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</si>
  <si>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</si>
  <si>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</si>
  <si>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</si>
  <si>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</si>
  <si>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</si>
  <si>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</si>
  <si>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</si>
  <si>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</si>
  <si>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</si>
  <si>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</si>
  <si>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</si>
  <si>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</si>
  <si>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</si>
  <si>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</si>
  <si>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</si>
  <si>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</si>
  <si>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</si>
  <si>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</si>
  <si>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</si>
  <si>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</si>
  <si>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</si>
  <si>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</si>
  <si>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</si>
  <si>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</si>
  <si>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</si>
  <si>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</si>
  <si>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</si>
  <si>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</si>
  <si>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</si>
  <si>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</si>
  <si>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</si>
  <si>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</si>
  <si>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</si>
  <si>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</si>
  <si>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</si>
  <si>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</si>
  <si>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</si>
  <si>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</si>
  <si>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</si>
  <si>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</si>
  <si>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</si>
  <si>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</si>
  <si>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</si>
  <si>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</si>
  <si>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</si>
  <si>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</si>
  <si>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</si>
  <si>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</si>
  <si>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</si>
  <si>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</si>
  <si>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</si>
  <si>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</si>
  <si>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</si>
  <si>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</si>
  <si>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</si>
  <si>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</si>
  <si>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</si>
  <si>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</si>
  <si>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</si>
  <si>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</si>
  <si>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</si>
  <si>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</si>
  <si>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</si>
  <si>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</si>
  <si>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</si>
  <si>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</si>
  <si>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</si>
  <si>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</si>
  <si>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</si>
  <si>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</si>
  <si>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</si>
  <si>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</si>
  <si>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</si>
  <si>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</si>
  <si>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</si>
  <si>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</si>
  <si>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</si>
  <si>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</si>
  <si>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</si>
  <si>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</si>
  <si>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</si>
  <si>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</si>
  <si>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</si>
  <si>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</si>
  <si>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</si>
  <si>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</si>
  <si>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</si>
  <si>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</si>
  <si>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</si>
  <si>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</si>
  <si>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</si>
  <si>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</si>
  <si>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</si>
  <si>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</si>
  <si>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</si>
  <si>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</si>
  <si>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</si>
  <si>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</si>
  <si>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</si>
  <si>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</si>
  <si>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</si>
  <si>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</si>
  <si>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</si>
  <si>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</si>
  <si>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</si>
  <si>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</si>
  <si>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</si>
  <si>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</si>
  <si>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</si>
  <si>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</si>
  <si>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</si>
  <si>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</si>
  <si>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</si>
  <si>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</si>
  <si>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</si>
  <si>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</si>
  <si>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</si>
  <si>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</si>
  <si>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</si>
  <si>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</si>
  <si>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</si>
  <si>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</si>
  <si>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</si>
  <si>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</si>
  <si>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</si>
  <si>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</si>
  <si>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</si>
  <si>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</si>
  <si>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</si>
  <si>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</si>
  <si>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</si>
  <si>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</si>
  <si>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</si>
  <si>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</si>
  <si>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</si>
  <si>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</si>
  <si>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</si>
  <si>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</si>
  <si>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</si>
  <si>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</si>
  <si>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</si>
  <si>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</si>
  <si>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</si>
  <si>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</si>
  <si>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</si>
  <si>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</si>
  <si>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</si>
  <si>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</si>
  <si>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</si>
  <si>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</si>
  <si>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</si>
  <si>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</si>
  <si>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</si>
  <si>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</si>
  <si>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</si>
  <si>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</si>
  <si>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</si>
  <si>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</si>
  <si>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</si>
  <si>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</si>
  <si>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</si>
  <si>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</si>
  <si>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</si>
  <si>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</si>
  <si>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</si>
  <si>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</si>
  <si>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</si>
  <si>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</si>
  <si>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</si>
  <si>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</si>
  <si>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</si>
  <si>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</si>
  <si>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</si>
  <si>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</si>
  <si>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</si>
  <si>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</si>
  <si>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</si>
  <si>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</si>
  <si>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</si>
  <si>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</si>
  <si>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</si>
  <si>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</si>
  <si>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</si>
  <si>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</si>
  <si>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</si>
  <si>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</si>
  <si>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</si>
  <si>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</si>
  <si>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</si>
  <si>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</si>
  <si>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</si>
  <si>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</si>
  <si>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</si>
  <si>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</si>
  <si>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</si>
  <si>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</si>
  <si>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</si>
  <si>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</si>
  <si>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</si>
  <si>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</si>
  <si>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</si>
  <si>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</si>
  <si>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</si>
  <si>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</si>
  <si>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</si>
  <si>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</si>
  <si>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</si>
  <si>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</si>
  <si>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</si>
  <si>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</si>
  <si>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</si>
  <si>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</si>
  <si>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</si>
  <si>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</si>
  <si>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</si>
  <si>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</si>
  <si>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</si>
  <si>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</si>
  <si>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</si>
  <si>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</si>
  <si>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</si>
  <si>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</si>
  <si>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</si>
  <si>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</si>
  <si>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</si>
  <si>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</si>
  <si>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</si>
  <si>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</si>
  <si>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</si>
  <si>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</si>
  <si>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</si>
  <si>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</si>
  <si>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</si>
  <si>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</si>
  <si>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</si>
  <si>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</si>
  <si>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</si>
  <si>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</si>
  <si>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</si>
  <si>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</si>
  <si>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</si>
  <si>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</si>
  <si>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</si>
  <si>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</si>
  <si>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</si>
  <si>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</si>
  <si>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</si>
  <si>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</si>
  <si>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</si>
  <si>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</si>
  <si>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</si>
  <si>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</si>
  <si>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</si>
  <si>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</si>
  <si>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</si>
  <si>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</si>
  <si>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</si>
  <si>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</si>
  <si>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</si>
  <si>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</si>
  <si>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</si>
  <si>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</si>
  <si>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</si>
  <si>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</si>
  <si>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</si>
  <si>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</si>
  <si>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</si>
  <si>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</si>
  <si>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</si>
  <si>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</si>
  <si>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</si>
  <si>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</si>
  <si>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</si>
  <si>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</si>
  <si>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</si>
  <si>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</si>
  <si>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</si>
  <si>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</si>
  <si>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</si>
  <si>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</si>
  <si>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</si>
  <si>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</si>
  <si>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</si>
  <si>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</si>
  <si>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</si>
  <si>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</si>
  <si>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</si>
  <si>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</si>
  <si>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</si>
  <si>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</si>
  <si>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</si>
  <si>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</si>
  <si>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</si>
  <si>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</si>
  <si>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</si>
  <si>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</si>
  <si>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</si>
  <si>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</si>
  <si>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</si>
  <si>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</si>
  <si>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</si>
  <si>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</si>
  <si>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</si>
  <si>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</si>
  <si>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</si>
  <si>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</si>
  <si>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</si>
  <si>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</si>
  <si>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</si>
  <si>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</si>
  <si>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</si>
  <si>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</si>
  <si>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</si>
  <si>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</si>
  <si>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</si>
  <si>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</si>
  <si>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</si>
  <si>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</si>
  <si>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</si>
  <si>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</si>
  <si>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</si>
  <si>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</si>
  <si>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</si>
  <si>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</si>
  <si>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</si>
  <si>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</si>
  <si>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</si>
  <si>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</si>
  <si>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</si>
  <si>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</si>
  <si>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</si>
  <si>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</si>
  <si>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</si>
  <si>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</si>
  <si>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</si>
  <si>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</si>
  <si>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</si>
  <si>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</si>
  <si>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</si>
  <si>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</si>
  <si>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</si>
  <si>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</si>
  <si>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</si>
  <si>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</si>
  <si>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</si>
  <si>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</si>
  <si>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</si>
  <si>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</si>
  <si>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</si>
  <si>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</si>
  <si>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</si>
  <si>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</si>
  <si>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</si>
  <si>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</si>
  <si>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</si>
  <si>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</si>
  <si>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</si>
  <si>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</si>
  <si>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</si>
  <si>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</si>
  <si>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</si>
  <si>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</si>
  <si>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</si>
  <si>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</si>
  <si>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</si>
  <si>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</si>
  <si>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</si>
  <si>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</si>
  <si>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</si>
  <si>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</si>
  <si>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</si>
  <si>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</si>
  <si>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</si>
  <si>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</si>
  <si>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</si>
  <si>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</si>
  <si>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</si>
  <si>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</si>
  <si>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</si>
  <si>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</si>
  <si>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</si>
  <si>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</si>
  <si>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</si>
  <si>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</si>
  <si>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</si>
  <si>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</si>
  <si>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</si>
  <si>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</si>
  <si>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</si>
  <si>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</si>
  <si>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</si>
  <si>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</si>
  <si>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</si>
  <si>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</si>
  <si>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</si>
  <si>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</si>
  <si>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</si>
  <si>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</si>
  <si>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</si>
  <si>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</si>
  <si>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</si>
  <si>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</si>
  <si>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</si>
  <si>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</si>
  <si>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</si>
  <si>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Salman</t>
  </si>
  <si>
    <t>Nawab General Store</t>
  </si>
  <si>
    <t xml:space="preserve">Address: Hadeyara </t>
  </si>
  <si>
    <t>Shahid Store</t>
  </si>
  <si>
    <t>Haider Ali Store</t>
  </si>
  <si>
    <t>Lala Store</t>
  </si>
  <si>
    <t>Hikma Store  1</t>
  </si>
  <si>
    <t>Address:  Paragon</t>
  </si>
  <si>
    <t>Hikma Store 2</t>
  </si>
  <si>
    <t xml:space="preserve">Address:  Paragon </t>
  </si>
  <si>
    <t xml:space="preserve">Pick &amp; Pack Mart </t>
  </si>
  <si>
    <t xml:space="preserve">Address: Paragon </t>
  </si>
  <si>
    <t>Umaima Super Store</t>
  </si>
  <si>
    <t xml:space="preserve">Al Mustafa Mart </t>
  </si>
  <si>
    <t xml:space="preserve">Address: Green City </t>
  </si>
  <si>
    <t>Hikma Mart 3</t>
  </si>
  <si>
    <t>Haji Store</t>
  </si>
  <si>
    <t xml:space="preserve">Address:  Green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</si>
</sst>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Nawab General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Shahid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Haider Ali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Lala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42</v>
      </c>
      <c r="I7" s="235">
        <f>(G7*D7)*F7+H7*F7</f>
        <v>2203.4249999999997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176.274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77.119875000000008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1950.0311249999997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416.44067796610153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11.832359014830509</v>
      </c>
      <c r="P7" s="310">
        <f>M7+N7+O7</f>
        <v>2378.3041619809319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Hikma Store  1</v>
      </c>
      <c r="T7" s="301">
        <f>+'5'!P35</f>
        <v>5401.2631679237275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Hikma Store 2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86</v>
      </c>
      <c r="I9" s="236">
        <f t="shared" si="0"/>
        <v>4511.7749999999996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360.94200000000001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157.912125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3992.9208749999998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852.71186440677934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24.228163697033899</v>
      </c>
      <c r="P9" s="311">
        <f t="shared" si="2"/>
        <v>4869.8609031038131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Pick &amp; Pack Mart </v>
      </c>
      <c r="T9" s="301">
        <f>+'7'!P35</f>
        <v>3240.7579007542372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41</v>
      </c>
      <c r="I10" s="236">
        <f t="shared" si="0"/>
        <v>2978.2400000000002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238.25919999999999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104.23840000000001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2635.7424000000001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562.88135593220341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15.993118779661017</v>
      </c>
      <c r="P10" s="311">
        <f t="shared" si="2"/>
        <v>3214.6168747118645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Umaima Super Store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66</v>
      </c>
      <c r="I11" s="236">
        <f t="shared" si="0"/>
        <v>4794.24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383.53920000000005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167.79840000000002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4242.9023999999999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906.10169491525426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25.745020474576272</v>
      </c>
      <c r="P11" s="311">
        <f t="shared" si="2"/>
        <v>5174.7491153898309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Al Mustafa Mart </v>
      </c>
      <c r="T11" s="301">
        <f>+'9'!P35</f>
        <v>2265.051582838983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49</v>
      </c>
      <c r="I12" s="236">
        <f t="shared" si="0"/>
        <v>3559.36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284.74880000000002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124.57760000000002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3150.0336000000002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672.71186440677968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19.113727322033899</v>
      </c>
      <c r="P12" s="311">
        <f t="shared" si="2"/>
        <v>3841.8591917288136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Hikma Mart 3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Haji Store</v>
      </c>
      <c r="T13" s="301">
        <f>+'11'!P35</f>
        <v>1441.6168495728814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7.8</v>
      </c>
      <c r="H16" s="113">
        <f t="shared" ref="H16:M16" si="3">SUM(H7:H15)</f>
        <v>312</v>
      </c>
      <c r="I16" s="114">
        <f t="shared" si="3"/>
        <v>19357.199999999997</v>
      </c>
      <c r="J16" s="274">
        <f>SUM(J7:J15)</f>
        <v>1534.4532000000002</v>
      </c>
      <c r="K16" s="275">
        <f t="shared" si="3"/>
        <v>677.50199999999995</v>
      </c>
      <c r="L16" s="276">
        <f t="shared" si="3"/>
        <v>24.008760000000002</v>
      </c>
      <c r="M16" s="232">
        <f t="shared" si="3"/>
        <v>17121.236039999996</v>
      </c>
      <c r="N16" s="233">
        <f>SUM(N7:N15)</f>
        <v>3661.0169491525421</v>
      </c>
      <c r="O16" s="101">
        <f>SUM(O7:O15)</f>
        <v>103.91126494576271</v>
      </c>
      <c r="P16" s="113">
        <f>SUM(P7:P15)</f>
        <v>20886.164254098305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19357.199999999997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1534.4532000000002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701.51076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17121.236039999996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3661.0169491525421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20782.252989152537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103.91126494576271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20886.164254098301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20886.164254098305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5004.0999999999995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400.32800000000003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175.14350000000002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4428.6284999999989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5374.3912118644057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1" t="s">
        <v>88</v>
      </c>
      <c r="O35" s="372"/>
      <c r="P35" s="297">
        <f>+P33+P34</f>
        <v>5401.2631679237275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zoomScaleNormal="10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48</v>
      </c>
      <c r="I25" s="114">
        <f t="shared" si="7"/>
        <v>3002.46</v>
      </c>
      <c r="J25" s="274">
        <f>SUM(J16:J24)</f>
        <v>240.1968</v>
      </c>
      <c r="K25" s="275">
        <f t="shared" si="7"/>
        <v>105.08610000000002</v>
      </c>
      <c r="L25" s="276">
        <f t="shared" si="7"/>
        <v>0</v>
      </c>
      <c r="M25" s="232">
        <f t="shared" si="7"/>
        <v>2657.1770999999999</v>
      </c>
      <c r="N25" s="233">
        <f>SUM(N16:N24)</f>
        <v>567.45762711864404</v>
      </c>
      <c r="O25" s="101">
        <f>SUM(O16:O24)</f>
        <v>16.123173635593218</v>
      </c>
      <c r="P25" s="113">
        <f>SUM(P16:P24)</f>
        <v>3240.7579007542372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3002.46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240.1968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105.08610000000002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2657.1770999999999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567.45762711864404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3224.6347271186442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16.123173635593222</v>
      </c>
    </row>
    <row r="35" spans="2:16" ht="15.75" customHeight="1" thickBot="1" x14ac:dyDescent="0.4">
      <c r="N35" s="371" t="s">
        <v>88</v>
      </c>
      <c r="O35" s="372"/>
      <c r="P35" s="297">
        <f>+P33+P34</f>
        <v>3240.7579007542372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5004.1000000000004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400.32799999999997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175.14350000000002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4428.6285000000007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5374.3912118644075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1" t="s">
        <v>88</v>
      </c>
      <c r="O35" s="372"/>
      <c r="P35" s="297">
        <f>+P33+P34</f>
        <v>5401.2631679237293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topLeftCell="A13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1342.44</v>
      </c>
      <c r="J25" s="274">
        <f>SUM(J16:J24)</f>
        <v>93.272400000000005</v>
      </c>
      <c r="K25" s="275">
        <f t="shared" si="7"/>
        <v>46.985400000000013</v>
      </c>
      <c r="L25" s="276">
        <f t="shared" si="7"/>
        <v>24.008760000000002</v>
      </c>
      <c r="M25" s="232">
        <f t="shared" si="7"/>
        <v>1178.17344</v>
      </c>
      <c r="N25" s="233">
        <f>SUM(N16:N24)</f>
        <v>256.27118644067792</v>
      </c>
      <c r="O25" s="101">
        <f>SUM(O16:O24)</f>
        <v>7.1722231322033903</v>
      </c>
      <c r="P25" s="113">
        <f>SUM(P16:P24)</f>
        <v>1441.6168495728814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1342.44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93.272400000000005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70.994160000000022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1178.17344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1434.4446264406779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71" t="s">
        <v>88</v>
      </c>
      <c r="O35" s="372"/>
      <c r="P35" s="297">
        <f>+P33+P34</f>
        <v>1441.6168495728814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2026-08-08T11:25:27Z</dcterms:modified>
</cp:coreProperties>
</file>