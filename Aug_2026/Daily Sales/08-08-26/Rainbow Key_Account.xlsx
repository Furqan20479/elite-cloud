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18D85AE-AD5B-46C6-BFF1-92D8588C416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17" i="44"/>
  <c r="O17" i="44" s="1"/>
  <c r="P17" i="44" s="1"/>
  <c r="M16" i="59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<sst xmlns="http://schemas.openxmlformats.org/spreadsheetml/2006/main" count="3913" uniqueCount="513">
  <si>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</si>
  <si>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</si>
  <si>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</si>
  <si>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</si>
  <si>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</si>
  <si>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</si>
  <si>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</si>
  <si>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</si>
  <si>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</si>
  <si>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</si>
  <si>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</si>
  <si>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</si>
  <si>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</si>
  <si>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</si>
  <si>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</si>
  <si>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</si>
  <si>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</si>
  <si>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</si>
  <si>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</si>
  <si>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</si>
  <si>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</si>
  <si>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</si>
  <si>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</si>
  <si>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</si>
  <si>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</si>
  <si>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</si>
  <si>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</si>
  <si>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</si>
  <si>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</si>
  <si>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</si>
  <si>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</si>
  <si>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</si>
  <si>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</si>
  <si>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</si>
  <si>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</si>
  <si>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</si>
  <si>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</si>
  <si>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</si>
  <si>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</si>
  <si>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</si>
  <si>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</si>
  <si>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</si>
  <si>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</si>
  <si>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</si>
  <si>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</si>
  <si>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</si>
  <si>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</si>
  <si>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</si>
  <si>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</si>
  <si>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</si>
  <si>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</si>
  <si>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</si>
  <si>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</si>
  <si>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</si>
  <si>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</si>
  <si>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</si>
  <si>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</si>
  <si>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</si>
  <si>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</si>
  <si>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</si>
  <si>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</si>
  <si>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</si>
  <si>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</si>
  <si>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</si>
  <si>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</si>
  <si>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</si>
  <si>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</si>
  <si>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</si>
  <si>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</si>
  <si>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</si>
  <si>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</si>
  <si>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</si>
  <si>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</si>
  <si>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</si>
  <si>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</si>
  <si>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</si>
  <si>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</si>
  <si>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</si>
  <si>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</si>
  <si>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</si>
  <si>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</si>
  <si>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</si>
  <si>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</si>
  <si>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</si>
  <si>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</si>
  <si>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</si>
  <si>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</si>
  <si>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</si>
  <si>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</si>
  <si>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</si>
  <si>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</si>
  <si>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</si>
  <si>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</si>
  <si>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</si>
  <si>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</si>
  <si>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</si>
  <si>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</si>
  <si>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</si>
  <si>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</si>
  <si>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</si>
  <si>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</si>
  <si>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</si>
  <si>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</si>
  <si>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</si>
  <si>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</si>
  <si>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</si>
  <si>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</si>
  <si>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</si>
  <si>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</si>
  <si>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</si>
  <si>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</si>
  <si>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</si>
  <si>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</si>
  <si>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</si>
  <si>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</si>
  <si>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</si>
  <si>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</si>
  <si>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</si>
  <si>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</si>
  <si>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</si>
  <si>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</si>
  <si>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</si>
  <si>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</si>
  <si>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</si>
  <si>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</si>
  <si>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</si>
  <si>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</si>
  <si>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</si>
  <si>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</si>
  <si>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</si>
  <si>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</si>
  <si>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</si>
  <si>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</si>
  <si>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</si>
  <si>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</si>
  <si>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</si>
  <si>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</si>
  <si>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</si>
  <si>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</si>
  <si>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</si>
  <si>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</si>
  <si>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</si>
  <si>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</si>
  <si>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</si>
  <si>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</si>
  <si>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</si>
  <si>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</si>
  <si>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</si>
  <si>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</si>
  <si>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</si>
  <si>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</si>
  <si>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</si>
  <si>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</si>
  <si>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</si>
  <si>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</si>
  <si>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</si>
  <si>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</si>
  <si>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</si>
  <si>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</si>
  <si>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</si>
  <si>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</si>
  <si>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</si>
  <si>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</si>
  <si>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</si>
  <si>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</si>
  <si>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</si>
  <si>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</si>
  <si>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</si>
  <si>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</si>
  <si>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</si>
  <si>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</si>
  <si>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</si>
  <si>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</si>
  <si>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</si>
  <si>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</si>
  <si>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</si>
  <si>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</si>
  <si>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</si>
  <si>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</si>
  <si>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</si>
  <si>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</si>
  <si>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</si>
  <si>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</si>
  <si>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</si>
  <si>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</si>
  <si>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</si>
  <si>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</si>
  <si>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</si>
  <si>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</si>
  <si>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</si>
  <si>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</si>
  <si>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</si>
  <si>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</si>
  <si>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</si>
  <si>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</si>
  <si>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</si>
  <si>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</si>
  <si>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</si>
  <si>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</si>
  <si>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</si>
  <si>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</si>
  <si>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</si>
  <si>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</si>
  <si>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</si>
  <si>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</si>
  <si>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</si>
  <si>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</si>
  <si>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</si>
  <si>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</si>
  <si>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</si>
  <si>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</si>
  <si>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</si>
  <si>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</si>
  <si>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</si>
  <si>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</si>
  <si>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</si>
  <si>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</si>
  <si>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</si>
  <si>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</si>
  <si>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</si>
  <si>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</si>
  <si>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</si>
  <si>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</si>
  <si>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</si>
  <si>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</si>
  <si>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</si>
  <si>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</si>
  <si>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</si>
  <si>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</si>
  <si>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</si>
  <si>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</si>
  <si>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</si>
  <si>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</si>
  <si>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</si>
  <si>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</si>
  <si>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</si>
  <si>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</si>
  <si>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</si>
  <si>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</si>
  <si>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</si>
  <si>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</si>
  <si>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</si>
  <si>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</si>
  <si>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</si>
  <si>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</si>
  <si>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</si>
  <si>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</si>
  <si>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</si>
  <si>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</si>
  <si>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</si>
  <si>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</si>
  <si>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</si>
  <si>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</si>
  <si>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</si>
  <si>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</si>
  <si>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</si>
  <si>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</si>
  <si>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</si>
  <si>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</si>
  <si>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</si>
  <si>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</si>
  <si>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</si>
  <si>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</si>
  <si>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</si>
  <si>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</si>
  <si>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</si>
  <si>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</si>
  <si>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</si>
  <si>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</si>
  <si>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</si>
  <si>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</si>
  <si>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</si>
  <si>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</si>
  <si>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</si>
  <si>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</si>
  <si>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</si>
  <si>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</si>
  <si>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</si>
  <si>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</si>
  <si>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</si>
  <si>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</si>
  <si>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</si>
  <si>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</si>
  <si>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</si>
  <si>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</si>
  <si>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</si>
  <si>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</si>
  <si>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</si>
  <si>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</si>
  <si>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</si>
  <si>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</si>
  <si>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</si>
  <si>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</si>
  <si>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</si>
  <si>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</si>
  <si>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</si>
  <si>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</si>
  <si>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</si>
  <si>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</si>
  <si>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</si>
  <si>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</si>
  <si>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</si>
  <si>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</si>
  <si>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</si>
  <si>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</si>
  <si>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</si>
  <si>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</si>
  <si>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</si>
  <si>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</si>
  <si>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</si>
  <si>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</si>
  <si>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</si>
  <si>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</si>
  <si>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</si>
  <si>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</si>
  <si>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</si>
  <si>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</si>
  <si>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</si>
  <si>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</si>
  <si>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</si>
  <si>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</si>
  <si>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</si>
  <si>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</si>
  <si>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</si>
  <si>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</si>
  <si>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</si>
  <si>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</si>
  <si>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</si>
  <si>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</si>
  <si>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</si>
  <si>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</si>
  <si>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</si>
  <si>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</si>
  <si>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</si>
  <si>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</si>
  <si>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</si>
  <si>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</si>
  <si>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</si>
  <si>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</si>
  <si>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</si>
  <si>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</si>
  <si>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</si>
  <si>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</si>
  <si>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</si>
  <si>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</si>
  <si>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</si>
  <si>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</si>
  <si>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</si>
  <si>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</si>
  <si>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</si>
  <si>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</si>
  <si>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</si>
  <si>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</si>
  <si>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</si>
  <si>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</si>
  <si>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</si>
  <si>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</si>
  <si>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</si>
  <si>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</si>
  <si>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</si>
  <si>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</si>
  <si>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</si>
  <si>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</si>
  <si>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</si>
  <si>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</si>
  <si>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</si>
  <si>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</si>
  <si>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</si>
  <si>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</si>
  <si>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</si>
  <si>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</si>
  <si>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</si>
  <si>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</si>
  <si>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</si>
  <si>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</si>
  <si>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</si>
  <si>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</si>
  <si>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</si>
  <si>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</si>
  <si>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</si>
  <si>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</si>
  <si>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</si>
  <si>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</si>
  <si>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</si>
  <si>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</si>
  <si>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</si>
  <si>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</si>
  <si>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</si>
  <si>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</si>
  <si>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</si>
  <si>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</si>
  <si>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</si>
  <si>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</si>
  <si>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</si>
  <si>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</si>
  <si>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</si>
  <si>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</si>
  <si>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</si>
  <si>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</si>
  <si>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</si>
  <si>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</si>
  <si>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</si>
  <si>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</si>
  <si>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</si>
  <si>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</si>
  <si>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</si>
  <si>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</si>
  <si>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</si>
  <si>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</si>
  <si>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</si>
  <si>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</si>
  <si>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</si>
  <si>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</si>
  <si>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</si>
  <si>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</si>
  <si>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</si>
  <si>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</si>
  <si>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</si>
  <si>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</si>
  <si>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</si>
  <si>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</si>
  <si>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</si>
  <si>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</si>
  <si>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</si>
  <si>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</si>
  <si>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</si>
  <si>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</si>
  <si>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</si>
  <si>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</si>
  <si>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</si>
  <si>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</si>
  <si>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</si>
  <si>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</si>
  <si>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</si>
  <si>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</si>
  <si>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</si>
  <si>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</si>
  <si>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</si>
  <si>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</si>
  <si>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</si>
  <si>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</si>
  <si>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</si>
  <si>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</si>
  <si>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</si>
  <si>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</si>
  <si>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</si>
  <si>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</si>
  <si>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</si>
  <si>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</si>
  <si>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</si>
  <si>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</si>
  <si>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</si>
  <si>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</si>
  <si>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</si>
  <si>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</si>
  <si>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</si>
  <si>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</si>
  <si>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</si>
  <si>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</si>
  <si>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</si>
  <si>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</si>
  <si>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</si>
  <si>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</si>
  <si>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</si>
  <si>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</si>
  <si>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</si>
  <si>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</si>
  <si>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</si>
  <si>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</si>
  <si>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</si>
  <si>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</si>
  <si>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</si>
  <si>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</si>
  <si>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</si>
  <si>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</si>
  <si>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</si>
  <si>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</si>
  <si>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</si>
  <si>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</si>
  <si>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</si>
  <si>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</si>
  <si>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</si>
  <si>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</si>
  <si>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</si>
  <si>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</si>
  <si>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</si>
  <si>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</si>
  <si>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</si>
  <si>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</si>
  <si>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</si>
  <si>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</si>
  <si>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</si>
  <si>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</si>
  <si>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</si>
  <si>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</si>
  <si>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</si>
  <si>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</si>
  <si>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</si>
  <si>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</si>
  <si>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</si>
  <si>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</si>
  <si>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</si>
  <si>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</si>
  <si>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</si>
  <si>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</si>
  <si>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</si>
  <si>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</si>
  <si>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</si>
  <si>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</si>
  <si>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</si>
  <si>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Address: Shadra</t>
  </si>
  <si>
    <t>Address: Shaikhupura</t>
  </si>
  <si>
    <t xml:space="preserve">Address: Gujranwala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</si>
</sst>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workbookViewId="0">
      <selection activeCell="D1" sqref="D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497</v>
      </c>
      <c r="F2" s="339"/>
      <c r="G2" s="339"/>
      <c r="H2" s="339" t="s">
        <v>507</v>
      </c>
      <c r="I2" s="339"/>
      <c r="J2" s="340"/>
      <c r="R2" s="336" t="s">
        <v>506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498</v>
      </c>
      <c r="F3" s="345"/>
      <c r="G3" s="345"/>
      <c r="H3" s="342">
        <f>+'1'!N4:N4</f>
        <v>46242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Rainbow Cash &amp; Carry</v>
      </c>
      <c r="T3" s="301">
        <f>+'1'!P35</f>
        <v>56917.167189406769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34380.591404872881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39480.107342796597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31.918090042372881</v>
      </c>
      <c r="P7" s="118">
        <f>M7+N7+O7</f>
        <v>6415.5360985169482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280</v>
      </c>
      <c r="I8" s="236">
        <f t="shared" ref="I8:I14" si="0">(G8*D8)*F8+H8*F8</f>
        <v>14689.5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2056.5300000000002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514.13250000000005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12118.8375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2776.2711864406765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74.475543432203381</v>
      </c>
      <c r="P8" s="119">
        <f t="shared" ref="P8:P15" si="2">M8+N8+O8</f>
        <v>14969.584229872878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440</v>
      </c>
      <c r="I9" s="236">
        <f t="shared" si="0"/>
        <v>23083.5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3231.6900000000005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807.92250000000013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19043.887500000001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4362.7118644067777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117.03299682203389</v>
      </c>
      <c r="P9" s="119">
        <f t="shared" si="2"/>
        <v>23523.632361228811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4067.84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1016.96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23971.200000000001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147.31362711864404</v>
      </c>
      <c r="P10" s="119">
        <f t="shared" si="2"/>
        <v>29610.039050847459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240</v>
      </c>
      <c r="I11" s="236">
        <f t="shared" si="0"/>
        <v>17433.599999999999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2440.7040000000002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610.17600000000004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14382.719999999998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3294.9152542372885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88.388176271186438</v>
      </c>
      <c r="P11" s="119">
        <f t="shared" si="2"/>
        <v>17766.02343050847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520</v>
      </c>
      <c r="I12" s="236">
        <f t="shared" si="0"/>
        <v>37772.800000000003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5288.192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1322.048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31162.560000000005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7138.9830508474579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191.50771525423727</v>
      </c>
      <c r="P12" s="119">
        <f t="shared" si="2"/>
        <v>38493.050766101696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2000</v>
      </c>
      <c r="I16" s="114">
        <f t="shared" si="3"/>
        <v>128330.90000000001</v>
      </c>
      <c r="J16" s="274">
        <f>SUM(J7:J15)</f>
        <v>17966.326000000001</v>
      </c>
      <c r="K16" s="275">
        <f t="shared" si="3"/>
        <v>4491.5815000000002</v>
      </c>
      <c r="L16" s="276">
        <f t="shared" si="3"/>
        <v>0</v>
      </c>
      <c r="M16" s="232">
        <f t="shared" si="3"/>
        <v>105872.99249999999</v>
      </c>
      <c r="N16" s="233">
        <f>SUM(N7:N15)</f>
        <v>24254.237288135591</v>
      </c>
      <c r="O16" s="101">
        <f>SUM(O7:O15)</f>
        <v>650.63614894067791</v>
      </c>
      <c r="P16" s="234">
        <f>SUM(P7:P15)</f>
        <v>130777.86593707628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128330.90000000001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17966.326000000001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4491.5815000000002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105872.99250000001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24254.237288135591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130127.22978813559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650.63614894067791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130777.86593707628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130777.86593707625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G5" sqref="G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7.2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500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510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119">
        <f t="shared" si="5"/>
        <v>11844.015620338982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280</v>
      </c>
      <c r="I21" s="236">
        <f t="shared" si="7"/>
        <v>20339.2</v>
      </c>
      <c r="J21" s="272">
        <f t="shared" si="1"/>
        <v>2847.4880000000003</v>
      </c>
      <c r="K21" s="128">
        <f t="shared" si="1"/>
        <v>711.87200000000007</v>
      </c>
      <c r="L21" s="119">
        <f t="shared" si="1"/>
        <v>0</v>
      </c>
      <c r="M21" s="230">
        <f t="shared" si="2"/>
        <v>16779.84</v>
      </c>
      <c r="N21" s="277">
        <f t="shared" si="3"/>
        <v>3844.0677966101698</v>
      </c>
      <c r="O21" s="239">
        <f t="shared" si="4"/>
        <v>103.11953898305084</v>
      </c>
      <c r="P21" s="119">
        <f t="shared" si="5"/>
        <v>20727.027335593219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880</v>
      </c>
      <c r="I25" s="114">
        <f t="shared" ref="I25:M25" si="10">SUM(I16:I24)</f>
        <v>55852.2</v>
      </c>
      <c r="J25" s="274">
        <f>SUM(J16:J24)</f>
        <v>7819.3080000000009</v>
      </c>
      <c r="K25" s="275">
        <f t="shared" si="10"/>
        <v>1954.8270000000002</v>
      </c>
      <c r="L25" s="276">
        <f t="shared" si="10"/>
        <v>0</v>
      </c>
      <c r="M25" s="232">
        <f t="shared" si="10"/>
        <v>46078.065000000002</v>
      </c>
      <c r="N25" s="233">
        <f>SUM(N16:N24)</f>
        <v>10555.93220338983</v>
      </c>
      <c r="O25" s="101">
        <f>SUM(O16:O24)</f>
        <v>283.16998601694917</v>
      </c>
      <c r="P25" s="234">
        <f>SUM(P16:P24)</f>
        <v>56917.167189406784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55852.2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7819.3080000000009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1954.8270000000002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46078.064999999995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10555.93220338983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56633.997203389823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283.16998601694911</v>
      </c>
    </row>
    <row r="35" spans="2:16" ht="15.75" customHeight="1" thickBot="1" x14ac:dyDescent="0.4">
      <c r="N35" s="330" t="s">
        <v>88</v>
      </c>
      <c r="O35" s="331"/>
      <c r="P35" s="297">
        <f>+P33+P34</f>
        <v>56917.167189406769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G5" sqref="G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500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511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520</v>
      </c>
      <c r="I25" s="114">
        <f t="shared" si="7"/>
        <v>33737.300000000003</v>
      </c>
      <c r="J25" s="274">
        <f>SUM(J16:J24)</f>
        <v>4723.2220000000007</v>
      </c>
      <c r="K25" s="275">
        <f t="shared" si="7"/>
        <v>1180.8055000000002</v>
      </c>
      <c r="L25" s="276">
        <f t="shared" si="7"/>
        <v>0</v>
      </c>
      <c r="M25" s="232">
        <f t="shared" si="7"/>
        <v>27833.272499999999</v>
      </c>
      <c r="N25" s="233">
        <f>SUM(N16:N24)</f>
        <v>6376.2711864406774</v>
      </c>
      <c r="O25" s="101">
        <f>SUM(O16:O24)</f>
        <v>171.04771843220337</v>
      </c>
      <c r="P25" s="234">
        <f>SUM(P16:P24)</f>
        <v>34380.591404872874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33737.300000000003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4723.2220000000007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1180.8055000000002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27833.272500000003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6376.2711864406774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34209.54368644068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171.0477184322034</v>
      </c>
    </row>
    <row r="35" spans="2:16" ht="15.75" customHeight="1" thickBot="1" x14ac:dyDescent="0.4">
      <c r="N35" s="330" t="s">
        <v>88</v>
      </c>
      <c r="O35" s="331"/>
      <c r="P35" s="297">
        <f>+P33+P34</f>
        <v>34380.591404872881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G5" sqref="G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8.7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500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512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600</v>
      </c>
      <c r="I25" s="114">
        <f t="shared" si="7"/>
        <v>38741.399999999994</v>
      </c>
      <c r="J25" s="274">
        <f>SUM(J16:J24)</f>
        <v>5423.7960000000003</v>
      </c>
      <c r="K25" s="275">
        <f t="shared" si="7"/>
        <v>1355.9490000000001</v>
      </c>
      <c r="L25" s="276">
        <f t="shared" si="7"/>
        <v>0</v>
      </c>
      <c r="M25" s="232">
        <f t="shared" si="7"/>
        <v>31961.654999999999</v>
      </c>
      <c r="N25" s="233">
        <f>SUM(N16:N24)</f>
        <v>7322.0338983050842</v>
      </c>
      <c r="O25" s="101">
        <f>SUM(O16:O24)</f>
        <v>196.41844449152538</v>
      </c>
      <c r="P25" s="234">
        <f>SUM(P16:P24)</f>
        <v>39480.107342796604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38741.399999999994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5423.7960000000003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1355.9490000000001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31961.654999999992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7322.0338983050842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39283.688898305074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196.41844449152538</v>
      </c>
    </row>
    <row r="35" spans="2:16" ht="15.75" customHeight="1" thickBot="1" x14ac:dyDescent="0.4">
      <c r="N35" s="330" t="s">
        <v>88</v>
      </c>
      <c r="O35" s="331"/>
      <c r="P35" s="297">
        <f>+P33+P34</f>
        <v>39480.107342796597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8.7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499</v>
      </c>
      <c r="B4" s="354"/>
      <c r="C4" s="354"/>
      <c r="F4" s="85"/>
      <c r="G4" s="1"/>
      <c r="K4" s="355" t="s">
        <v>44</v>
      </c>
      <c r="L4" s="355"/>
      <c r="M4" s="355"/>
      <c r="N4" s="385">
        <v>46242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>N4-1</f>
        <v>46241</v>
      </c>
      <c r="O5" s="354"/>
      <c r="P5" s="354"/>
      <c r="R5" s="85"/>
      <c r="S5" s="266"/>
    </row>
    <row r="6" spans="1:22 16383:16384" ht="15" customHeight="1" x14ac:dyDescent="0.4">
      <c r="A6" s="383" t="s">
        <v>508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509</v>
      </c>
      <c r="B7" s="355"/>
      <c r="C7" s="355"/>
      <c r="F7" s="85"/>
      <c r="G7" s="86"/>
      <c r="K7" s="355" t="s">
        <v>66</v>
      </c>
      <c r="L7" s="355"/>
      <c r="M7" s="355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505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46242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46241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2026-08-07T12:29:34Z</dcterms:modified>
</cp:coreProperties>
</file>