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0BF6AAD-81B9-4F6F-A45D-59C023EE8C0E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<sst xmlns="http://schemas.openxmlformats.org/spreadsheetml/2006/main" count="3978" uniqueCount="528">
  <si>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</si>
  <si>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</si>
  <si>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</si>
  <si>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</si>
  <si>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</si>
  <si>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</si>
  <si>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</si>
  <si>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</si>
  <si>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</si>
  <si>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</si>
  <si>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</si>
  <si>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</si>
  <si>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</si>
  <si>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</si>
  <si>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</si>
  <si>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</si>
  <si>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</si>
  <si>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</si>
  <si>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</si>
  <si>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</si>
  <si>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</si>
  <si>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</si>
  <si>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</si>
  <si>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</si>
  <si>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</si>
  <si>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</si>
  <si>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</si>
  <si>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</si>
  <si>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</si>
  <si>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</si>
  <si>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</si>
  <si>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</si>
  <si>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</si>
  <si>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</si>
  <si>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</si>
  <si>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</si>
  <si>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</si>
  <si>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</si>
  <si>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</si>
  <si>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</si>
  <si>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</si>
  <si>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</si>
  <si>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</si>
  <si>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</si>
  <si>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</si>
  <si>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</si>
  <si>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</si>
  <si>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</si>
  <si>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</si>
  <si>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</si>
  <si>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</si>
  <si>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</si>
  <si>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</si>
  <si>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</si>
  <si>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</si>
  <si>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</si>
  <si>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</si>
  <si>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</si>
  <si>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</si>
  <si>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</si>
  <si>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</si>
  <si>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</si>
  <si>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</si>
  <si>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</si>
  <si>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</si>
  <si>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</si>
  <si>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</si>
  <si>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</si>
  <si>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</si>
  <si>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</si>
  <si>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</si>
  <si>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</si>
  <si>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</si>
  <si>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</si>
  <si>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</si>
  <si>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</si>
  <si>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</si>
  <si>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</si>
  <si>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</si>
  <si>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</si>
  <si>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</si>
  <si>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</si>
  <si>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</si>
  <si>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</si>
  <si>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</si>
  <si>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</si>
  <si>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</si>
  <si>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</si>
  <si>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</si>
  <si>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</si>
  <si>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</si>
  <si>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</si>
  <si>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</si>
  <si>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</si>
  <si>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</si>
  <si>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</si>
  <si>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</si>
  <si>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</si>
  <si>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</si>
  <si>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</si>
  <si>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</si>
  <si>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</si>
  <si>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</si>
  <si>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</si>
  <si>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</si>
  <si>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</si>
  <si>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</si>
  <si>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</si>
  <si>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</si>
  <si>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</si>
  <si>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</si>
  <si>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</si>
  <si>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</si>
  <si>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</si>
  <si>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</si>
  <si>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</si>
  <si>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</si>
  <si>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</si>
  <si>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</si>
  <si>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</si>
  <si>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</si>
  <si>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</si>
  <si>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</si>
  <si>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</si>
  <si>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</si>
  <si>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</si>
  <si>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</si>
  <si>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</si>
  <si>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</si>
  <si>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</si>
  <si>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</si>
  <si>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</si>
  <si>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</si>
  <si>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</si>
  <si>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</si>
  <si>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</si>
  <si>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</si>
  <si>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</si>
  <si>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</si>
  <si>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</si>
  <si>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</si>
  <si>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</si>
  <si>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</si>
  <si>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</si>
  <si>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</si>
  <si>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</si>
  <si>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</si>
  <si>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</si>
  <si>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</si>
  <si>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</si>
  <si>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</si>
  <si>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</si>
  <si>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</si>
  <si>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</si>
  <si>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</si>
  <si>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</si>
  <si>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</si>
  <si>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</si>
  <si>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</si>
  <si>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</si>
  <si>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</si>
  <si>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</si>
  <si>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</si>
  <si>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</si>
  <si>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</si>
  <si>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</si>
  <si>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</si>
  <si>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</si>
  <si>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</si>
  <si>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</si>
  <si>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</si>
  <si>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</si>
  <si>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</si>
  <si>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</si>
  <si>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</si>
  <si>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</si>
  <si>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</si>
  <si>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</si>
  <si>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</si>
  <si>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</si>
  <si>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</si>
  <si>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</si>
  <si>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</si>
  <si>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</si>
  <si>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</si>
  <si>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</si>
  <si>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</si>
  <si>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</si>
  <si>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</si>
  <si>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</si>
  <si>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</si>
  <si>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</si>
  <si>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</si>
  <si>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</si>
  <si>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</si>
  <si>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</si>
  <si>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</si>
  <si>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</si>
  <si>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</si>
  <si>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</si>
  <si>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</si>
  <si>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</si>
  <si>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</si>
  <si>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</si>
  <si>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</si>
  <si>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</si>
  <si>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</si>
  <si>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</si>
  <si>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</si>
  <si>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</si>
  <si>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</si>
  <si>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</si>
  <si>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</si>
  <si>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</si>
  <si>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</si>
  <si>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</si>
  <si>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</si>
  <si>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</si>
  <si>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</si>
  <si>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</si>
  <si>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</si>
  <si>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</si>
  <si>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</si>
  <si>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</si>
  <si>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</si>
  <si>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</si>
  <si>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</si>
  <si>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</si>
  <si>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</si>
  <si>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</si>
  <si>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</si>
  <si>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</si>
  <si>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</si>
  <si>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</si>
  <si>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</si>
  <si>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</si>
  <si>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</si>
  <si>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</si>
  <si>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</si>
  <si>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</si>
  <si>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</si>
  <si>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</si>
  <si>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</si>
  <si>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</si>
  <si>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</si>
  <si>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</si>
  <si>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</si>
  <si>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</si>
  <si>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</si>
  <si>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</si>
  <si>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</si>
  <si>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</si>
  <si>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</si>
  <si>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</si>
  <si>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</si>
  <si>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</si>
  <si>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</si>
  <si>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</si>
  <si>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</si>
  <si>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</si>
  <si>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</si>
  <si>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</si>
  <si>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</si>
  <si>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</si>
  <si>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</si>
  <si>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</si>
  <si>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</si>
  <si>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</si>
  <si>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</si>
  <si>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</si>
  <si>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</si>
  <si>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</si>
  <si>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</si>
  <si>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</si>
  <si>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</si>
  <si>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</si>
  <si>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</si>
  <si>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</si>
  <si>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</si>
  <si>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</si>
  <si>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</si>
  <si>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</si>
  <si>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</si>
  <si>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</si>
  <si>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</si>
  <si>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</si>
  <si>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</si>
  <si>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</si>
  <si>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</si>
  <si>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</si>
  <si>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</si>
  <si>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</si>
  <si>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</si>
  <si>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</si>
  <si>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</si>
  <si>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</si>
  <si>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</si>
  <si>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</si>
  <si>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</si>
  <si>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</si>
  <si>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</si>
  <si>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</si>
  <si>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</si>
  <si>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</si>
  <si>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</si>
  <si>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</si>
  <si>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</si>
  <si>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</si>
  <si>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</si>
  <si>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</si>
  <si>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</si>
  <si>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</si>
  <si>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</si>
  <si>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</si>
  <si>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</si>
  <si>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</si>
  <si>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</si>
  <si>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</si>
  <si>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</si>
  <si>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</si>
  <si>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</si>
  <si>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</si>
  <si>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</si>
  <si>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</si>
  <si>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</si>
  <si>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</si>
  <si>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</si>
  <si>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</si>
  <si>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</si>
  <si>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</si>
  <si>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</si>
  <si>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</si>
  <si>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</si>
  <si>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</si>
  <si>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</si>
  <si>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</si>
  <si>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</si>
  <si>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</si>
  <si>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</si>
  <si>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</si>
  <si>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</si>
  <si>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</si>
  <si>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</si>
  <si>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</si>
  <si>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</si>
  <si>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</si>
  <si>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</si>
  <si>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</si>
  <si>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</si>
  <si>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</si>
  <si>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</si>
  <si>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</si>
  <si>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</si>
  <si>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</si>
  <si>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</si>
  <si>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</si>
  <si>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</si>
  <si>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</si>
  <si>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</si>
  <si>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</si>
  <si>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</si>
  <si>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</si>
  <si>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</si>
  <si>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</si>
  <si>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</si>
  <si>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</si>
  <si>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</si>
  <si>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</si>
  <si>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</si>
  <si>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</si>
  <si>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</si>
  <si>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</si>
  <si>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</si>
  <si>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</si>
  <si>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</si>
  <si>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</si>
  <si>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</si>
  <si>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</si>
  <si>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</si>
  <si>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</si>
  <si>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</si>
  <si>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</si>
  <si>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</si>
  <si>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</si>
  <si>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</si>
  <si>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</si>
  <si>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</si>
  <si>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</si>
  <si>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</si>
  <si>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</si>
  <si>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</si>
  <si>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</si>
  <si>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</si>
  <si>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</si>
  <si>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</si>
  <si>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</si>
  <si>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</si>
  <si>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</si>
  <si>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</si>
  <si>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</si>
  <si>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</si>
  <si>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</si>
  <si>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</si>
  <si>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</si>
  <si>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</si>
  <si>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</si>
  <si>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</si>
  <si>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</si>
  <si>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</si>
  <si>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</si>
  <si>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</si>
  <si>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</si>
  <si>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</si>
  <si>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</si>
  <si>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</si>
  <si>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</si>
  <si>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</si>
  <si>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</si>
  <si>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</si>
  <si>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</si>
  <si>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</si>
  <si>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</si>
  <si>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</si>
  <si>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</si>
  <si>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</si>
  <si>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</si>
  <si>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</si>
  <si>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</si>
  <si>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</si>
  <si>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</si>
  <si>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</si>
  <si>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</si>
  <si>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</si>
  <si>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</si>
  <si>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</si>
  <si>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</si>
  <si>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</si>
  <si>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</si>
  <si>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</si>
  <si>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</si>
  <si>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</si>
  <si>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</si>
  <si>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</si>
  <si>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</si>
  <si>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</si>
  <si>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</si>
  <si>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</si>
  <si>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</si>
  <si>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</si>
  <si>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</si>
  <si>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</si>
  <si>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</si>
  <si>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</si>
  <si>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</si>
  <si>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</si>
  <si>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</si>
  <si>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</si>
  <si>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</si>
  <si>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</si>
  <si>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</si>
  <si>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</si>
  <si>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</si>
  <si>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</si>
  <si>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</si>
  <si>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</si>
  <si>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</si>
  <si>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</si>
  <si>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</si>
  <si>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</si>
  <si>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</si>
  <si>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</si>
  <si>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</si>
  <si>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</si>
  <si>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</si>
  <si>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</si>
  <si>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</si>
  <si>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</si>
  <si>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</si>
  <si>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</si>
  <si>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</si>
  <si>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</si>
  <si>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</si>
  <si>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</si>
  <si>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</si>
  <si>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</si>
  <si>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</si>
  <si>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</si>
  <si>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</si>
  <si>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</si>
  <si>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</si>
  <si>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</si>
  <si>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</si>
  <si>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</si>
  <si>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</si>
  <si>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</si>
  <si>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</si>
  <si>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</si>
  <si>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</si>
  <si>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</si>
  <si>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</si>
  <si>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</si>
  <si>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</si>
  <si>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</si>
  <si>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</si>
  <si>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</si>
  <si>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</si>
  <si>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</si>
  <si>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</si>
  <si>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</si>
  <si>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</si>
  <si>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</si>
  <si>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</si>
  <si>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</si>
  <si>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</si>
  <si>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</si>
  <si>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</si>
  <si>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Zeshan</t>
  </si>
  <si>
    <t>Allys Store</t>
  </si>
  <si>
    <t>Address: DHA</t>
  </si>
  <si>
    <t>Trust Store</t>
  </si>
  <si>
    <t>Bravo Store</t>
  </si>
  <si>
    <t>Defence Store</t>
  </si>
  <si>
    <t>MS Store</t>
  </si>
  <si>
    <t>Pakistan Store</t>
  </si>
  <si>
    <t>Mahraja Store</t>
  </si>
  <si>
    <t>MHT Store</t>
  </si>
  <si>
    <t>Hafiz Store</t>
  </si>
  <si>
    <t>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</si>
</sst>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Allys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Trust Store</v>
      </c>
      <c r="T4" s="301">
        <f>+'2'!P35</f>
        <v>1350.3157919809323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Bravo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Defence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125</v>
      </c>
      <c r="I7" s="235">
        <f>(G7*D7)*F7+H7*F7</f>
        <v>6557.8125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524.625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229.52343750000003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5803.6640625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1239.4067796610163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35.215354210805081</v>
      </c>
      <c r="P7" s="310">
        <f>M7+N7+O7</f>
        <v>7078.2861963718215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MS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100</v>
      </c>
      <c r="I8" s="236">
        <f t="shared" ref="I8:I14" si="0">(G8*D8)*F8+H8*F8</f>
        <v>5246.25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183.61875000000001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4642.9312499999996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991.52542372881317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28.172283368644067</v>
      </c>
      <c r="P8" s="311">
        <f t="shared" ref="P8:P15" si="2">M8+N8+O8</f>
        <v>5662.6289570974577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Pakistan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Mahraja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MHT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35</v>
      </c>
      <c r="I11" s="236">
        <f t="shared" si="0"/>
        <v>2542.4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203.392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88.984000000000009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2250.0240000000003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480.50847457627123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13.652662372881355</v>
      </c>
      <c r="P11" s="311">
        <f t="shared" si="2"/>
        <v>2744.1851369491528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Hafiz Store</v>
      </c>
      <c r="T11" s="301">
        <f>+'9'!P35</f>
        <v>9060.206331355932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25</v>
      </c>
      <c r="I12" s="236">
        <f t="shared" si="0"/>
        <v>1816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145.28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63.56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1607.16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343.22033898305085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9.7519016949152544</v>
      </c>
      <c r="P12" s="311">
        <f t="shared" si="2"/>
        <v>1960.1322406779661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Bilal Store</v>
      </c>
      <c r="T12" s="301">
        <f>+'10'!P35</f>
        <v>3201.5530323781777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</v>
      </c>
      <c r="I13" s="236">
        <f t="shared" si="0"/>
        <v>392.30000000000007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19.615000000000006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13.730500000000003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20.007300000000001</v>
      </c>
      <c r="M13" s="230">
        <f t="shared" si="1"/>
        <v>338.94720000000007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76.271186440677923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2.0760919322033899</v>
      </c>
      <c r="P13" s="311">
        <f t="shared" si="2"/>
        <v>417.29447837288137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8.375</v>
      </c>
      <c r="H16" s="113">
        <f t="shared" ref="H16:M16" si="3">SUM(H7:H15)</f>
        <v>335</v>
      </c>
      <c r="I16" s="114">
        <f t="shared" si="3"/>
        <v>19460.362499999999</v>
      </c>
      <c r="J16" s="274">
        <f>SUM(J7:J15)</f>
        <v>1545.0600000000002</v>
      </c>
      <c r="K16" s="275">
        <f t="shared" si="3"/>
        <v>681.11268750000011</v>
      </c>
      <c r="L16" s="276">
        <f t="shared" si="3"/>
        <v>20.007300000000001</v>
      </c>
      <c r="M16" s="232">
        <f t="shared" si="3"/>
        <v>17214.1825125</v>
      </c>
      <c r="N16" s="233">
        <f>SUM(N7:N15)</f>
        <v>3680.084745762711</v>
      </c>
      <c r="O16" s="101">
        <f>SUM(O7:O15)</f>
        <v>104.47133629131355</v>
      </c>
      <c r="P16" s="113">
        <f>SUM(P7:P15)</f>
        <v>20998.738594554026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19460.362499999999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1545.0600000000002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701.11998750000009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17214.1825125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3680.084745762711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20894.267258262709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104.47133629131355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20998.738594554023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20998.738594554026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116.224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50.848000000000006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1285.7280000000001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1560.3042711864407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1" t="s">
        <v>88</v>
      </c>
      <c r="O35" s="372"/>
      <c r="P35" s="297">
        <f>+P33+P34</f>
        <v>1568.1057925423729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113">
        <f>SUM(P16:P24)</f>
        <v>1350.3157919809323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1251.0250000000001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100.08199999999999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43.785875000000004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1107.1571250000002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1343.5978029661019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1" t="s">
        <v>88</v>
      </c>
      <c r="O35" s="372"/>
      <c r="P35" s="297">
        <f>+P33+P34</f>
        <v>1350.3157919809323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524.625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41.97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18.361875000000001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464.29312499999997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563.4456673728813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1" t="s">
        <v>88</v>
      </c>
      <c r="O35" s="372"/>
      <c r="P35" s="297">
        <f>+P33+P34</f>
        <v>566.26289570974575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524.625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41.97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18.361875000000001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464.29312499999997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563.4456673728813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1" t="s">
        <v>88</v>
      </c>
      <c r="O35" s="372"/>
      <c r="P35" s="297">
        <f>+P33+P34</f>
        <v>566.26289570974575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524.625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41.97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18.361875000000001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464.29312499999997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563.4456673728813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1" t="s">
        <v>88</v>
      </c>
      <c r="O35" s="372"/>
      <c r="P35" s="297">
        <f>+P33+P34</f>
        <v>566.26289570974575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524.625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41.97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18.361875000000001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464.29312499999997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563.4456673728813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1" t="s">
        <v>88</v>
      </c>
      <c r="O35" s="372"/>
      <c r="P35" s="297">
        <f>+P33+P34</f>
        <v>566.26289570974575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310">
        <f>M16+N16+O16</f>
        <v>4530.103165677966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311">
        <f t="shared" ref="P17:P24" si="5">M17+N17+O17</f>
        <v>4530.103165677966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160</v>
      </c>
      <c r="I25" s="114">
        <f t="shared" si="7"/>
        <v>8394</v>
      </c>
      <c r="J25" s="274">
        <f>SUM(J16:J24)</f>
        <v>671.52</v>
      </c>
      <c r="K25" s="275">
        <f t="shared" si="7"/>
        <v>293.79000000000002</v>
      </c>
      <c r="L25" s="276">
        <f t="shared" si="7"/>
        <v>0</v>
      </c>
      <c r="M25" s="232">
        <f t="shared" si="7"/>
        <v>7428.6900000000005</v>
      </c>
      <c r="N25" s="233">
        <f>SUM(N16:N24)</f>
        <v>1586.440677966101</v>
      </c>
      <c r="O25" s="101">
        <f>SUM(O16:O24)</f>
        <v>45.075653389830507</v>
      </c>
      <c r="P25" s="113">
        <f>SUM(P16:P24)</f>
        <v>9060.206331355932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8394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671.52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293.79000000000002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7428.69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1586.440677966101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9015.1306779661008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45.075653389830507</v>
      </c>
    </row>
    <row r="35" spans="2:16" ht="15.75" customHeight="1" thickBot="1" x14ac:dyDescent="0.4">
      <c r="N35" s="371" t="s">
        <v>88</v>
      </c>
      <c r="O35" s="372"/>
      <c r="P35" s="297">
        <f>+P33+P34</f>
        <v>9060.206331355932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45</v>
      </c>
      <c r="I25" s="114">
        <f t="shared" si="7"/>
        <v>2966.1374999999998</v>
      </c>
      <c r="J25" s="274">
        <f>SUM(J16:J24)</f>
        <v>237.291</v>
      </c>
      <c r="K25" s="275">
        <f t="shared" si="7"/>
        <v>103.81481250000002</v>
      </c>
      <c r="L25" s="276">
        <f t="shared" si="7"/>
        <v>0</v>
      </c>
      <c r="M25" s="232">
        <f t="shared" si="7"/>
        <v>2625.0316874999999</v>
      </c>
      <c r="N25" s="233">
        <f>SUM(N16:N24)</f>
        <v>560.59322033898297</v>
      </c>
      <c r="O25" s="101">
        <f>SUM(O16:O24)</f>
        <v>15.928124539194915</v>
      </c>
      <c r="P25" s="113">
        <f>SUM(P16:P24)</f>
        <v>3201.5530323781777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2966.1374999999998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237.291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103.81481250000002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2625.0316874999999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560.59322033898297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3185.6249078389828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15.928124539194915</v>
      </c>
    </row>
    <row r="35" spans="2:16" ht="15.75" customHeight="1" thickBot="1" x14ac:dyDescent="0.4">
      <c r="N35" s="371" t="s">
        <v>88</v>
      </c>
      <c r="O35" s="372"/>
      <c r="P35" s="297">
        <f>+P33+P34</f>
        <v>3201.5530323781777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46247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46246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2026-08-12T11:48:14Z</dcterms:modified>
</cp:coreProperties>
</file>