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1D7BC35-1887-4472-B109-4FEF1BCF7C5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<sst xmlns="http://schemas.openxmlformats.org/spreadsheetml/2006/main" count="3978" uniqueCount="527">
  <si>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</si>
  <si>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</si>
  <si>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</si>
  <si>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</si>
  <si>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</si>
  <si>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</si>
  <si>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</si>
  <si>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</si>
  <si>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</si>
  <si>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</si>
  <si>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</si>
  <si>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</si>
  <si>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</si>
  <si>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</si>
  <si>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</si>
  <si>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</si>
  <si>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</si>
  <si>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</si>
  <si>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</si>
  <si>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</si>
  <si>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</si>
  <si>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</si>
  <si>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</si>
  <si>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</si>
  <si>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</si>
  <si>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</si>
  <si>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</si>
  <si>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</si>
  <si>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</si>
  <si>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</si>
  <si>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</si>
  <si>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</si>
  <si>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</si>
  <si>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</si>
  <si>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</si>
  <si>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</si>
  <si>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</si>
  <si>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</si>
  <si>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</si>
  <si>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</si>
  <si>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</si>
  <si>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</si>
  <si>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</si>
  <si>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</si>
  <si>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</si>
  <si>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</si>
  <si>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</si>
  <si>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</si>
  <si>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</si>
  <si>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</si>
  <si>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</si>
  <si>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</si>
  <si>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</si>
  <si>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</si>
  <si>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</si>
  <si>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</si>
  <si>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</si>
  <si>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</si>
  <si>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</si>
  <si>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</si>
  <si>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</si>
  <si>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</si>
  <si>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</si>
  <si>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</si>
  <si>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</si>
  <si>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</si>
  <si>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</si>
  <si>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</si>
  <si>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</si>
  <si>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</si>
  <si>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</si>
  <si>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</si>
  <si>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</si>
  <si>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</si>
  <si>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</si>
  <si>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</si>
  <si>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</si>
  <si>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</si>
  <si>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</si>
  <si>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</si>
  <si>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</si>
  <si>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</si>
  <si>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</si>
  <si>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</si>
  <si>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</si>
  <si>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</si>
  <si>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</si>
  <si>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</si>
  <si>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</si>
  <si>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</si>
  <si>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</si>
  <si>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</si>
  <si>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</si>
  <si>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</si>
  <si>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</si>
  <si>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</si>
  <si>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</si>
  <si>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</si>
  <si>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</si>
  <si>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</si>
  <si>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</si>
  <si>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</si>
  <si>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</si>
  <si>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</si>
  <si>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</si>
  <si>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</si>
  <si>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</si>
  <si>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</si>
  <si>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</si>
  <si>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</si>
  <si>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</si>
  <si>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</si>
  <si>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</si>
  <si>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</si>
  <si>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</si>
  <si>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</si>
  <si>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</si>
  <si>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</si>
  <si>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</si>
  <si>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</si>
  <si>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</si>
  <si>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</si>
  <si>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</si>
  <si>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</si>
  <si>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</si>
  <si>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</si>
  <si>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</si>
  <si>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</si>
  <si>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</si>
  <si>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</si>
  <si>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</si>
  <si>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</si>
  <si>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</si>
  <si>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</si>
  <si>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</si>
  <si>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</si>
  <si>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</si>
  <si>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</si>
  <si>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</si>
  <si>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</si>
  <si>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</si>
  <si>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</si>
  <si>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</si>
  <si>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</si>
  <si>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</si>
  <si>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</si>
  <si>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</si>
  <si>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</si>
  <si>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</si>
  <si>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</si>
  <si>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</si>
  <si>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</si>
  <si>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</si>
  <si>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</si>
  <si>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</si>
  <si>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</si>
  <si>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</si>
  <si>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</si>
  <si>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</si>
  <si>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</si>
  <si>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</si>
  <si>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</si>
  <si>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</si>
  <si>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</si>
  <si>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</si>
  <si>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</si>
  <si>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</si>
  <si>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</si>
  <si>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</si>
  <si>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</si>
  <si>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</si>
  <si>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</si>
  <si>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</si>
  <si>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</si>
  <si>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</si>
  <si>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</si>
  <si>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</si>
  <si>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</si>
  <si>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</si>
  <si>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</si>
  <si>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</si>
  <si>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</si>
  <si>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</si>
  <si>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</si>
  <si>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</si>
  <si>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</si>
  <si>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</si>
  <si>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</si>
  <si>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</si>
  <si>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</si>
  <si>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</si>
  <si>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</si>
  <si>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</si>
  <si>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</si>
  <si>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</si>
  <si>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</si>
  <si>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</si>
  <si>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</si>
  <si>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</si>
  <si>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</si>
  <si>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</si>
  <si>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</si>
  <si>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</si>
  <si>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</si>
  <si>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</si>
  <si>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</si>
  <si>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</si>
  <si>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</si>
  <si>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</si>
  <si>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</si>
  <si>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</si>
  <si>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</si>
  <si>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</si>
  <si>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</si>
  <si>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</si>
  <si>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</si>
  <si>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</si>
  <si>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</si>
  <si>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</si>
  <si>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</si>
  <si>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</si>
  <si>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</si>
  <si>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</si>
  <si>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</si>
  <si>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</si>
  <si>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</si>
  <si>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</si>
  <si>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</si>
  <si>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</si>
  <si>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</si>
  <si>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</si>
  <si>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</si>
  <si>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</si>
  <si>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</si>
  <si>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</si>
  <si>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</si>
  <si>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</si>
  <si>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</si>
  <si>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</si>
  <si>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</si>
  <si>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</si>
  <si>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</si>
  <si>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</si>
  <si>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</si>
  <si>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</si>
  <si>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</si>
  <si>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</si>
  <si>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</si>
  <si>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</si>
  <si>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</si>
  <si>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</si>
  <si>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</si>
  <si>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</si>
  <si>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</si>
  <si>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</si>
  <si>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</si>
  <si>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</si>
  <si>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</si>
  <si>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</si>
  <si>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</si>
  <si>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</si>
  <si>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</si>
  <si>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</si>
  <si>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</si>
  <si>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</si>
  <si>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</si>
  <si>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</si>
  <si>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</si>
  <si>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</si>
  <si>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</si>
  <si>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</si>
  <si>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</si>
  <si>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</si>
  <si>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</si>
  <si>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</si>
  <si>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</si>
  <si>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</si>
  <si>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</si>
  <si>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</si>
  <si>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</si>
  <si>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</si>
  <si>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</si>
  <si>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</si>
  <si>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</si>
  <si>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</si>
  <si>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</si>
  <si>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</si>
  <si>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</si>
  <si>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</si>
  <si>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</si>
  <si>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</si>
  <si>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</si>
  <si>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</si>
  <si>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</si>
  <si>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</si>
  <si>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</si>
  <si>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</si>
  <si>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</si>
  <si>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</si>
  <si>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</si>
  <si>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</si>
  <si>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</si>
  <si>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</si>
  <si>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</si>
  <si>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</si>
  <si>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</si>
  <si>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</si>
  <si>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</si>
  <si>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</si>
  <si>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</si>
  <si>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</si>
  <si>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</si>
  <si>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</si>
  <si>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</si>
  <si>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</si>
  <si>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</si>
  <si>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</si>
  <si>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</si>
  <si>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</si>
  <si>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</si>
  <si>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</si>
  <si>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</si>
  <si>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</si>
  <si>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</si>
  <si>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</si>
  <si>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</si>
  <si>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</si>
  <si>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</si>
  <si>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</si>
  <si>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</si>
  <si>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</si>
  <si>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</si>
  <si>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</si>
  <si>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</si>
  <si>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</si>
  <si>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</si>
  <si>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</si>
  <si>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</si>
  <si>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</si>
  <si>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</si>
  <si>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</si>
  <si>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</si>
  <si>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</si>
  <si>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</si>
  <si>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</si>
  <si>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</si>
  <si>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</si>
  <si>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</si>
  <si>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</si>
  <si>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</si>
  <si>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</si>
  <si>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</si>
  <si>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</si>
  <si>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</si>
  <si>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</si>
  <si>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</si>
  <si>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</si>
  <si>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</si>
  <si>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</si>
  <si>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</si>
  <si>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</si>
  <si>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</si>
  <si>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</si>
  <si>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</si>
  <si>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</si>
  <si>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</si>
  <si>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</si>
  <si>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</si>
  <si>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</si>
  <si>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</si>
  <si>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</si>
  <si>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</si>
  <si>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</si>
  <si>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</si>
  <si>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</si>
  <si>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</si>
  <si>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</si>
  <si>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</si>
  <si>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</si>
  <si>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</si>
  <si>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</si>
  <si>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</si>
  <si>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</si>
  <si>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</si>
  <si>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</si>
  <si>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</si>
  <si>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</si>
  <si>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</si>
  <si>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</si>
  <si>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</si>
  <si>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</si>
  <si>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</si>
  <si>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</si>
  <si>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</si>
  <si>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</si>
  <si>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</si>
  <si>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</si>
  <si>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</si>
  <si>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</si>
  <si>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</si>
  <si>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</si>
  <si>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</si>
  <si>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</si>
  <si>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</si>
  <si>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</si>
  <si>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</si>
  <si>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</si>
  <si>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</si>
  <si>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</si>
  <si>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</si>
  <si>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</si>
  <si>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</si>
  <si>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</si>
  <si>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</si>
  <si>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</si>
  <si>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</si>
  <si>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</si>
  <si>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</si>
  <si>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</si>
  <si>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</si>
  <si>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</si>
  <si>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</si>
  <si>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</si>
  <si>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</si>
  <si>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</si>
  <si>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</si>
  <si>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</si>
  <si>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</si>
  <si>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</si>
  <si>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</si>
  <si>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</si>
  <si>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</si>
  <si>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</si>
  <si>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</si>
  <si>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</si>
  <si>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</si>
  <si>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</si>
  <si>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</si>
  <si>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</si>
  <si>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</si>
  <si>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</si>
  <si>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</si>
  <si>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</si>
  <si>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</si>
  <si>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</si>
  <si>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</si>
  <si>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</si>
  <si>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</si>
  <si>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</si>
  <si>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</si>
  <si>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</si>
  <si>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</si>
  <si>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</si>
  <si>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</si>
  <si>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</si>
  <si>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</si>
  <si>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</si>
  <si>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</si>
  <si>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</si>
  <si>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</si>
  <si>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</si>
  <si>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</si>
  <si>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</si>
  <si>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</si>
  <si>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</si>
  <si>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</si>
  <si>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</si>
  <si>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</si>
  <si>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</si>
  <si>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</si>
  <si>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</si>
  <si>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</si>
  <si>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</si>
  <si>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</si>
  <si>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</si>
  <si>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</si>
  <si>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</si>
  <si>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</si>
  <si>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</si>
  <si>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</si>
  <si>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</si>
  <si>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</si>
  <si>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</si>
  <si>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</si>
  <si>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</si>
  <si>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</si>
  <si>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</si>
  <si>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</si>
  <si>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</si>
  <si>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</si>
  <si>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</si>
  <si>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</si>
  <si>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</si>
  <si>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</si>
  <si>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</si>
  <si>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</si>
  <si>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</si>
  <si>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</si>
  <si>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</si>
  <si>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</si>
  <si>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</si>
  <si>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</si>
  <si>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</si>
  <si>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</si>
  <si>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</si>
  <si>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</si>
  <si>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</si>
  <si>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</si>
  <si>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</si>
  <si>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</si>
  <si>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</si>
  <si>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</si>
  <si>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</si>
  <si>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</si>
  <si>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</si>
  <si>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</si>
  <si>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</si>
  <si>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Imran Store</t>
  </si>
  <si>
    <t>Address: Cavelary Ground</t>
  </si>
  <si>
    <t>Chishtiya GS</t>
  </si>
  <si>
    <t>The Best buy Super Store</t>
  </si>
  <si>
    <t xml:space="preserve">Address: Cavelary </t>
  </si>
  <si>
    <t>Tahir Store</t>
  </si>
  <si>
    <t xml:space="preserve">Hamza Mart </t>
  </si>
  <si>
    <t>Wali Super Store</t>
  </si>
  <si>
    <t>Khan Store</t>
  </si>
  <si>
    <t>Nazer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</si>
</sst>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46247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Imran Store</v>
      </c>
      <c r="T3" s="301">
        <f>+'1'!P35</f>
        <v>470.43173776271186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Chishtiya GS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The Best buy Super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Tahir Store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Hamza Mart </v>
      </c>
      <c r="T7" s="301">
        <f>+'5'!P35</f>
        <v>13640.801086258474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Wali Super Store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Khan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82</v>
      </c>
      <c r="I10" s="236">
        <f t="shared" si="0"/>
        <v>5956.4800000000005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476.5184000000001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208.47680000000003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5271.4848000000002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1125.7627118644068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31.986237559322038</v>
      </c>
      <c r="P10" s="311">
        <f t="shared" si="2"/>
        <v>6429.233749423729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Nazer GS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</v>
      </c>
      <c r="I13" s="236">
        <f t="shared" si="0"/>
        <v>784.60000000000014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39.230000000000011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27.461000000000006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40.014600000000002</v>
      </c>
      <c r="M13" s="230">
        <f t="shared" si="1"/>
        <v>677.89440000000013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152.54237288135585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4.1521838644067799</v>
      </c>
      <c r="P13" s="311">
        <f t="shared" si="2"/>
        <v>834.58895674576274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6.05</v>
      </c>
      <c r="H16" s="113">
        <f t="shared" ref="H16:M16" si="3">SUM(H7:H15)</f>
        <v>242</v>
      </c>
      <c r="I16" s="114">
        <f t="shared" si="3"/>
        <v>15700.03</v>
      </c>
      <c r="J16" s="274">
        <f>SUM(J7:J15)</f>
        <v>1232.4644000000001</v>
      </c>
      <c r="K16" s="275">
        <f t="shared" si="3"/>
        <v>549.50105000000008</v>
      </c>
      <c r="L16" s="276">
        <f t="shared" si="3"/>
        <v>40.014600000000002</v>
      </c>
      <c r="M16" s="232">
        <f t="shared" si="3"/>
        <v>13878.049950000001</v>
      </c>
      <c r="N16" s="233">
        <f>SUM(N7:N15)</f>
        <v>2971.5254237288132</v>
      </c>
      <c r="O16" s="101">
        <f>SUM(O7:O15)</f>
        <v>84.24787686864407</v>
      </c>
      <c r="P16" s="113">
        <f>SUM(P7:P15)</f>
        <v>16933.823250597459</v>
      </c>
      <c r="Q16" s="128">
        <f>SUM(Q7:Q15)</f>
        <v>40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15700.03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1232.4644000000001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589.51565000000005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13878.049950000001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2971.5254237288132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16849.575373728814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84.24787686864407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16933.823250597459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16933.823250597456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435.84000000000003</v>
      </c>
      <c r="J25" s="274">
        <f>SUM(J16:J24)</f>
        <v>34.867200000000004</v>
      </c>
      <c r="K25" s="275">
        <f t="shared" si="10"/>
        <v>15.254400000000002</v>
      </c>
      <c r="L25" s="276">
        <f t="shared" si="10"/>
        <v>0</v>
      </c>
      <c r="M25" s="232">
        <f t="shared" si="10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435.84000000000003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34.867200000000004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15.254400000000002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385.71840000000003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468.09128135593221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2" t="s">
        <v>88</v>
      </c>
      <c r="O35" s="343"/>
      <c r="P35" s="297">
        <f>+P33+P34</f>
        <v>470.43173776271186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435.84000000000003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34.867200000000004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15.254400000000002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385.71840000000003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468.09128135593221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2" t="s">
        <v>88</v>
      </c>
      <c r="O35" s="343"/>
      <c r="P35" s="297">
        <f>+P33+P34</f>
        <v>470.43173776271186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6" workbookViewId="0">
      <selection activeCell="G22" sqref="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871.68000000000006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69.734400000000008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30.508800000000004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771.43680000000006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936.18256271186442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2" t="s">
        <v>88</v>
      </c>
      <c r="O35" s="343"/>
      <c r="P35" s="297">
        <f>+P33+P34</f>
        <v>940.86347552542372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12649.150000000001</v>
      </c>
      <c r="J25" s="274">
        <f>SUM(J16:J24)</f>
        <v>988.39400000000001</v>
      </c>
      <c r="K25" s="275">
        <f t="shared" si="7"/>
        <v>442.72025000000008</v>
      </c>
      <c r="L25" s="276">
        <f t="shared" si="7"/>
        <v>40.014600000000002</v>
      </c>
      <c r="M25" s="232">
        <f t="shared" si="7"/>
        <v>11178.02115</v>
      </c>
      <c r="N25" s="233">
        <f>SUM(N16:N24)</f>
        <v>2394.9152542372876</v>
      </c>
      <c r="O25" s="101">
        <f>SUM(O16:O24)</f>
        <v>67.864682021186439</v>
      </c>
      <c r="P25" s="113">
        <f>SUM(P16:P24)</f>
        <v>13640.801086258476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12649.150000000001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988.39400000000001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482.73485000000005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11178.02115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2394.9152542372876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13572.936404237287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67.864682021186439</v>
      </c>
    </row>
    <row r="35" spans="2:16" ht="15.75" customHeight="1" thickBot="1" x14ac:dyDescent="0.4">
      <c r="N35" s="342" t="s">
        <v>88</v>
      </c>
      <c r="O35" s="343"/>
      <c r="P35" s="297">
        <f>+P33+P34</f>
        <v>13640.801086258474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435.84000000000003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34.867200000000004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15.254400000000002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385.71840000000003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468.09128135593221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2" t="s">
        <v>88</v>
      </c>
      <c r="O35" s="343"/>
      <c r="P35" s="297">
        <f>+P33+P34</f>
        <v>470.43173776271186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435.84000000000003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34.867200000000004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15.254400000000002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385.71840000000003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468.09128135593221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2" t="s">
        <v>88</v>
      </c>
      <c r="O35" s="343"/>
      <c r="P35" s="297">
        <f>+P33+P34</f>
        <v>470.43173776271186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435.84000000000003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34.867200000000004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15.254400000000002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385.71840000000003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468.09128135593221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2" t="s">
        <v>88</v>
      </c>
      <c r="O35" s="343"/>
      <c r="P35" s="297">
        <f>+P33+P34</f>
        <v>470.43173776271186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2026-08-13T09:51:16Z</dcterms:modified>
</cp:coreProperties>
</file>