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91D7262-0680-4C1B-B124-48957A781FA3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3" l="1"/>
  <c r="O20" i="43" s="1"/>
  <c r="P20" i="43" s="1"/>
  <c r="R20" i="43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<sst xmlns="http://schemas.openxmlformats.org/spreadsheetml/2006/main" count="3978" uniqueCount="523">
  <si>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</si>
  <si>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</si>
  <si>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</si>
  <si>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</si>
  <si>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</si>
  <si>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</si>
  <si>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</si>
  <si>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</si>
  <si>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</si>
  <si>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</si>
  <si>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</si>
  <si>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</si>
  <si>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</si>
  <si>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</si>
  <si>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</si>
  <si>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</si>
  <si>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</si>
  <si>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</si>
  <si>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</si>
  <si>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</si>
  <si>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</si>
  <si>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</si>
  <si>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</si>
  <si>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</si>
  <si>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</si>
  <si>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</si>
  <si>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</si>
  <si>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</si>
  <si>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</si>
  <si>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</si>
  <si>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</si>
  <si>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</si>
  <si>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</si>
  <si>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</si>
  <si>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</si>
  <si>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</si>
  <si>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</si>
  <si>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</si>
  <si>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</si>
  <si>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</si>
  <si>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</si>
  <si>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</si>
  <si>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</si>
  <si>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</si>
  <si>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</si>
  <si>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</si>
  <si>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</si>
  <si>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</si>
  <si>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</si>
  <si>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</si>
  <si>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</si>
  <si>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</si>
  <si>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</si>
  <si>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</si>
  <si>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</si>
  <si>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</si>
  <si>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</si>
  <si>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</si>
  <si>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</si>
  <si>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</si>
  <si>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</si>
  <si>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</si>
  <si>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</si>
  <si>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</si>
  <si>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</si>
  <si>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</si>
  <si>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</si>
  <si>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</si>
  <si>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</si>
  <si>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</si>
  <si>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</si>
  <si>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</si>
  <si>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</si>
  <si>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</si>
  <si>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</si>
  <si>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</si>
  <si>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</si>
  <si>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</si>
  <si>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</si>
  <si>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</si>
  <si>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</si>
  <si>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</si>
  <si>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</si>
  <si>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</si>
  <si>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</si>
  <si>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</si>
  <si>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</si>
  <si>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</si>
  <si>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</si>
  <si>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</si>
  <si>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</si>
  <si>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</si>
  <si>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</si>
  <si>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</si>
  <si>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</si>
  <si>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</si>
  <si>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</si>
  <si>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</si>
  <si>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</si>
  <si>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</si>
  <si>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</si>
  <si>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</si>
  <si>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</si>
  <si>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</si>
  <si>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</si>
  <si>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</si>
  <si>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</si>
  <si>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</si>
  <si>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</si>
  <si>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</si>
  <si>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</si>
  <si>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</si>
  <si>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</si>
  <si>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</si>
  <si>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</si>
  <si>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</si>
  <si>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</si>
  <si>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</si>
  <si>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</si>
  <si>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</si>
  <si>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</si>
  <si>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</si>
  <si>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</si>
  <si>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</si>
  <si>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</si>
  <si>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</si>
  <si>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</si>
  <si>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</si>
  <si>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</si>
  <si>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</si>
  <si>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</si>
  <si>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</si>
  <si>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</si>
  <si>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</si>
  <si>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</si>
  <si>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</si>
  <si>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</si>
  <si>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</si>
  <si>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</si>
  <si>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</si>
  <si>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</si>
  <si>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</si>
  <si>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</si>
  <si>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</si>
  <si>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</si>
  <si>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</si>
  <si>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</si>
  <si>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</si>
  <si>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</si>
  <si>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</si>
  <si>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</si>
  <si>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</si>
  <si>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</si>
  <si>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</si>
  <si>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</si>
  <si>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</si>
  <si>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</si>
  <si>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</si>
  <si>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</si>
  <si>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</si>
  <si>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</si>
  <si>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</si>
  <si>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</si>
  <si>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</si>
  <si>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</si>
  <si>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</si>
  <si>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</si>
  <si>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</si>
  <si>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</si>
  <si>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</si>
  <si>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</si>
  <si>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</si>
  <si>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</si>
  <si>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</si>
  <si>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</si>
  <si>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</si>
  <si>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</si>
  <si>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</si>
  <si>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</si>
  <si>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</si>
  <si>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</si>
  <si>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</si>
  <si>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</si>
  <si>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</si>
  <si>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</si>
  <si>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</si>
  <si>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</si>
  <si>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</si>
  <si>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</si>
  <si>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</si>
  <si>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</si>
  <si>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</si>
  <si>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</si>
  <si>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</si>
  <si>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</si>
  <si>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</si>
  <si>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</si>
  <si>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</si>
  <si>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</si>
  <si>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</si>
  <si>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</si>
  <si>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</si>
  <si>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</si>
  <si>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</si>
  <si>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</si>
  <si>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</si>
  <si>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</si>
  <si>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</si>
  <si>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</si>
  <si>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</si>
  <si>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</si>
  <si>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</si>
  <si>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</si>
  <si>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</si>
  <si>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</si>
  <si>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</si>
  <si>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</si>
  <si>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</si>
  <si>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</si>
  <si>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</si>
  <si>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</si>
  <si>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</si>
  <si>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</si>
  <si>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</si>
  <si>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</si>
  <si>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</si>
  <si>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</si>
  <si>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</si>
  <si>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</si>
  <si>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</si>
  <si>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</si>
  <si>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</si>
  <si>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</si>
  <si>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</si>
  <si>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</si>
  <si>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</si>
  <si>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</si>
  <si>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</si>
  <si>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</si>
  <si>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</si>
  <si>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</si>
  <si>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</si>
  <si>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</si>
  <si>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</si>
  <si>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</si>
  <si>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</si>
  <si>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</si>
  <si>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</si>
  <si>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</si>
  <si>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</si>
  <si>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</si>
  <si>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</si>
  <si>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</si>
  <si>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</si>
  <si>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</si>
  <si>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</si>
  <si>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</si>
  <si>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</si>
  <si>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</si>
  <si>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</si>
  <si>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</si>
  <si>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</si>
  <si>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</si>
  <si>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</si>
  <si>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</si>
  <si>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</si>
  <si>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</si>
  <si>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</si>
  <si>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</si>
  <si>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</si>
  <si>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</si>
  <si>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</si>
  <si>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</si>
  <si>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</si>
  <si>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</si>
  <si>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</si>
  <si>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</si>
  <si>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</si>
  <si>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</si>
  <si>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</si>
  <si>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</si>
  <si>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</si>
  <si>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</si>
  <si>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</si>
  <si>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</si>
  <si>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</si>
  <si>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</si>
  <si>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</si>
  <si>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</si>
  <si>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</si>
  <si>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</si>
  <si>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</si>
  <si>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</si>
  <si>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</si>
  <si>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</si>
  <si>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</si>
  <si>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</si>
  <si>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</si>
  <si>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</si>
  <si>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</si>
  <si>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</si>
  <si>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</si>
  <si>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</si>
  <si>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</si>
  <si>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</si>
  <si>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</si>
  <si>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</si>
  <si>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</si>
  <si>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</si>
  <si>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</si>
  <si>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</si>
  <si>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</si>
  <si>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</si>
  <si>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</si>
  <si>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</si>
  <si>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</si>
  <si>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</si>
  <si>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</si>
  <si>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</si>
  <si>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</si>
  <si>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</si>
  <si>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</si>
  <si>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</si>
  <si>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</si>
  <si>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</si>
  <si>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</si>
  <si>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</si>
  <si>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</si>
  <si>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</si>
  <si>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</si>
  <si>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</si>
  <si>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</si>
  <si>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</si>
  <si>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</si>
  <si>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</si>
  <si>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</si>
  <si>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</si>
  <si>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</si>
  <si>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</si>
  <si>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</si>
  <si>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</si>
  <si>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</si>
  <si>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</si>
  <si>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</si>
  <si>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</si>
  <si>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</si>
  <si>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</si>
  <si>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</si>
  <si>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</si>
  <si>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</si>
  <si>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</si>
  <si>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</si>
  <si>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</si>
  <si>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</si>
  <si>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</si>
  <si>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</si>
  <si>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</si>
  <si>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</si>
  <si>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</si>
  <si>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</si>
  <si>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</si>
  <si>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</si>
  <si>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</si>
  <si>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</si>
  <si>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</si>
  <si>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</si>
  <si>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</si>
  <si>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</si>
  <si>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</si>
  <si>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</si>
  <si>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</si>
  <si>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</si>
  <si>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</si>
  <si>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</si>
  <si>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</si>
  <si>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</si>
  <si>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</si>
  <si>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</si>
  <si>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</si>
  <si>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</si>
  <si>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</si>
  <si>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</si>
  <si>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</si>
  <si>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</si>
  <si>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</si>
  <si>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</si>
  <si>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</si>
  <si>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</si>
  <si>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</si>
  <si>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</si>
  <si>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</si>
  <si>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</si>
  <si>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</si>
  <si>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</si>
  <si>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</si>
  <si>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</si>
  <si>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</si>
  <si>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</si>
  <si>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</si>
  <si>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</si>
  <si>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</si>
  <si>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</si>
  <si>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</si>
  <si>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</si>
  <si>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</si>
  <si>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</si>
  <si>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</si>
  <si>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</si>
  <si>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</si>
  <si>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</si>
  <si>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</si>
  <si>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</si>
  <si>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</si>
  <si>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</si>
  <si>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</si>
  <si>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</si>
  <si>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</si>
  <si>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</si>
  <si>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</si>
  <si>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</si>
  <si>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</si>
  <si>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</si>
  <si>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</si>
  <si>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</si>
  <si>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</si>
  <si>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</si>
  <si>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</si>
  <si>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</si>
  <si>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</si>
  <si>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</si>
  <si>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</si>
  <si>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</si>
  <si>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</si>
  <si>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</si>
  <si>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</si>
  <si>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</si>
  <si>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</si>
  <si>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</si>
  <si>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</si>
  <si>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</si>
  <si>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</si>
  <si>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</si>
  <si>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</si>
  <si>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</si>
  <si>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</si>
  <si>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</si>
  <si>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</si>
  <si>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</si>
  <si>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</si>
  <si>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</si>
  <si>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</si>
  <si>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</si>
  <si>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</si>
  <si>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</si>
  <si>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</si>
  <si>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</si>
  <si>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</si>
  <si>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</si>
  <si>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</si>
  <si>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</si>
  <si>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</si>
  <si>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</si>
  <si>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</si>
  <si>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</si>
  <si>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</si>
  <si>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</si>
  <si>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</si>
  <si>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</si>
  <si>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</si>
  <si>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</si>
  <si>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</si>
  <si>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</si>
  <si>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</si>
  <si>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</si>
  <si>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</si>
  <si>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</si>
  <si>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</si>
  <si>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</si>
  <si>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</si>
  <si>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</si>
  <si>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</si>
  <si>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</si>
  <si>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</si>
  <si>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</si>
  <si>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</si>
  <si>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</si>
  <si>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</si>
  <si>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</si>
  <si>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</si>
  <si>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</si>
  <si>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</si>
  <si>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</si>
  <si>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</si>
  <si>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</si>
  <si>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</si>
  <si>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</si>
  <si>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</si>
  <si>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</si>
  <si>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</si>
  <si>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</si>
  <si>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</si>
  <si>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</si>
  <si>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</si>
  <si>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</si>
  <si>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</si>
  <si>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</si>
  <si>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</si>
  <si>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</si>
  <si>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</si>
  <si>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</si>
  <si>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</si>
  <si>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</si>
  <si>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</si>
  <si>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</si>
  <si>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</si>
  <si>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</si>
  <si>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</si>
  <si>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Amna Departmental Store</t>
  </si>
  <si>
    <t>Address: Waris Road</t>
  </si>
  <si>
    <t>Chaudry General Store</t>
  </si>
  <si>
    <t>Address: Lawrance Road</t>
  </si>
  <si>
    <t>Lawrance Bakers &amp; GS</t>
  </si>
  <si>
    <t xml:space="preserve">Jabran Iqbal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</si>
</sst>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499</v>
      </c>
      <c r="F2" s="383"/>
      <c r="G2" s="383"/>
      <c r="H2" s="380" t="s">
        <v>522</v>
      </c>
      <c r="I2" s="380"/>
      <c r="J2" s="381"/>
      <c r="R2" s="377" t="s">
        <v>498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513</v>
      </c>
      <c r="F3" s="387"/>
      <c r="G3" s="387"/>
      <c r="H3" s="384">
        <f ca="1">TODAY()</f>
        <v>46253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>Amna Departmental Store</v>
      </c>
      <c r="T3" s="301">
        <f>+'1'!P35</f>
        <v>3136.2115850847458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Chaudry General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512</v>
      </c>
      <c r="R5" s="314">
        <v>3</v>
      </c>
      <c r="S5" s="300" t="str">
        <f>+'3'!A6:A6</f>
        <v>Lawrance Bakers &amp; GS</v>
      </c>
      <c r="T5" s="301">
        <f>+'3'!P35</f>
        <v>1669.1779134915255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511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4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4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4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15</v>
      </c>
      <c r="I10" s="236">
        <f t="shared" si="0"/>
        <v>1089.5999999999999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87.167999999999992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38.136000000000003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964.29599999999994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205.93220338983053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5.8511410169491525</v>
      </c>
      <c r="P10" s="311">
        <f t="shared" si="2"/>
        <v>1176.0793444067797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4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</v>
      </c>
      <c r="I11" s="236">
        <f t="shared" si="0"/>
        <v>726.4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58.112000000000002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25.424000000000003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642.86400000000003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137.28813559322035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3.9007606779661019</v>
      </c>
      <c r="P11" s="311">
        <f t="shared" si="2"/>
        <v>784.05289627118646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4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15</v>
      </c>
      <c r="I12" s="236">
        <f t="shared" si="0"/>
        <v>1089.5999999999999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87.167999999999992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38.136000000000003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964.29599999999994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205.93220338983053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5.8511410169491525</v>
      </c>
      <c r="P12" s="311">
        <f t="shared" si="2"/>
        <v>1176.0793444067797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4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40</v>
      </c>
      <c r="I13" s="236">
        <f t="shared" si="0"/>
        <v>1569.2000000000003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78.460000000000022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54.922000000000011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80.029200000000003</v>
      </c>
      <c r="M13" s="230">
        <f t="shared" si="1"/>
        <v>1355.7888000000003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305.08474576271169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8.3043677288135598</v>
      </c>
      <c r="P13" s="311">
        <f t="shared" si="2"/>
        <v>1669.1779134915255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12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2</v>
      </c>
      <c r="H16" s="113">
        <f t="shared" ref="H16:M16" si="3">SUM(H7:H15)</f>
        <v>80</v>
      </c>
      <c r="I16" s="114">
        <f t="shared" si="3"/>
        <v>4474.8</v>
      </c>
      <c r="J16" s="274">
        <f>SUM(J7:J15)</f>
        <v>310.90800000000002</v>
      </c>
      <c r="K16" s="275">
        <f t="shared" si="3"/>
        <v>156.61799999999999</v>
      </c>
      <c r="L16" s="276">
        <f t="shared" si="3"/>
        <v>80.029200000000003</v>
      </c>
      <c r="M16" s="232">
        <f t="shared" si="3"/>
        <v>3927.2447999999999</v>
      </c>
      <c r="N16" s="233">
        <f>SUM(N7:N15)</f>
        <v>854.23728813559308</v>
      </c>
      <c r="O16" s="101">
        <f>SUM(O7:O15)</f>
        <v>23.907410440677968</v>
      </c>
      <c r="P16" s="113">
        <f>SUM(P7:P15)</f>
        <v>4805.3894985762709</v>
      </c>
      <c r="Q16" s="128">
        <f>SUM(Q7:Q15)</f>
        <v>36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4474.8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310.90800000000002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236.6472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3927.2447999999999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854.23728813559308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4781.4820881355927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23.907410440677968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4805.3894985762709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4805.3894985762709</v>
      </c>
    </row>
    <row r="44" spans="2:20" x14ac:dyDescent="0.35">
      <c r="B44" t="s">
        <v>505</v>
      </c>
    </row>
    <row r="45" spans="2:20" x14ac:dyDescent="0.35">
      <c r="B45" t="s">
        <v>506</v>
      </c>
    </row>
    <row r="46" spans="2:20" x14ac:dyDescent="0.35">
      <c r="B46" t="s">
        <v>507</v>
      </c>
    </row>
    <row r="47" spans="2:20" x14ac:dyDescent="0.35">
      <c r="B47" t="s">
        <v>508</v>
      </c>
    </row>
    <row r="48" spans="2:20" x14ac:dyDescent="0.35">
      <c r="B48" t="s">
        <v>509</v>
      </c>
    </row>
    <row r="49" spans="2:2" x14ac:dyDescent="0.35">
      <c r="B49" t="s">
        <v>514</v>
      </c>
    </row>
    <row r="50" spans="2:2" x14ac:dyDescent="0.35">
      <c r="B50" t="s">
        <v>516</v>
      </c>
    </row>
    <row r="51" spans="2:2" x14ac:dyDescent="0.35">
      <c r="B51" t="s">
        <v>515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H5" sqref="H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7.25" customHeight="1" x14ac:dyDescent="0.4">
      <c r="A6" s="397" t="s">
        <v>517</v>
      </c>
      <c r="B6" s="397"/>
      <c r="C6" s="397"/>
      <c r="F6" s="85"/>
      <c r="G6" s="86"/>
      <c r="K6" s="392" t="s">
        <v>69</v>
      </c>
      <c r="L6" s="392"/>
      <c r="M6" s="392"/>
      <c r="N6" s="394" t="s">
        <v>516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518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7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7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311">
        <f t="shared" si="5"/>
        <v>1176.0793444067797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2905.6</v>
      </c>
      <c r="J25" s="274">
        <f>SUM(J16:J24)</f>
        <v>232.44799999999998</v>
      </c>
      <c r="K25" s="275">
        <f t="shared" si="10"/>
        <v>101.696</v>
      </c>
      <c r="L25" s="276">
        <f t="shared" si="10"/>
        <v>0</v>
      </c>
      <c r="M25" s="232">
        <f t="shared" si="10"/>
        <v>2571.4559999999997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2905.6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232.44799999999998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101.696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2571.4560000000001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3120.6085423728814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1" t="s">
        <v>88</v>
      </c>
      <c r="O35" s="372"/>
      <c r="P35" s="297">
        <f>+P33+P34</f>
        <v>3136.2115850847458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0" workbookViewId="0">
      <selection activeCell="H22" sqref="H16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519</v>
      </c>
      <c r="B6" s="397"/>
      <c r="C6" s="397"/>
      <c r="F6" s="85"/>
      <c r="G6" s="86"/>
      <c r="K6" s="392" t="s">
        <v>69</v>
      </c>
      <c r="L6" s="392"/>
      <c r="M6" s="392"/>
      <c r="N6" s="394" t="s">
        <v>516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520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>
        <v>4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>
        <v>4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>
        <v>4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4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4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4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36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8.75" customHeight="1" x14ac:dyDescent="0.4">
      <c r="A6" s="397" t="s">
        <v>521</v>
      </c>
      <c r="B6" s="397"/>
      <c r="C6" s="397"/>
      <c r="F6" s="85"/>
      <c r="G6" s="86"/>
      <c r="K6" s="392" t="s">
        <v>69</v>
      </c>
      <c r="L6" s="392"/>
      <c r="M6" s="392"/>
      <c r="N6" s="394" t="s">
        <v>516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520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1569.2000000000003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78.460000000000022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134.95120000000003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1355.7888000000003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1660.873545762712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1" t="s">
        <v>88</v>
      </c>
      <c r="O35" s="372"/>
      <c r="P35" s="297">
        <f>+P33+P34</f>
        <v>1669.1779134915255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F7" sqref="F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516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500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501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502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8.75" customHeight="1" x14ac:dyDescent="0.4">
      <c r="A6" s="397" t="s">
        <v>503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504</v>
      </c>
      <c r="B4" s="391"/>
      <c r="C4" s="391"/>
      <c r="F4" s="85"/>
      <c r="G4" s="1"/>
      <c r="K4" s="392" t="s">
        <v>44</v>
      </c>
      <c r="L4" s="392"/>
      <c r="M4" s="392"/>
      <c r="N4" s="395">
        <v>46247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46246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510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510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512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511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46254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46253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2026-08-19T06:37:53Z</dcterms:modified>
</cp:coreProperties>
</file>