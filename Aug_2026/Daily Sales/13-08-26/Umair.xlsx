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12432C4-440B-4704-A6CB-316BDC96E90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<sst xmlns="http://schemas.openxmlformats.org/spreadsheetml/2006/main" count="3978" uniqueCount="529">
  <si>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</si>
  <si>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</si>
  <si>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</si>
  <si>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</si>
  <si>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</si>
  <si>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</si>
  <si>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</si>
  <si>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</si>
  <si>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</si>
  <si>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</si>
  <si>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</si>
  <si>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</si>
  <si>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</si>
  <si>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</si>
  <si>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</si>
  <si>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</si>
  <si>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</si>
  <si>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</si>
  <si>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</si>
  <si>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</si>
  <si>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</si>
  <si>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</si>
  <si>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</si>
  <si>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</si>
  <si>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</si>
  <si>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</si>
  <si>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</si>
  <si>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</si>
  <si>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</si>
  <si>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</si>
  <si>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</si>
  <si>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</si>
  <si>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</si>
  <si>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</si>
  <si>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</si>
  <si>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</si>
  <si>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</si>
  <si>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</si>
  <si>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</si>
  <si>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</si>
  <si>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</si>
  <si>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</si>
  <si>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</si>
  <si>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</si>
  <si>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</si>
  <si>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</si>
  <si>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</si>
  <si>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</si>
  <si>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</si>
  <si>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</si>
  <si>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</si>
  <si>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</si>
  <si>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</si>
  <si>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</si>
  <si>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</si>
  <si>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</si>
  <si>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</si>
  <si>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</si>
  <si>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</si>
  <si>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</si>
  <si>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</si>
  <si>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</si>
  <si>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</si>
  <si>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</si>
  <si>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</si>
  <si>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</si>
  <si>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</si>
  <si>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</si>
  <si>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</si>
  <si>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</si>
  <si>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</si>
  <si>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</si>
  <si>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</si>
  <si>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</si>
  <si>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</si>
  <si>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</si>
  <si>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</si>
  <si>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</si>
  <si>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</si>
  <si>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</si>
  <si>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</si>
  <si>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</si>
  <si>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</si>
  <si>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</si>
  <si>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</si>
  <si>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</si>
  <si>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</si>
  <si>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</si>
  <si>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</si>
  <si>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</si>
  <si>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</si>
  <si>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</si>
  <si>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</si>
  <si>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</si>
  <si>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</si>
  <si>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</si>
  <si>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</si>
  <si>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</si>
  <si>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</si>
  <si>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</si>
  <si>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</si>
  <si>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</si>
  <si>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</si>
  <si>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</si>
  <si>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</si>
  <si>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</si>
  <si>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</si>
  <si>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</si>
  <si>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</si>
  <si>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</si>
  <si>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</si>
  <si>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</si>
  <si>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</si>
  <si>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</si>
  <si>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</si>
  <si>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</si>
  <si>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</si>
  <si>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</si>
  <si>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</si>
  <si>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</si>
  <si>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</si>
  <si>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</si>
  <si>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</si>
  <si>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</si>
  <si>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</si>
  <si>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</si>
  <si>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</si>
  <si>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</si>
  <si>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</si>
  <si>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</si>
  <si>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</si>
  <si>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</si>
  <si>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</si>
  <si>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</si>
  <si>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</si>
  <si>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</si>
  <si>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</si>
  <si>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</si>
  <si>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</si>
  <si>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</si>
  <si>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</si>
  <si>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</si>
  <si>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</si>
  <si>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</si>
  <si>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</si>
  <si>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</si>
  <si>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</si>
  <si>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</si>
  <si>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</si>
  <si>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</si>
  <si>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</si>
  <si>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</si>
  <si>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</si>
  <si>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</si>
  <si>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</si>
  <si>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</si>
  <si>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</si>
  <si>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</si>
  <si>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</si>
  <si>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</si>
  <si>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</si>
  <si>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</si>
  <si>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</si>
  <si>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</si>
  <si>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</si>
  <si>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</si>
  <si>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</si>
  <si>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</si>
  <si>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</si>
  <si>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</si>
  <si>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</si>
  <si>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</si>
  <si>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</si>
  <si>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</si>
  <si>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</si>
  <si>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</si>
  <si>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</si>
  <si>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</si>
  <si>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</si>
  <si>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</si>
  <si>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</si>
  <si>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</si>
  <si>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</si>
  <si>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</si>
  <si>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</si>
  <si>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</si>
  <si>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</si>
  <si>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</si>
  <si>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</si>
  <si>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</si>
  <si>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</si>
  <si>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</si>
  <si>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</si>
  <si>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</si>
  <si>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</si>
  <si>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</si>
  <si>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</si>
  <si>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</si>
  <si>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</si>
  <si>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</si>
  <si>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</si>
  <si>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</si>
  <si>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</si>
  <si>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</si>
  <si>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</si>
  <si>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</si>
  <si>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</si>
  <si>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</si>
  <si>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</si>
  <si>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</si>
  <si>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</si>
  <si>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</si>
  <si>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</si>
  <si>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</si>
  <si>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</si>
  <si>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</si>
  <si>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</si>
  <si>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</si>
  <si>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</si>
  <si>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</si>
  <si>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</si>
  <si>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</si>
  <si>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</si>
  <si>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</si>
  <si>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</si>
  <si>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</si>
  <si>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</si>
  <si>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</si>
  <si>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</si>
  <si>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</si>
  <si>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</si>
  <si>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</si>
  <si>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</si>
  <si>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</si>
  <si>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</si>
  <si>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</si>
  <si>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</si>
  <si>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</si>
  <si>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</si>
  <si>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</si>
  <si>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</si>
  <si>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</si>
  <si>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</si>
  <si>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</si>
  <si>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</si>
  <si>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</si>
  <si>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</si>
  <si>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</si>
  <si>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</si>
  <si>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</si>
  <si>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</si>
  <si>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</si>
  <si>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</si>
  <si>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</si>
  <si>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</si>
  <si>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</si>
  <si>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</si>
  <si>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</si>
  <si>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</si>
  <si>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</si>
  <si>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</si>
  <si>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</si>
  <si>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</si>
  <si>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</si>
  <si>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</si>
  <si>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</si>
  <si>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</si>
  <si>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</si>
  <si>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</si>
  <si>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</si>
  <si>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</si>
  <si>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</si>
  <si>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</si>
  <si>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</si>
  <si>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</si>
  <si>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</si>
  <si>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</si>
  <si>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</si>
  <si>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</si>
  <si>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</si>
  <si>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</si>
  <si>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</si>
  <si>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</si>
  <si>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</si>
  <si>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</si>
  <si>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</si>
  <si>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</si>
  <si>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</si>
  <si>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</si>
  <si>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</si>
  <si>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</si>
  <si>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</si>
  <si>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</si>
  <si>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</si>
  <si>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</si>
  <si>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</si>
  <si>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</si>
  <si>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</si>
  <si>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</si>
  <si>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</si>
  <si>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</si>
  <si>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</si>
  <si>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</si>
  <si>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</si>
  <si>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</si>
  <si>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</si>
  <si>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</si>
  <si>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</si>
  <si>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</si>
  <si>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</si>
  <si>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</si>
  <si>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</si>
  <si>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</si>
  <si>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</si>
  <si>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</si>
  <si>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</si>
  <si>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</si>
  <si>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</si>
  <si>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</si>
  <si>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</si>
  <si>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</si>
  <si>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</si>
  <si>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</si>
  <si>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</si>
  <si>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</si>
  <si>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</si>
  <si>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</si>
  <si>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</si>
  <si>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</si>
  <si>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</si>
  <si>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</si>
  <si>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</si>
  <si>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</si>
  <si>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</si>
  <si>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</si>
  <si>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</si>
  <si>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</si>
  <si>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</si>
  <si>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</si>
  <si>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</si>
  <si>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</si>
  <si>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</si>
  <si>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</si>
  <si>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</si>
  <si>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</si>
  <si>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</si>
  <si>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</si>
  <si>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</si>
  <si>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</si>
  <si>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</si>
  <si>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</si>
  <si>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</si>
  <si>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</si>
  <si>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</si>
  <si>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</si>
  <si>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</si>
  <si>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</si>
  <si>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</si>
  <si>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</si>
  <si>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</si>
  <si>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</si>
  <si>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</si>
  <si>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</si>
  <si>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</si>
  <si>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</si>
  <si>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</si>
  <si>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</si>
  <si>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</si>
  <si>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</si>
  <si>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</si>
  <si>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</si>
  <si>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</si>
  <si>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</si>
  <si>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</si>
  <si>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</si>
  <si>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</si>
  <si>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</si>
  <si>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</si>
  <si>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</si>
  <si>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</si>
  <si>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</si>
  <si>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</si>
  <si>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</si>
  <si>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</si>
  <si>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</si>
  <si>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</si>
  <si>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</si>
  <si>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</si>
  <si>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</si>
  <si>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</si>
  <si>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</si>
  <si>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</si>
  <si>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</si>
  <si>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</si>
  <si>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</si>
  <si>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</si>
  <si>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</si>
  <si>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</si>
  <si>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</si>
  <si>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</si>
  <si>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</si>
  <si>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</si>
  <si>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</si>
  <si>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</si>
  <si>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</si>
  <si>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</si>
  <si>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</si>
  <si>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</si>
  <si>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</si>
  <si>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</si>
  <si>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</si>
  <si>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</si>
  <si>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</si>
  <si>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</si>
  <si>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</si>
  <si>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</si>
  <si>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</si>
  <si>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</si>
  <si>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</si>
  <si>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</si>
  <si>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</si>
  <si>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</si>
  <si>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</si>
  <si>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</si>
  <si>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</si>
  <si>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</si>
  <si>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</si>
  <si>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</si>
  <si>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</si>
  <si>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</si>
  <si>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</si>
  <si>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</si>
  <si>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</si>
  <si>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</si>
  <si>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</si>
  <si>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</si>
  <si>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</si>
  <si>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</si>
  <si>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</si>
  <si>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</si>
  <si>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</si>
  <si>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</si>
  <si>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</si>
  <si>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</si>
  <si>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</si>
  <si>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</si>
  <si>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</si>
  <si>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</si>
  <si>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</si>
  <si>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</si>
  <si>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</si>
  <si>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</si>
  <si>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</si>
  <si>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</si>
  <si>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</si>
  <si>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</si>
  <si>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</si>
  <si>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</si>
  <si>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</si>
  <si>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</si>
  <si>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</si>
  <si>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</si>
  <si>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</si>
  <si>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</si>
  <si>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</si>
  <si>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</si>
  <si>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</si>
  <si>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</si>
  <si>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</si>
  <si>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</si>
  <si>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</si>
  <si>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</si>
  <si>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</si>
  <si>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</si>
  <si>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</si>
  <si>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</si>
  <si>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</si>
  <si>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</si>
  <si>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</si>
  <si>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</si>
  <si>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</si>
  <si>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</si>
  <si>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</si>
  <si>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</si>
  <si>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</si>
  <si>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</si>
  <si>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</si>
  <si>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</si>
  <si>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</si>
  <si>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</si>
  <si>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</si>
  <si>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</si>
  <si>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</si>
  <si>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</si>
  <si>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</si>
  <si>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</si>
  <si>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</si>
  <si>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</si>
  <si>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</si>
  <si>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</si>
  <si>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</si>
  <si>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</si>
  <si>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</si>
  <si>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</si>
  <si>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</si>
  <si>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</si>
  <si>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</si>
  <si>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</si>
  <si>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</si>
  <si>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</si>
  <si>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</si>
  <si>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</si>
  <si>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</si>
  <si>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</si>
  <si>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</si>
  <si>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</si>
  <si>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</si>
  <si>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>Mehmood Quality Store</t>
  </si>
  <si>
    <t>Address: Youna Abad</t>
  </si>
  <si>
    <t xml:space="preserve">Khatak Pishawar </t>
  </si>
  <si>
    <t>Address: Youna abad</t>
  </si>
  <si>
    <t xml:space="preserve">Grace Land Mart </t>
  </si>
  <si>
    <t>Khadija Kareyana Store</t>
  </si>
  <si>
    <t>Address: Younaabad</t>
  </si>
  <si>
    <t>Bhai Bhai GS</t>
  </si>
  <si>
    <t xml:space="preserve">Kekis Bakers </t>
  </si>
  <si>
    <t>Malik Iftakhar Kareyana Store</t>
  </si>
  <si>
    <t>Noppr madina Store</t>
  </si>
  <si>
    <t>Address: Statelife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</si>
</sst>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U7" sqref="U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46246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Mehmood Quality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Khatak Pishawar </v>
      </c>
      <c r="T4" s="301">
        <f>+'2'!P35</f>
        <v>2139.6096512542376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Grace Land Mart 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Khadija Kareyana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Bhai Bhai GS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Kekis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Iftakhar Kareyana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7071.5039999999999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42.908367457627122</v>
      </c>
      <c r="P10" s="311">
        <f t="shared" si="2"/>
        <v>8624.5818589830506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Noppr madina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172</v>
      </c>
      <c r="I13" s="236">
        <f t="shared" si="0"/>
        <v>6747.56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337.3780000000001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236.16460000000006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344.12556000000001</v>
      </c>
      <c r="M13" s="230">
        <f t="shared" si="1"/>
        <v>5829.8918400000002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1311.8644067796604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35.708781233898307</v>
      </c>
      <c r="P13" s="311">
        <f t="shared" si="2"/>
        <v>7177.4650280135593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10.050000000000001</v>
      </c>
      <c r="H16" s="113">
        <f t="shared" ref="H16:M16" si="3">SUM(H7:H15)</f>
        <v>402</v>
      </c>
      <c r="I16" s="114">
        <f t="shared" si="3"/>
        <v>23454.76</v>
      </c>
      <c r="J16" s="274">
        <f>SUM(J7:J15)</f>
        <v>1673.9540000000002</v>
      </c>
      <c r="K16" s="275">
        <f t="shared" si="3"/>
        <v>820.91660000000013</v>
      </c>
      <c r="L16" s="276">
        <f t="shared" si="3"/>
        <v>344.12556000000001</v>
      </c>
      <c r="M16" s="232">
        <f t="shared" si="3"/>
        <v>20615.76384</v>
      </c>
      <c r="N16" s="233">
        <f>SUM(N7:N15)</f>
        <v>4469.4915254237285</v>
      </c>
      <c r="O16" s="101">
        <f>SUM(O7:O15)</f>
        <v>125.42627682711866</v>
      </c>
      <c r="P16" s="113">
        <f>SUM(P7:P15)</f>
        <v>25210.681642250849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23454.76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1673.9540000000002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1165.0421600000002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20615.763839999996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4469.4915254237285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25085.255365423724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125.42627682711866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25210.681642250842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25210.681642250849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7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311">
        <f t="shared" si="5"/>
        <v>1881.7269510508474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1743.3600000000001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139.46880000000002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61.017600000000009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1542.8736000000001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1872.3651254237288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1" t="s">
        <v>88</v>
      </c>
      <c r="O35" s="372"/>
      <c r="P35" s="297">
        <f>+P33+P34</f>
        <v>1881.7269510508474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46</v>
      </c>
      <c r="I25" s="114">
        <f t="shared" si="7"/>
        <v>2005.0400000000004</v>
      </c>
      <c r="J25" s="274">
        <f>SUM(J16:J24)</f>
        <v>113.32720000000003</v>
      </c>
      <c r="K25" s="275">
        <f t="shared" si="7"/>
        <v>70.176400000000015</v>
      </c>
      <c r="L25" s="276">
        <f t="shared" si="7"/>
        <v>80.029200000000003</v>
      </c>
      <c r="M25" s="232">
        <f t="shared" si="7"/>
        <v>1741.5072000000002</v>
      </c>
      <c r="N25" s="233">
        <f>SUM(N16:N24)</f>
        <v>387.45762711864393</v>
      </c>
      <c r="O25" s="101">
        <f>SUM(O16:O24)</f>
        <v>10.644824135593222</v>
      </c>
      <c r="P25" s="113">
        <f>SUM(P16:P24)</f>
        <v>2139.6096512542372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2005.0400000000004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113.32720000000003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150.2056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1741.5072000000005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387.45762711864393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2128.9648271186443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10.644824135593222</v>
      </c>
    </row>
    <row r="35" spans="2:16" ht="15.75" customHeight="1" thickBot="1" x14ac:dyDescent="0.4">
      <c r="N35" s="371" t="s">
        <v>88</v>
      </c>
      <c r="O35" s="372"/>
      <c r="P35" s="297">
        <f>+P33+P34</f>
        <v>2139.6096512542376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8716.7999999999993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697.34400000000005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305.08800000000002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7714.3679999999995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9361.8256271186438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1" t="s">
        <v>88</v>
      </c>
      <c r="O35" s="372"/>
      <c r="P35" s="297">
        <f>+P33+P34</f>
        <v>9408.6347552542375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470.76000000000005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23.538000000000004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40.485360000000007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406.73664000000002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498.26206372881353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1" t="s">
        <v>88</v>
      </c>
      <c r="O35" s="372"/>
      <c r="P35" s="297">
        <f>+P33+P34</f>
        <v>500.75337404745761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523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5811.2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464.89600000000002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203.39200000000002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5142.9120000000003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6241.2170847457628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1" t="s">
        <v>88</v>
      </c>
      <c r="O35" s="372"/>
      <c r="P35" s="297">
        <f>+P33+P34</f>
        <v>6272.4231701694916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520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506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528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1569.2000000000003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78.460000000000022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134.95120000000003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1355.7888000000003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1660.873545762712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1" t="s">
        <v>88</v>
      </c>
      <c r="O35" s="372"/>
      <c r="P35" s="297">
        <f>+P33+P34</f>
        <v>1669.1779134915255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46247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46246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46247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46246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2026-08-12T11:48:08Z</dcterms:modified>
</cp:coreProperties>
</file>