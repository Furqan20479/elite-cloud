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25FB83E-627D-4EC1-8B3A-164E09873FB2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J7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<sst xmlns="http://schemas.openxmlformats.org/spreadsheetml/2006/main" count="3978" uniqueCount="530">
  <si>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</si>
  <si>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</si>
  <si>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</si>
  <si>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</si>
  <si>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</si>
  <si>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</si>
  <si>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</si>
  <si>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</si>
  <si>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</si>
  <si>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</si>
  <si>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</si>
  <si>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</si>
  <si>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</si>
  <si>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</si>
  <si>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</si>
  <si>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</si>
  <si>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</si>
  <si>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</si>
  <si>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</si>
  <si>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</si>
  <si>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</si>
  <si>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</si>
  <si>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</si>
  <si>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</si>
  <si>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</si>
  <si>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</si>
  <si>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</si>
  <si>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</si>
  <si>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</si>
  <si>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</si>
  <si>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</si>
  <si>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</si>
  <si>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</si>
  <si>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</si>
  <si>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</si>
  <si>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</si>
  <si>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</si>
  <si>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</si>
  <si>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</si>
  <si>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</si>
  <si>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</si>
  <si>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</si>
  <si>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</si>
  <si>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</si>
  <si>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</si>
  <si>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</si>
  <si>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</si>
  <si>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</si>
  <si>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</si>
  <si>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</si>
  <si>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</si>
  <si>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</si>
  <si>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</si>
  <si>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</si>
  <si>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</si>
  <si>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</si>
  <si>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</si>
  <si>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</si>
  <si>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</si>
  <si>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</si>
  <si>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</si>
  <si>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</si>
  <si>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</si>
  <si>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</si>
  <si>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</si>
  <si>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</si>
  <si>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</si>
  <si>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</si>
  <si>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</si>
  <si>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</si>
  <si>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</si>
  <si>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</si>
  <si>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</si>
  <si>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</si>
  <si>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</si>
  <si>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</si>
  <si>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</si>
  <si>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</si>
  <si>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</si>
  <si>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</si>
  <si>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</si>
  <si>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</si>
  <si>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</si>
  <si>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</si>
  <si>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</si>
  <si>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</si>
  <si>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</si>
  <si>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</si>
  <si>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</si>
  <si>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</si>
  <si>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</si>
  <si>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</si>
  <si>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</si>
  <si>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</si>
  <si>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</si>
  <si>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</si>
  <si>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</si>
  <si>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</si>
  <si>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</si>
  <si>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</si>
  <si>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</si>
  <si>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</si>
  <si>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</si>
  <si>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</si>
  <si>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</si>
  <si>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</si>
  <si>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</si>
  <si>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</si>
  <si>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</si>
  <si>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</si>
  <si>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</si>
  <si>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</si>
  <si>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</si>
  <si>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</si>
  <si>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</si>
  <si>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</si>
  <si>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</si>
  <si>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</si>
  <si>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</si>
  <si>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</si>
  <si>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</si>
  <si>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</si>
  <si>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</si>
  <si>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</si>
  <si>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</si>
  <si>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</si>
  <si>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</si>
  <si>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</si>
  <si>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</si>
  <si>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</si>
  <si>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</si>
  <si>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</si>
  <si>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</si>
  <si>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</si>
  <si>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</si>
  <si>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</si>
  <si>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</si>
  <si>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</si>
  <si>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</si>
  <si>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</si>
  <si>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</si>
  <si>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</si>
  <si>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</si>
  <si>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</si>
  <si>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</si>
  <si>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</si>
  <si>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</si>
  <si>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</si>
  <si>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</si>
  <si>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</si>
  <si>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</si>
  <si>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</si>
  <si>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</si>
  <si>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</si>
  <si>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</si>
  <si>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</si>
  <si>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</si>
  <si>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</si>
  <si>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</si>
  <si>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</si>
  <si>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</si>
  <si>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</si>
  <si>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</si>
  <si>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</si>
  <si>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</si>
  <si>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</si>
  <si>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</si>
  <si>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</si>
  <si>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</si>
  <si>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</si>
  <si>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</si>
  <si>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</si>
  <si>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</si>
  <si>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</si>
  <si>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</si>
  <si>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</si>
  <si>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</si>
  <si>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</si>
  <si>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</si>
  <si>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</si>
  <si>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</si>
  <si>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</si>
  <si>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</si>
  <si>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</si>
  <si>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</si>
  <si>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</si>
  <si>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</si>
  <si>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</si>
  <si>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</si>
  <si>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</si>
  <si>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</si>
  <si>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</si>
  <si>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</si>
  <si>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</si>
  <si>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</si>
  <si>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</si>
  <si>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</si>
  <si>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</si>
  <si>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</si>
  <si>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</si>
  <si>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</si>
  <si>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</si>
  <si>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</si>
  <si>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</si>
  <si>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</si>
  <si>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</si>
  <si>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</si>
  <si>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</si>
  <si>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</si>
  <si>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</si>
  <si>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</si>
  <si>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</si>
  <si>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</si>
  <si>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</si>
  <si>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</si>
  <si>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</si>
  <si>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</si>
  <si>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</si>
  <si>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</si>
  <si>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</si>
  <si>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</si>
  <si>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</si>
  <si>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</si>
  <si>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</si>
  <si>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</si>
  <si>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</si>
  <si>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</si>
  <si>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</si>
  <si>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</si>
  <si>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</si>
  <si>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</si>
  <si>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</si>
  <si>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</si>
  <si>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</si>
  <si>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</si>
  <si>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</si>
  <si>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</si>
  <si>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</si>
  <si>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</si>
  <si>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</si>
  <si>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</si>
  <si>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</si>
  <si>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</si>
  <si>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</si>
  <si>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</si>
  <si>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</si>
  <si>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</si>
  <si>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</si>
  <si>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</si>
  <si>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</si>
  <si>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</si>
  <si>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</si>
  <si>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</si>
  <si>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</si>
  <si>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</si>
  <si>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</si>
  <si>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</si>
  <si>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</si>
  <si>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</si>
  <si>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</si>
  <si>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</si>
  <si>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</si>
  <si>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</si>
  <si>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</si>
  <si>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</si>
  <si>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</si>
  <si>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</si>
  <si>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</si>
  <si>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</si>
  <si>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</si>
  <si>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</si>
  <si>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</si>
  <si>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</si>
  <si>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</si>
  <si>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</si>
  <si>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</si>
  <si>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</si>
  <si>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</si>
  <si>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</si>
  <si>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</si>
  <si>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</si>
  <si>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</si>
  <si>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</si>
  <si>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</si>
  <si>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</si>
  <si>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</si>
  <si>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</si>
  <si>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</si>
  <si>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</si>
  <si>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</si>
  <si>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</si>
  <si>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</si>
  <si>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</si>
  <si>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</si>
  <si>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</si>
  <si>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</si>
  <si>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</si>
  <si>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</si>
  <si>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</si>
  <si>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</si>
  <si>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</si>
  <si>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</si>
  <si>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</si>
  <si>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</si>
  <si>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</si>
  <si>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</si>
  <si>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</si>
  <si>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</si>
  <si>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</si>
  <si>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</si>
  <si>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</si>
  <si>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</si>
  <si>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</si>
  <si>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</si>
  <si>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</si>
  <si>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</si>
  <si>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</si>
  <si>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</si>
  <si>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</si>
  <si>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</si>
  <si>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</si>
  <si>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</si>
  <si>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</si>
  <si>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</si>
  <si>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</si>
  <si>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</si>
  <si>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</si>
  <si>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</si>
  <si>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</si>
  <si>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</si>
  <si>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</si>
  <si>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</si>
  <si>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</si>
  <si>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</si>
  <si>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</si>
  <si>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</si>
  <si>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</si>
  <si>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</si>
  <si>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</si>
  <si>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</si>
  <si>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</si>
  <si>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</si>
  <si>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</si>
  <si>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</si>
  <si>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</si>
  <si>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</si>
  <si>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</si>
  <si>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</si>
  <si>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</si>
  <si>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</si>
  <si>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</si>
  <si>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</si>
  <si>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</si>
  <si>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</si>
  <si>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</si>
  <si>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</si>
  <si>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</si>
  <si>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</si>
  <si>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</si>
  <si>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</si>
  <si>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</si>
  <si>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</si>
  <si>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</si>
  <si>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</si>
  <si>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</si>
  <si>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</si>
  <si>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</si>
  <si>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</si>
  <si>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</si>
  <si>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</si>
  <si>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</si>
  <si>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</si>
  <si>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</si>
  <si>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</si>
  <si>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</si>
  <si>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</si>
  <si>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</si>
  <si>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</si>
  <si>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</si>
  <si>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</si>
  <si>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</si>
  <si>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</si>
  <si>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</si>
  <si>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</si>
  <si>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</si>
  <si>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</si>
  <si>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</si>
  <si>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</si>
  <si>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</si>
  <si>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</si>
  <si>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</si>
  <si>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</si>
  <si>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</si>
  <si>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</si>
  <si>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</si>
  <si>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</si>
  <si>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</si>
  <si>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</si>
  <si>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</si>
  <si>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</si>
  <si>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</si>
  <si>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</si>
  <si>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</si>
  <si>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</si>
  <si>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</si>
  <si>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</si>
  <si>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</si>
  <si>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</si>
  <si>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</si>
  <si>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</si>
  <si>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</si>
  <si>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</si>
  <si>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</si>
  <si>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</si>
  <si>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</si>
  <si>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</si>
  <si>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</si>
  <si>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</si>
  <si>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</si>
  <si>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</si>
  <si>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</si>
  <si>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</si>
  <si>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</si>
  <si>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</si>
  <si>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</si>
  <si>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</si>
  <si>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</si>
  <si>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</si>
  <si>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</si>
  <si>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</si>
  <si>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</si>
  <si>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</si>
  <si>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</si>
  <si>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</si>
  <si>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</si>
  <si>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</si>
  <si>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</si>
  <si>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</si>
  <si>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</si>
  <si>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</si>
  <si>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</si>
  <si>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</si>
  <si>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</si>
  <si>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</si>
  <si>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</si>
  <si>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</si>
  <si>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</si>
  <si>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</si>
  <si>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</si>
  <si>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</si>
  <si>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</si>
  <si>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</si>
  <si>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</si>
  <si>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</si>
  <si>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</si>
  <si>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</si>
  <si>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</si>
  <si>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</si>
  <si>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</si>
  <si>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</si>
  <si>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</si>
  <si>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</si>
  <si>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</si>
  <si>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</si>
  <si>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</si>
  <si>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</si>
  <si>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</si>
  <si>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</si>
  <si>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</si>
  <si>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</si>
  <si>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</si>
  <si>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</si>
  <si>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</si>
  <si>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</si>
  <si>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</si>
  <si>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</si>
  <si>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</si>
  <si>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</si>
  <si>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</si>
  <si>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</si>
  <si>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</si>
  <si>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</si>
  <si>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</si>
  <si>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</si>
  <si>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</si>
  <si>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</si>
  <si>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</si>
  <si>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</si>
  <si>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</si>
  <si>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</si>
  <si>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</si>
  <si>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</si>
  <si>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</si>
  <si>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</si>
  <si>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</si>
  <si>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</si>
  <si>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</si>
  <si>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</si>
  <si>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</si>
  <si>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</si>
  <si>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</si>
  <si>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</si>
  <si>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</si>
  <si>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</si>
  <si>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</si>
  <si>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</si>
  <si>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</si>
  <si>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</si>
  <si>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</si>
  <si>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</si>
  <si>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</si>
  <si>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</si>
  <si>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</si>
  <si>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</si>
  <si>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</si>
  <si>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</si>
  <si>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</si>
  <si>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Mian G Store</t>
  </si>
  <si>
    <t>Address: Al Noor Colony</t>
  </si>
  <si>
    <t>Tariq Store</t>
  </si>
  <si>
    <t>Hajweri Store</t>
  </si>
  <si>
    <t>Address: al Noor Colony</t>
  </si>
  <si>
    <t>Imran Store</t>
  </si>
  <si>
    <t xml:space="preserve">Address: Walton Workshop </t>
  </si>
  <si>
    <t xml:space="preserve">Iftakhar Pharmacy </t>
  </si>
  <si>
    <t>Address: Qadri Colony</t>
  </si>
  <si>
    <t>786 Store</t>
  </si>
  <si>
    <t>Rana Super Store</t>
  </si>
  <si>
    <t>Mashallah Store</t>
  </si>
  <si>
    <t>AB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</si>
</sst>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46246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Mian G Store</v>
      </c>
      <c r="T3" s="301">
        <f>+'1'!P35</f>
        <v>2086.2894820347456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Tariq Store</v>
      </c>
      <c r="T4" s="301">
        <f>+'2'!P35</f>
        <v>250.37668702372881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Hajweri Store</v>
      </c>
      <c r="T5" s="301">
        <f>+'3'!P35</f>
        <v>500.75337404745761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Imran Store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47</v>
      </c>
      <c r="I7" s="235">
        <f>(G7*D7)*F7+H7*F7</f>
        <v>2465.7374999999997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197.25899999999999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86.300812500000006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2182.1776874999996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466.01694915254217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13.24097318326271</v>
      </c>
      <c r="P7" s="310">
        <f>M7+N7+O7</f>
        <v>2661.4356098358044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Iftakhar Pharmacy </v>
      </c>
      <c r="T7" s="301">
        <f>+'5'!P35</f>
        <v>2688.4511257690679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46</v>
      </c>
      <c r="I8" s="236">
        <f t="shared" ref="I8:I14" si="0">(G8*D8)*F8+H8*F8</f>
        <v>2413.2750000000001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193.06199999999998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84.464624999999998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2135.7483750000001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456.10169491525409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12.959250349576269</v>
      </c>
      <c r="P8" s="311">
        <f t="shared" ref="P8:P15" si="2">M8+N8+O8</f>
        <v>2604.8093202648306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786 Store</v>
      </c>
      <c r="T8" s="301">
        <f>+'6'!P35</f>
        <v>1180.2688488991523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47</v>
      </c>
      <c r="I9" s="236">
        <f t="shared" si="0"/>
        <v>2465.7374999999997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197.25900000000001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86.300812500000006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2182.1776874999996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466.01694915254217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13.24097318326271</v>
      </c>
      <c r="P9" s="311">
        <f t="shared" si="2"/>
        <v>2661.4356098358044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Rana Super Store</v>
      </c>
      <c r="T9" s="301">
        <f>+'7'!P35</f>
        <v>3934.229496330508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Mashallah Store</v>
      </c>
      <c r="T10" s="301">
        <f>+'8'!P35</f>
        <v>1180.2688488991523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AB Store</v>
      </c>
      <c r="T11" s="301">
        <f>+'9'!P35</f>
        <v>2533.3776438750006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166</v>
      </c>
      <c r="I13" s="236">
        <f t="shared" si="0"/>
        <v>6512.18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325.60900000000009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227.92630000000008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332.12117999999998</v>
      </c>
      <c r="M13" s="230">
        <f t="shared" si="1"/>
        <v>5626.5235199999997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1266.1016949152536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34.463126074576273</v>
      </c>
      <c r="P13" s="311">
        <f t="shared" si="2"/>
        <v>6927.0883409898297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7.65</v>
      </c>
      <c r="H16" s="113">
        <f t="shared" ref="H16:M16" si="3">SUM(H7:H15)</f>
        <v>306</v>
      </c>
      <c r="I16" s="114">
        <f t="shared" si="3"/>
        <v>13856.93</v>
      </c>
      <c r="J16" s="274">
        <f>SUM(J7:J15)</f>
        <v>913.18900000000008</v>
      </c>
      <c r="K16" s="275">
        <f t="shared" si="3"/>
        <v>484.99255000000011</v>
      </c>
      <c r="L16" s="276">
        <f t="shared" si="3"/>
        <v>332.12117999999998</v>
      </c>
      <c r="M16" s="232">
        <f t="shared" si="3"/>
        <v>12126.627269999999</v>
      </c>
      <c r="N16" s="233">
        <f>SUM(N7:N15)</f>
        <v>2654.2372881355923</v>
      </c>
      <c r="O16" s="101">
        <f>SUM(O7:O15)</f>
        <v>73.904322790677952</v>
      </c>
      <c r="P16" s="113">
        <f>SUM(P7:P15)</f>
        <v>14854.768880926269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13856.93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913.18900000000008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817.11373000000003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12126.627270000001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2654.2372881355923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14780.864558135592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73.904322790677952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14854.768880926271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14854.768880926271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9</v>
      </c>
      <c r="I17" s="236">
        <f t="shared" ref="I17:I23" si="0">(G17*D17)*F17+H17*F17</f>
        <v>472.16249999999997</v>
      </c>
      <c r="J17" s="272">
        <f t="shared" ref="J17:L24" si="1">$I17*S17</f>
        <v>37.772999999999996</v>
      </c>
      <c r="K17" s="128">
        <f>$I17*T17</f>
        <v>16.5256875</v>
      </c>
      <c r="L17" s="119">
        <f>$I17*U17</f>
        <v>0</v>
      </c>
      <c r="M17" s="230">
        <f t="shared" ref="M17:M24" si="2">I17-SUM(J17:L17)</f>
        <v>417.86381249999999</v>
      </c>
      <c r="N17" s="277">
        <f t="shared" ref="N17:N24" si="3">+(G17*D17+H17)*V17</f>
        <v>89.23728813559319</v>
      </c>
      <c r="O17" s="239">
        <f t="shared" ref="O17:O24" si="4">(N17+M17)*$O$15</f>
        <v>2.5355055031779661</v>
      </c>
      <c r="P17" s="311">
        <f t="shared" ref="P17:P24" si="5">M17+N17+O17</f>
        <v>509.63660613877113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9</v>
      </c>
      <c r="I18" s="236">
        <f t="shared" ref="I18:I21" si="7">(G18*D18)*F18+H18*F18</f>
        <v>472.16249999999997</v>
      </c>
      <c r="J18" s="272">
        <f t="shared" si="1"/>
        <v>37.772999999999996</v>
      </c>
      <c r="K18" s="128">
        <f t="shared" si="1"/>
        <v>16.5256875</v>
      </c>
      <c r="L18" s="119">
        <f t="shared" si="1"/>
        <v>0</v>
      </c>
      <c r="M18" s="230">
        <f t="shared" si="2"/>
        <v>417.86381249999999</v>
      </c>
      <c r="N18" s="277">
        <f t="shared" si="3"/>
        <v>89.23728813559319</v>
      </c>
      <c r="O18" s="239">
        <f t="shared" si="4"/>
        <v>2.5355055031779661</v>
      </c>
      <c r="P18" s="311">
        <f t="shared" si="5"/>
        <v>509.63660613877113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1939.7099999999998</v>
      </c>
      <c r="J25" s="274">
        <f>SUM(J16:J24)</f>
        <v>141.054</v>
      </c>
      <c r="K25" s="275">
        <f t="shared" si="10"/>
        <v>67.88985000000001</v>
      </c>
      <c r="L25" s="276">
        <f t="shared" si="10"/>
        <v>24.008760000000002</v>
      </c>
      <c r="M25" s="232">
        <f t="shared" si="10"/>
        <v>1706.7573900000002</v>
      </c>
      <c r="N25" s="233">
        <f>SUM(N16:N24)</f>
        <v>369.15254237288121</v>
      </c>
      <c r="O25" s="101">
        <f>SUM(O16:O24)</f>
        <v>10.379549661864406</v>
      </c>
      <c r="P25" s="113">
        <f>SUM(P16:P24)</f>
        <v>2086.2894820347456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1939.7099999999998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141.054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91.898610000000019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1706.7573899999998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369.15254237288121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2075.909932372881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10.379549661864406</v>
      </c>
    </row>
    <row r="35" spans="2:16" ht="15.75" customHeight="1" thickBot="1" x14ac:dyDescent="0.4">
      <c r="N35" s="342" t="s">
        <v>88</v>
      </c>
      <c r="O35" s="343"/>
      <c r="P35" s="297">
        <f>+P33+P34</f>
        <v>2086.2894820347456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235.38000000000002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11.769000000000002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20.242680000000004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203.36832000000001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249.13103186440676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2" t="s">
        <v>88</v>
      </c>
      <c r="O35" s="343"/>
      <c r="P35" s="297">
        <f>+P33+P34</f>
        <v>250.37668702372881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58</v>
      </c>
      <c r="I25" s="114">
        <f t="shared" si="7"/>
        <v>2513.5250000000001</v>
      </c>
      <c r="J25" s="274">
        <f>SUM(J16:J24)</f>
        <v>154.00600000000003</v>
      </c>
      <c r="K25" s="275">
        <f t="shared" si="7"/>
        <v>87.973375000000004</v>
      </c>
      <c r="L25" s="276">
        <f t="shared" si="7"/>
        <v>80.029200000000003</v>
      </c>
      <c r="M25" s="232">
        <f t="shared" si="7"/>
        <v>2191.5164250000003</v>
      </c>
      <c r="N25" s="233">
        <f>SUM(N16:N24)</f>
        <v>483.55932203389807</v>
      </c>
      <c r="O25" s="101">
        <f>SUM(O16:O24)</f>
        <v>13.375378735169491</v>
      </c>
      <c r="P25" s="113">
        <f>SUM(P16:P24)</f>
        <v>2688.4511257690679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2513.5250000000001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154.00600000000003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168.00257500000001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2191.5164250000003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483.55932203389807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2675.0757470338986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13.375378735169493</v>
      </c>
    </row>
    <row r="35" spans="2:16" ht="15.75" customHeight="1" thickBot="1" x14ac:dyDescent="0.4">
      <c r="N35" s="342" t="s">
        <v>88</v>
      </c>
      <c r="O35" s="343"/>
      <c r="P35" s="297">
        <f>+P33+P34</f>
        <v>2688.4511257690679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9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73.902000000000015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113">
        <f>SUM(P16:P24)</f>
        <v>1180.2688488991523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1100.31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73.902000000000015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62.519610000000007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963.88838999999984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1174.3968645762709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42" t="s">
        <v>88</v>
      </c>
      <c r="O35" s="343"/>
      <c r="P35" s="297">
        <f>+P33+P34</f>
        <v>1180.2688488991523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310">
        <f>M16+N16+O16</f>
        <v>736.14176442266944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311">
        <f t="shared" ref="P17:P24" si="5">M17+N17+O17</f>
        <v>736.14176442266944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311">
        <f t="shared" si="5"/>
        <v>792.76805399364412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3667.7000000000003</v>
      </c>
      <c r="J25" s="274">
        <f>SUM(J16:J24)</f>
        <v>246.34000000000003</v>
      </c>
      <c r="K25" s="275">
        <f t="shared" si="7"/>
        <v>128.36950000000002</v>
      </c>
      <c r="L25" s="276">
        <f t="shared" si="7"/>
        <v>80.029200000000003</v>
      </c>
      <c r="M25" s="232">
        <f t="shared" si="7"/>
        <v>3212.9612999999999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3667.7000000000003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246.34000000000003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208.39870000000002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3212.9612999999999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3914.6562152542369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42" t="s">
        <v>88</v>
      </c>
      <c r="O35" s="343"/>
      <c r="P35" s="297">
        <f>+P33+P34</f>
        <v>3934.229496330508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73.902000000000015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113">
        <f>SUM(P16:P24)</f>
        <v>1180.2688488991523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1100.31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73.902000000000015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62.519610000000007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963.88838999999984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1174.3968645762709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42" t="s">
        <v>88</v>
      </c>
      <c r="O35" s="343"/>
      <c r="P35" s="297">
        <f>+P33+P34</f>
        <v>1180.2688488991523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50</v>
      </c>
      <c r="I25" s="114">
        <f t="shared" si="7"/>
        <v>2358.4750000000004</v>
      </c>
      <c r="J25" s="274">
        <f>SUM(J16:J24)</f>
        <v>165.14000000000001</v>
      </c>
      <c r="K25" s="275">
        <f t="shared" si="7"/>
        <v>82.546625000000006</v>
      </c>
      <c r="L25" s="276">
        <f t="shared" si="7"/>
        <v>40.014600000000002</v>
      </c>
      <c r="M25" s="232">
        <f t="shared" si="7"/>
        <v>2070.7737750000001</v>
      </c>
      <c r="N25" s="233">
        <f>SUM(N16:N24)</f>
        <v>449.99999999999977</v>
      </c>
      <c r="O25" s="101">
        <f>SUM(O16:O24)</f>
        <v>12.603868875</v>
      </c>
      <c r="P25" s="113">
        <f>SUM(P16:P24)</f>
        <v>2533.3776438750001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2358.4750000000004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165.14000000000001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122.56122500000001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2070.7737750000006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449.99999999999977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2520.7737750000006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12.603868875000003</v>
      </c>
    </row>
    <row r="35" spans="2:16" ht="15.75" customHeight="1" thickBot="1" x14ac:dyDescent="0.4">
      <c r="N35" s="342" t="s">
        <v>88</v>
      </c>
      <c r="O35" s="343"/>
      <c r="P35" s="297">
        <f>+P33+P34</f>
        <v>2533.3776438750006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46246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2026-08-12T12:28:05Z</dcterms:modified>
</cp:coreProperties>
</file>