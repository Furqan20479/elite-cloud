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2936B4-73AA-41AC-A45A-BD3F1DBFF03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<sst xmlns="http://schemas.openxmlformats.org/spreadsheetml/2006/main" count="3978" uniqueCount="528">
  <si>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</si>
  <si>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</si>
  <si>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</si>
  <si>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</si>
  <si>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</si>
  <si>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</si>
  <si>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</si>
  <si>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</si>
  <si>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</si>
  <si>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</si>
  <si>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</si>
  <si>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</si>
  <si>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</si>
  <si>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</si>
  <si>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</si>
  <si>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</si>
  <si>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</si>
  <si>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</si>
  <si>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</si>
  <si>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</si>
  <si>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</si>
  <si>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</si>
  <si>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</si>
  <si>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</si>
  <si>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</si>
  <si>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</si>
  <si>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</si>
  <si>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</si>
  <si>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</si>
  <si>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</si>
  <si>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</si>
  <si>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</si>
  <si>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</si>
  <si>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</si>
  <si>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</si>
  <si>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</si>
  <si>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</si>
  <si>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</si>
  <si>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</si>
  <si>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</si>
  <si>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</si>
  <si>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</si>
  <si>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</si>
  <si>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</si>
  <si>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</si>
  <si>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</si>
  <si>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</si>
  <si>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</si>
  <si>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</si>
  <si>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</si>
  <si>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</si>
  <si>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</si>
  <si>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</si>
  <si>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</si>
  <si>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</si>
  <si>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</si>
  <si>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</si>
  <si>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</si>
  <si>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</si>
  <si>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</si>
  <si>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</si>
  <si>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</si>
  <si>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</si>
  <si>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</si>
  <si>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</si>
  <si>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</si>
  <si>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</si>
  <si>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</si>
  <si>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</si>
  <si>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</si>
  <si>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</si>
  <si>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</si>
  <si>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</si>
  <si>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</si>
  <si>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</si>
  <si>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</si>
  <si>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</si>
  <si>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</si>
  <si>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</si>
  <si>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</si>
  <si>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</si>
  <si>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</si>
  <si>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</si>
  <si>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</si>
  <si>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</si>
  <si>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</si>
  <si>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</si>
  <si>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</si>
  <si>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</si>
  <si>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</si>
  <si>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</si>
  <si>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</si>
  <si>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</si>
  <si>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</si>
  <si>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</si>
  <si>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</si>
  <si>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</si>
  <si>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</si>
  <si>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</si>
  <si>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</si>
  <si>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</si>
  <si>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</si>
  <si>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</si>
  <si>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</si>
  <si>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</si>
  <si>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</si>
  <si>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</si>
  <si>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</si>
  <si>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</si>
  <si>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</si>
  <si>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</si>
  <si>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</si>
  <si>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</si>
  <si>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</si>
  <si>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</si>
  <si>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</si>
  <si>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</si>
  <si>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</si>
  <si>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</si>
  <si>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</si>
  <si>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</si>
  <si>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</si>
  <si>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</si>
  <si>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</si>
  <si>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</si>
  <si>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</si>
  <si>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</si>
  <si>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</si>
  <si>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</si>
  <si>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</si>
  <si>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</si>
  <si>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</si>
  <si>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</si>
  <si>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</si>
  <si>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</si>
  <si>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</si>
  <si>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</si>
  <si>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</si>
  <si>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</si>
  <si>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</si>
  <si>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</si>
  <si>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</si>
  <si>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</si>
  <si>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</si>
  <si>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</si>
  <si>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</si>
  <si>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</si>
  <si>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</si>
  <si>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</si>
  <si>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</si>
  <si>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</si>
  <si>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</si>
  <si>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</si>
  <si>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</si>
  <si>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</si>
  <si>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</si>
  <si>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</si>
  <si>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</si>
  <si>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</si>
  <si>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</si>
  <si>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</si>
  <si>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</si>
  <si>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</si>
  <si>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</si>
  <si>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</si>
  <si>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</si>
  <si>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</si>
  <si>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</si>
  <si>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</si>
  <si>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</si>
  <si>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</si>
  <si>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</si>
  <si>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</si>
  <si>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</si>
  <si>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</si>
  <si>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</si>
  <si>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</si>
  <si>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</si>
  <si>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</si>
  <si>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</si>
  <si>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</si>
  <si>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</si>
  <si>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</si>
  <si>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</si>
  <si>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</si>
  <si>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</si>
  <si>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</si>
  <si>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</si>
  <si>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</si>
  <si>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</si>
  <si>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</si>
  <si>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</si>
  <si>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</si>
  <si>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</si>
  <si>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</si>
  <si>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</si>
  <si>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</si>
  <si>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</si>
  <si>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</si>
  <si>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</si>
  <si>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</si>
  <si>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</si>
  <si>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</si>
  <si>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</si>
  <si>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</si>
  <si>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</si>
  <si>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</si>
  <si>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</si>
  <si>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</si>
  <si>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</si>
  <si>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</si>
  <si>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</si>
  <si>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</si>
  <si>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</si>
  <si>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</si>
  <si>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</si>
  <si>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</si>
  <si>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</si>
  <si>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</si>
  <si>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</si>
  <si>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</si>
  <si>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</si>
  <si>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</si>
  <si>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</si>
  <si>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</si>
  <si>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</si>
  <si>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</si>
  <si>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</si>
  <si>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</si>
  <si>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</si>
  <si>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</si>
  <si>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</si>
  <si>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</si>
  <si>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</si>
  <si>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</si>
  <si>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</si>
  <si>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</si>
  <si>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</si>
  <si>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</si>
  <si>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</si>
  <si>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</si>
  <si>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</si>
  <si>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</si>
  <si>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</si>
  <si>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</si>
  <si>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</si>
  <si>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</si>
  <si>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</si>
  <si>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</si>
  <si>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</si>
  <si>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</si>
  <si>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</si>
  <si>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</si>
  <si>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</si>
  <si>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</si>
  <si>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</si>
  <si>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</si>
  <si>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</si>
  <si>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</si>
  <si>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</si>
  <si>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</si>
  <si>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</si>
  <si>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</si>
  <si>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</si>
  <si>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</si>
  <si>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</si>
  <si>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</si>
  <si>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</si>
  <si>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</si>
  <si>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</si>
  <si>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</si>
  <si>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</si>
  <si>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</si>
  <si>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</si>
  <si>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</si>
  <si>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</si>
  <si>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</si>
  <si>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</si>
  <si>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</si>
  <si>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</si>
  <si>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</si>
  <si>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</si>
  <si>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</si>
  <si>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</si>
  <si>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</si>
  <si>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</si>
  <si>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</si>
  <si>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</si>
  <si>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</si>
  <si>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</si>
  <si>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</si>
  <si>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</si>
  <si>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</si>
  <si>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</si>
  <si>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</si>
  <si>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</si>
  <si>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</si>
  <si>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</si>
  <si>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</si>
  <si>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</si>
  <si>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</si>
  <si>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</si>
  <si>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</si>
  <si>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</si>
  <si>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</si>
  <si>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</si>
  <si>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</si>
  <si>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</si>
  <si>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</si>
  <si>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</si>
  <si>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</si>
  <si>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</si>
  <si>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</si>
  <si>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</si>
  <si>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</si>
  <si>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</si>
  <si>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</si>
  <si>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</si>
  <si>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</si>
  <si>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</si>
  <si>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</si>
  <si>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</si>
  <si>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</si>
  <si>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</si>
  <si>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</si>
  <si>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</si>
  <si>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</si>
  <si>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</si>
  <si>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</si>
  <si>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</si>
  <si>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</si>
  <si>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</si>
  <si>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</si>
  <si>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</si>
  <si>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</si>
  <si>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</si>
  <si>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</si>
  <si>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</si>
  <si>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</si>
  <si>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</si>
  <si>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</si>
  <si>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</si>
  <si>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</si>
  <si>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</si>
  <si>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</si>
  <si>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</si>
  <si>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</si>
  <si>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</si>
  <si>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</si>
  <si>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</si>
  <si>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</si>
  <si>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</si>
  <si>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</si>
  <si>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</si>
  <si>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</si>
  <si>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</si>
  <si>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</si>
  <si>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</si>
  <si>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</si>
  <si>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</si>
  <si>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</si>
  <si>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</si>
  <si>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</si>
  <si>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</si>
  <si>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</si>
  <si>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</si>
  <si>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</si>
  <si>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</si>
  <si>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</si>
  <si>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</si>
  <si>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</si>
  <si>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</si>
  <si>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</si>
  <si>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</si>
  <si>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</si>
  <si>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</si>
  <si>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</si>
  <si>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</si>
  <si>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</si>
  <si>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</si>
  <si>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</si>
  <si>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</si>
  <si>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</si>
  <si>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</si>
  <si>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</si>
  <si>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</si>
  <si>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</si>
  <si>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</si>
  <si>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</si>
  <si>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</si>
  <si>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</si>
  <si>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</si>
  <si>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</si>
  <si>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</si>
  <si>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</si>
  <si>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</si>
  <si>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</si>
  <si>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</si>
  <si>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</si>
  <si>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</si>
  <si>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</si>
  <si>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</si>
  <si>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</si>
  <si>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</si>
  <si>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</si>
  <si>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</si>
  <si>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</si>
  <si>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</si>
  <si>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</si>
  <si>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</si>
  <si>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</si>
  <si>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</si>
  <si>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</si>
  <si>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</si>
  <si>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</si>
  <si>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</si>
  <si>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</si>
  <si>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</si>
  <si>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</si>
  <si>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</si>
  <si>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</si>
  <si>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</si>
  <si>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</si>
  <si>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</si>
  <si>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</si>
  <si>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</si>
  <si>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</si>
  <si>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</si>
  <si>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</si>
  <si>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</si>
  <si>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</si>
  <si>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</si>
  <si>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</si>
  <si>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</si>
  <si>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</si>
  <si>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</si>
  <si>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</si>
  <si>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</si>
  <si>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</si>
  <si>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</si>
  <si>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</si>
  <si>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</si>
  <si>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</si>
  <si>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</si>
  <si>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</si>
  <si>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</si>
  <si>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</si>
  <si>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</si>
  <si>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</si>
  <si>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</si>
  <si>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</si>
  <si>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</si>
  <si>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</si>
  <si>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</si>
  <si>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</si>
  <si>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</si>
  <si>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</si>
  <si>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</si>
  <si>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</si>
  <si>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</si>
  <si>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</si>
  <si>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</si>
  <si>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</si>
  <si>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</si>
  <si>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</si>
  <si>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</si>
  <si>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</si>
  <si>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</si>
  <si>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</si>
  <si>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</si>
  <si>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</si>
  <si>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</si>
  <si>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</si>
  <si>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</si>
  <si>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</si>
  <si>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</si>
  <si>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</si>
  <si>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</si>
  <si>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</si>
  <si>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</si>
  <si>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</si>
  <si>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</si>
  <si>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</si>
  <si>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</si>
  <si>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</si>
  <si>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</si>
  <si>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</si>
  <si>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</si>
  <si>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</si>
  <si>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</si>
  <si>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</si>
  <si>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</si>
  <si>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</si>
  <si>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</si>
  <si>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</si>
  <si>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</si>
  <si>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</si>
  <si>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</si>
  <si>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</si>
  <si>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</si>
  <si>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</si>
  <si>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</si>
  <si>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</si>
  <si>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</si>
  <si>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</si>
  <si>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</si>
  <si>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</si>
  <si>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</si>
  <si>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</si>
  <si>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</si>
  <si>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</si>
  <si>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</si>
  <si>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</si>
  <si>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</si>
  <si>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</si>
  <si>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</si>
  <si>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Zeshan</t>
  </si>
  <si>
    <t>Allys Store</t>
  </si>
  <si>
    <t>Address: DHA</t>
  </si>
  <si>
    <t>Trust Store</t>
  </si>
  <si>
    <t>Bravo Store</t>
  </si>
  <si>
    <t>Defence Store</t>
  </si>
  <si>
    <t>MS Store</t>
  </si>
  <si>
    <t>Pakistan Store</t>
  </si>
  <si>
    <t>Mahraja Store</t>
  </si>
  <si>
    <t>MHT Store</t>
  </si>
  <si>
    <t>Hafiz Store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</si>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</sst>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Allys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Trust Store</v>
      </c>
      <c r="T4" s="301">
        <f>+'2'!P35</f>
        <v>1350.3157919809323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Bravo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Defence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45</v>
      </c>
      <c r="I7" s="235">
        <f>(G7*D7)*F7+H7*F7</f>
        <v>2360.8125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82.628437500000018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2089.3190624999997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446.18644067796589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12.67752751588983</v>
      </c>
      <c r="P7" s="310">
        <f>M7+N7+O7</f>
        <v>2548.1830306938555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4">
        <v>5</v>
      </c>
      <c r="S7" s="300" t="str">
        <f>+'5'!A6:A6</f>
        <v>MS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80</v>
      </c>
      <c r="R8" s="314">
        <v>6</v>
      </c>
      <c r="S8" s="300" t="str">
        <f>+'6'!A6:A6</f>
        <v>Pakistan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Mahraja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MHT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Hafiz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4">
        <v>10</v>
      </c>
      <c r="S12" s="300" t="str">
        <f>+'10'!A6:A6</f>
        <v>Bilal Store</v>
      </c>
      <c r="T12" s="301">
        <f>+'10'!P35</f>
        <v>3201.5530323781777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</v>
      </c>
      <c r="I13" s="236">
        <f t="shared" si="0"/>
        <v>392.30000000000007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19.615000000000006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13.730500000000003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20.007300000000001</v>
      </c>
      <c r="M13" s="230">
        <f t="shared" si="1"/>
        <v>338.94720000000007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76.271186440677923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2.0760919322033899</v>
      </c>
      <c r="P13" s="311">
        <f t="shared" si="2"/>
        <v>417.29447837288137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3.875</v>
      </c>
      <c r="H16" s="113">
        <f t="shared" ref="H16:M16" si="3">SUM(H7:H15)</f>
        <v>155</v>
      </c>
      <c r="I16" s="114">
        <f t="shared" si="3"/>
        <v>9613.5625</v>
      </c>
      <c r="J16" s="274">
        <f>SUM(J7:J15)</f>
        <v>757.31600000000003</v>
      </c>
      <c r="K16" s="275">
        <f t="shared" si="3"/>
        <v>336.47468750000002</v>
      </c>
      <c r="L16" s="276">
        <f t="shared" si="3"/>
        <v>20.007300000000001</v>
      </c>
      <c r="M16" s="232">
        <f t="shared" si="3"/>
        <v>8499.7645124999999</v>
      </c>
      <c r="N16" s="233">
        <f>SUM(N7:N15)</f>
        <v>1819.0677966101689</v>
      </c>
      <c r="O16" s="101">
        <f>SUM(O7:O15)</f>
        <v>51.59416154555084</v>
      </c>
      <c r="P16" s="113">
        <f>SUM(P7:P15)</f>
        <v>10370.426470655721</v>
      </c>
      <c r="Q16" s="128">
        <f>SUM(Q7:Q15)</f>
        <v>180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9613.5625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757.31600000000003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356.4819875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8499.7645124999999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1819.0677966101689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10318.832309110168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51.59416154555084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10370.426470655719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10370.426470655722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H20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113">
        <f>SUM(P16:P24)</f>
        <v>1350.3157919809323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1251.0250000000001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100.08199999999999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43.785875000000004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1107.1571250000002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1343.5978029661019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42" t="s">
        <v>88</v>
      </c>
      <c r="O35" s="343"/>
      <c r="P35" s="297">
        <f>+P33+P34</f>
        <v>1350.3157919809323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D11" sqref="D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80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80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45</v>
      </c>
      <c r="I25" s="114">
        <f t="shared" si="7"/>
        <v>2966.1374999999998</v>
      </c>
      <c r="J25" s="274">
        <f>SUM(J16:J24)</f>
        <v>237.291</v>
      </c>
      <c r="K25" s="275">
        <f t="shared" si="7"/>
        <v>103.81481250000002</v>
      </c>
      <c r="L25" s="276">
        <f t="shared" si="7"/>
        <v>0</v>
      </c>
      <c r="M25" s="232">
        <f t="shared" si="7"/>
        <v>2625.0316874999999</v>
      </c>
      <c r="N25" s="233">
        <f>SUM(N16:N24)</f>
        <v>560.59322033898297</v>
      </c>
      <c r="O25" s="101">
        <f>SUM(O16:O24)</f>
        <v>15.928124539194915</v>
      </c>
      <c r="P25" s="113">
        <f>SUM(P16:P24)</f>
        <v>3201.5530323781777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2966.1374999999998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237.291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103.81481250000002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2625.0316874999999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560.59322033898297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3185.6249078389828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15.928124539194915</v>
      </c>
    </row>
    <row r="35" spans="2:16" ht="15.75" customHeight="1" thickBot="1" x14ac:dyDescent="0.4">
      <c r="N35" s="342" t="s">
        <v>88</v>
      </c>
      <c r="O35" s="343"/>
      <c r="P35" s="297">
        <f>+P33+P34</f>
        <v>3201.5530323781777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2026-08-13T09:47:27Z</dcterms:modified>
</cp:coreProperties>
</file>