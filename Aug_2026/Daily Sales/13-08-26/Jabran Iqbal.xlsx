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0432E2B-EF96-49BA-9F37-510855D311B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<sst xmlns="http://schemas.openxmlformats.org/spreadsheetml/2006/main" count="3978" uniqueCount="523">
  <si>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</si>
  <si>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</si>
  <si>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</si>
  <si>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</si>
  <si>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</si>
  <si>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</si>
  <si>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</si>
  <si>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</si>
  <si>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</si>
  <si>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</si>
  <si>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</si>
  <si>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</si>
  <si>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</si>
  <si>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</si>
  <si>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</si>
  <si>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</si>
  <si>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</si>
  <si>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</si>
  <si>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</si>
  <si>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</si>
  <si>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</si>
  <si>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</si>
  <si>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</si>
  <si>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</si>
  <si>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</si>
  <si>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</si>
  <si>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</si>
  <si>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</si>
  <si>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</si>
  <si>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</si>
  <si>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</si>
  <si>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</si>
  <si>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</si>
  <si>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</si>
  <si>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</si>
  <si>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</si>
  <si>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</si>
  <si>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</si>
  <si>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</si>
  <si>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</si>
  <si>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</si>
  <si>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</si>
  <si>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</si>
  <si>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</si>
  <si>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</si>
  <si>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</si>
  <si>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</si>
  <si>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</si>
  <si>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</si>
  <si>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</si>
  <si>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</si>
  <si>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</si>
  <si>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</si>
  <si>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</si>
  <si>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</si>
  <si>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</si>
  <si>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</si>
  <si>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</si>
  <si>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</si>
  <si>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</si>
  <si>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</si>
  <si>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</si>
  <si>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</si>
  <si>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</si>
  <si>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</si>
  <si>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</si>
  <si>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</si>
  <si>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</si>
  <si>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</si>
  <si>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</si>
  <si>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</si>
  <si>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</si>
  <si>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</si>
  <si>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</si>
  <si>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</si>
  <si>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</si>
  <si>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</si>
  <si>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</si>
  <si>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</si>
  <si>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</si>
  <si>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</si>
  <si>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</si>
  <si>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</si>
  <si>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</si>
  <si>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</si>
  <si>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</si>
  <si>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</si>
  <si>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</si>
  <si>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</si>
  <si>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</si>
  <si>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</si>
  <si>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</si>
  <si>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</si>
  <si>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</si>
  <si>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</si>
  <si>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</si>
  <si>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</si>
  <si>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</si>
  <si>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</si>
  <si>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</si>
  <si>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</si>
  <si>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</si>
  <si>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</si>
  <si>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</si>
  <si>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</si>
  <si>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</si>
  <si>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</si>
  <si>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</si>
  <si>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</si>
  <si>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</si>
  <si>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</si>
  <si>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</si>
  <si>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</si>
  <si>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</si>
  <si>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</si>
  <si>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</si>
  <si>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</si>
  <si>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</si>
  <si>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</si>
  <si>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</si>
  <si>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</si>
  <si>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</si>
  <si>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</si>
  <si>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</si>
  <si>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</si>
  <si>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</si>
  <si>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</si>
  <si>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</si>
  <si>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</si>
  <si>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</si>
  <si>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</si>
  <si>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</si>
  <si>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</si>
  <si>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</si>
  <si>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</si>
  <si>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</si>
  <si>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</si>
  <si>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</si>
  <si>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</si>
  <si>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</si>
  <si>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</si>
  <si>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</si>
  <si>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</si>
  <si>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</si>
  <si>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</si>
  <si>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</si>
  <si>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</si>
  <si>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</si>
  <si>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</si>
  <si>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</si>
  <si>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</si>
  <si>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</si>
  <si>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</si>
  <si>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</si>
  <si>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</si>
  <si>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</si>
  <si>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</si>
  <si>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</si>
  <si>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</si>
  <si>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</si>
  <si>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</si>
  <si>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</si>
  <si>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</si>
  <si>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</si>
  <si>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</si>
  <si>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</si>
  <si>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</si>
  <si>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</si>
  <si>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</si>
  <si>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</si>
  <si>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</si>
  <si>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</si>
  <si>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</si>
  <si>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</si>
  <si>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</si>
  <si>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</si>
  <si>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</si>
  <si>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</si>
  <si>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</si>
  <si>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</si>
  <si>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</si>
  <si>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</si>
  <si>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</si>
  <si>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</si>
  <si>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</si>
  <si>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</si>
  <si>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</si>
  <si>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</si>
  <si>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</si>
  <si>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</si>
  <si>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</si>
  <si>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</si>
  <si>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</si>
  <si>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</si>
  <si>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</si>
  <si>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</si>
  <si>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</si>
  <si>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</si>
  <si>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</si>
  <si>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</si>
  <si>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</si>
  <si>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</si>
  <si>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</si>
  <si>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</si>
  <si>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</si>
  <si>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</si>
  <si>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</si>
  <si>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</si>
  <si>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</si>
  <si>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</si>
  <si>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</si>
  <si>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</si>
  <si>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</si>
  <si>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</si>
  <si>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</si>
  <si>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</si>
  <si>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</si>
  <si>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</si>
  <si>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</si>
  <si>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</si>
  <si>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</si>
  <si>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</si>
  <si>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</si>
  <si>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</si>
  <si>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</si>
  <si>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</si>
  <si>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</si>
  <si>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</si>
  <si>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</si>
  <si>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</si>
  <si>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</si>
  <si>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</si>
  <si>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</si>
  <si>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</si>
  <si>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</si>
  <si>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</si>
  <si>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</si>
  <si>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</si>
  <si>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</si>
  <si>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</si>
  <si>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</si>
  <si>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</si>
  <si>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</si>
  <si>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</si>
  <si>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</si>
  <si>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</si>
  <si>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</si>
  <si>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</si>
  <si>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</si>
  <si>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</si>
  <si>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</si>
  <si>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</si>
  <si>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</si>
  <si>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</si>
  <si>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</si>
  <si>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</si>
  <si>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</si>
  <si>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</si>
  <si>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</si>
  <si>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</si>
  <si>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</si>
  <si>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</si>
  <si>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</si>
  <si>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</si>
  <si>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</si>
  <si>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</si>
  <si>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</si>
  <si>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</si>
  <si>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</si>
  <si>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</si>
  <si>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</si>
  <si>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</si>
  <si>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</si>
  <si>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</si>
  <si>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</si>
  <si>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</si>
  <si>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</si>
  <si>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</si>
  <si>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</si>
  <si>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</si>
  <si>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</si>
  <si>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</si>
  <si>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</si>
  <si>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</si>
  <si>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</si>
  <si>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</si>
  <si>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</si>
  <si>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</si>
  <si>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</si>
  <si>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</si>
  <si>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</si>
  <si>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</si>
  <si>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</si>
  <si>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</si>
  <si>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</si>
  <si>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</si>
  <si>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</si>
  <si>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</si>
  <si>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</si>
  <si>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</si>
  <si>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</si>
  <si>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</si>
  <si>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</si>
  <si>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</si>
  <si>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</si>
  <si>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</si>
  <si>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</si>
  <si>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</si>
  <si>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</si>
  <si>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</si>
  <si>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</si>
  <si>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</si>
  <si>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</si>
  <si>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</si>
  <si>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</si>
  <si>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</si>
  <si>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</si>
  <si>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</si>
  <si>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</si>
  <si>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</si>
  <si>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</si>
  <si>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</si>
  <si>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</si>
  <si>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</si>
  <si>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</si>
  <si>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</si>
  <si>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</si>
  <si>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</si>
  <si>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</si>
  <si>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</si>
  <si>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</si>
  <si>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</si>
  <si>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</si>
  <si>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</si>
  <si>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</si>
  <si>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</si>
  <si>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</si>
  <si>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</si>
  <si>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</si>
  <si>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</si>
  <si>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</si>
  <si>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</si>
  <si>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</si>
  <si>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</si>
  <si>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</si>
  <si>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</si>
  <si>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</si>
  <si>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</si>
  <si>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</si>
  <si>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</si>
  <si>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</si>
  <si>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</si>
  <si>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</si>
  <si>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</si>
  <si>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</si>
  <si>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</si>
  <si>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</si>
  <si>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</si>
  <si>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</si>
  <si>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</si>
  <si>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</si>
  <si>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</si>
  <si>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</si>
  <si>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</si>
  <si>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</si>
  <si>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</si>
  <si>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</si>
  <si>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</si>
  <si>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</si>
  <si>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</si>
  <si>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</si>
  <si>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</si>
  <si>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</si>
  <si>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</si>
  <si>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</si>
  <si>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</si>
  <si>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</si>
  <si>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</si>
  <si>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</si>
  <si>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</si>
  <si>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</si>
  <si>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</si>
  <si>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</si>
  <si>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</si>
  <si>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</si>
  <si>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</si>
  <si>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</si>
  <si>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</si>
  <si>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</si>
  <si>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</si>
  <si>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</si>
  <si>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</si>
  <si>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</si>
  <si>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</si>
  <si>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</si>
  <si>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</si>
  <si>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</si>
  <si>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</si>
  <si>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</si>
  <si>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</si>
  <si>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</si>
  <si>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</si>
  <si>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</si>
  <si>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</si>
  <si>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</si>
  <si>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</si>
  <si>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</si>
  <si>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</si>
  <si>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</si>
  <si>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</si>
  <si>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</si>
  <si>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</si>
  <si>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</si>
  <si>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</si>
  <si>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</si>
  <si>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</si>
  <si>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</si>
  <si>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</si>
  <si>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</si>
  <si>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</si>
  <si>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</si>
  <si>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</si>
  <si>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</si>
  <si>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</si>
  <si>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</si>
  <si>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</si>
  <si>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</si>
  <si>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</si>
  <si>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</si>
  <si>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</si>
  <si>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</si>
  <si>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</si>
  <si>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</si>
  <si>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</si>
  <si>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</si>
  <si>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</si>
  <si>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</si>
  <si>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</si>
  <si>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</si>
  <si>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</si>
  <si>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</si>
  <si>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</si>
  <si>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</si>
  <si>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</si>
  <si>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</si>
  <si>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</si>
  <si>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</si>
  <si>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</si>
  <si>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</si>
  <si>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</si>
  <si>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</si>
  <si>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</si>
  <si>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</si>
  <si>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</si>
  <si>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</si>
  <si>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</si>
  <si>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</si>
  <si>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</si>
  <si>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</si>
  <si>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</si>
  <si>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</si>
  <si>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</si>
  <si>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</si>
  <si>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</si>
  <si>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</si>
  <si>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</si>
  <si>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</si>
  <si>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</si>
  <si>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</si>
  <si>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</si>
  <si>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</si>
  <si>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</si>
  <si>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</si>
  <si>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</si>
  <si>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</si>
  <si>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</si>
  <si>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</si>
  <si>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</si>
  <si>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</si>
  <si>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</si>
  <si>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</si>
  <si>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</si>
  <si>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</si>
  <si>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</si>
  <si>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</si>
  <si>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</si>
  <si>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</si>
  <si>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</si>
  <si>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</si>
  <si>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</si>
  <si>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</si>
  <si>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</si>
  <si>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</si>
  <si>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</si>
  <si>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</si>
  <si>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</si>
  <si>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</si>
  <si>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</si>
  <si>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</si>
  <si>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</si>
  <si>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</si>
  <si>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</si>
  <si>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</si>
  <si>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</si>
  <si>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</si>
  <si>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</si>
  <si>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</si>
  <si>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</si>
  <si>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</si>
  <si>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</si>
  <si>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</si>
  <si>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</si>
  <si>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</si>
  <si>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</si>
  <si>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</si>
  <si>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</si>
  <si>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</si>
  <si>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Amna Departmental Store</t>
  </si>
  <si>
    <t>Address: Waris Road</t>
  </si>
  <si>
    <t>Chaudry General Store</t>
  </si>
  <si>
    <t>Address: Lawrance Road</t>
  </si>
  <si>
    <t>Lawrance Bakers &amp; GS</t>
  </si>
  <si>
    <t xml:space="preserve">Jabran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</si>
</sst>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U8" sqref="U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522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513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Amna Departmental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Chaudry General Store</v>
      </c>
      <c r="T4" s="301">
        <f>+'2'!P35</f>
        <v>2121.1323244245755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Lawrance Bakers &amp; GS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</v>
      </c>
      <c r="I7" s="235">
        <f>(G7*D7)*F7+H7*F7</f>
        <v>209.85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16.788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7.3447500000000003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185.71724999999998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39.661016949152526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1.1268913347457625</v>
      </c>
      <c r="P7" s="310">
        <f>M7+N7+O7</f>
        <v>226.50515828389825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</v>
      </c>
      <c r="I8" s="236">
        <f t="shared" ref="I8:I14" si="0">(G8*D8)*F8+H8*F8</f>
        <v>209.85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16.788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7.3447500000000003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185.71724999999998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39.661016949152526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1.1268913347457625</v>
      </c>
      <c r="P8" s="311">
        <f t="shared" ref="P8:P15" si="2">M8+N8+O8</f>
        <v>226.50515828389825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</v>
      </c>
      <c r="I9" s="236">
        <f t="shared" si="0"/>
        <v>209.85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16.788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7.3447500000000003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185.71724999999998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39.661016949152526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1.1268913347457625</v>
      </c>
      <c r="P9" s="311">
        <f t="shared" si="2"/>
        <v>226.50515828389825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19</v>
      </c>
      <c r="I10" s="236">
        <f t="shared" si="0"/>
        <v>1380.16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110.41279999999999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48.305600000000005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1221.4416000000001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260.84745762711867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7.4114452881355932</v>
      </c>
      <c r="P10" s="311">
        <f t="shared" si="2"/>
        <v>1489.7005029152544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</v>
      </c>
      <c r="I11" s="236">
        <f t="shared" si="0"/>
        <v>1016.96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81.356800000000007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35.593600000000002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900.00960000000009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192.20338983050848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5.4610649491525427</v>
      </c>
      <c r="P11" s="311">
        <f t="shared" si="2"/>
        <v>1097.6740547796612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</v>
      </c>
      <c r="I12" s="236">
        <f t="shared" si="0"/>
        <v>1380.16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110.41279999999999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48.305600000000005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1221.4416000000001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260.84745762711867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7.4114452881355932</v>
      </c>
      <c r="P12" s="311">
        <f t="shared" si="2"/>
        <v>1489.7005029152544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52</v>
      </c>
      <c r="I13" s="236">
        <f t="shared" si="0"/>
        <v>2039.9600000000003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101.99800000000002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71.398600000000016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104.03796</v>
      </c>
      <c r="M13" s="230">
        <f t="shared" si="1"/>
        <v>1762.5254400000003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396.6101694915252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10.795678047457628</v>
      </c>
      <c r="P13" s="311">
        <f t="shared" si="2"/>
        <v>2169.9312875389833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2.9</v>
      </c>
      <c r="H16" s="113">
        <f t="shared" ref="H16:M16" si="3">SUM(H7:H15)</f>
        <v>116</v>
      </c>
      <c r="I16" s="114">
        <f t="shared" si="3"/>
        <v>6446.79</v>
      </c>
      <c r="J16" s="274">
        <f>SUM(J7:J15)</f>
        <v>454.5444</v>
      </c>
      <c r="K16" s="275">
        <f t="shared" si="3"/>
        <v>225.63765000000004</v>
      </c>
      <c r="L16" s="276">
        <f t="shared" si="3"/>
        <v>104.03796</v>
      </c>
      <c r="M16" s="232">
        <f t="shared" si="3"/>
        <v>5662.5699900000009</v>
      </c>
      <c r="N16" s="233">
        <f>SUM(N7:N15)</f>
        <v>1229.4915254237285</v>
      </c>
      <c r="O16" s="101">
        <f>SUM(O7:O15)</f>
        <v>34.460307577118641</v>
      </c>
      <c r="P16" s="113">
        <f>SUM(P7:P15)</f>
        <v>6926.5218230008486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6446.79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454.5444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329.67561000000001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5662.56999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1229.4915254237285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6892.0615154237285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34.460307577118641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6926.5218230008468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6926.5218230008468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36</v>
      </c>
      <c r="I25" s="114">
        <f t="shared" si="7"/>
        <v>1971.9899999999998</v>
      </c>
      <c r="J25" s="274">
        <f>SUM(J16:J24)</f>
        <v>143.63640000000001</v>
      </c>
      <c r="K25" s="275">
        <f t="shared" si="7"/>
        <v>69.019650000000013</v>
      </c>
      <c r="L25" s="276">
        <f t="shared" si="7"/>
        <v>24.008760000000002</v>
      </c>
      <c r="M25" s="232">
        <f t="shared" si="7"/>
        <v>1735.3251900000002</v>
      </c>
      <c r="N25" s="233">
        <f>SUM(N16:N24)</f>
        <v>375.25423728813553</v>
      </c>
      <c r="O25" s="101">
        <f>SUM(O16:O24)</f>
        <v>10.552897136440677</v>
      </c>
      <c r="P25" s="113">
        <f>SUM(P16:P24)</f>
        <v>2121.1323244245759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1971.9899999999998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143.63640000000001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93.028410000000008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1735.3251899999996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375.25423728813553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2110.5794272881349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10.552897136440675</v>
      </c>
    </row>
    <row r="35" spans="2:16" ht="15.75" customHeight="1" thickBot="1" x14ac:dyDescent="0.4">
      <c r="N35" s="371" t="s">
        <v>88</v>
      </c>
      <c r="O35" s="372"/>
      <c r="P35" s="297">
        <f>+P33+P34</f>
        <v>2121.1323244245755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2026-08-12T11:08:47Z</dcterms:modified>
</cp:coreProperties>
</file>