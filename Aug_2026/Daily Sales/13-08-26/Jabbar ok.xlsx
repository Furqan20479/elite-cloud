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E5C0917F-A468-46AB-9969-FDC978F2A94D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48" l="1"/>
  <c r="J7" i="62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2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<sst xmlns="http://schemas.openxmlformats.org/spreadsheetml/2006/main" count="3978" uniqueCount="531">
  <si>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</si>
  <si>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</si>
  <si>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</si>
  <si>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</si>
  <si>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</si>
  <si>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</si>
  <si>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</si>
  <si>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</si>
  <si>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</si>
  <si>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</si>
  <si>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</si>
  <si>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</si>
  <si>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</si>
  <si>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</si>
  <si>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</si>
  <si>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</si>
  <si>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</si>
  <si>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</si>
  <si>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</si>
  <si>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</si>
  <si>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</si>
  <si>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</si>
  <si>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</si>
  <si>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</si>
  <si>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</si>
  <si>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</si>
  <si>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</si>
  <si>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</si>
  <si>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</si>
  <si>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</si>
  <si>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</si>
  <si>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</si>
  <si>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</si>
  <si>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</si>
  <si>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</si>
  <si>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</si>
  <si>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</si>
  <si>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</si>
  <si>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</si>
  <si>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</si>
  <si>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</si>
  <si>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</si>
  <si>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</si>
  <si>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</si>
  <si>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</si>
  <si>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</si>
  <si>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</si>
  <si>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</si>
  <si>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</si>
  <si>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</si>
  <si>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</si>
  <si>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</si>
  <si>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</si>
  <si>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</si>
  <si>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</si>
  <si>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</si>
  <si>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</si>
  <si>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</si>
  <si>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</si>
  <si>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</si>
  <si>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</si>
  <si>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</si>
  <si>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</si>
  <si>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</si>
  <si>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</si>
  <si>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</si>
  <si>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</si>
  <si>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</si>
  <si>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</si>
  <si>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</si>
  <si>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</si>
  <si>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</si>
  <si>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</si>
  <si>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</si>
  <si>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</si>
  <si>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</si>
  <si>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</si>
  <si>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</si>
  <si>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</si>
  <si>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</si>
  <si>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</si>
  <si>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</si>
  <si>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</si>
  <si>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</si>
  <si>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</si>
  <si>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</si>
  <si>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</si>
  <si>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</si>
  <si>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</si>
  <si>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</si>
  <si>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</si>
  <si>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</si>
  <si>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</si>
  <si>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</si>
  <si>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</si>
  <si>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</si>
  <si>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</si>
  <si>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</si>
  <si>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</si>
  <si>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</si>
  <si>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</si>
  <si>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</si>
  <si>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</si>
  <si>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</si>
  <si>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</si>
  <si>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</si>
  <si>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</si>
  <si>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</si>
  <si>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</si>
  <si>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</si>
  <si>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</si>
  <si>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</si>
  <si>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</si>
  <si>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</si>
  <si>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</si>
  <si>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</si>
  <si>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</si>
  <si>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</si>
  <si>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</si>
  <si>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</si>
  <si>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</si>
  <si>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</si>
  <si>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</si>
  <si>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</si>
  <si>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</si>
  <si>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</si>
  <si>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</si>
  <si>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</si>
  <si>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</si>
  <si>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</si>
  <si>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</si>
  <si>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</si>
  <si>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</si>
  <si>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</si>
  <si>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</si>
  <si>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</si>
  <si>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</si>
  <si>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</si>
  <si>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</si>
  <si>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</si>
  <si>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</si>
  <si>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</si>
  <si>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</si>
  <si>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</si>
  <si>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</si>
  <si>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</si>
  <si>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</si>
  <si>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</si>
  <si>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</si>
  <si>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</si>
  <si>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</si>
  <si>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</si>
  <si>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</si>
  <si>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</si>
  <si>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</si>
  <si>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</si>
  <si>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</si>
  <si>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</si>
  <si>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</si>
  <si>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</si>
  <si>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</si>
  <si>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</si>
  <si>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</si>
  <si>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</si>
  <si>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</si>
  <si>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</si>
  <si>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</si>
  <si>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</si>
  <si>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</si>
  <si>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</si>
  <si>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</si>
  <si>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</si>
  <si>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</si>
  <si>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</si>
  <si>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</si>
  <si>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</si>
  <si>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</si>
  <si>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</si>
  <si>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</si>
  <si>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</si>
  <si>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</si>
  <si>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</si>
  <si>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</si>
  <si>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</si>
  <si>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</si>
  <si>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</si>
  <si>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</si>
  <si>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</si>
  <si>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</si>
  <si>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</si>
  <si>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</si>
  <si>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</si>
  <si>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</si>
  <si>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</si>
  <si>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</si>
  <si>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</si>
  <si>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</si>
  <si>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</si>
  <si>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</si>
  <si>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</si>
  <si>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</si>
  <si>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</si>
  <si>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</si>
  <si>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</si>
  <si>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</si>
  <si>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</si>
  <si>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</si>
  <si>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</si>
  <si>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</si>
  <si>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</si>
  <si>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</si>
  <si>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</si>
  <si>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</si>
  <si>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</si>
  <si>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</si>
  <si>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</si>
  <si>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</si>
  <si>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</si>
  <si>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</si>
  <si>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</si>
  <si>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</si>
  <si>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</si>
  <si>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</si>
  <si>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</si>
  <si>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</si>
  <si>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</si>
  <si>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</si>
  <si>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</si>
  <si>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</si>
  <si>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</si>
  <si>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</si>
  <si>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</si>
  <si>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</si>
  <si>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</si>
  <si>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</si>
  <si>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</si>
  <si>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</si>
  <si>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</si>
  <si>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</si>
  <si>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</si>
  <si>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</si>
  <si>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</si>
  <si>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</si>
  <si>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</si>
  <si>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</si>
  <si>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</si>
  <si>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</si>
  <si>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</si>
  <si>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</si>
  <si>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</si>
  <si>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</si>
  <si>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</si>
  <si>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</si>
  <si>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</si>
  <si>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</si>
  <si>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</si>
  <si>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</si>
  <si>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</si>
  <si>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</si>
  <si>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</si>
  <si>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</si>
  <si>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</si>
  <si>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</si>
  <si>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</si>
  <si>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</si>
  <si>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</si>
  <si>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</si>
  <si>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</si>
  <si>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</si>
  <si>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</si>
  <si>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</si>
  <si>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</si>
  <si>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</si>
  <si>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</si>
  <si>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</si>
  <si>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</si>
  <si>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</si>
  <si>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</si>
  <si>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</si>
  <si>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</si>
  <si>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</si>
  <si>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</si>
  <si>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</si>
  <si>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</si>
  <si>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</si>
  <si>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</si>
  <si>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</si>
  <si>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</si>
  <si>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</si>
  <si>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</si>
  <si>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</si>
  <si>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</si>
  <si>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</si>
  <si>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</si>
  <si>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</si>
  <si>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</si>
  <si>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</si>
  <si>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</si>
  <si>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</si>
  <si>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</si>
  <si>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</si>
  <si>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</si>
  <si>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</si>
  <si>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</si>
  <si>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</si>
  <si>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</si>
  <si>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</si>
  <si>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</si>
  <si>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</si>
  <si>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</si>
  <si>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</si>
  <si>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</si>
  <si>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</si>
  <si>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</si>
  <si>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</si>
  <si>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</si>
  <si>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</si>
  <si>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</si>
  <si>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</si>
  <si>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</si>
  <si>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</si>
  <si>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</si>
  <si>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</si>
  <si>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</si>
  <si>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</si>
  <si>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</si>
  <si>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</si>
  <si>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</si>
  <si>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</si>
  <si>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</si>
  <si>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</si>
  <si>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</si>
  <si>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</si>
  <si>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</si>
  <si>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</si>
  <si>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</si>
  <si>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</si>
  <si>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</si>
  <si>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</si>
  <si>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</si>
  <si>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</si>
  <si>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</si>
  <si>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</si>
  <si>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</si>
  <si>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</si>
  <si>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</si>
  <si>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</si>
  <si>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</si>
  <si>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</si>
  <si>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</si>
  <si>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</si>
  <si>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</si>
  <si>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</si>
  <si>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</si>
  <si>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</si>
  <si>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</si>
  <si>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</si>
  <si>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</si>
  <si>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</si>
  <si>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</si>
  <si>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</si>
  <si>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</si>
  <si>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</si>
  <si>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</si>
  <si>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</si>
  <si>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</si>
  <si>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</si>
  <si>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</si>
  <si>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</si>
  <si>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</si>
  <si>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</si>
  <si>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</si>
  <si>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</si>
  <si>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</si>
  <si>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</si>
  <si>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</si>
  <si>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</si>
  <si>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</si>
  <si>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</si>
  <si>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</si>
  <si>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</si>
  <si>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</si>
  <si>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</si>
  <si>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</si>
  <si>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</si>
  <si>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</si>
  <si>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</si>
  <si>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</si>
  <si>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</si>
  <si>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</si>
  <si>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</si>
  <si>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</si>
  <si>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</si>
  <si>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</si>
  <si>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</si>
  <si>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</si>
  <si>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</si>
  <si>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</si>
  <si>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</si>
  <si>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</si>
  <si>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</si>
  <si>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</si>
  <si>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</si>
  <si>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</si>
  <si>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</si>
  <si>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</si>
  <si>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</si>
  <si>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</si>
  <si>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</si>
  <si>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</si>
  <si>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</si>
  <si>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</si>
  <si>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</si>
  <si>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</si>
  <si>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</si>
  <si>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</si>
  <si>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</si>
  <si>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</si>
  <si>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</si>
  <si>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</si>
  <si>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</si>
  <si>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</si>
  <si>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</si>
  <si>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</si>
  <si>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</si>
  <si>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</si>
  <si>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</si>
  <si>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</si>
  <si>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</si>
  <si>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</si>
  <si>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</si>
  <si>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</si>
  <si>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</si>
  <si>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</si>
  <si>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</si>
  <si>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</si>
  <si>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</si>
  <si>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</si>
  <si>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</si>
  <si>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</si>
  <si>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</si>
  <si>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</si>
  <si>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</si>
  <si>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</si>
  <si>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</si>
  <si>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</si>
  <si>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</si>
  <si>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</si>
  <si>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</si>
  <si>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</si>
  <si>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</si>
  <si>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</si>
  <si>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</si>
  <si>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</si>
  <si>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</si>
  <si>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</si>
  <si>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</si>
  <si>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</si>
  <si>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</si>
  <si>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</si>
  <si>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</si>
  <si>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</si>
  <si>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</si>
  <si>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</si>
  <si>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</si>
  <si>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</si>
  <si>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</si>
  <si>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</si>
  <si>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</si>
  <si>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</si>
  <si>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</si>
  <si>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</si>
  <si>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</si>
  <si>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</si>
  <si>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</si>
  <si>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</si>
  <si>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</si>
  <si>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</si>
  <si>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</si>
  <si>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</si>
  <si>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</si>
  <si>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</si>
  <si>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</si>
  <si>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</si>
  <si>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</si>
  <si>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</si>
  <si>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</si>
  <si>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</si>
  <si>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</si>
  <si>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</si>
  <si>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</si>
  <si>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</si>
  <si>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</si>
  <si>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</si>
  <si>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</si>
  <si>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</si>
  <si>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</si>
  <si>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</si>
  <si>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</si>
  <si>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</si>
  <si>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</si>
  <si>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</si>
  <si>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</si>
  <si>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</si>
  <si>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</si>
  <si>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</si>
  <si>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</si>
  <si>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</si>
  <si>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</si>
  <si>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</si>
  <si>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</si>
  <si>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</si>
  <si>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</si>
  <si>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</si>
  <si>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</si>
  <si>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</si>
  <si>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Jabbar</t>
  </si>
  <si>
    <t>Mian G Store</t>
  </si>
  <si>
    <t>Address: Al Noor Colony</t>
  </si>
  <si>
    <t>Tariq Store</t>
  </si>
  <si>
    <t>Hajweri Store</t>
  </si>
  <si>
    <t>Address: al Noor Colony</t>
  </si>
  <si>
    <t>Imran Store</t>
  </si>
  <si>
    <t xml:space="preserve">Address: Walton Workshop </t>
  </si>
  <si>
    <t xml:space="preserve">Iftakhar Pharmacy </t>
  </si>
  <si>
    <t>Address: Qadri Colony</t>
  </si>
  <si>
    <t>786 Store</t>
  </si>
  <si>
    <t>Rana Super Store</t>
  </si>
  <si>
    <t>Mashallah Store</t>
  </si>
  <si>
    <t>AB Store</t>
  </si>
  <si>
    <t>NTN #: 3520148928009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</si>
</sst>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S11" sqref="S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0" t="s">
        <v>91</v>
      </c>
      <c r="B2" s="390"/>
      <c r="C2" s="390"/>
      <c r="E2" s="382" t="s">
        <v>499</v>
      </c>
      <c r="F2" s="383"/>
      <c r="G2" s="383"/>
      <c r="H2" s="380" t="s">
        <v>516</v>
      </c>
      <c r="I2" s="380"/>
      <c r="J2" s="381"/>
      <c r="R2" s="377" t="s">
        <v>498</v>
      </c>
      <c r="S2" s="378"/>
      <c r="T2" s="379"/>
    </row>
    <row r="3" spans="1:20 16377:16378" ht="21.75" customHeight="1" thickBot="1" x14ac:dyDescent="0.4">
      <c r="A3" s="391" t="s">
        <v>92</v>
      </c>
      <c r="B3" s="391"/>
      <c r="C3" s="391"/>
      <c r="E3" s="386" t="s">
        <v>512</v>
      </c>
      <c r="F3" s="387"/>
      <c r="G3" s="387"/>
      <c r="H3" s="384">
        <f ca="1">TODAY()</f>
        <v>46247</v>
      </c>
      <c r="I3" s="384"/>
      <c r="J3" s="385"/>
      <c r="K3" s="392" t="s">
        <v>43</v>
      </c>
      <c r="L3" s="392"/>
      <c r="M3" s="392"/>
      <c r="N3" s="391"/>
      <c r="O3" s="391"/>
      <c r="P3" s="391"/>
      <c r="R3" s="299">
        <v>1</v>
      </c>
      <c r="S3" s="300" t="str">
        <f>+'1'!A6:A6</f>
        <v>Mian G Store</v>
      </c>
      <c r="T3" s="301">
        <f>+'1'!P35</f>
        <v>2086.2894820347456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Tariq Store</v>
      </c>
      <c r="T4" s="301">
        <f>+'2'!P35</f>
        <v>250.37668702372881</v>
      </c>
      <c r="XEX4" t="s">
        <v>105</v>
      </c>
    </row>
    <row r="5" spans="1:20 16377:16378" ht="21.75" customHeight="1" thickBot="1" x14ac:dyDescent="0.4">
      <c r="A5" s="342" t="s">
        <v>51</v>
      </c>
      <c r="B5" s="343"/>
      <c r="C5" s="346" t="s">
        <v>90</v>
      </c>
      <c r="D5" s="115" t="s">
        <v>52</v>
      </c>
      <c r="E5" s="348" t="s">
        <v>58</v>
      </c>
      <c r="F5" s="349"/>
      <c r="G5" s="350" t="s">
        <v>54</v>
      </c>
      <c r="H5" s="351"/>
      <c r="I5" s="352" t="s">
        <v>77</v>
      </c>
      <c r="J5" s="389" t="s">
        <v>55</v>
      </c>
      <c r="K5" s="350"/>
      <c r="L5" s="351"/>
      <c r="M5" s="343" t="s">
        <v>84</v>
      </c>
      <c r="N5" s="388" t="s">
        <v>495</v>
      </c>
      <c r="O5" s="103" t="s">
        <v>89</v>
      </c>
      <c r="P5" s="115" t="s">
        <v>56</v>
      </c>
      <c r="Q5" s="315" t="s">
        <v>511</v>
      </c>
      <c r="R5" s="314">
        <v>3</v>
      </c>
      <c r="S5" s="300" t="str">
        <f>+'3'!A6:A6</f>
        <v>Hajweri Store</v>
      </c>
      <c r="T5" s="301">
        <f>+'3'!P35</f>
        <v>500.75337404745761</v>
      </c>
      <c r="XEX5" t="s">
        <v>106</v>
      </c>
    </row>
    <row r="6" spans="1:20 16377:16378" ht="21.75" customHeight="1" thickBot="1" x14ac:dyDescent="0.4">
      <c r="A6" s="344"/>
      <c r="B6" s="345"/>
      <c r="C6" s="347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3"/>
      <c r="J6" s="143" t="s">
        <v>59</v>
      </c>
      <c r="K6" s="144" t="s">
        <v>39</v>
      </c>
      <c r="L6" s="145" t="s">
        <v>493</v>
      </c>
      <c r="M6" s="345"/>
      <c r="N6" s="353"/>
      <c r="O6" s="228" t="e">
        <f>IF(#REF!="Filer",0.5%,2.5%)</f>
        <v>#REF!</v>
      </c>
      <c r="P6" s="111" t="s">
        <v>38</v>
      </c>
      <c r="Q6" s="315" t="s">
        <v>510</v>
      </c>
      <c r="R6" s="314">
        <v>4</v>
      </c>
      <c r="S6" s="300" t="str">
        <f>+'4'!A6:A6</f>
        <v>Imran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39</v>
      </c>
      <c r="I7" s="235">
        <f>(G7*D7)*F7+H7*F7</f>
        <v>2046.0374999999999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163.68299999999999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71.611312499999997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1810.7431875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386.69491525423717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10.987190513771186</v>
      </c>
      <c r="P7" s="310">
        <f>M7+N7+O7</f>
        <v>2208.4252932680083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8</v>
      </c>
      <c r="R7" s="314">
        <v>5</v>
      </c>
      <c r="S7" s="300" t="str">
        <f>+'5'!A6:A6</f>
        <v xml:space="preserve">Iftakhar Pharmacy </v>
      </c>
      <c r="T7" s="301">
        <f>+'5'!P35</f>
        <v>2688.4511257690679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38</v>
      </c>
      <c r="I8" s="236">
        <f t="shared" ref="I8:I14" si="0">(G8*D8)*F8+H8*F8</f>
        <v>1993.575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159.48599999999999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69.775125000000003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1764.3138750000001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376.77966101694898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10.705467680084745</v>
      </c>
      <c r="P8" s="311">
        <f t="shared" ref="P8:P15" si="2">M8+N8+O8</f>
        <v>2151.7990036970341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8</v>
      </c>
      <c r="R8" s="314">
        <v>6</v>
      </c>
      <c r="S8" s="300" t="str">
        <f>+'6'!A6:A6</f>
        <v>786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39</v>
      </c>
      <c r="I9" s="236">
        <f t="shared" si="0"/>
        <v>2046.0374999999999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163.68299999999999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71.611312499999997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1810.7431875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386.69491525423712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10.987190513771186</v>
      </c>
      <c r="P9" s="311">
        <f t="shared" si="2"/>
        <v>2208.4252932680083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8</v>
      </c>
      <c r="R9" s="314">
        <v>7</v>
      </c>
      <c r="S9" s="300" t="str">
        <f>+'7'!A6:A6</f>
        <v>Rana Super Store</v>
      </c>
      <c r="T9" s="301">
        <f>+'7'!P35</f>
        <v>3934.229496330508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Mashallah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311">
        <f t="shared" si="2"/>
        <v>0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AB Store</v>
      </c>
      <c r="T11" s="301">
        <f>+'9'!P35</f>
        <v>2533.3776438750006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0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0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0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0</v>
      </c>
      <c r="P12" s="311">
        <f t="shared" si="2"/>
        <v>0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130</v>
      </c>
      <c r="I13" s="236">
        <f t="shared" si="0"/>
        <v>5099.9000000000005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254.99500000000006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178.49650000000003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260.09490000000005</v>
      </c>
      <c r="M13" s="230">
        <f t="shared" si="1"/>
        <v>4406.3136000000004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991.52542372881305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26.989195118644069</v>
      </c>
      <c r="P13" s="311">
        <f t="shared" si="2"/>
        <v>5424.8282188474568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36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93">
        <f>COUNT(A7:A15)</f>
        <v>0</v>
      </c>
      <c r="B16" s="354"/>
      <c r="C16" s="354" t="s">
        <v>40</v>
      </c>
      <c r="D16" s="354"/>
      <c r="E16" s="354"/>
      <c r="F16" s="355"/>
      <c r="G16" s="117">
        <f>H16/40</f>
        <v>6.15</v>
      </c>
      <c r="H16" s="113">
        <f t="shared" ref="H16:M16" si="3">SUM(H7:H15)</f>
        <v>246</v>
      </c>
      <c r="I16" s="114">
        <f t="shared" si="3"/>
        <v>11185.55</v>
      </c>
      <c r="J16" s="274">
        <f>SUM(J7:J15)</f>
        <v>741.84699999999998</v>
      </c>
      <c r="K16" s="275">
        <f t="shared" si="3"/>
        <v>391.49425000000002</v>
      </c>
      <c r="L16" s="276">
        <f t="shared" si="3"/>
        <v>260.09490000000005</v>
      </c>
      <c r="M16" s="232">
        <f t="shared" si="3"/>
        <v>9792.1138500000015</v>
      </c>
      <c r="N16" s="233">
        <f>SUM(N7:N15)</f>
        <v>2141.6949152542365</v>
      </c>
      <c r="O16" s="101">
        <f>SUM(O7:O15)</f>
        <v>59.669043826271185</v>
      </c>
      <c r="P16" s="113">
        <f>SUM(P7:P15)</f>
        <v>11993.477809080508</v>
      </c>
      <c r="Q16" s="128">
        <f>SUM(Q7:Q15)</f>
        <v>60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56" t="s">
        <v>64</v>
      </c>
      <c r="C19" s="357"/>
      <c r="D19" s="357"/>
      <c r="E19" s="357"/>
      <c r="F19" s="357"/>
      <c r="G19" s="357"/>
      <c r="H19" s="357"/>
      <c r="I19" s="357"/>
      <c r="J19" s="357"/>
      <c r="K19" s="357"/>
      <c r="L19" s="358"/>
      <c r="N19" s="365" t="s">
        <v>60</v>
      </c>
      <c r="O19" s="366"/>
      <c r="P19" s="139">
        <f>I16</f>
        <v>11185.55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59"/>
      <c r="C20" s="360"/>
      <c r="D20" s="360"/>
      <c r="E20" s="360"/>
      <c r="F20" s="360"/>
      <c r="G20" s="360"/>
      <c r="H20" s="360"/>
      <c r="I20" s="360"/>
      <c r="J20" s="360"/>
      <c r="K20" s="360"/>
      <c r="L20" s="361"/>
      <c r="N20" s="367" t="s">
        <v>85</v>
      </c>
      <c r="O20" s="368"/>
      <c r="P20" s="140">
        <f>+J16</f>
        <v>741.84699999999998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59"/>
      <c r="C21" s="360"/>
      <c r="D21" s="360"/>
      <c r="E21" s="360"/>
      <c r="F21" s="360"/>
      <c r="G21" s="360"/>
      <c r="H21" s="360"/>
      <c r="I21" s="360"/>
      <c r="J21" s="360"/>
      <c r="K21" s="360"/>
      <c r="L21" s="361"/>
      <c r="N21" s="367" t="s">
        <v>86</v>
      </c>
      <c r="O21" s="368"/>
      <c r="P21" s="140">
        <f>+K16+L16</f>
        <v>651.58915000000002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59"/>
      <c r="C22" s="360"/>
      <c r="D22" s="360"/>
      <c r="E22" s="360"/>
      <c r="F22" s="360"/>
      <c r="G22" s="360"/>
      <c r="H22" s="360"/>
      <c r="I22" s="360"/>
      <c r="J22" s="360"/>
      <c r="K22" s="360"/>
      <c r="L22" s="361"/>
      <c r="M22" s="131"/>
      <c r="N22" s="367" t="s">
        <v>87</v>
      </c>
      <c r="O22" s="368"/>
      <c r="P22" s="140">
        <f>P19-P20-P21</f>
        <v>9792.1138499999997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59"/>
      <c r="C23" s="360"/>
      <c r="D23" s="360"/>
      <c r="E23" s="360"/>
      <c r="F23" s="360"/>
      <c r="G23" s="360"/>
      <c r="H23" s="360"/>
      <c r="I23" s="360"/>
      <c r="J23" s="360"/>
      <c r="K23" s="360"/>
      <c r="L23" s="361"/>
      <c r="M23" s="131"/>
      <c r="N23" s="136" t="s">
        <v>61</v>
      </c>
      <c r="O23" s="133">
        <v>0.18</v>
      </c>
      <c r="P23" s="140">
        <f>+N16</f>
        <v>2141.6949152542365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59"/>
      <c r="C24" s="360"/>
      <c r="D24" s="360"/>
      <c r="E24" s="360"/>
      <c r="F24" s="360"/>
      <c r="G24" s="360"/>
      <c r="H24" s="360"/>
      <c r="I24" s="360"/>
      <c r="J24" s="360"/>
      <c r="K24" s="360"/>
      <c r="L24" s="361"/>
      <c r="M24" s="131"/>
      <c r="N24" s="369" t="s">
        <v>76</v>
      </c>
      <c r="O24" s="370"/>
      <c r="P24" s="140">
        <f>P22+P23</f>
        <v>11933.808765254236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62"/>
      <c r="C25" s="363"/>
      <c r="D25" s="363"/>
      <c r="E25" s="363"/>
      <c r="F25" s="363"/>
      <c r="G25" s="363"/>
      <c r="H25" s="363"/>
      <c r="I25" s="363"/>
      <c r="J25" s="363"/>
      <c r="K25" s="363"/>
      <c r="L25" s="364"/>
      <c r="M25" s="99"/>
      <c r="N25" s="138" t="s">
        <v>83</v>
      </c>
      <c r="O25" s="137" t="e">
        <f>IF(#REF!="Filer",0.5%,2.5%)</f>
        <v>#REF!</v>
      </c>
      <c r="P25" s="140">
        <f>+O16</f>
        <v>59.669043826271185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71" t="s">
        <v>88</v>
      </c>
      <c r="O26" s="372"/>
      <c r="P26" s="297">
        <f>+P24+P25</f>
        <v>11993.477809080507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3"/>
      <c r="D27" s="373"/>
      <c r="E27" s="373"/>
      <c r="F27" s="373"/>
      <c r="G27" s="373"/>
      <c r="H27" s="373"/>
      <c r="I27" s="374"/>
      <c r="J27" s="375"/>
      <c r="K27" s="376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11993.477809080508</v>
      </c>
    </row>
    <row r="44" spans="2:20" x14ac:dyDescent="0.35">
      <c r="B44" t="s">
        <v>504</v>
      </c>
    </row>
    <row r="45" spans="2:20" x14ac:dyDescent="0.35">
      <c r="B45" t="s">
        <v>505</v>
      </c>
    </row>
    <row r="46" spans="2:20" x14ac:dyDescent="0.35">
      <c r="B46" t="s">
        <v>506</v>
      </c>
    </row>
    <row r="47" spans="2:20" x14ac:dyDescent="0.35">
      <c r="B47" t="s">
        <v>507</v>
      </c>
    </row>
    <row r="48" spans="2:20" x14ac:dyDescent="0.35">
      <c r="B48" t="s">
        <v>508</v>
      </c>
    </row>
    <row r="49" spans="2:2" x14ac:dyDescent="0.35">
      <c r="B49" t="s">
        <v>513</v>
      </c>
    </row>
    <row r="50" spans="2:2" x14ac:dyDescent="0.35">
      <c r="B50" t="s">
        <v>515</v>
      </c>
    </row>
    <row r="51" spans="2:2" x14ac:dyDescent="0.35">
      <c r="B51" t="s">
        <v>514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7" workbookViewId="0">
      <selection activeCell="H19" sqref="H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7.25" customHeight="1" x14ac:dyDescent="0.4">
      <c r="A6" s="397" t="s">
        <v>517</v>
      </c>
      <c r="B6" s="397"/>
      <c r="C6" s="397"/>
      <c r="F6" s="85"/>
      <c r="G6" s="86"/>
      <c r="K6" s="392" t="s">
        <v>69</v>
      </c>
      <c r="L6" s="392"/>
      <c r="M6" s="392"/>
      <c r="N6" s="394" t="s">
        <v>513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6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6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310">
        <f>M16+N16+O16</f>
        <v>566.26289570974575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9</v>
      </c>
      <c r="I17" s="236">
        <f t="shared" ref="I17:I23" si="0">(G17*D17)*F17+H17*F17</f>
        <v>472.16249999999997</v>
      </c>
      <c r="J17" s="272">
        <f t="shared" ref="J17:L24" si="1">$I17*S17</f>
        <v>37.772999999999996</v>
      </c>
      <c r="K17" s="128">
        <f>$I17*T17</f>
        <v>16.5256875</v>
      </c>
      <c r="L17" s="119">
        <f>$I17*U17</f>
        <v>0</v>
      </c>
      <c r="M17" s="230">
        <f t="shared" ref="M17:M24" si="2">I17-SUM(J17:L17)</f>
        <v>417.86381249999999</v>
      </c>
      <c r="N17" s="277">
        <f t="shared" ref="N17:N24" si="3">+(G17*D17+H17)*V17</f>
        <v>89.23728813559319</v>
      </c>
      <c r="O17" s="239">
        <f t="shared" ref="O17:O24" si="4">(N17+M17)*$O$15</f>
        <v>2.5355055031779661</v>
      </c>
      <c r="P17" s="311">
        <f t="shared" ref="P17:P24" si="5">M17+N17+O17</f>
        <v>509.63660613877113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9</v>
      </c>
      <c r="I18" s="236">
        <f t="shared" ref="I18:I21" si="7">(G18*D18)*F18+H18*F18</f>
        <v>472.16249999999997</v>
      </c>
      <c r="J18" s="272">
        <f t="shared" si="1"/>
        <v>37.772999999999996</v>
      </c>
      <c r="K18" s="128">
        <f t="shared" si="1"/>
        <v>16.5256875</v>
      </c>
      <c r="L18" s="119">
        <f t="shared" si="1"/>
        <v>0</v>
      </c>
      <c r="M18" s="230">
        <f t="shared" si="2"/>
        <v>417.86381249999999</v>
      </c>
      <c r="N18" s="277">
        <f t="shared" si="3"/>
        <v>89.23728813559319</v>
      </c>
      <c r="O18" s="239">
        <f t="shared" si="4"/>
        <v>2.5355055031779661</v>
      </c>
      <c r="P18" s="311">
        <f t="shared" si="5"/>
        <v>509.63660613877113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311">
        <f t="shared" si="5"/>
        <v>500.75337404745761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" si="8">SUM(G16:G24)</f>
        <v>0</v>
      </c>
      <c r="H25" s="113">
        <f t="shared" ref="H25" si="9">SUM(H16:H24)</f>
        <v>40</v>
      </c>
      <c r="I25" s="114">
        <f t="shared" ref="I25:M25" si="10">SUM(I16:I24)</f>
        <v>1939.7099999999998</v>
      </c>
      <c r="J25" s="274">
        <f>SUM(J16:J24)</f>
        <v>141.054</v>
      </c>
      <c r="K25" s="275">
        <f t="shared" si="10"/>
        <v>67.88985000000001</v>
      </c>
      <c r="L25" s="276">
        <f t="shared" si="10"/>
        <v>24.008760000000002</v>
      </c>
      <c r="M25" s="232">
        <f t="shared" si="10"/>
        <v>1706.7573900000002</v>
      </c>
      <c r="N25" s="233">
        <f>SUM(N16:N24)</f>
        <v>369.15254237288121</v>
      </c>
      <c r="O25" s="101">
        <f>SUM(O16:O24)</f>
        <v>10.379549661864406</v>
      </c>
      <c r="P25" s="113">
        <f>SUM(P16:P24)</f>
        <v>2086.2894820347456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1939.7099999999998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141.054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91.898610000000019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1706.7573899999998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369.15254237288121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2075.909932372881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10.379549661864406</v>
      </c>
    </row>
    <row r="35" spans="2:16" ht="15.75" customHeight="1" thickBot="1" x14ac:dyDescent="0.4">
      <c r="N35" s="371" t="s">
        <v>88</v>
      </c>
      <c r="O35" s="372"/>
      <c r="P35" s="297">
        <f>+P33+P34</f>
        <v>2086.2894820347456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6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519</v>
      </c>
      <c r="B6" s="397"/>
      <c r="C6" s="397"/>
      <c r="F6" s="85"/>
      <c r="G6" s="86"/>
      <c r="K6" s="392" t="s">
        <v>69</v>
      </c>
      <c r="L6" s="392"/>
      <c r="M6" s="392"/>
      <c r="N6" s="394" t="s">
        <v>513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6</v>
      </c>
      <c r="I22" s="236">
        <f t="shared" si="0"/>
        <v>235.38000000000002</v>
      </c>
      <c r="J22" s="272">
        <f t="shared" si="1"/>
        <v>11.769000000000002</v>
      </c>
      <c r="K22" s="128">
        <f t="shared" si="1"/>
        <v>8.2383000000000024</v>
      </c>
      <c r="L22" s="119">
        <f t="shared" si="1"/>
        <v>12.004380000000001</v>
      </c>
      <c r="M22" s="230">
        <f t="shared" si="2"/>
        <v>203.36832000000001</v>
      </c>
      <c r="N22" s="277">
        <f t="shared" si="3"/>
        <v>45.762711864406754</v>
      </c>
      <c r="O22" s="239">
        <f t="shared" si="4"/>
        <v>1.2456551593220337</v>
      </c>
      <c r="P22" s="311">
        <f t="shared" si="5"/>
        <v>250.37668702372881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6</v>
      </c>
      <c r="I25" s="114">
        <f t="shared" si="7"/>
        <v>235.38000000000002</v>
      </c>
      <c r="J25" s="274">
        <f>SUM(J16:J24)</f>
        <v>11.769000000000002</v>
      </c>
      <c r="K25" s="275">
        <f t="shared" si="7"/>
        <v>8.2383000000000024</v>
      </c>
      <c r="L25" s="276">
        <f t="shared" si="7"/>
        <v>12.004380000000001</v>
      </c>
      <c r="M25" s="232">
        <f t="shared" si="7"/>
        <v>203.36832000000001</v>
      </c>
      <c r="N25" s="233">
        <f>SUM(N16:N24)</f>
        <v>45.762711864406754</v>
      </c>
      <c r="O25" s="101">
        <f>SUM(O16:O24)</f>
        <v>1.2456551593220337</v>
      </c>
      <c r="P25" s="113">
        <f>SUM(P16:P24)</f>
        <v>250.37668702372881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235.38000000000002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11.769000000000002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20.242680000000004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203.36832000000001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45.762711864406754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249.13103186440676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1.2456551593220337</v>
      </c>
    </row>
    <row r="35" spans="2:16" ht="15.75" customHeight="1" thickBot="1" x14ac:dyDescent="0.4">
      <c r="N35" s="371" t="s">
        <v>88</v>
      </c>
      <c r="O35" s="372"/>
      <c r="P35" s="297">
        <f>+P33+P34</f>
        <v>250.37668702372881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6" workbookViewId="0">
      <selection activeCell="H23" sqref="H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8.75" customHeight="1" x14ac:dyDescent="0.4">
      <c r="A6" s="397" t="s">
        <v>520</v>
      </c>
      <c r="B6" s="397"/>
      <c r="C6" s="397"/>
      <c r="F6" s="85"/>
      <c r="G6" s="86"/>
      <c r="K6" s="392" t="s">
        <v>69</v>
      </c>
      <c r="L6" s="392"/>
      <c r="M6" s="392"/>
      <c r="N6" s="394" t="s">
        <v>513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521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311">
        <f t="shared" si="5"/>
        <v>500.75337404745761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12</v>
      </c>
      <c r="I25" s="114">
        <f t="shared" si="7"/>
        <v>470.76000000000005</v>
      </c>
      <c r="J25" s="274">
        <f>SUM(J16:J24)</f>
        <v>23.538000000000004</v>
      </c>
      <c r="K25" s="275">
        <f t="shared" si="7"/>
        <v>16.476600000000005</v>
      </c>
      <c r="L25" s="276">
        <f t="shared" si="7"/>
        <v>24.008760000000002</v>
      </c>
      <c r="M25" s="232">
        <f t="shared" si="7"/>
        <v>406.73664000000002</v>
      </c>
      <c r="N25" s="233">
        <f>SUM(N16:N24)</f>
        <v>91.525423728813507</v>
      </c>
      <c r="O25" s="101">
        <f>SUM(O16:O24)</f>
        <v>2.4913103186440675</v>
      </c>
      <c r="P25" s="113">
        <f>SUM(P16:P24)</f>
        <v>500.75337404745761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470.76000000000005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23.538000000000004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40.485360000000007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406.73664000000002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91.525423728813507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498.26206372881353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2.4913103186440675</v>
      </c>
    </row>
    <row r="35" spans="2:16" ht="15.75" customHeight="1" thickBot="1" x14ac:dyDescent="0.4">
      <c r="N35" s="371" t="s">
        <v>88</v>
      </c>
      <c r="O35" s="372"/>
      <c r="P35" s="297">
        <f>+P33+P34</f>
        <v>500.75337404745761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12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522</v>
      </c>
      <c r="B6" s="397"/>
      <c r="C6" s="397"/>
      <c r="F6" s="85"/>
      <c r="G6" s="86"/>
      <c r="K6" s="392" t="s">
        <v>69</v>
      </c>
      <c r="L6" s="392"/>
      <c r="M6" s="392"/>
      <c r="N6" s="394" t="s">
        <v>513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523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>
        <v>12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12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6" workbookViewId="0">
      <selection activeCell="H19" sqref="H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524</v>
      </c>
      <c r="B6" s="397"/>
      <c r="C6" s="397"/>
      <c r="F6" s="85"/>
      <c r="G6" s="86"/>
      <c r="K6" s="392" t="s">
        <v>69</v>
      </c>
      <c r="L6" s="392"/>
      <c r="M6" s="392"/>
      <c r="N6" s="394" t="s">
        <v>513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525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6</v>
      </c>
      <c r="I16" s="235">
        <f>(G16*D16)*F16+H16*F16</f>
        <v>314.77499999999998</v>
      </c>
      <c r="J16" s="271">
        <f>$I16*S16</f>
        <v>25.181999999999999</v>
      </c>
      <c r="K16" s="127">
        <f>$I16*T16</f>
        <v>11.017125</v>
      </c>
      <c r="L16" s="118">
        <f>$I16*U16</f>
        <v>0</v>
      </c>
      <c r="M16" s="229">
        <f>I16-SUM(J16:L16)</f>
        <v>278.575875</v>
      </c>
      <c r="N16" s="248">
        <f>+(G16*D16+H16)*V16</f>
        <v>59.491525423728788</v>
      </c>
      <c r="O16" s="238">
        <f>(N16+M16)*$O$15</f>
        <v>1.6903370021186439</v>
      </c>
      <c r="P16" s="310">
        <f>M16+N16+O16</f>
        <v>339.75773742584744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6</v>
      </c>
      <c r="I17" s="236">
        <f t="shared" ref="I17:I23" si="0">(G17*D17)*F17+H17*F17</f>
        <v>314.77499999999998</v>
      </c>
      <c r="J17" s="272">
        <f t="shared" ref="J17:L24" si="1">$I17*S17</f>
        <v>25.181999999999999</v>
      </c>
      <c r="K17" s="128">
        <f>$I17*T17</f>
        <v>11.017125</v>
      </c>
      <c r="L17" s="119">
        <f>$I17*U17</f>
        <v>0</v>
      </c>
      <c r="M17" s="230">
        <f t="shared" ref="M17:M24" si="2">I17-SUM(J17:L17)</f>
        <v>278.575875</v>
      </c>
      <c r="N17" s="277">
        <f t="shared" ref="N17:N24" si="3">+(G17*D17+H17)*V17</f>
        <v>59.491525423728788</v>
      </c>
      <c r="O17" s="239">
        <f t="shared" ref="O17:O24" si="4">(N17+M17)*$O$15</f>
        <v>1.6903370021186439</v>
      </c>
      <c r="P17" s="311">
        <f t="shared" ref="P17:P24" si="5">M17+N17+O17</f>
        <v>339.75773742584744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6</v>
      </c>
      <c r="I18" s="236">
        <f t="shared" si="0"/>
        <v>314.77499999999998</v>
      </c>
      <c r="J18" s="272">
        <f t="shared" si="1"/>
        <v>25.181999999999999</v>
      </c>
      <c r="K18" s="128">
        <f t="shared" si="1"/>
        <v>11.017125</v>
      </c>
      <c r="L18" s="119">
        <f t="shared" si="1"/>
        <v>0</v>
      </c>
      <c r="M18" s="230">
        <f t="shared" si="2"/>
        <v>278.575875</v>
      </c>
      <c r="N18" s="277">
        <f t="shared" si="3"/>
        <v>59.491525423728788</v>
      </c>
      <c r="O18" s="239">
        <f t="shared" si="4"/>
        <v>1.6903370021186439</v>
      </c>
      <c r="P18" s="311">
        <f t="shared" si="5"/>
        <v>339.75773742584744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58</v>
      </c>
      <c r="I25" s="114">
        <f t="shared" si="7"/>
        <v>2513.5250000000001</v>
      </c>
      <c r="J25" s="274">
        <f>SUM(J16:J24)</f>
        <v>154.00600000000003</v>
      </c>
      <c r="K25" s="275">
        <f t="shared" si="7"/>
        <v>87.973375000000004</v>
      </c>
      <c r="L25" s="276">
        <f t="shared" si="7"/>
        <v>80.029200000000003</v>
      </c>
      <c r="M25" s="232">
        <f t="shared" si="7"/>
        <v>2191.5164250000003</v>
      </c>
      <c r="N25" s="233">
        <f>SUM(N16:N24)</f>
        <v>483.55932203389807</v>
      </c>
      <c r="O25" s="101">
        <f>SUM(O16:O24)</f>
        <v>13.375378735169491</v>
      </c>
      <c r="P25" s="113">
        <f>SUM(P16:P24)</f>
        <v>2688.4511257690679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2513.5250000000001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154.00600000000003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168.00257500000001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2191.5164250000003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483.55932203389807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2675.0757470338986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13.375378735169493</v>
      </c>
    </row>
    <row r="35" spans="2:16" ht="15.75" customHeight="1" thickBot="1" x14ac:dyDescent="0.4">
      <c r="N35" s="371" t="s">
        <v>88</v>
      </c>
      <c r="O35" s="372"/>
      <c r="P35" s="297">
        <f>+P33+P34</f>
        <v>2688.4511257690679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9"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526</v>
      </c>
      <c r="B6" s="397"/>
      <c r="C6" s="397"/>
      <c r="F6" s="85"/>
      <c r="G6" s="86"/>
      <c r="K6" s="392" t="s">
        <v>69</v>
      </c>
      <c r="L6" s="392"/>
      <c r="M6" s="392"/>
      <c r="N6" s="394" t="s">
        <v>513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525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>
        <v>4</v>
      </c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>
        <v>4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>
        <v>4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>
        <v>12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24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6" workbookViewId="0">
      <selection activeCell="H19" sqref="H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527</v>
      </c>
      <c r="B6" s="397"/>
      <c r="C6" s="397"/>
      <c r="F6" s="85"/>
      <c r="G6" s="86"/>
      <c r="K6" s="392" t="s">
        <v>69</v>
      </c>
      <c r="L6" s="392"/>
      <c r="M6" s="392"/>
      <c r="N6" s="394" t="s">
        <v>513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525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13</v>
      </c>
      <c r="I16" s="235">
        <f>(G16*D16)*F16+H16*F16</f>
        <v>682.01249999999993</v>
      </c>
      <c r="J16" s="271">
        <f>$I16*S16</f>
        <v>54.560999999999993</v>
      </c>
      <c r="K16" s="127">
        <f>$I16*T16</f>
        <v>23.870437500000001</v>
      </c>
      <c r="L16" s="118">
        <f>$I16*U16</f>
        <v>0</v>
      </c>
      <c r="M16" s="229">
        <f>I16-SUM(J16:L16)</f>
        <v>603.58106249999992</v>
      </c>
      <c r="N16" s="248">
        <f>+(G16*D16+H16)*V16</f>
        <v>128.89830508474572</v>
      </c>
      <c r="O16" s="238">
        <f>(N16+M16)*$O$15</f>
        <v>3.6623968379237284</v>
      </c>
      <c r="P16" s="310">
        <f>M16+N16+O16</f>
        <v>736.14176442266944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13</v>
      </c>
      <c r="I17" s="236">
        <f t="shared" ref="I17:I23" si="0">(G17*D17)*F17+H17*F17</f>
        <v>682.01249999999993</v>
      </c>
      <c r="J17" s="272">
        <f t="shared" ref="J17:L24" si="1">$I17*S17</f>
        <v>54.560999999999993</v>
      </c>
      <c r="K17" s="128">
        <f>$I17*T17</f>
        <v>23.870437500000001</v>
      </c>
      <c r="L17" s="119">
        <f>$I17*U17</f>
        <v>0</v>
      </c>
      <c r="M17" s="230">
        <f t="shared" ref="M17:M24" si="2">I17-SUM(J17:L17)</f>
        <v>603.58106249999992</v>
      </c>
      <c r="N17" s="277">
        <f t="shared" ref="N17:N24" si="3">+(G17*D17+H17)*V17</f>
        <v>128.89830508474572</v>
      </c>
      <c r="O17" s="239">
        <f t="shared" ref="O17:O24" si="4">(N17+M17)*$O$15</f>
        <v>3.6623968379237284</v>
      </c>
      <c r="P17" s="311">
        <f t="shared" ref="P17:P24" si="5">M17+N17+O17</f>
        <v>736.14176442266944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14</v>
      </c>
      <c r="I18" s="236">
        <f t="shared" si="0"/>
        <v>734.47500000000002</v>
      </c>
      <c r="J18" s="272">
        <f t="shared" si="1"/>
        <v>58.758000000000003</v>
      </c>
      <c r="K18" s="128">
        <f t="shared" si="1"/>
        <v>25.706625000000003</v>
      </c>
      <c r="L18" s="119">
        <f t="shared" si="1"/>
        <v>0</v>
      </c>
      <c r="M18" s="230">
        <f t="shared" si="2"/>
        <v>650.01037500000007</v>
      </c>
      <c r="N18" s="277">
        <f t="shared" si="3"/>
        <v>138.81355932203383</v>
      </c>
      <c r="O18" s="239">
        <f t="shared" si="4"/>
        <v>3.9441196716101694</v>
      </c>
      <c r="P18" s="311">
        <f t="shared" si="5"/>
        <v>792.76805399364412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80</v>
      </c>
      <c r="I25" s="114">
        <f t="shared" si="7"/>
        <v>3667.7000000000003</v>
      </c>
      <c r="J25" s="274">
        <f>SUM(J16:J24)</f>
        <v>246.34000000000003</v>
      </c>
      <c r="K25" s="275">
        <f t="shared" si="7"/>
        <v>128.36950000000002</v>
      </c>
      <c r="L25" s="276">
        <f t="shared" si="7"/>
        <v>80.029200000000003</v>
      </c>
      <c r="M25" s="232">
        <f t="shared" si="7"/>
        <v>3212.9612999999999</v>
      </c>
      <c r="N25" s="233">
        <f>SUM(N16:N24)</f>
        <v>701.694915254237</v>
      </c>
      <c r="O25" s="101">
        <f>SUM(O16:O24)</f>
        <v>19.573281076271186</v>
      </c>
      <c r="P25" s="113">
        <f>SUM(P16:P24)</f>
        <v>3934.2294963305085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3667.7000000000003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246.34000000000003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208.39870000000002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3212.9612999999999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701.694915254237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3914.6562152542369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19.573281076271186</v>
      </c>
    </row>
    <row r="35" spans="2:16" ht="15.75" customHeight="1" thickBot="1" x14ac:dyDescent="0.4">
      <c r="N35" s="371" t="s">
        <v>88</v>
      </c>
      <c r="O35" s="372"/>
      <c r="P35" s="297">
        <f>+P33+P34</f>
        <v>3934.229496330508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12" workbookViewId="0">
      <selection activeCell="H22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528</v>
      </c>
      <c r="B6" s="397"/>
      <c r="C6" s="397"/>
      <c r="F6" s="85"/>
      <c r="G6" s="86"/>
      <c r="K6" s="392" t="s">
        <v>69</v>
      </c>
      <c r="L6" s="392"/>
      <c r="M6" s="392"/>
      <c r="N6" s="394" t="s">
        <v>513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525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>
        <v>4</v>
      </c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>
        <v>4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>
        <v>4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>
        <v>12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24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529</v>
      </c>
      <c r="B6" s="397"/>
      <c r="C6" s="397"/>
      <c r="F6" s="85"/>
      <c r="G6" s="86"/>
      <c r="K6" s="392" t="s">
        <v>69</v>
      </c>
      <c r="L6" s="392"/>
      <c r="M6" s="392"/>
      <c r="N6" s="394" t="s">
        <v>513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530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525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310">
        <f>M16+N16+O16</f>
        <v>566.26289570974575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311">
        <f t="shared" ref="P17:P24" si="5">M17+N17+O17</f>
        <v>566.26289570974575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si="0"/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311">
        <f t="shared" si="5"/>
        <v>566.26289570974575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20</v>
      </c>
      <c r="I22" s="236">
        <f t="shared" si="0"/>
        <v>784.60000000000014</v>
      </c>
      <c r="J22" s="272">
        <f t="shared" si="1"/>
        <v>39.230000000000011</v>
      </c>
      <c r="K22" s="128">
        <f t="shared" si="1"/>
        <v>27.461000000000006</v>
      </c>
      <c r="L22" s="119">
        <f t="shared" si="1"/>
        <v>40.014600000000002</v>
      </c>
      <c r="M22" s="230">
        <f t="shared" si="2"/>
        <v>677.89440000000013</v>
      </c>
      <c r="N22" s="277">
        <f t="shared" si="3"/>
        <v>152.54237288135585</v>
      </c>
      <c r="O22" s="239">
        <f t="shared" si="4"/>
        <v>4.1521838644067799</v>
      </c>
      <c r="P22" s="311">
        <f t="shared" si="5"/>
        <v>834.58895674576274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50</v>
      </c>
      <c r="I25" s="114">
        <f t="shared" si="7"/>
        <v>2358.4750000000004</v>
      </c>
      <c r="J25" s="274">
        <f>SUM(J16:J24)</f>
        <v>165.14000000000001</v>
      </c>
      <c r="K25" s="275">
        <f t="shared" si="7"/>
        <v>82.546625000000006</v>
      </c>
      <c r="L25" s="276">
        <f t="shared" si="7"/>
        <v>40.014600000000002</v>
      </c>
      <c r="M25" s="232">
        <f t="shared" si="7"/>
        <v>2070.7737750000001</v>
      </c>
      <c r="N25" s="233">
        <f>SUM(N16:N24)</f>
        <v>449.99999999999977</v>
      </c>
      <c r="O25" s="101">
        <f>SUM(O16:O24)</f>
        <v>12.603868875</v>
      </c>
      <c r="P25" s="113">
        <f>SUM(P16:P24)</f>
        <v>2533.3776438750001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2358.4750000000004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165.14000000000001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122.56122500000001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2070.7737750000006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449.99999999999977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2520.7737750000006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12.603868875000003</v>
      </c>
    </row>
    <row r="35" spans="2:16" ht="15.75" customHeight="1" thickBot="1" x14ac:dyDescent="0.4">
      <c r="N35" s="371" t="s">
        <v>88</v>
      </c>
      <c r="O35" s="372"/>
      <c r="P35" s="297">
        <f>+P33+P34</f>
        <v>2533.3776438750006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500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501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8.75" customHeight="1" x14ac:dyDescent="0.4">
      <c r="A6" s="397" t="s">
        <v>502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0" t="s">
        <v>91</v>
      </c>
      <c r="B2" s="390"/>
      <c r="C2" s="390"/>
    </row>
    <row r="3" spans="1:18 16382:16383" ht="15" customHeight="1" x14ac:dyDescent="0.35">
      <c r="A3" s="391" t="s">
        <v>92</v>
      </c>
      <c r="B3" s="391"/>
      <c r="C3" s="391"/>
      <c r="F3" s="85"/>
      <c r="G3" s="1"/>
      <c r="J3" s="392" t="s">
        <v>43</v>
      </c>
      <c r="K3" s="392"/>
      <c r="L3" s="392"/>
      <c r="M3" s="391"/>
      <c r="N3" s="391"/>
      <c r="O3" s="391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1" t="s">
        <v>65</v>
      </c>
      <c r="B4" s="391"/>
      <c r="C4" s="391"/>
      <c r="F4" s="85"/>
      <c r="G4" s="1"/>
      <c r="J4" s="392" t="s">
        <v>44</v>
      </c>
      <c r="K4" s="392"/>
      <c r="L4" s="392"/>
      <c r="M4" s="395">
        <f ca="1">TODAY()+1</f>
        <v>46248</v>
      </c>
      <c r="N4" s="395"/>
      <c r="O4" s="395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6" t="s">
        <v>93</v>
      </c>
      <c r="B5" s="396"/>
      <c r="C5" s="396"/>
      <c r="F5" s="85"/>
      <c r="G5" s="1"/>
      <c r="J5" s="392" t="s">
        <v>45</v>
      </c>
      <c r="K5" s="392"/>
      <c r="L5" s="392"/>
      <c r="M5" s="395">
        <f ca="1">M4-1</f>
        <v>46247</v>
      </c>
      <c r="N5" s="391"/>
      <c r="O5" s="391"/>
      <c r="Q5" s="85"/>
      <c r="R5" s="1"/>
    </row>
    <row r="6" spans="1:18 16382:16383" ht="15" customHeight="1" x14ac:dyDescent="0.35">
      <c r="A6" s="392" t="s">
        <v>94</v>
      </c>
      <c r="B6" s="392"/>
      <c r="C6" s="392"/>
      <c r="F6" s="85"/>
      <c r="G6" s="86"/>
      <c r="J6" s="392" t="s">
        <v>69</v>
      </c>
      <c r="K6" s="392"/>
      <c r="L6" s="392"/>
      <c r="M6" s="394" t="s">
        <v>62</v>
      </c>
      <c r="N6" s="394"/>
      <c r="O6" s="394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2" t="s">
        <v>73</v>
      </c>
      <c r="B7" s="392"/>
      <c r="C7" s="392"/>
      <c r="F7" s="85"/>
      <c r="G7" s="86"/>
      <c r="J7" s="392" t="s">
        <v>66</v>
      </c>
      <c r="K7" s="392"/>
      <c r="L7" s="392"/>
      <c r="M7" s="394" t="s">
        <v>70</v>
      </c>
      <c r="N7" s="394"/>
      <c r="O7" s="394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8" t="s">
        <v>95</v>
      </c>
      <c r="B8" s="398"/>
      <c r="C8" s="398"/>
      <c r="F8" s="85"/>
      <c r="G8" s="86"/>
      <c r="J8" s="392" t="s">
        <v>67</v>
      </c>
      <c r="K8" s="392"/>
      <c r="L8" s="392"/>
      <c r="M8" s="394" t="s">
        <v>71</v>
      </c>
      <c r="N8" s="394"/>
      <c r="O8" s="394"/>
      <c r="Q8" s="85"/>
      <c r="R8" s="86"/>
    </row>
    <row r="9" spans="1:18 16382:16383" x14ac:dyDescent="0.35">
      <c r="A9" s="398" t="s">
        <v>96</v>
      </c>
      <c r="B9" s="398"/>
      <c r="C9" s="398"/>
      <c r="F9" s="85"/>
      <c r="G9" s="86"/>
      <c r="J9" s="392" t="s">
        <v>68</v>
      </c>
      <c r="K9" s="392"/>
      <c r="L9" s="392"/>
      <c r="M9" s="394" t="s">
        <v>104</v>
      </c>
      <c r="N9" s="394"/>
      <c r="O9" s="394"/>
      <c r="Q9" s="85"/>
      <c r="R9" s="86"/>
      <c r="XFC9" t="s">
        <v>49</v>
      </c>
    </row>
    <row r="10" spans="1:18 16382:16383" x14ac:dyDescent="0.35">
      <c r="A10" s="398" t="s">
        <v>97</v>
      </c>
      <c r="B10" s="398"/>
      <c r="C10" s="398"/>
      <c r="F10" s="85"/>
      <c r="G10" s="1"/>
      <c r="J10" s="392" t="s">
        <v>46</v>
      </c>
      <c r="K10" s="392"/>
      <c r="L10" s="392"/>
      <c r="M10" s="391" t="s">
        <v>47</v>
      </c>
      <c r="N10" s="391"/>
      <c r="O10" s="391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2" t="s">
        <v>48</v>
      </c>
      <c r="K11" s="392"/>
      <c r="L11" s="392"/>
      <c r="M11" s="391" t="s">
        <v>49</v>
      </c>
      <c r="N11" s="391"/>
      <c r="O11" s="391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2" t="s">
        <v>50</v>
      </c>
      <c r="K12" s="392"/>
      <c r="L12" s="392"/>
      <c r="M12" s="391"/>
      <c r="N12" s="391"/>
      <c r="O12" s="391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2" t="s">
        <v>51</v>
      </c>
      <c r="B14" s="343"/>
      <c r="C14" s="346" t="s">
        <v>90</v>
      </c>
      <c r="D14" s="88" t="s">
        <v>52</v>
      </c>
      <c r="E14" s="95" t="s">
        <v>74</v>
      </c>
      <c r="F14" s="115" t="s">
        <v>53</v>
      </c>
      <c r="G14" s="389" t="s">
        <v>54</v>
      </c>
      <c r="H14" s="351"/>
      <c r="I14" s="352" t="s">
        <v>77</v>
      </c>
      <c r="J14" s="350" t="s">
        <v>55</v>
      </c>
      <c r="K14" s="351"/>
      <c r="L14" s="352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4"/>
      <c r="B15" s="345"/>
      <c r="C15" s="347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3"/>
      <c r="J15" s="144" t="s">
        <v>39</v>
      </c>
      <c r="K15" s="145" t="s">
        <v>59</v>
      </c>
      <c r="L15" s="35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8"/>
      <c r="M28" s="365" t="s">
        <v>60</v>
      </c>
      <c r="N28" s="366"/>
      <c r="O28" s="139">
        <f>I25</f>
        <v>1452.8</v>
      </c>
    </row>
    <row r="29" spans="1:18 16383:16383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1"/>
      <c r="M29" s="367" t="s">
        <v>85</v>
      </c>
      <c r="N29" s="368"/>
      <c r="O29" s="140">
        <f>K25</f>
        <v>0</v>
      </c>
    </row>
    <row r="30" spans="1:18 16383:16383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1"/>
      <c r="M30" s="367" t="s">
        <v>86</v>
      </c>
      <c r="N30" s="368"/>
      <c r="O30" s="140">
        <f>J25</f>
        <v>50.848000000000006</v>
      </c>
    </row>
    <row r="31" spans="1:18 16383:16383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1"/>
      <c r="L31" s="131"/>
      <c r="M31" s="367" t="s">
        <v>87</v>
      </c>
      <c r="N31" s="368"/>
      <c r="O31" s="140">
        <f>O28-O29-O30</f>
        <v>1401.952</v>
      </c>
    </row>
    <row r="32" spans="1:18 16383:16383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1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1"/>
      <c r="L33" s="131"/>
      <c r="M33" s="369" t="s">
        <v>76</v>
      </c>
      <c r="N33" s="370"/>
      <c r="O33" s="140">
        <f>O31+O32</f>
        <v>1710.3814400000001</v>
      </c>
    </row>
    <row r="34" spans="2:15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4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1" t="s">
        <v>88</v>
      </c>
      <c r="N35" s="372"/>
      <c r="O35" s="141">
        <f>O28-O29+O31+O34</f>
        <v>2897.511536</v>
      </c>
    </row>
    <row r="36" spans="2:15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2" t="s">
        <v>439</v>
      </c>
      <c r="E1" s="334" t="s">
        <v>58</v>
      </c>
      <c r="F1" s="334"/>
      <c r="G1" s="335" t="s">
        <v>440</v>
      </c>
      <c r="H1" s="335"/>
      <c r="I1" s="403" t="s">
        <v>441</v>
      </c>
      <c r="J1" s="403"/>
      <c r="K1" s="403" t="s">
        <v>442</v>
      </c>
      <c r="L1" s="403"/>
      <c r="M1" s="399" t="s">
        <v>484</v>
      </c>
      <c r="N1" s="400"/>
      <c r="O1" s="401"/>
    </row>
    <row r="2" spans="3:24" ht="29" x14ac:dyDescent="0.35">
      <c r="C2" s="334"/>
      <c r="D2" s="402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4" t="s">
        <v>476</v>
      </c>
      <c r="D6" s="404"/>
      <c r="E6" s="404"/>
      <c r="F6" s="404"/>
      <c r="G6" s="404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6" t="s">
        <v>58</v>
      </c>
      <c r="F7" s="406"/>
      <c r="G7" s="407" t="s">
        <v>440</v>
      </c>
      <c r="H7" s="335"/>
      <c r="I7" s="336" t="s">
        <v>441</v>
      </c>
      <c r="J7" s="337"/>
      <c r="K7" s="336" t="s">
        <v>442</v>
      </c>
      <c r="L7" s="337"/>
      <c r="M7" s="399" t="s">
        <v>484</v>
      </c>
      <c r="N7" s="400"/>
      <c r="O7" s="401"/>
      <c r="P7" s="256" t="s">
        <v>475</v>
      </c>
      <c r="Q7" s="242" t="s">
        <v>473</v>
      </c>
      <c r="R7" s="402" t="s">
        <v>475</v>
      </c>
      <c r="S7" s="402" t="s">
        <v>485</v>
      </c>
      <c r="T7" s="408" t="s">
        <v>486</v>
      </c>
      <c r="U7" s="408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2"/>
      <c r="S8" s="402"/>
      <c r="T8" s="407"/>
      <c r="U8" s="407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5" t="s">
        <v>477</v>
      </c>
      <c r="D12" s="405"/>
      <c r="E12" s="405"/>
      <c r="F12" s="405"/>
      <c r="G12" s="405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399" t="s">
        <v>484</v>
      </c>
      <c r="N13" s="400"/>
      <c r="O13" s="401"/>
      <c r="P13" s="256" t="s">
        <v>475</v>
      </c>
      <c r="Q13" s="242" t="s">
        <v>473</v>
      </c>
      <c r="R13" s="402" t="s">
        <v>475</v>
      </c>
      <c r="S13" s="402" t="s">
        <v>485</v>
      </c>
      <c r="T13" s="408" t="s">
        <v>486</v>
      </c>
      <c r="U13" s="408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2"/>
      <c r="S14" s="402"/>
      <c r="T14" s="407"/>
      <c r="U14" s="407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4" t="s">
        <v>478</v>
      </c>
      <c r="D19" s="404"/>
      <c r="E19" s="404"/>
      <c r="F19" s="404"/>
      <c r="G19" s="404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399" t="s">
        <v>484</v>
      </c>
      <c r="N20" s="400"/>
      <c r="O20" s="401"/>
      <c r="P20" s="256" t="s">
        <v>475</v>
      </c>
      <c r="Q20" s="242" t="s">
        <v>473</v>
      </c>
      <c r="R20" s="402" t="s">
        <v>475</v>
      </c>
      <c r="S20" s="402" t="s">
        <v>485</v>
      </c>
      <c r="T20" s="408" t="s">
        <v>486</v>
      </c>
      <c r="U20" s="408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2"/>
      <c r="S21" s="402"/>
      <c r="T21" s="407"/>
      <c r="U21" s="407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4" t="s">
        <v>479</v>
      </c>
      <c r="D26" s="404"/>
      <c r="E26" s="404"/>
      <c r="F26" s="404"/>
      <c r="G26" s="404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399" t="s">
        <v>484</v>
      </c>
      <c r="N27" s="400"/>
      <c r="O27" s="401"/>
      <c r="P27" s="256" t="s">
        <v>475</v>
      </c>
      <c r="Q27" s="242" t="s">
        <v>473</v>
      </c>
      <c r="R27" s="402" t="s">
        <v>475</v>
      </c>
      <c r="S27" s="402" t="s">
        <v>485</v>
      </c>
      <c r="T27" s="408" t="s">
        <v>486</v>
      </c>
      <c r="U27" s="408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2"/>
      <c r="S28" s="402"/>
      <c r="T28" s="407"/>
      <c r="U28" s="407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2" t="s">
        <v>439</v>
      </c>
      <c r="D1" s="334" t="s">
        <v>58</v>
      </c>
      <c r="E1" s="334"/>
      <c r="F1" s="335" t="s">
        <v>440</v>
      </c>
      <c r="G1" s="335"/>
      <c r="H1" s="403" t="s">
        <v>441</v>
      </c>
      <c r="I1" s="403"/>
      <c r="J1" s="403" t="s">
        <v>442</v>
      </c>
      <c r="K1" s="403"/>
      <c r="L1" s="399" t="s">
        <v>484</v>
      </c>
      <c r="M1" s="400"/>
      <c r="N1" s="401"/>
    </row>
    <row r="2" spans="2:17" ht="29" x14ac:dyDescent="0.35">
      <c r="B2" s="334"/>
      <c r="C2" s="402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0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1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1"/>
      <c r="G60" s="160" t="s">
        <v>195</v>
      </c>
      <c r="H60" s="161" t="s">
        <v>100</v>
      </c>
    </row>
    <row r="61" spans="5:8" x14ac:dyDescent="0.35">
      <c r="E61" s="159" t="s">
        <v>192</v>
      </c>
      <c r="F61" s="411"/>
      <c r="G61" s="160" t="s">
        <v>196</v>
      </c>
      <c r="H61" s="161" t="s">
        <v>98</v>
      </c>
    </row>
    <row r="62" spans="5:8" x14ac:dyDescent="0.35">
      <c r="E62" s="159" t="s">
        <v>192</v>
      </c>
      <c r="F62" s="411"/>
      <c r="G62" s="160" t="s">
        <v>197</v>
      </c>
      <c r="H62" s="161" t="s">
        <v>101</v>
      </c>
    </row>
    <row r="63" spans="5:8" x14ac:dyDescent="0.35">
      <c r="E63" s="159" t="s">
        <v>192</v>
      </c>
      <c r="F63" s="411"/>
      <c r="G63" s="160" t="s">
        <v>198</v>
      </c>
      <c r="H63" s="161" t="s">
        <v>102</v>
      </c>
    </row>
    <row r="64" spans="5:8" x14ac:dyDescent="0.35">
      <c r="E64" s="159" t="s">
        <v>192</v>
      </c>
      <c r="F64" s="411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1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1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1"/>
      <c r="G121" s="160" t="s">
        <v>273</v>
      </c>
      <c r="H121" s="161" t="s">
        <v>98</v>
      </c>
    </row>
    <row r="122" spans="5:8" x14ac:dyDescent="0.35">
      <c r="E122" s="159" t="s">
        <v>269</v>
      </c>
      <c r="F122" s="411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1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1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1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1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1"/>
      <c r="G241" s="160" t="s">
        <v>432</v>
      </c>
      <c r="H241" s="161" t="s">
        <v>98</v>
      </c>
    </row>
    <row r="242" spans="5:8" x14ac:dyDescent="0.35">
      <c r="E242" s="159" t="s">
        <v>428</v>
      </c>
      <c r="F242" s="411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1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1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2026-08-13T10:00:23Z</dcterms:modified>
</cp:coreProperties>
</file>