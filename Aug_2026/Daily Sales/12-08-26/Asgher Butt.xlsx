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680174-4EA9-4E9A-945B-CC037114A6B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<sst xmlns="http://schemas.openxmlformats.org/spreadsheetml/2006/main" count="3977" uniqueCount="519">
  <si>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</si>
  <si>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</si>
  <si>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</si>
  <si>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</si>
  <si>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</si>
  <si>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</si>
  <si>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</si>
  <si>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</si>
  <si>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</si>
  <si>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</si>
  <si>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</si>
  <si>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</si>
  <si>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</si>
  <si>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</si>
  <si>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</si>
  <si>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</si>
  <si>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</si>
  <si>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</si>
  <si>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</si>
  <si>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</si>
  <si>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</si>
  <si>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</si>
  <si>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</si>
  <si>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</si>
  <si>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</si>
  <si>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</si>
  <si>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</si>
  <si>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</si>
  <si>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</si>
  <si>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</si>
  <si>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</si>
  <si>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</si>
  <si>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</si>
  <si>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</si>
  <si>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</si>
  <si>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</si>
  <si>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</si>
  <si>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</si>
  <si>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</si>
  <si>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</si>
  <si>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</si>
  <si>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</si>
  <si>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</si>
  <si>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</si>
  <si>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</si>
  <si>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</si>
  <si>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</si>
  <si>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</si>
  <si>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</si>
  <si>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</si>
  <si>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</si>
  <si>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</si>
  <si>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</si>
  <si>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</si>
  <si>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</si>
  <si>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</si>
  <si>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</si>
  <si>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</si>
  <si>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</si>
  <si>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</si>
  <si>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</si>
  <si>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</si>
  <si>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</si>
  <si>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</si>
  <si>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</si>
  <si>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</si>
  <si>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</si>
  <si>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</si>
  <si>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</si>
  <si>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</si>
  <si>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</si>
  <si>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</si>
  <si>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</si>
  <si>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</si>
  <si>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</si>
  <si>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</si>
  <si>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</si>
  <si>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</si>
  <si>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</si>
  <si>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</si>
  <si>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</si>
  <si>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</si>
  <si>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</si>
  <si>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</si>
  <si>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</si>
  <si>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</si>
  <si>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</si>
  <si>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</si>
  <si>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</si>
  <si>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</si>
  <si>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</si>
  <si>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</si>
  <si>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</si>
  <si>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</si>
  <si>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</si>
  <si>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</si>
  <si>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</si>
  <si>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</si>
  <si>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</si>
  <si>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</si>
  <si>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</si>
  <si>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</si>
  <si>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</si>
  <si>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</si>
  <si>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</si>
  <si>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</si>
  <si>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</si>
  <si>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</si>
  <si>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</si>
  <si>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</si>
  <si>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</si>
  <si>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</si>
  <si>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</si>
  <si>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</si>
  <si>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</si>
  <si>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</si>
  <si>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</si>
  <si>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</si>
  <si>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</si>
  <si>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</si>
  <si>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</si>
  <si>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</si>
  <si>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</si>
  <si>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</si>
  <si>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</si>
  <si>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</si>
  <si>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</si>
  <si>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</si>
  <si>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</si>
  <si>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</si>
  <si>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</si>
  <si>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</si>
  <si>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</si>
  <si>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</si>
  <si>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</si>
  <si>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</si>
  <si>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</si>
  <si>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</si>
  <si>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</si>
  <si>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</si>
  <si>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</si>
  <si>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</si>
  <si>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</si>
  <si>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</si>
  <si>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</si>
  <si>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</si>
  <si>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</si>
  <si>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</si>
  <si>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</si>
  <si>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</si>
  <si>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</si>
  <si>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</si>
  <si>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</si>
  <si>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</si>
  <si>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</si>
  <si>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</si>
  <si>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</si>
  <si>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</si>
  <si>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</si>
  <si>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</si>
  <si>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</si>
  <si>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</si>
  <si>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</si>
  <si>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</si>
  <si>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</si>
  <si>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</si>
  <si>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</si>
  <si>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</si>
  <si>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</si>
  <si>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</si>
  <si>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</si>
  <si>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</si>
  <si>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</si>
  <si>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</si>
  <si>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</si>
  <si>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</si>
  <si>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</si>
  <si>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</si>
  <si>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</si>
  <si>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</si>
  <si>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</si>
  <si>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</si>
  <si>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</si>
  <si>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</si>
  <si>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</si>
  <si>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</si>
  <si>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</si>
  <si>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</si>
  <si>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</si>
  <si>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</si>
  <si>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</si>
  <si>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</si>
  <si>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</si>
  <si>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</si>
  <si>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</si>
  <si>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</si>
  <si>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</si>
  <si>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</si>
  <si>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</si>
  <si>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</si>
  <si>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</si>
  <si>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</si>
  <si>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</si>
  <si>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</si>
  <si>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</si>
  <si>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</si>
  <si>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</si>
  <si>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</si>
  <si>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</si>
  <si>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</si>
  <si>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</si>
  <si>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</si>
  <si>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</si>
  <si>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</si>
  <si>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</si>
  <si>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</si>
  <si>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</si>
  <si>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</si>
  <si>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</si>
  <si>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</si>
  <si>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</si>
  <si>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</si>
  <si>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</si>
  <si>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</si>
  <si>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</si>
  <si>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</si>
  <si>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</si>
  <si>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</si>
  <si>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</si>
  <si>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</si>
  <si>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</si>
  <si>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</si>
  <si>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</si>
  <si>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</si>
  <si>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</si>
  <si>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</si>
  <si>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</si>
  <si>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</si>
  <si>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</si>
  <si>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</si>
  <si>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</si>
  <si>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</si>
  <si>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</si>
  <si>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</si>
  <si>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</si>
  <si>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</si>
  <si>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</si>
  <si>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</si>
  <si>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</si>
  <si>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</si>
  <si>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</si>
  <si>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</si>
  <si>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</si>
  <si>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</si>
  <si>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</si>
  <si>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</si>
  <si>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</si>
  <si>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</si>
  <si>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</si>
  <si>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</si>
  <si>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</si>
  <si>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</si>
  <si>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</si>
  <si>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</si>
  <si>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</si>
  <si>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</si>
  <si>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</si>
  <si>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</si>
  <si>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</si>
  <si>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</si>
  <si>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</si>
  <si>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</si>
  <si>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</si>
  <si>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</si>
  <si>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</si>
  <si>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</si>
  <si>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</si>
  <si>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</si>
  <si>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</si>
  <si>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</si>
  <si>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</si>
  <si>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</si>
  <si>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</si>
  <si>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</si>
  <si>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</si>
  <si>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</si>
  <si>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</si>
  <si>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</si>
  <si>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</si>
  <si>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</si>
  <si>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</si>
  <si>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</si>
  <si>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</si>
  <si>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</si>
  <si>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</si>
  <si>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</si>
  <si>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</si>
  <si>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</si>
  <si>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</si>
  <si>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</si>
  <si>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</si>
  <si>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</si>
  <si>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</si>
  <si>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</si>
  <si>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</si>
  <si>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</si>
  <si>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</si>
  <si>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</si>
  <si>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</si>
  <si>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</si>
  <si>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</si>
  <si>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</si>
  <si>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</si>
  <si>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</si>
  <si>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</si>
  <si>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</si>
  <si>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</si>
  <si>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</si>
  <si>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</si>
  <si>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</si>
  <si>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</si>
  <si>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</si>
  <si>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</si>
  <si>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</si>
  <si>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</si>
  <si>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</si>
  <si>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</si>
  <si>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</si>
  <si>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</si>
  <si>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</si>
  <si>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</si>
  <si>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</si>
  <si>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</si>
  <si>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</si>
  <si>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</si>
  <si>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</si>
  <si>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</si>
  <si>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</si>
  <si>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</si>
  <si>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</si>
  <si>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</si>
  <si>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</si>
  <si>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</si>
  <si>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</si>
  <si>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</si>
  <si>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</si>
  <si>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</si>
  <si>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</si>
  <si>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</si>
  <si>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</si>
  <si>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</si>
  <si>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</si>
  <si>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</si>
  <si>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</si>
  <si>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</si>
  <si>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</si>
  <si>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</si>
  <si>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</si>
  <si>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</si>
  <si>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</si>
  <si>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</si>
  <si>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</si>
  <si>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</si>
  <si>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</si>
  <si>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</si>
  <si>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</si>
  <si>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</si>
  <si>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</si>
  <si>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</si>
  <si>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</si>
  <si>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</si>
  <si>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</si>
  <si>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</si>
  <si>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</si>
  <si>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</si>
  <si>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</si>
  <si>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</si>
  <si>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</si>
  <si>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</si>
  <si>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</si>
  <si>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</si>
  <si>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</si>
  <si>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</si>
  <si>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</si>
  <si>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</si>
  <si>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</si>
  <si>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</si>
  <si>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</si>
  <si>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</si>
  <si>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</si>
  <si>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</si>
  <si>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</si>
  <si>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</si>
  <si>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</si>
  <si>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</si>
  <si>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</si>
  <si>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</si>
  <si>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</si>
  <si>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</si>
  <si>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</si>
  <si>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</si>
  <si>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</si>
  <si>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</si>
  <si>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</si>
  <si>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</si>
  <si>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</si>
  <si>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</si>
  <si>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</si>
  <si>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</si>
  <si>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</si>
  <si>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</si>
  <si>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</si>
  <si>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</si>
  <si>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</si>
  <si>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</si>
  <si>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</si>
  <si>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</si>
  <si>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</si>
  <si>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</si>
  <si>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</si>
  <si>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</si>
  <si>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</si>
  <si>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</si>
  <si>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</si>
  <si>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</si>
  <si>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</si>
  <si>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</si>
  <si>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</si>
  <si>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</si>
  <si>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</si>
  <si>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</si>
  <si>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</si>
  <si>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</si>
  <si>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</si>
  <si>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</si>
  <si>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</si>
  <si>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</si>
  <si>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</si>
  <si>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</si>
  <si>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</si>
  <si>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</si>
  <si>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</si>
  <si>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</si>
  <si>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</si>
  <si>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</si>
  <si>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</si>
  <si>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</si>
  <si>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</si>
  <si>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</si>
  <si>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</si>
  <si>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</si>
  <si>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</si>
  <si>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</si>
  <si>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</si>
  <si>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</si>
  <si>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</si>
  <si>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</si>
  <si>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</si>
  <si>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</si>
  <si>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</si>
  <si>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</si>
  <si>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</si>
  <si>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</si>
  <si>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</si>
  <si>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</si>
  <si>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</si>
  <si>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</si>
  <si>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</si>
  <si>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</si>
  <si>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</si>
  <si>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</si>
  <si>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</si>
  <si>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</si>
  <si>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</si>
  <si>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</si>
  <si>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</si>
  <si>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</si>
  <si>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</si>
  <si>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</si>
  <si>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</si>
  <si>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</si>
  <si>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</si>
  <si>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</si>
  <si>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</si>
  <si>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</si>
  <si>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</si>
  <si>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</si>
  <si>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</si>
  <si>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</si>
  <si>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</si>
  <si>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</si>
  <si>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</si>
  <si>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</si>
  <si>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</si>
  <si>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</si>
  <si>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</si>
  <si>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</si>
  <si>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</si>
  <si>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</si>
  <si>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</si>
  <si>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</si>
  <si>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</si>
  <si>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</si>
  <si>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</si>
  <si>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</si>
  <si>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</si>
  <si>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</si>
  <si>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</si>
  <si>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</si>
  <si>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</si>
  <si>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</si>
  <si>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</si>
  <si>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</si>
  <si>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</si>
  <si>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</si>
  <si>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</si>
  <si>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</si>
  <si>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</si>
  <si>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Asgher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</si>
</sst>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Asgher SB</v>
      </c>
      <c r="T3" s="301">
        <f>+'1'!P35</f>
        <v>181164.38790508473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880</v>
      </c>
      <c r="I10" s="236">
        <f t="shared" si="0"/>
        <v>63923.199999999997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7670.7839999999997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2237.3119999999999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54015.103999999999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12081.355932203391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330.48229966101695</v>
      </c>
      <c r="P10" s="311">
        <f t="shared" si="2"/>
        <v>66426.942231864406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640</v>
      </c>
      <c r="I11" s="236">
        <f t="shared" si="0"/>
        <v>46489.599999999999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5578.7519999999995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1627.1360000000002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39283.712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8786.4406779661022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240.35076338983049</v>
      </c>
      <c r="P11" s="311">
        <f t="shared" si="2"/>
        <v>48310.503441355933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7670.7839999999997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54015.103999999999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330.48229966101695</v>
      </c>
      <c r="P12" s="311">
        <f t="shared" si="2"/>
        <v>66426.942231864406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20920.32</v>
      </c>
      <c r="K16" s="275">
        <f t="shared" si="3"/>
        <v>6101.76</v>
      </c>
      <c r="L16" s="276">
        <f t="shared" si="3"/>
        <v>0</v>
      </c>
      <c r="M16" s="232">
        <f t="shared" si="3"/>
        <v>147313.91999999998</v>
      </c>
      <c r="N16" s="233">
        <f>SUM(N7:N15)</f>
        <v>32949.152542372882</v>
      </c>
      <c r="O16" s="101">
        <f>SUM(O7:O15)</f>
        <v>901.31536271186428</v>
      </c>
      <c r="P16" s="113">
        <f>SUM(P7:P15)</f>
        <v>181164.38790508476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174336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20920.32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6101.76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147313.91999999998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180263.07254237286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901.31536271186428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181164.38790508473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181164.38790508473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N12" sqref="N12:P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880</v>
      </c>
      <c r="I19" s="236">
        <f t="shared" si="7"/>
        <v>63923.199999999997</v>
      </c>
      <c r="J19" s="272">
        <f t="shared" si="1"/>
        <v>7670.7839999999997</v>
      </c>
      <c r="K19" s="128">
        <f t="shared" si="1"/>
        <v>2237.3119999999999</v>
      </c>
      <c r="L19" s="119">
        <f t="shared" si="1"/>
        <v>0</v>
      </c>
      <c r="M19" s="230">
        <f t="shared" si="2"/>
        <v>54015.103999999999</v>
      </c>
      <c r="N19" s="277">
        <f t="shared" si="3"/>
        <v>12081.355932203391</v>
      </c>
      <c r="O19" s="239">
        <f t="shared" si="4"/>
        <v>330.48229966101695</v>
      </c>
      <c r="P19" s="311">
        <f t="shared" si="5"/>
        <v>66426.942231864406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640</v>
      </c>
      <c r="I20" s="236">
        <f t="shared" si="7"/>
        <v>46489.599999999999</v>
      </c>
      <c r="J20" s="272">
        <f t="shared" si="1"/>
        <v>5578.7519999999995</v>
      </c>
      <c r="K20" s="128">
        <f t="shared" si="1"/>
        <v>1627.1360000000002</v>
      </c>
      <c r="L20" s="119">
        <f t="shared" si="1"/>
        <v>0</v>
      </c>
      <c r="M20" s="230">
        <f t="shared" si="2"/>
        <v>39283.712</v>
      </c>
      <c r="N20" s="277">
        <f t="shared" si="3"/>
        <v>8786.4406779661022</v>
      </c>
      <c r="O20" s="239">
        <f t="shared" si="4"/>
        <v>240.35076338983049</v>
      </c>
      <c r="P20" s="311">
        <f t="shared" si="5"/>
        <v>48310.503441355933</v>
      </c>
      <c r="Q20" s="156"/>
      <c r="R20">
        <f>P20/21</f>
        <v>2300.5001638740919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7"/>
        <v>63923.199999999997</v>
      </c>
      <c r="J21" s="272">
        <f t="shared" si="1"/>
        <v>7670.7839999999997</v>
      </c>
      <c r="K21" s="128">
        <f t="shared" si="1"/>
        <v>2237.3119999999999</v>
      </c>
      <c r="L21" s="119">
        <f t="shared" si="1"/>
        <v>0</v>
      </c>
      <c r="M21" s="230">
        <f t="shared" si="2"/>
        <v>54015.103999999999</v>
      </c>
      <c r="N21" s="277">
        <f t="shared" si="3"/>
        <v>12081.355932203391</v>
      </c>
      <c r="O21" s="239">
        <f t="shared" si="4"/>
        <v>330.48229966101695</v>
      </c>
      <c r="P21" s="311">
        <f t="shared" si="5"/>
        <v>66426.942231864406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174336</v>
      </c>
      <c r="J25" s="274">
        <f>SUM(J16:J24)</f>
        <v>20920.32</v>
      </c>
      <c r="K25" s="275">
        <f t="shared" si="10"/>
        <v>6101.76</v>
      </c>
      <c r="L25" s="276">
        <f t="shared" si="10"/>
        <v>0</v>
      </c>
      <c r="M25" s="232">
        <f t="shared" si="10"/>
        <v>147313.91999999998</v>
      </c>
      <c r="N25" s="233">
        <f>SUM(N16:N24)</f>
        <v>32949.152542372882</v>
      </c>
      <c r="O25" s="101">
        <f>SUM(O16:O24)</f>
        <v>901.31536271186428</v>
      </c>
      <c r="P25" s="113">
        <f>SUM(P16:P24)</f>
        <v>181164.38790508476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174336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20920.32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6101.76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147313.91999999998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180263.07254237286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901.31536271186428</v>
      </c>
    </row>
    <row r="35" spans="2:16" ht="15.75" customHeight="1" thickBot="1" x14ac:dyDescent="0.4">
      <c r="N35" s="371" t="s">
        <v>88</v>
      </c>
      <c r="O35" s="372"/>
      <c r="P35" s="297">
        <f>+P33+P34</f>
        <v>181164.38790508473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2026-08-12T07:46:36Z</dcterms:modified>
</cp:coreProperties>
</file>