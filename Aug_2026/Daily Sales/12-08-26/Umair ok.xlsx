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156C64E-7F99-4356-9ACD-0B886F657068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<sst xmlns="http://schemas.openxmlformats.org/spreadsheetml/2006/main" count="3978" uniqueCount="529">
  <si>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</si>
  <si>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</si>
  <si>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</si>
  <si>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</si>
  <si>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</si>
  <si>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</si>
  <si>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</si>
  <si>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</si>
  <si>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</si>
  <si>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</si>
  <si>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</si>
  <si>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</si>
  <si>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</si>
  <si>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</si>
  <si>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</si>
  <si>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</si>
  <si>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</si>
  <si>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</si>
  <si>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</si>
  <si>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</si>
  <si>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</si>
  <si>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</si>
  <si>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</si>
  <si>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</si>
  <si>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</si>
  <si>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</si>
  <si>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</si>
  <si>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</si>
  <si>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</si>
  <si>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</si>
  <si>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</si>
  <si>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</si>
  <si>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</si>
  <si>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</si>
  <si>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</si>
  <si>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</si>
  <si>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</si>
  <si>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</si>
  <si>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</si>
  <si>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</si>
  <si>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</si>
  <si>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</si>
  <si>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</si>
  <si>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</si>
  <si>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</si>
  <si>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</si>
  <si>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</si>
  <si>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</si>
  <si>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</si>
  <si>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</si>
  <si>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</si>
  <si>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</si>
  <si>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</si>
  <si>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</si>
  <si>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</si>
  <si>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</si>
  <si>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</si>
  <si>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</si>
  <si>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</si>
  <si>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</si>
  <si>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</si>
  <si>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</si>
  <si>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</si>
  <si>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</si>
  <si>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</si>
  <si>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</si>
  <si>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</si>
  <si>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</si>
  <si>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</si>
  <si>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</si>
  <si>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</si>
  <si>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</si>
  <si>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</si>
  <si>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</si>
  <si>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</si>
  <si>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</si>
  <si>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</si>
  <si>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</si>
  <si>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</si>
  <si>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</si>
  <si>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</si>
  <si>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</si>
  <si>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</si>
  <si>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</si>
  <si>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</si>
  <si>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</si>
  <si>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</si>
  <si>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</si>
  <si>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</si>
  <si>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</si>
  <si>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</si>
  <si>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</si>
  <si>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</si>
  <si>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</si>
  <si>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</si>
  <si>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</si>
  <si>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</si>
  <si>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</si>
  <si>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</si>
  <si>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</si>
  <si>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</si>
  <si>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</si>
  <si>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</si>
  <si>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</si>
  <si>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</si>
  <si>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</si>
  <si>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</si>
  <si>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</si>
  <si>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</si>
  <si>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</si>
  <si>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</si>
  <si>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</si>
  <si>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</si>
  <si>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</si>
  <si>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</si>
  <si>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</si>
  <si>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</si>
  <si>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</si>
  <si>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</si>
  <si>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</si>
  <si>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</si>
  <si>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</si>
  <si>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</si>
  <si>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</si>
  <si>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</si>
  <si>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</si>
  <si>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</si>
  <si>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</si>
  <si>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</si>
  <si>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</si>
  <si>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</si>
  <si>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</si>
  <si>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</si>
  <si>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</si>
  <si>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</si>
  <si>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</si>
  <si>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</si>
  <si>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</si>
  <si>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</si>
  <si>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</si>
  <si>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</si>
  <si>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</si>
  <si>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</si>
  <si>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</si>
  <si>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</si>
  <si>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</si>
  <si>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</si>
  <si>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</si>
  <si>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</si>
  <si>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</si>
  <si>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</si>
  <si>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</si>
  <si>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</si>
  <si>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</si>
  <si>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</si>
  <si>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</si>
  <si>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</si>
  <si>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</si>
  <si>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</si>
  <si>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</si>
  <si>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</si>
  <si>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</si>
  <si>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</si>
  <si>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</si>
  <si>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</si>
  <si>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</si>
  <si>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</si>
  <si>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</si>
  <si>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</si>
  <si>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</si>
  <si>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</si>
  <si>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</si>
  <si>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</si>
  <si>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</si>
  <si>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</si>
  <si>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</si>
  <si>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</si>
  <si>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</si>
  <si>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</si>
  <si>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</si>
  <si>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</si>
  <si>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</si>
  <si>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</si>
  <si>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</si>
  <si>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</si>
  <si>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</si>
  <si>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</si>
  <si>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</si>
  <si>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</si>
  <si>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</si>
  <si>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</si>
  <si>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</si>
  <si>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</si>
  <si>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</si>
  <si>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</si>
  <si>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</si>
  <si>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</si>
  <si>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</si>
  <si>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</si>
  <si>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</si>
  <si>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</si>
  <si>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</si>
  <si>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</si>
  <si>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</si>
  <si>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</si>
  <si>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</si>
  <si>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</si>
  <si>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</si>
  <si>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</si>
  <si>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</si>
  <si>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</si>
  <si>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</si>
  <si>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</si>
  <si>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</si>
  <si>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</si>
  <si>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</si>
  <si>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</si>
  <si>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</si>
  <si>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</si>
  <si>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</si>
  <si>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</si>
  <si>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</si>
  <si>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</si>
  <si>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</si>
  <si>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</si>
  <si>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</si>
  <si>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</si>
  <si>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</si>
  <si>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</si>
  <si>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</si>
  <si>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</si>
  <si>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</si>
  <si>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</si>
  <si>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</si>
  <si>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</si>
  <si>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</si>
  <si>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</si>
  <si>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</si>
  <si>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</si>
  <si>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</si>
  <si>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</si>
  <si>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</si>
  <si>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</si>
  <si>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</si>
  <si>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</si>
  <si>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</si>
  <si>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</si>
  <si>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</si>
  <si>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</si>
  <si>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</si>
  <si>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</si>
  <si>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</si>
  <si>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</si>
  <si>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</si>
  <si>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</si>
  <si>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</si>
  <si>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</si>
  <si>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</si>
  <si>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</si>
  <si>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</si>
  <si>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</si>
  <si>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</si>
  <si>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</si>
  <si>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</si>
  <si>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</si>
  <si>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</si>
  <si>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</si>
  <si>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</si>
  <si>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</si>
  <si>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</si>
  <si>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</si>
  <si>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</si>
  <si>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</si>
  <si>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</si>
  <si>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</si>
  <si>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</si>
  <si>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</si>
  <si>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</si>
  <si>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</si>
  <si>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</si>
  <si>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</si>
  <si>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</si>
  <si>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</si>
  <si>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</si>
  <si>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</si>
  <si>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</si>
  <si>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</si>
  <si>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</si>
  <si>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</si>
  <si>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</si>
  <si>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</si>
  <si>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</si>
  <si>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</si>
  <si>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</si>
  <si>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</si>
  <si>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</si>
  <si>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</si>
  <si>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</si>
  <si>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</si>
  <si>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</si>
  <si>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</si>
  <si>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</si>
  <si>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</si>
  <si>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</si>
  <si>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</si>
  <si>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</si>
  <si>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</si>
  <si>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</si>
  <si>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</si>
  <si>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</si>
  <si>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</si>
  <si>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</si>
  <si>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</si>
  <si>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</si>
  <si>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</si>
  <si>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</si>
  <si>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</si>
  <si>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</si>
  <si>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</si>
  <si>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</si>
  <si>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</si>
  <si>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</si>
  <si>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</si>
  <si>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</si>
  <si>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</si>
  <si>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</si>
  <si>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</si>
  <si>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</si>
  <si>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</si>
  <si>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</si>
  <si>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</si>
  <si>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</si>
  <si>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</si>
  <si>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</si>
  <si>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</si>
  <si>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</si>
  <si>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</si>
  <si>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</si>
  <si>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</si>
  <si>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</si>
  <si>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</si>
  <si>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</si>
  <si>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</si>
  <si>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</si>
  <si>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</si>
  <si>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</si>
  <si>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</si>
  <si>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</si>
  <si>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</si>
  <si>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</si>
  <si>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</si>
  <si>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</si>
  <si>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</si>
  <si>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</si>
  <si>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</si>
  <si>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</si>
  <si>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</si>
  <si>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</si>
  <si>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</si>
  <si>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</si>
  <si>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</si>
  <si>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</si>
  <si>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</si>
  <si>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</si>
  <si>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</si>
  <si>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</si>
  <si>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</si>
  <si>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</si>
  <si>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</si>
  <si>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</si>
  <si>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</si>
  <si>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</si>
  <si>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</si>
  <si>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</si>
  <si>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</si>
  <si>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</si>
  <si>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</si>
  <si>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</si>
  <si>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</si>
  <si>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</si>
  <si>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</si>
  <si>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</si>
  <si>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</si>
  <si>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</si>
  <si>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</si>
  <si>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</si>
  <si>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</si>
  <si>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</si>
  <si>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</si>
  <si>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</si>
  <si>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</si>
  <si>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</si>
  <si>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</si>
  <si>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</si>
  <si>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</si>
  <si>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</si>
  <si>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</si>
  <si>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</si>
  <si>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</si>
  <si>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</si>
  <si>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</si>
  <si>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</si>
  <si>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</si>
  <si>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</si>
  <si>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</si>
  <si>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</si>
  <si>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</si>
  <si>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</si>
  <si>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</si>
  <si>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</si>
  <si>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</si>
  <si>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</si>
  <si>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</si>
  <si>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</si>
  <si>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</si>
  <si>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</si>
  <si>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</si>
  <si>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</si>
  <si>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</si>
  <si>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</si>
  <si>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</si>
  <si>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</si>
  <si>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</si>
  <si>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</si>
  <si>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</si>
  <si>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</si>
  <si>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</si>
  <si>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</si>
  <si>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</si>
  <si>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</si>
  <si>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</si>
  <si>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</si>
  <si>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</si>
  <si>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</si>
  <si>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</si>
  <si>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</si>
  <si>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</si>
  <si>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</si>
  <si>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</si>
  <si>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</si>
  <si>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</si>
  <si>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</si>
  <si>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</si>
  <si>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</si>
  <si>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</si>
  <si>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</si>
  <si>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</si>
  <si>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</si>
  <si>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</si>
  <si>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</si>
  <si>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</si>
  <si>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</si>
  <si>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</si>
  <si>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</si>
  <si>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</si>
  <si>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</si>
  <si>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</si>
  <si>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</si>
  <si>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</si>
  <si>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</si>
  <si>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</si>
  <si>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</si>
  <si>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</si>
  <si>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</si>
  <si>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</si>
  <si>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</si>
  <si>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</si>
  <si>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</si>
  <si>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</si>
  <si>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</si>
  <si>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</si>
  <si>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</si>
  <si>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</si>
  <si>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</si>
  <si>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</si>
  <si>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</si>
  <si>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</si>
  <si>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</si>
  <si>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</si>
  <si>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</si>
  <si>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</si>
  <si>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</si>
  <si>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</si>
  <si>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</si>
  <si>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</si>
  <si>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</si>
  <si>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</si>
  <si>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</si>
  <si>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</si>
  <si>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</si>
  <si>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</si>
  <si>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</si>
  <si>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</si>
  <si>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</si>
  <si>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</si>
  <si>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</si>
  <si>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</si>
  <si>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</si>
  <si>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</si>
  <si>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</si>
  <si>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</si>
  <si>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</si>
  <si>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</si>
  <si>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</si>
  <si>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</si>
  <si>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</si>
  <si>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</si>
  <si>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</si>
  <si>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</si>
  <si>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</si>
  <si>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</si>
  <si>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</si>
  <si>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</si>
  <si>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</si>
  <si>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</si>
  <si>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</si>
  <si>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Umair</t>
  </si>
  <si>
    <t xml:space="preserve">Al Fazal Cash N Carry </t>
  </si>
  <si>
    <t>Address: Nashter Bazar</t>
  </si>
  <si>
    <t xml:space="preserve">Al ahmad Bakers </t>
  </si>
  <si>
    <t xml:space="preserve">Address: Nashter Bazar </t>
  </si>
  <si>
    <t xml:space="preserve">A 1 Bakery </t>
  </si>
  <si>
    <t xml:space="preserve">Faridiya Veriety </t>
  </si>
  <si>
    <t>Hanif Khan GS</t>
  </si>
  <si>
    <t xml:space="preserve">Every K Bakery </t>
  </si>
  <si>
    <t xml:space="preserve">Khubaib Super Mart </t>
  </si>
  <si>
    <t xml:space="preserve">SS Bakers </t>
  </si>
  <si>
    <t>Haji Sardar</t>
  </si>
  <si>
    <t>Hashaam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</si>
</sst>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" workbookViewId="0">
      <selection activeCell="H13" sqref="H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46246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Al Fazal Cash N Carry </v>
      </c>
      <c r="T3" s="301">
        <f>+'1'!P35</f>
        <v>6194.017880542372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Al ahmad Bakers </v>
      </c>
      <c r="T4" s="301">
        <f>+'2'!P35</f>
        <v>4805.3894985762718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A 1 Bakery </v>
      </c>
      <c r="T5" s="301">
        <f>+'3'!P35</f>
        <v>3136.2115850847463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Faridiya Veriety </v>
      </c>
      <c r="T6" s="301">
        <f>+'4'!P35</f>
        <v>1568.1057925423729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Hanif Khan GS</v>
      </c>
      <c r="T7" s="301">
        <f>+'5'!P35</f>
        <v>834.58895674576274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Every K Bakery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Khubaib Super Mart 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125</v>
      </c>
      <c r="I10" s="236">
        <f t="shared" si="0"/>
        <v>9080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726.40000000000009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317.8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8035.8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1716.1016949152545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48.759508474576272</v>
      </c>
      <c r="P10" s="311">
        <f t="shared" si="2"/>
        <v>9800.6612033898309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SS Bakers </v>
      </c>
      <c r="T10" s="301">
        <f>+'8'!P35</f>
        <v>1881.7269510508474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44</v>
      </c>
      <c r="I11" s="236">
        <f t="shared" si="0"/>
        <v>3196.16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255.69280000000001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111.86560000000001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2828.6016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604.06779661016947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17.163346983050847</v>
      </c>
      <c r="P11" s="311">
        <f t="shared" si="2"/>
        <v>3449.8327435932201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</v>
      </c>
      <c r="R11" s="314">
        <v>9</v>
      </c>
      <c r="S11" s="300" t="str">
        <f>+'9'!A6:A6</f>
        <v>Haji Sardar</v>
      </c>
      <c r="T11" s="301">
        <f>+'9'!P35</f>
        <v>4805.3894985762709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134</v>
      </c>
      <c r="I12" s="236">
        <f t="shared" si="0"/>
        <v>9733.76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778.70080000000019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340.6816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8614.3775999999998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1839.6610169491528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52.270193084745763</v>
      </c>
      <c r="P12" s="311">
        <f t="shared" si="2"/>
        <v>10506.308810033897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Hashaam GS</v>
      </c>
      <c r="T12" s="301">
        <f>+'10'!P35</f>
        <v>2402.6947492881354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120</v>
      </c>
      <c r="I13" s="236">
        <f t="shared" si="0"/>
        <v>4707.6000000000004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235.38000000000005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164.76600000000002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240.08760000000001</v>
      </c>
      <c r="M13" s="230">
        <f t="shared" si="1"/>
        <v>4067.3664000000003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915.25423728813507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24.913103186440679</v>
      </c>
      <c r="P13" s="311">
        <f t="shared" si="2"/>
        <v>5007.533740474576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40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10.574999999999999</v>
      </c>
      <c r="H16" s="113">
        <f t="shared" ref="H16:M16" si="3">SUM(H7:H15)</f>
        <v>423</v>
      </c>
      <c r="I16" s="114">
        <f t="shared" si="3"/>
        <v>26717.519999999997</v>
      </c>
      <c r="J16" s="274">
        <f>SUM(J7:J15)</f>
        <v>1996.1736000000005</v>
      </c>
      <c r="K16" s="275">
        <f t="shared" si="3"/>
        <v>935.11320000000001</v>
      </c>
      <c r="L16" s="276">
        <f t="shared" si="3"/>
        <v>240.08760000000001</v>
      </c>
      <c r="M16" s="232">
        <f t="shared" si="3"/>
        <v>23546.1456</v>
      </c>
      <c r="N16" s="233">
        <f>SUM(N7:N15)</f>
        <v>5075.0847457627124</v>
      </c>
      <c r="O16" s="101">
        <f>SUM(O7:O15)</f>
        <v>143.10615172881356</v>
      </c>
      <c r="P16" s="113">
        <f>SUM(P7:P15)</f>
        <v>28764.336497491528</v>
      </c>
      <c r="Q16" s="128">
        <f>SUM(Q7:Q15)</f>
        <v>41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26717.519999999997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1996.1736000000005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1175.2008000000001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23546.145599999996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5075.0847457627124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28621.230345762709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143.10615172881356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28764.336497491524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28764.336497491524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Q21" sqref="Q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39</v>
      </c>
      <c r="I19" s="236">
        <f t="shared" si="7"/>
        <v>2832.96</v>
      </c>
      <c r="J19" s="272">
        <f t="shared" si="1"/>
        <v>226.63679999999999</v>
      </c>
      <c r="K19" s="128">
        <f t="shared" si="1"/>
        <v>99.153600000000012</v>
      </c>
      <c r="L19" s="119">
        <f t="shared" si="1"/>
        <v>0</v>
      </c>
      <c r="M19" s="230">
        <f t="shared" si="2"/>
        <v>2507.1696000000002</v>
      </c>
      <c r="N19" s="277">
        <f t="shared" si="3"/>
        <v>535.42372881355936</v>
      </c>
      <c r="O19" s="239">
        <f t="shared" si="4"/>
        <v>15.212966644067796</v>
      </c>
      <c r="P19" s="311">
        <f t="shared" si="5"/>
        <v>3057.8062954576271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79</v>
      </c>
      <c r="I25" s="114">
        <f t="shared" ref="I25:M25" si="10">SUM(I16:I24)</f>
        <v>5738.5599999999995</v>
      </c>
      <c r="J25" s="274">
        <f>SUM(J16:J24)</f>
        <v>459.08479999999997</v>
      </c>
      <c r="K25" s="275">
        <f t="shared" si="10"/>
        <v>200.84960000000001</v>
      </c>
      <c r="L25" s="276">
        <f t="shared" si="10"/>
        <v>0</v>
      </c>
      <c r="M25" s="232">
        <f t="shared" si="10"/>
        <v>5078.6256000000003</v>
      </c>
      <c r="N25" s="233">
        <f>SUM(N16:N24)</f>
        <v>1084.5762711864409</v>
      </c>
      <c r="O25" s="101">
        <f>SUM(O16:O24)</f>
        <v>30.816009355932202</v>
      </c>
      <c r="P25" s="113">
        <f>SUM(P16:P24)</f>
        <v>6194.017880542373</v>
      </c>
      <c r="Q25" s="128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5738.5599999999995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459.08479999999997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200.84960000000001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5078.6255999999994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1084.5762711864409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6163.2018711864403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30.816009355932202</v>
      </c>
    </row>
    <row r="35" spans="2:16" ht="15.75" customHeight="1" thickBot="1" x14ac:dyDescent="0.4">
      <c r="N35" s="342" t="s">
        <v>88</v>
      </c>
      <c r="O35" s="343"/>
      <c r="P35" s="297">
        <f>+P33+P34</f>
        <v>6194.017880542372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</v>
      </c>
      <c r="I21" s="236">
        <f t="shared" si="0"/>
        <v>1162.24</v>
      </c>
      <c r="J21" s="272">
        <f t="shared" si="1"/>
        <v>92.979200000000006</v>
      </c>
      <c r="K21" s="128">
        <f t="shared" si="1"/>
        <v>40.678400000000003</v>
      </c>
      <c r="L21" s="119">
        <f t="shared" si="1"/>
        <v>0</v>
      </c>
      <c r="M21" s="230">
        <f t="shared" si="2"/>
        <v>1028.5824</v>
      </c>
      <c r="N21" s="277">
        <f t="shared" si="3"/>
        <v>219.66101694915255</v>
      </c>
      <c r="O21" s="239">
        <f t="shared" si="4"/>
        <v>6.2412170847457631</v>
      </c>
      <c r="P21" s="311">
        <f t="shared" si="5"/>
        <v>1254.4846340338984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4474.8000000000011</v>
      </c>
      <c r="J25" s="274">
        <f>SUM(J16:J24)</f>
        <v>310.90800000000007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4474.8000000000011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3927.2448000000009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4781.4820881355936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23.907410440677968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4805.3894985762718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</v>
      </c>
      <c r="I21" s="236">
        <f t="shared" si="0"/>
        <v>1162.24</v>
      </c>
      <c r="J21" s="272">
        <f t="shared" si="1"/>
        <v>92.979200000000006</v>
      </c>
      <c r="K21" s="128">
        <f t="shared" si="1"/>
        <v>40.678400000000003</v>
      </c>
      <c r="L21" s="119">
        <f t="shared" si="1"/>
        <v>0</v>
      </c>
      <c r="M21" s="230">
        <f t="shared" si="2"/>
        <v>1028.5824</v>
      </c>
      <c r="N21" s="277">
        <f t="shared" si="3"/>
        <v>219.66101694915255</v>
      </c>
      <c r="O21" s="239">
        <f t="shared" si="4"/>
        <v>6.2412170847457631</v>
      </c>
      <c r="P21" s="311">
        <f t="shared" si="5"/>
        <v>1254.4846340338984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2905.6000000000004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232.44800000000004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2571.4560000000006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3136.2115850847463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1452.8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116.224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50.848000000000006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1285.7280000000001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1560.3042711864407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2" t="s">
        <v>88</v>
      </c>
      <c r="O35" s="343"/>
      <c r="P35" s="297">
        <f>+P33+P34</f>
        <v>1568.1057925423729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784.60000000000014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39.230000000000011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67.475600000000014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677.89440000000013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830.43677288135598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42" t="s">
        <v>88</v>
      </c>
      <c r="O35" s="343"/>
      <c r="P35" s="297">
        <f>+P33+P34</f>
        <v>834.58895674576274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9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113">
        <f>SUM(P16:P24)</f>
        <v>1881.7269510508474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1743.3600000000001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139.46880000000002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61.017600000000009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1542.8736000000001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1872.3651254237288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42" t="s">
        <v>88</v>
      </c>
      <c r="O35" s="343"/>
      <c r="P35" s="297">
        <f>+P33+P34</f>
        <v>1881.7269510508474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2237.4</v>
      </c>
      <c r="J25" s="274">
        <f>SUM(J16:J24)</f>
        <v>155.45400000000001</v>
      </c>
      <c r="K25" s="275">
        <f t="shared" si="7"/>
        <v>78.309000000000012</v>
      </c>
      <c r="L25" s="276">
        <f t="shared" si="7"/>
        <v>40.014600000000002</v>
      </c>
      <c r="M25" s="232">
        <f t="shared" si="7"/>
        <v>1963.6224000000002</v>
      </c>
      <c r="N25" s="233">
        <f>SUM(N16:N24)</f>
        <v>427.11864406779654</v>
      </c>
      <c r="O25" s="101">
        <f>SUM(O16:O24)</f>
        <v>11.953705220338984</v>
      </c>
      <c r="P25" s="113">
        <f>SUM(P16:P24)</f>
        <v>2402.6947492881354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2237.4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155.45400000000001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118.32360000000001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1963.6224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427.11864406779654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2390.7410440677963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11.953705220338982</v>
      </c>
    </row>
    <row r="35" spans="2:16" ht="15.75" customHeight="1" thickBot="1" x14ac:dyDescent="0.4">
      <c r="N35" s="342" t="s">
        <v>88</v>
      </c>
      <c r="O35" s="343"/>
      <c r="P35" s="297">
        <f>+P33+P34</f>
        <v>2402.6947492881354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46246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2026-08-12T11:56:29Z</dcterms:modified>
</cp:coreProperties>
</file>