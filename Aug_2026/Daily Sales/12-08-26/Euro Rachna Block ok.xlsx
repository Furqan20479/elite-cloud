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AC4B9EB-C30D-41A5-A7F7-7D2ED2D4660D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66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<sst xmlns="http://schemas.openxmlformats.org/spreadsheetml/2006/main" count="3978" uniqueCount="522">
  <si>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</si>
  <si>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</si>
  <si>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</si>
  <si>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</si>
  <si>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</si>
  <si>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</si>
  <si>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</si>
  <si>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</si>
  <si>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</si>
  <si>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</si>
  <si>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</si>
  <si>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</si>
  <si>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</si>
  <si>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</si>
  <si>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</si>
  <si>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</si>
  <si>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</si>
  <si>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</si>
  <si>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</si>
  <si>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</si>
  <si>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</si>
  <si>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</si>
  <si>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</si>
  <si>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</si>
  <si>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</si>
  <si>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</si>
  <si>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</si>
  <si>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</si>
  <si>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</si>
  <si>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</si>
  <si>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</si>
  <si>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</si>
  <si>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</si>
  <si>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</si>
  <si>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</si>
  <si>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</si>
  <si>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</si>
  <si>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</si>
  <si>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</si>
  <si>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</si>
  <si>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</si>
  <si>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</si>
  <si>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</si>
  <si>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</si>
  <si>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</si>
  <si>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</si>
  <si>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</si>
  <si>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</si>
  <si>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</si>
  <si>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</si>
  <si>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</si>
  <si>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</si>
  <si>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</si>
  <si>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</si>
  <si>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</si>
  <si>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</si>
  <si>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</si>
  <si>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</si>
  <si>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</si>
  <si>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</si>
  <si>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</si>
  <si>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</si>
  <si>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</si>
  <si>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</si>
  <si>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</si>
  <si>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</si>
  <si>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</si>
  <si>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</si>
  <si>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</si>
  <si>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</si>
  <si>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</si>
  <si>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</si>
  <si>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</si>
  <si>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</si>
  <si>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</si>
  <si>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</si>
  <si>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</si>
  <si>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</si>
  <si>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</si>
  <si>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</si>
  <si>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</si>
  <si>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</si>
  <si>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</si>
  <si>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</si>
  <si>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</si>
  <si>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</si>
  <si>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</si>
  <si>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</si>
  <si>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</si>
  <si>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</si>
  <si>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</si>
  <si>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</si>
  <si>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</si>
  <si>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</si>
  <si>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</si>
  <si>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</si>
  <si>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</si>
  <si>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</si>
  <si>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</si>
  <si>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</si>
  <si>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</si>
  <si>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</si>
  <si>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</si>
  <si>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</si>
  <si>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</si>
  <si>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</si>
  <si>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</si>
  <si>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</si>
  <si>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</si>
  <si>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</si>
  <si>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</si>
  <si>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</si>
  <si>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</si>
  <si>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</si>
  <si>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</si>
  <si>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</si>
  <si>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</si>
  <si>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</si>
  <si>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</si>
  <si>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</si>
  <si>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</si>
  <si>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</si>
  <si>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</si>
  <si>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</si>
  <si>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</si>
  <si>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</si>
  <si>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</si>
  <si>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</si>
  <si>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</si>
  <si>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</si>
  <si>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</si>
  <si>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</si>
  <si>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</si>
  <si>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</si>
  <si>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</si>
  <si>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</si>
  <si>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</si>
  <si>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</si>
  <si>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</si>
  <si>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</si>
  <si>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</si>
  <si>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</si>
  <si>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</si>
  <si>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</si>
  <si>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</si>
  <si>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</si>
  <si>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</si>
  <si>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</si>
  <si>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</si>
  <si>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</si>
  <si>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</si>
  <si>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</si>
  <si>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</si>
  <si>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</si>
  <si>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</si>
  <si>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</si>
  <si>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</si>
  <si>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</si>
  <si>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</si>
  <si>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</si>
  <si>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</si>
  <si>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</si>
  <si>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</si>
  <si>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</si>
  <si>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</si>
  <si>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</si>
  <si>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</si>
  <si>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</si>
  <si>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</si>
  <si>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</si>
  <si>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</si>
  <si>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</si>
  <si>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</si>
  <si>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</si>
  <si>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</si>
  <si>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</si>
  <si>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</si>
  <si>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</si>
  <si>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</si>
  <si>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</si>
  <si>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</si>
  <si>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</si>
  <si>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</si>
  <si>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</si>
  <si>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</si>
  <si>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</si>
  <si>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</si>
  <si>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</si>
  <si>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</si>
  <si>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</si>
  <si>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</si>
  <si>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</si>
  <si>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</si>
  <si>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</si>
  <si>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</si>
  <si>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</si>
  <si>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</si>
  <si>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</si>
  <si>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</si>
  <si>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</si>
  <si>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</si>
  <si>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</si>
  <si>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</si>
  <si>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</si>
  <si>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</si>
  <si>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</si>
  <si>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</si>
  <si>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</si>
  <si>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</si>
  <si>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</si>
  <si>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</si>
  <si>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</si>
  <si>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</si>
  <si>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</si>
  <si>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</si>
  <si>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</si>
  <si>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</si>
  <si>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</si>
  <si>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</si>
  <si>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</si>
  <si>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</si>
  <si>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</si>
  <si>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</si>
  <si>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</si>
  <si>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</si>
  <si>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</si>
  <si>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</si>
  <si>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</si>
  <si>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</si>
  <si>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</si>
  <si>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</si>
  <si>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</si>
  <si>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</si>
  <si>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</si>
  <si>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</si>
  <si>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</si>
  <si>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</si>
  <si>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</si>
  <si>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</si>
  <si>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</si>
  <si>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</si>
  <si>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</si>
  <si>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</si>
  <si>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</si>
  <si>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</si>
  <si>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</si>
  <si>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</si>
  <si>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</si>
  <si>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</si>
  <si>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</si>
  <si>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</si>
  <si>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</si>
  <si>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</si>
  <si>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</si>
  <si>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</si>
  <si>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</si>
  <si>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</si>
  <si>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</si>
  <si>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</si>
  <si>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</si>
  <si>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</si>
  <si>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</si>
  <si>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</si>
  <si>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</si>
  <si>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</si>
  <si>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</si>
  <si>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</si>
  <si>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</si>
  <si>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</si>
  <si>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</si>
  <si>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</si>
  <si>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</si>
  <si>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</si>
  <si>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</si>
  <si>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</si>
  <si>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</si>
  <si>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</si>
  <si>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</si>
  <si>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</si>
  <si>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</si>
  <si>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</si>
  <si>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</si>
  <si>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</si>
  <si>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</si>
  <si>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</si>
  <si>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</si>
  <si>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</si>
  <si>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</si>
  <si>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</si>
  <si>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</si>
  <si>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</si>
  <si>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</si>
  <si>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</si>
  <si>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</si>
  <si>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</si>
  <si>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</si>
  <si>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</si>
  <si>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</si>
  <si>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</si>
  <si>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</si>
  <si>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</si>
  <si>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</si>
  <si>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</si>
  <si>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</si>
  <si>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</si>
  <si>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</si>
  <si>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</si>
  <si>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</si>
  <si>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</si>
  <si>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</si>
  <si>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</si>
  <si>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</si>
  <si>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</si>
  <si>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</si>
  <si>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</si>
  <si>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</si>
  <si>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</si>
  <si>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</si>
  <si>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</si>
  <si>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</si>
  <si>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</si>
  <si>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</si>
  <si>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</si>
  <si>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</si>
  <si>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</si>
  <si>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</si>
  <si>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</si>
  <si>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</si>
  <si>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</si>
  <si>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</si>
  <si>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</si>
  <si>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</si>
  <si>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</si>
  <si>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</si>
  <si>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</si>
  <si>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</si>
  <si>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</si>
  <si>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</si>
  <si>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</si>
  <si>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</si>
  <si>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</si>
  <si>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</si>
  <si>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</si>
  <si>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</si>
  <si>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</si>
  <si>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</si>
  <si>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</si>
  <si>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</si>
  <si>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</si>
  <si>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</si>
  <si>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</si>
  <si>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</si>
  <si>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</si>
  <si>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</si>
  <si>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</si>
  <si>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</si>
  <si>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</si>
  <si>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</si>
  <si>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</si>
  <si>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</si>
  <si>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</si>
  <si>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</si>
  <si>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</si>
  <si>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</si>
  <si>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</si>
  <si>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</si>
  <si>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</si>
  <si>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</si>
  <si>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</si>
  <si>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</si>
  <si>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</si>
  <si>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</si>
  <si>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</si>
  <si>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</si>
  <si>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</si>
  <si>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</si>
  <si>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</si>
  <si>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</si>
  <si>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</si>
  <si>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</si>
  <si>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</si>
  <si>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</si>
  <si>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</si>
  <si>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</si>
  <si>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</si>
  <si>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</si>
  <si>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</si>
  <si>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</si>
  <si>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</si>
  <si>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</si>
  <si>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</si>
  <si>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</si>
  <si>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</si>
  <si>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</si>
  <si>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</si>
  <si>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</si>
  <si>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</si>
  <si>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</si>
  <si>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</si>
  <si>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</si>
  <si>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</si>
  <si>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</si>
  <si>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</si>
  <si>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</si>
  <si>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</si>
  <si>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</si>
  <si>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</si>
  <si>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</si>
  <si>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</si>
  <si>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</si>
  <si>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</si>
  <si>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</si>
  <si>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</si>
  <si>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</si>
  <si>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</si>
  <si>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</si>
  <si>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</si>
  <si>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</si>
  <si>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</si>
  <si>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</si>
  <si>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</si>
  <si>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</si>
  <si>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</si>
  <si>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</si>
  <si>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</si>
  <si>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</si>
  <si>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</si>
  <si>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</si>
  <si>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</si>
  <si>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</si>
  <si>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</si>
  <si>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</si>
  <si>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</si>
  <si>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</si>
  <si>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</si>
  <si>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</si>
  <si>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</si>
  <si>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</si>
  <si>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</si>
  <si>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</si>
  <si>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</si>
  <si>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</si>
  <si>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</si>
  <si>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</si>
  <si>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</si>
  <si>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</si>
  <si>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</si>
  <si>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</si>
  <si>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</si>
  <si>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</si>
  <si>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</si>
  <si>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</si>
  <si>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</si>
  <si>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</si>
  <si>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</si>
  <si>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</si>
  <si>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</si>
  <si>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</si>
  <si>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</si>
  <si>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</si>
  <si>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</si>
  <si>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</si>
  <si>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</si>
  <si>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</si>
  <si>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</si>
  <si>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</si>
  <si>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</si>
  <si>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</si>
  <si>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</si>
  <si>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</si>
  <si>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</si>
  <si>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</si>
  <si>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</si>
  <si>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</si>
  <si>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</si>
  <si>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</si>
  <si>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</si>
  <si>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</si>
  <si>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</si>
  <si>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</si>
  <si>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</si>
  <si>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</si>
  <si>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</si>
  <si>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</si>
  <si>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</si>
  <si>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</si>
  <si>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</si>
  <si>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</si>
  <si>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</si>
  <si>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</si>
  <si>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</si>
  <si>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</si>
  <si>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</si>
  <si>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</si>
  <si>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</si>
  <si>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</si>
  <si>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</si>
  <si>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</si>
  <si>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</si>
  <si>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</si>
  <si>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</si>
  <si>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</si>
  <si>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</si>
  <si>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</si>
  <si>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</si>
  <si>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</si>
  <si>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</si>
  <si>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</si>
  <si>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</si>
  <si>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</si>
  <si>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</si>
  <si>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</si>
  <si>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</si>
  <si>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</si>
  <si>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</si>
  <si>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</si>
  <si>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</si>
  <si>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</si>
  <si>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Address: Rachna Block </t>
  </si>
  <si>
    <t>Euro</t>
  </si>
  <si>
    <t>NTN #: E757686-3</t>
  </si>
  <si>
    <t>Invoice No # :4851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</si>
</sst>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519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514</v>
      </c>
      <c r="F3" s="387"/>
      <c r="G3" s="387"/>
      <c r="H3" s="384">
        <f ca="1">TODAY()</f>
        <v>46246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Euro</v>
      </c>
      <c r="T3" s="301">
        <f>+'1'!P35</f>
        <v>79510.211368855948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200</v>
      </c>
      <c r="I7" s="235">
        <f>(G7*D7)*F7+H7*F7</f>
        <v>10492.5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1049.25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367.23750000000001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9076.0125000000007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1983.0508474576263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55.29531673728814</v>
      </c>
      <c r="P7" s="310">
        <f>M7+N7+O7</f>
        <v>11114.358664194917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200</v>
      </c>
      <c r="I8" s="236">
        <f t="shared" ref="I8:I14" si="0">(G8*D8)*F8+H8*F8</f>
        <v>10492.5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1049.25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367.23750000000001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9076.0125000000007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1983.0508474576263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55.29531673728814</v>
      </c>
      <c r="P8" s="311">
        <f t="shared" ref="P8:P15" si="2">M8+N8+O8</f>
        <v>11114.358664194917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200</v>
      </c>
      <c r="I9" s="236">
        <f t="shared" si="0"/>
        <v>10492.5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1049.25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367.23750000000001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9076.0125000000007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1983.0508474576263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55.29531673728814</v>
      </c>
      <c r="P9" s="311">
        <f t="shared" si="2"/>
        <v>11114.358664194917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200</v>
      </c>
      <c r="I10" s="236">
        <f t="shared" si="0"/>
        <v>14528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1452.8000000000002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508.48000000000008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12566.72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2745.7627118644068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76.562413559322039</v>
      </c>
      <c r="P10" s="311">
        <f t="shared" si="2"/>
        <v>15389.045125423729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200</v>
      </c>
      <c r="I11" s="236">
        <f t="shared" si="0"/>
        <v>14528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1452.8000000000002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508.48000000000008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12566.72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2745.7627118644068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76.562413559322039</v>
      </c>
      <c r="P11" s="311">
        <f t="shared" si="2"/>
        <v>15389.045125423729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1452.8000000000002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12566.72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76.562413559322039</v>
      </c>
      <c r="P12" s="311">
        <f t="shared" si="2"/>
        <v>15389.045125423729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200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30</v>
      </c>
      <c r="H16" s="113">
        <f t="shared" ref="H16:M16" si="3">SUM(H7:H15)</f>
        <v>1200</v>
      </c>
      <c r="I16" s="114">
        <f t="shared" si="3"/>
        <v>75061.5</v>
      </c>
      <c r="J16" s="274">
        <f>SUM(J7:J15)</f>
        <v>7506.1500000000005</v>
      </c>
      <c r="K16" s="275">
        <f t="shared" si="3"/>
        <v>2627.1525000000001</v>
      </c>
      <c r="L16" s="276">
        <f t="shared" si="3"/>
        <v>0</v>
      </c>
      <c r="M16" s="232">
        <f t="shared" si="3"/>
        <v>64928.197500000002</v>
      </c>
      <c r="N16" s="233">
        <f>SUM(N7:N15)</f>
        <v>14186.4406779661</v>
      </c>
      <c r="O16" s="101">
        <f>SUM(O7:O15)</f>
        <v>395.57319088983058</v>
      </c>
      <c r="P16" s="113">
        <f>SUM(P7:P15)</f>
        <v>79510.211368855933</v>
      </c>
      <c r="Q16" s="128">
        <f>SUM(Q7:Q15)</f>
        <v>200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75061.5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7506.1500000000005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2627.1525000000001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64928.197500000009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14186.4406779661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79114.638177966117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395.57319088983058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79510.211368855948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79510.211368855948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517</v>
      </c>
    </row>
    <row r="51" spans="2:2" x14ac:dyDescent="0.35">
      <c r="B51" t="s">
        <v>516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3" workbookViewId="0">
      <selection activeCell="S27" sqref="S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521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7.2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200</v>
      </c>
      <c r="I16" s="235">
        <f>(G16*D16)*F16+H16*F16</f>
        <v>10492.5</v>
      </c>
      <c r="J16" s="271">
        <f>$I16*S16</f>
        <v>1049.25</v>
      </c>
      <c r="K16" s="127">
        <f>$I16*T16</f>
        <v>367.23750000000001</v>
      </c>
      <c r="L16" s="118">
        <f>$I16*U16</f>
        <v>0</v>
      </c>
      <c r="M16" s="229">
        <f>I16-SUM(J16:L16)</f>
        <v>9076.0125000000007</v>
      </c>
      <c r="N16" s="248">
        <f>+(G16*D16+H16)*V16</f>
        <v>1983.0508474576263</v>
      </c>
      <c r="O16" s="238">
        <f>(N16+M16)*$O$15</f>
        <v>55.29531673728814</v>
      </c>
      <c r="P16" s="310">
        <f>M16+N16+O16</f>
        <v>11114.358664194917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200</v>
      </c>
      <c r="I17" s="236">
        <f t="shared" ref="I17:I23" si="0">(G17*D17)*F17+H17*F17</f>
        <v>10492.5</v>
      </c>
      <c r="J17" s="272">
        <f t="shared" ref="J17:L24" si="1">$I17*S17</f>
        <v>1049.25</v>
      </c>
      <c r="K17" s="128">
        <f>$I17*T17</f>
        <v>367.23750000000001</v>
      </c>
      <c r="L17" s="119">
        <f>$I17*U17</f>
        <v>0</v>
      </c>
      <c r="M17" s="230">
        <f t="shared" ref="M17:M24" si="2">I17-SUM(J17:L17)</f>
        <v>9076.0125000000007</v>
      </c>
      <c r="N17" s="277">
        <f t="shared" ref="N17:N24" si="3">+(G17*D17+H17)*V17</f>
        <v>1983.0508474576263</v>
      </c>
      <c r="O17" s="239">
        <f t="shared" ref="O17:O24" si="4">(N17+M17)*$O$15</f>
        <v>55.29531673728814</v>
      </c>
      <c r="P17" s="311">
        <f t="shared" ref="P17:P24" si="5">M17+N17+O17</f>
        <v>11114.358664194917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ref="I18:I21" si="7">(G18*D18)*F18+H18*F18</f>
        <v>10492.5</v>
      </c>
      <c r="J18" s="272">
        <f t="shared" si="1"/>
        <v>1049.25</v>
      </c>
      <c r="K18" s="128">
        <f t="shared" si="1"/>
        <v>367.23750000000001</v>
      </c>
      <c r="L18" s="119">
        <f t="shared" si="1"/>
        <v>0</v>
      </c>
      <c r="M18" s="230">
        <f t="shared" si="2"/>
        <v>9076.0125000000007</v>
      </c>
      <c r="N18" s="277">
        <f t="shared" si="3"/>
        <v>1983.0508474576263</v>
      </c>
      <c r="O18" s="239">
        <f t="shared" si="4"/>
        <v>55.29531673728814</v>
      </c>
      <c r="P18" s="311">
        <f t="shared" si="5"/>
        <v>11114.358664194917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</v>
      </c>
      <c r="I19" s="236">
        <f t="shared" si="7"/>
        <v>14528</v>
      </c>
      <c r="J19" s="272">
        <f t="shared" si="1"/>
        <v>1452.8000000000002</v>
      </c>
      <c r="K19" s="128">
        <f t="shared" si="1"/>
        <v>508.48000000000008</v>
      </c>
      <c r="L19" s="119">
        <f t="shared" si="1"/>
        <v>0</v>
      </c>
      <c r="M19" s="230">
        <f t="shared" si="2"/>
        <v>12566.72</v>
      </c>
      <c r="N19" s="277">
        <f t="shared" si="3"/>
        <v>2745.7627118644068</v>
      </c>
      <c r="O19" s="239">
        <f t="shared" si="4"/>
        <v>76.562413559322039</v>
      </c>
      <c r="P19" s="311">
        <f t="shared" si="5"/>
        <v>15389.045125423729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</v>
      </c>
      <c r="I20" s="236">
        <f t="shared" si="7"/>
        <v>14528</v>
      </c>
      <c r="J20" s="272">
        <f t="shared" si="1"/>
        <v>1452.8000000000002</v>
      </c>
      <c r="K20" s="128">
        <f t="shared" si="1"/>
        <v>508.48000000000008</v>
      </c>
      <c r="L20" s="119">
        <f t="shared" si="1"/>
        <v>0</v>
      </c>
      <c r="M20" s="230">
        <f t="shared" si="2"/>
        <v>12566.72</v>
      </c>
      <c r="N20" s="277">
        <f t="shared" si="3"/>
        <v>2745.7627118644068</v>
      </c>
      <c r="O20" s="239">
        <f t="shared" si="4"/>
        <v>76.562413559322039</v>
      </c>
      <c r="P20" s="311">
        <f t="shared" si="5"/>
        <v>15389.045125423729</v>
      </c>
      <c r="Q20" s="156"/>
      <c r="R20">
        <f>P20/21</f>
        <v>732.81167263922521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7"/>
        <v>14528</v>
      </c>
      <c r="J21" s="272">
        <f t="shared" si="1"/>
        <v>1452.8000000000002</v>
      </c>
      <c r="K21" s="128">
        <f t="shared" si="1"/>
        <v>508.48000000000008</v>
      </c>
      <c r="L21" s="119">
        <f t="shared" si="1"/>
        <v>0</v>
      </c>
      <c r="M21" s="230">
        <f t="shared" si="2"/>
        <v>12566.72</v>
      </c>
      <c r="N21" s="277">
        <f t="shared" si="3"/>
        <v>2745.7627118644068</v>
      </c>
      <c r="O21" s="239">
        <f t="shared" si="4"/>
        <v>76.562413559322039</v>
      </c>
      <c r="P21" s="311">
        <f t="shared" si="5"/>
        <v>15389.045125423729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200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1200</v>
      </c>
      <c r="I25" s="114">
        <f t="shared" ref="I25:M25" si="10">SUM(I16:I24)</f>
        <v>75061.5</v>
      </c>
      <c r="J25" s="274">
        <f>SUM(J16:J24)</f>
        <v>7506.1500000000005</v>
      </c>
      <c r="K25" s="275">
        <f t="shared" si="10"/>
        <v>2627.1525000000001</v>
      </c>
      <c r="L25" s="276">
        <f t="shared" si="10"/>
        <v>0</v>
      </c>
      <c r="M25" s="232">
        <f t="shared" si="10"/>
        <v>64928.197500000002</v>
      </c>
      <c r="N25" s="233">
        <f>SUM(N16:N24)</f>
        <v>14186.4406779661</v>
      </c>
      <c r="O25" s="101">
        <f>SUM(O16:O24)</f>
        <v>395.57319088983058</v>
      </c>
      <c r="P25" s="113">
        <f>SUM(P16:P24)</f>
        <v>79510.211368855933</v>
      </c>
      <c r="Q25" s="128">
        <f>SUM(Q16:Q24)</f>
        <v>200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75061.5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7506.1500000000005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2627.1525000000001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64928.197500000009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14186.4406779661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79114.638177966117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395.57319088983058</v>
      </c>
    </row>
    <row r="35" spans="2:16" ht="15.75" customHeight="1" thickBot="1" x14ac:dyDescent="0.4">
      <c r="N35" s="371" t="s">
        <v>88</v>
      </c>
      <c r="O35" s="372"/>
      <c r="P35" s="297">
        <f>+P33+P34</f>
        <v>79510.211368855948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8.7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503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8.75" customHeight="1" x14ac:dyDescent="0.4">
      <c r="A6" s="397" t="s">
        <v>504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520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46247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46246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2026-08-12T11:53:41Z</dcterms:modified>
</cp:coreProperties>
</file>