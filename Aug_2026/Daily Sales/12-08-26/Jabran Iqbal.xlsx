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BE607D6-E07E-46B5-8DB2-9A0FBFC3CD2C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<sst xmlns="http://schemas.openxmlformats.org/spreadsheetml/2006/main" count="3978" uniqueCount="523">
  <si>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</si>
  <si>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</si>
  <si>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</si>
  <si>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</si>
  <si>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</si>
  <si>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</si>
  <si>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</si>
  <si>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</si>
  <si>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</si>
  <si>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</si>
  <si>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</si>
  <si>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</si>
  <si>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</si>
  <si>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</si>
  <si>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</si>
  <si>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</si>
  <si>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</si>
  <si>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</si>
  <si>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</si>
  <si>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</si>
  <si>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</si>
  <si>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</si>
  <si>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</si>
  <si>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</si>
  <si>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</si>
  <si>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</si>
  <si>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</si>
  <si>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</si>
  <si>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</si>
  <si>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</si>
  <si>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</si>
  <si>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</si>
  <si>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</si>
  <si>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</si>
  <si>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</si>
  <si>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</si>
  <si>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</si>
  <si>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</si>
  <si>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</si>
  <si>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</si>
  <si>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</si>
  <si>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</si>
  <si>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</si>
  <si>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</si>
  <si>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</si>
  <si>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</si>
  <si>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</si>
  <si>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</si>
  <si>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</si>
  <si>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</si>
  <si>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</si>
  <si>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</si>
  <si>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</si>
  <si>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</si>
  <si>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</si>
  <si>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</si>
  <si>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</si>
  <si>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</si>
  <si>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</si>
  <si>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</si>
  <si>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</si>
  <si>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</si>
  <si>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</si>
  <si>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</si>
  <si>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</si>
  <si>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</si>
  <si>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</si>
  <si>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</si>
  <si>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</si>
  <si>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</si>
  <si>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</si>
  <si>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</si>
  <si>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</si>
  <si>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</si>
  <si>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</si>
  <si>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</si>
  <si>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</si>
  <si>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</si>
  <si>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</si>
  <si>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</si>
  <si>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</si>
  <si>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</si>
  <si>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</si>
  <si>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</si>
  <si>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</si>
  <si>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</si>
  <si>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</si>
  <si>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</si>
  <si>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</si>
  <si>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</si>
  <si>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</si>
  <si>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</si>
  <si>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</si>
  <si>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</si>
  <si>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</si>
  <si>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</si>
  <si>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</si>
  <si>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</si>
  <si>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</si>
  <si>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</si>
  <si>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</si>
  <si>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</si>
  <si>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</si>
  <si>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</si>
  <si>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</si>
  <si>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</si>
  <si>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</si>
  <si>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</si>
  <si>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</si>
  <si>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</si>
  <si>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</si>
  <si>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</si>
  <si>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</si>
  <si>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</si>
  <si>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</si>
  <si>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</si>
  <si>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</si>
  <si>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</si>
  <si>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</si>
  <si>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</si>
  <si>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</si>
  <si>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</si>
  <si>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</si>
  <si>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</si>
  <si>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</si>
  <si>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</si>
  <si>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</si>
  <si>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</si>
  <si>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</si>
  <si>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</si>
  <si>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</si>
  <si>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</si>
  <si>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</si>
  <si>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</si>
  <si>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</si>
  <si>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</si>
  <si>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</si>
  <si>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</si>
  <si>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</si>
  <si>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</si>
  <si>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</si>
  <si>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</si>
  <si>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</si>
  <si>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</si>
  <si>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</si>
  <si>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</si>
  <si>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</si>
  <si>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</si>
  <si>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</si>
  <si>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</si>
  <si>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</si>
  <si>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</si>
  <si>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</si>
  <si>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</si>
  <si>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</si>
  <si>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</si>
  <si>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</si>
  <si>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</si>
  <si>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</si>
  <si>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</si>
  <si>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</si>
  <si>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</si>
  <si>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</si>
  <si>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</si>
  <si>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</si>
  <si>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</si>
  <si>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</si>
  <si>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</si>
  <si>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</si>
  <si>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</si>
  <si>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</si>
  <si>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</si>
  <si>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</si>
  <si>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</si>
  <si>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</si>
  <si>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</si>
  <si>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</si>
  <si>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</si>
  <si>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</si>
  <si>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</si>
  <si>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</si>
  <si>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</si>
  <si>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</si>
  <si>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</si>
  <si>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</si>
  <si>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</si>
  <si>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</si>
  <si>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</si>
  <si>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</si>
  <si>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</si>
  <si>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</si>
  <si>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</si>
  <si>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</si>
  <si>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</si>
  <si>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</si>
  <si>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</si>
  <si>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</si>
  <si>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</si>
  <si>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</si>
  <si>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</si>
  <si>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</si>
  <si>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</si>
  <si>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</si>
  <si>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</si>
  <si>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</si>
  <si>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</si>
  <si>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</si>
  <si>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</si>
  <si>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</si>
  <si>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</si>
  <si>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</si>
  <si>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</si>
  <si>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</si>
  <si>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</si>
  <si>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</si>
  <si>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</si>
  <si>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</si>
  <si>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</si>
  <si>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</si>
  <si>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</si>
  <si>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</si>
  <si>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</si>
  <si>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</si>
  <si>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</si>
  <si>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</si>
  <si>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</si>
  <si>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</si>
  <si>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</si>
  <si>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</si>
  <si>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</si>
  <si>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</si>
  <si>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</si>
  <si>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</si>
  <si>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</si>
  <si>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</si>
  <si>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</si>
  <si>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</si>
  <si>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</si>
  <si>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</si>
  <si>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</si>
  <si>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</si>
  <si>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</si>
  <si>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</si>
  <si>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</si>
  <si>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</si>
  <si>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</si>
  <si>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</si>
  <si>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</si>
  <si>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</si>
  <si>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</si>
  <si>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</si>
  <si>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</si>
  <si>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</si>
  <si>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</si>
  <si>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</si>
  <si>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</si>
  <si>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</si>
  <si>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</si>
  <si>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</si>
  <si>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</si>
  <si>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</si>
  <si>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</si>
  <si>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</si>
  <si>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</si>
  <si>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</si>
  <si>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</si>
  <si>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</si>
  <si>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</si>
  <si>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</si>
  <si>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</si>
  <si>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</si>
  <si>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</si>
  <si>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</si>
  <si>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</si>
  <si>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</si>
  <si>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</si>
  <si>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</si>
  <si>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</si>
  <si>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</si>
  <si>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</si>
  <si>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</si>
  <si>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</si>
  <si>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</si>
  <si>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</si>
  <si>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</si>
  <si>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</si>
  <si>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</si>
  <si>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</si>
  <si>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</si>
  <si>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</si>
  <si>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</si>
  <si>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</si>
  <si>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</si>
  <si>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</si>
  <si>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</si>
  <si>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</si>
  <si>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</si>
  <si>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</si>
  <si>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</si>
  <si>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</si>
  <si>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</si>
  <si>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</si>
  <si>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</si>
  <si>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</si>
  <si>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</si>
  <si>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</si>
  <si>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</si>
  <si>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</si>
  <si>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</si>
  <si>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</si>
  <si>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</si>
  <si>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</si>
  <si>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</si>
  <si>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</si>
  <si>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</si>
  <si>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</si>
  <si>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</si>
  <si>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</si>
  <si>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</si>
  <si>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</si>
  <si>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</si>
  <si>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</si>
  <si>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</si>
  <si>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</si>
  <si>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</si>
  <si>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</si>
  <si>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</si>
  <si>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</si>
  <si>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</si>
  <si>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</si>
  <si>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</si>
  <si>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</si>
  <si>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</si>
  <si>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</si>
  <si>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</si>
  <si>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</si>
  <si>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</si>
  <si>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</si>
  <si>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</si>
  <si>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</si>
  <si>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</si>
  <si>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</si>
  <si>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</si>
  <si>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</si>
  <si>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</si>
  <si>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</si>
  <si>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</si>
  <si>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</si>
  <si>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</si>
  <si>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</si>
  <si>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</si>
  <si>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</si>
  <si>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</si>
  <si>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</si>
  <si>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</si>
  <si>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</si>
  <si>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</si>
  <si>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</si>
  <si>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</si>
  <si>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</si>
  <si>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</si>
  <si>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</si>
  <si>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</si>
  <si>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</si>
  <si>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</si>
  <si>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</si>
  <si>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</si>
  <si>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</si>
  <si>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</si>
  <si>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</si>
  <si>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</si>
  <si>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</si>
  <si>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</si>
  <si>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</si>
  <si>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</si>
  <si>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</si>
  <si>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</si>
  <si>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</si>
  <si>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</si>
  <si>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</si>
  <si>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</si>
  <si>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</si>
  <si>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</si>
  <si>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</si>
  <si>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</si>
  <si>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</si>
  <si>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</si>
  <si>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</si>
  <si>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</si>
  <si>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</si>
  <si>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</si>
  <si>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</si>
  <si>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</si>
  <si>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</si>
  <si>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</si>
  <si>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</si>
  <si>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</si>
  <si>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</si>
  <si>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</si>
  <si>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</si>
  <si>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</si>
  <si>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</si>
  <si>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</si>
  <si>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</si>
  <si>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</si>
  <si>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</si>
  <si>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</si>
  <si>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</si>
  <si>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</si>
  <si>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</si>
  <si>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</si>
  <si>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</si>
  <si>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</si>
  <si>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</si>
  <si>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</si>
  <si>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</si>
  <si>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</si>
  <si>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</si>
  <si>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</si>
  <si>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</si>
  <si>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</si>
  <si>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</si>
  <si>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</si>
  <si>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</si>
  <si>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</si>
  <si>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</si>
  <si>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</si>
  <si>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</si>
  <si>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</si>
  <si>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</si>
  <si>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</si>
  <si>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</si>
  <si>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</si>
  <si>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</si>
  <si>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</si>
  <si>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</si>
  <si>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</si>
  <si>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</si>
  <si>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</si>
  <si>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</si>
  <si>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</si>
  <si>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</si>
  <si>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</si>
  <si>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</si>
  <si>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</si>
  <si>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</si>
  <si>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</si>
  <si>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</si>
  <si>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</si>
  <si>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</si>
  <si>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</si>
  <si>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</si>
  <si>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</si>
  <si>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</si>
  <si>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</si>
  <si>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</si>
  <si>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</si>
  <si>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</si>
  <si>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</si>
  <si>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</si>
  <si>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</si>
  <si>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</si>
  <si>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</si>
  <si>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</si>
  <si>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</si>
  <si>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</si>
  <si>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</si>
  <si>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</si>
  <si>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</si>
  <si>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</si>
  <si>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</si>
  <si>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</si>
  <si>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</si>
  <si>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</si>
  <si>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</si>
  <si>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</si>
  <si>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</si>
  <si>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</si>
  <si>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</si>
  <si>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</si>
  <si>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</si>
  <si>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</si>
  <si>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</si>
  <si>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</si>
  <si>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</si>
  <si>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</si>
  <si>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</si>
  <si>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</si>
  <si>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</si>
  <si>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</si>
  <si>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</si>
  <si>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</si>
  <si>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</si>
  <si>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</si>
  <si>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</si>
  <si>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</si>
  <si>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</si>
  <si>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</si>
  <si>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</si>
  <si>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</si>
  <si>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</si>
  <si>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</si>
  <si>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</si>
  <si>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</si>
  <si>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</si>
  <si>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</si>
  <si>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</si>
  <si>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</si>
  <si>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</si>
  <si>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</si>
  <si>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</si>
  <si>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</si>
  <si>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</si>
  <si>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</si>
  <si>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</si>
  <si>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</si>
  <si>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</si>
  <si>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</si>
  <si>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Jabran </t>
  </si>
  <si>
    <t>Mushtaq Store</t>
  </si>
  <si>
    <t xml:space="preserve">Address: Shah Jmaal </t>
  </si>
  <si>
    <t xml:space="preserve">Quality GS </t>
  </si>
  <si>
    <t xml:space="preserve">Address: jail Road opposite Service hospital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</si>
</sst>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518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514</v>
      </c>
      <c r="F3" s="387"/>
      <c r="G3" s="387"/>
      <c r="H3" s="384">
        <f ca="1">TODAY()</f>
        <v>46245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Mushtaq Store</v>
      </c>
      <c r="T3" s="301">
        <f>+'1'!P35</f>
        <v>1620.3789503771181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Quality GS </v>
      </c>
      <c r="T4" s="301">
        <f>+'2'!P35</f>
        <v>2360.5376977983046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16</v>
      </c>
      <c r="I7" s="235">
        <f>(G7*D7)*F7+H7*F7</f>
        <v>839.4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67.152000000000001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29.379000000000001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742.86899999999991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158.6440677966101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4.5075653389830501</v>
      </c>
      <c r="P7" s="310">
        <f>M7+N7+O7</f>
        <v>906.02063313559302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</v>
      </c>
      <c r="I8" s="236">
        <f t="shared" ref="I8:I14" si="0">(G8*D8)*F8+H8*F8</f>
        <v>839.4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67.152000000000001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29.379000000000001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742.86899999999991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158.6440677966101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4.5075653389830501</v>
      </c>
      <c r="P8" s="311">
        <f t="shared" ref="P8:P15" si="2">M8+N8+O8</f>
        <v>906.02063313559302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</v>
      </c>
      <c r="I9" s="236">
        <f t="shared" si="0"/>
        <v>209.85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16.788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7.3447500000000003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185.71724999999998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39.661016949152526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1.1268913347457625</v>
      </c>
      <c r="P9" s="311">
        <f t="shared" si="2"/>
        <v>226.50515828389825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</v>
      </c>
      <c r="I10" s="236">
        <f t="shared" si="0"/>
        <v>290.56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23.244800000000001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10.169600000000001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257.1456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54.915254237288138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1.5603042711864408</v>
      </c>
      <c r="P10" s="311">
        <f t="shared" si="2"/>
        <v>313.62115850847459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</v>
      </c>
      <c r="I11" s="236">
        <f t="shared" si="0"/>
        <v>290.56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23.244800000000001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10.169600000000001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257.1456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54.915254237288138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1.5603042711864408</v>
      </c>
      <c r="P11" s="311">
        <f t="shared" si="2"/>
        <v>313.62115850847459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</v>
      </c>
      <c r="I12" s="236">
        <f t="shared" si="0"/>
        <v>290.56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23.244800000000001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10.169600000000001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257.1456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54.915254237288138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1.5603042711864408</v>
      </c>
      <c r="P12" s="311">
        <f t="shared" si="2"/>
        <v>313.62115850847459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24</v>
      </c>
      <c r="I13" s="236">
        <f t="shared" si="0"/>
        <v>941.5200000000001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47.076000000000008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32.95320000000001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48.017520000000005</v>
      </c>
      <c r="M13" s="230">
        <f t="shared" si="1"/>
        <v>813.47328000000005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183.05084745762701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4.982620637288135</v>
      </c>
      <c r="P13" s="311">
        <f t="shared" si="2"/>
        <v>1001.5067480949152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1.8</v>
      </c>
      <c r="H16" s="113">
        <f t="shared" ref="H16:M16" si="3">SUM(H7:H15)</f>
        <v>72</v>
      </c>
      <c r="I16" s="114">
        <f t="shared" si="3"/>
        <v>3701.85</v>
      </c>
      <c r="J16" s="274">
        <f>SUM(J7:J15)</f>
        <v>267.9024</v>
      </c>
      <c r="K16" s="275">
        <f t="shared" si="3"/>
        <v>129.56475</v>
      </c>
      <c r="L16" s="276">
        <f t="shared" si="3"/>
        <v>48.017520000000005</v>
      </c>
      <c r="M16" s="232">
        <f t="shared" si="3"/>
        <v>3256.3653299999996</v>
      </c>
      <c r="N16" s="233">
        <f>SUM(N7:N15)</f>
        <v>704.74576271186424</v>
      </c>
      <c r="O16" s="101">
        <f>SUM(O7:O15)</f>
        <v>19.805555463559319</v>
      </c>
      <c r="P16" s="113">
        <f>SUM(P7:P15)</f>
        <v>3980.9166481754237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3701.85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267.9024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177.58226999999999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3256.3653300000001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704.74576271186424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3961.1110927118643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19.805555463559319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3980.9166481754237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3980.9166481754228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7.2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310">
        <f>M16+N16+O16</f>
        <v>226.50515828389825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311">
        <f t="shared" ref="P17:P24" si="5">M17+N17+O17</f>
        <v>226.50515828389825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ref="I18:I21" si="7">(G18*D18)*F18+H18*F18</f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311">
        <f t="shared" si="5"/>
        <v>226.50515828389825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7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311">
        <f t="shared" si="5"/>
        <v>313.62115850847459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7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311">
        <f t="shared" si="5"/>
        <v>313.62115850847459</v>
      </c>
      <c r="Q20" s="156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7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311">
        <f t="shared" si="5"/>
        <v>313.62115850847459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1501.2299999999998</v>
      </c>
      <c r="J25" s="274">
        <f>SUM(J16:J24)</f>
        <v>120.0984</v>
      </c>
      <c r="K25" s="275">
        <f t="shared" si="10"/>
        <v>52.543050000000008</v>
      </c>
      <c r="L25" s="276">
        <f t="shared" si="10"/>
        <v>0</v>
      </c>
      <c r="M25" s="232">
        <f t="shared" si="10"/>
        <v>1328.5885500000002</v>
      </c>
      <c r="N25" s="233">
        <f>SUM(N16:N24)</f>
        <v>283.72881355932202</v>
      </c>
      <c r="O25" s="101">
        <f>SUM(O16:O24)</f>
        <v>8.0615868177966092</v>
      </c>
      <c r="P25" s="113">
        <f>SUM(P16:P24)</f>
        <v>1620.3789503771184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1501.2299999999998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120.0984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52.543050000000008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1328.5885499999997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283.72881355932202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1612.3173635593216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8.0615868177966075</v>
      </c>
    </row>
    <row r="35" spans="2:16" ht="15.75" customHeight="1" thickBot="1" x14ac:dyDescent="0.4">
      <c r="N35" s="371" t="s">
        <v>88</v>
      </c>
      <c r="O35" s="372"/>
      <c r="P35" s="297">
        <f>+P33+P34</f>
        <v>1620.3789503771181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522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311">
        <f t="shared" si="5"/>
        <v>1001.5067480949152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48</v>
      </c>
      <c r="I25" s="114">
        <f t="shared" si="7"/>
        <v>2200.62</v>
      </c>
      <c r="J25" s="274">
        <f>SUM(J16:J24)</f>
        <v>147.804</v>
      </c>
      <c r="K25" s="275">
        <f t="shared" si="7"/>
        <v>77.02170000000001</v>
      </c>
      <c r="L25" s="276">
        <f t="shared" si="7"/>
        <v>48.017520000000005</v>
      </c>
      <c r="M25" s="232">
        <f t="shared" si="7"/>
        <v>1927.7767800000001</v>
      </c>
      <c r="N25" s="233">
        <f>SUM(N16:N24)</f>
        <v>421.01694915254217</v>
      </c>
      <c r="O25" s="101">
        <f>SUM(O16:O24)</f>
        <v>11.74396864576271</v>
      </c>
      <c r="P25" s="113">
        <f>SUM(P16:P24)</f>
        <v>2360.5376977983051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2200.62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147.804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125.03922000000001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1927.7767799999997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421.01694915254217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2348.7937291525418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11.74396864576271</v>
      </c>
    </row>
    <row r="35" spans="2:16" ht="15.75" customHeight="1" thickBot="1" x14ac:dyDescent="0.4">
      <c r="N35" s="371" t="s">
        <v>88</v>
      </c>
      <c r="O35" s="372"/>
      <c r="P35" s="297">
        <f>+P33+P34</f>
        <v>2360.5376977983046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46246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46245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2026-08-11T11:04:09Z</dcterms:modified>
</cp:coreProperties>
</file>