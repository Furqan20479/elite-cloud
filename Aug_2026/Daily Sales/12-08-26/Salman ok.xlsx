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A9D8952-4535-4A89-B3F7-18F52BC2CF59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8" l="1"/>
  <c r="K12" i="62"/>
  <c r="M21" i="47"/>
  <c r="O21" i="47" s="1"/>
  <c r="P21" i="47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<sst xmlns="http://schemas.openxmlformats.org/spreadsheetml/2006/main" count="3978" uniqueCount="529">
  <si>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</si>
  <si>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</si>
  <si>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</si>
  <si>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</si>
  <si>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</si>
  <si>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</si>
  <si>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</si>
  <si>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</si>
  <si>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</si>
  <si>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</si>
  <si>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</si>
  <si>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</si>
  <si>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</si>
  <si>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</si>
  <si>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</si>
  <si>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</si>
  <si>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</si>
  <si>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</si>
  <si>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</si>
  <si>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</si>
  <si>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</si>
  <si>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</si>
  <si>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</si>
  <si>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</si>
  <si>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</si>
  <si>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</si>
  <si>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</si>
  <si>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</si>
  <si>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</si>
  <si>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</si>
  <si>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</si>
  <si>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</si>
  <si>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</si>
  <si>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</si>
  <si>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</si>
  <si>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</si>
  <si>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</si>
  <si>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</si>
  <si>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</si>
  <si>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</si>
  <si>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</si>
  <si>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</si>
  <si>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</si>
  <si>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</si>
  <si>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</si>
  <si>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</si>
  <si>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</si>
  <si>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</si>
  <si>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</si>
  <si>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</si>
  <si>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</si>
  <si>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</si>
  <si>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</si>
  <si>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</si>
  <si>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</si>
  <si>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</si>
  <si>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</si>
  <si>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</si>
  <si>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</si>
  <si>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</si>
  <si>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</si>
  <si>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</si>
  <si>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</si>
  <si>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</si>
  <si>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</si>
  <si>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</si>
  <si>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</si>
  <si>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</si>
  <si>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</si>
  <si>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</si>
  <si>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</si>
  <si>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</si>
  <si>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</si>
  <si>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</si>
  <si>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</si>
  <si>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</si>
  <si>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</si>
  <si>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</si>
  <si>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</si>
  <si>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</si>
  <si>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</si>
  <si>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</si>
  <si>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</si>
  <si>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</si>
  <si>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</si>
  <si>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</si>
  <si>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</si>
  <si>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</si>
  <si>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</si>
  <si>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</si>
  <si>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</si>
  <si>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</si>
  <si>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</si>
  <si>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</si>
  <si>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</si>
  <si>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</si>
  <si>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</si>
  <si>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</si>
  <si>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</si>
  <si>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</si>
  <si>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</si>
  <si>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</si>
  <si>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</si>
  <si>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</si>
  <si>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</si>
  <si>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</si>
  <si>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</si>
  <si>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</si>
  <si>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</si>
  <si>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</si>
  <si>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</si>
  <si>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</si>
  <si>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</si>
  <si>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</si>
  <si>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</si>
  <si>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</si>
  <si>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</si>
  <si>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</si>
  <si>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</si>
  <si>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</si>
  <si>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</si>
  <si>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</si>
  <si>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</si>
  <si>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</si>
  <si>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</si>
  <si>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</si>
  <si>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</si>
  <si>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</si>
  <si>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</si>
  <si>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</si>
  <si>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</si>
  <si>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</si>
  <si>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</si>
  <si>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</si>
  <si>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</si>
  <si>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</si>
  <si>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</si>
  <si>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</si>
  <si>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</si>
  <si>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</si>
  <si>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</si>
  <si>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</si>
  <si>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</si>
  <si>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</si>
  <si>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</si>
  <si>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</si>
  <si>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</si>
  <si>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</si>
  <si>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</si>
  <si>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</si>
  <si>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</si>
  <si>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</si>
  <si>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</si>
  <si>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</si>
  <si>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</si>
  <si>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</si>
  <si>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</si>
  <si>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</si>
  <si>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</si>
  <si>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</si>
  <si>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</si>
  <si>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</si>
  <si>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</si>
  <si>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</si>
  <si>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</si>
  <si>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</si>
  <si>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</si>
  <si>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</si>
  <si>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</si>
  <si>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</si>
  <si>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</si>
  <si>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</si>
  <si>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</si>
  <si>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</si>
  <si>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</si>
  <si>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</si>
  <si>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</si>
  <si>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</si>
  <si>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</si>
  <si>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</si>
  <si>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</si>
  <si>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</si>
  <si>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</si>
  <si>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</si>
  <si>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</si>
  <si>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</si>
  <si>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</si>
  <si>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</si>
  <si>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</si>
  <si>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</si>
  <si>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</si>
  <si>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</si>
  <si>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</si>
  <si>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</si>
  <si>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</si>
  <si>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</si>
  <si>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</si>
  <si>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</si>
  <si>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</si>
  <si>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</si>
  <si>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</si>
  <si>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</si>
  <si>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</si>
  <si>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</si>
  <si>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</si>
  <si>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</si>
  <si>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</si>
  <si>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</si>
  <si>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</si>
  <si>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</si>
  <si>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</si>
  <si>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</si>
  <si>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</si>
  <si>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</si>
  <si>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</si>
  <si>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</si>
  <si>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</si>
  <si>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</si>
  <si>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</si>
  <si>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</si>
  <si>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</si>
  <si>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</si>
  <si>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</si>
  <si>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</si>
  <si>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</si>
  <si>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</si>
  <si>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</si>
  <si>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</si>
  <si>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</si>
  <si>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</si>
  <si>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</si>
  <si>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</si>
  <si>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</si>
  <si>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</si>
  <si>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</si>
  <si>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</si>
  <si>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</si>
  <si>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</si>
  <si>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</si>
  <si>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</si>
  <si>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</si>
  <si>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</si>
  <si>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</si>
  <si>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</si>
  <si>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</si>
  <si>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</si>
  <si>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</si>
  <si>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</si>
  <si>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</si>
  <si>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</si>
  <si>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</si>
  <si>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</si>
  <si>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</si>
  <si>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</si>
  <si>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</si>
  <si>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</si>
  <si>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</si>
  <si>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</si>
  <si>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</si>
  <si>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</si>
  <si>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</si>
  <si>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</si>
  <si>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</si>
  <si>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</si>
  <si>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</si>
  <si>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</si>
  <si>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</si>
  <si>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</si>
  <si>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</si>
  <si>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</si>
  <si>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</si>
  <si>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</si>
  <si>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</si>
  <si>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</si>
  <si>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</si>
  <si>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</si>
  <si>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</si>
  <si>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</si>
  <si>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</si>
  <si>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</si>
  <si>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</si>
  <si>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</si>
  <si>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</si>
  <si>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</si>
  <si>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</si>
  <si>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</si>
  <si>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</si>
  <si>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</si>
  <si>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</si>
  <si>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</si>
  <si>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</si>
  <si>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</si>
  <si>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</si>
  <si>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</si>
  <si>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</si>
  <si>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</si>
  <si>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</si>
  <si>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</si>
  <si>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</si>
  <si>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</si>
  <si>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</si>
  <si>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</si>
  <si>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</si>
  <si>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</si>
  <si>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</si>
  <si>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</si>
  <si>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</si>
  <si>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</si>
  <si>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</si>
  <si>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</si>
  <si>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</si>
  <si>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</si>
  <si>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</si>
  <si>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</si>
  <si>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</si>
  <si>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</si>
  <si>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</si>
  <si>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</si>
  <si>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</si>
  <si>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</si>
  <si>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</si>
  <si>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</si>
  <si>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</si>
  <si>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</si>
  <si>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</si>
  <si>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</si>
  <si>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</si>
  <si>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</si>
  <si>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</si>
  <si>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</si>
  <si>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</si>
  <si>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</si>
  <si>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</si>
  <si>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</si>
  <si>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</si>
  <si>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</si>
  <si>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</si>
  <si>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</si>
  <si>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</si>
  <si>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</si>
  <si>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</si>
  <si>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</si>
  <si>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</si>
  <si>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</si>
  <si>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</si>
  <si>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</si>
  <si>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</si>
  <si>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</si>
  <si>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</si>
  <si>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</si>
  <si>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</si>
  <si>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</si>
  <si>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</si>
  <si>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</si>
  <si>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</si>
  <si>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</si>
  <si>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</si>
  <si>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</si>
  <si>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</si>
  <si>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</si>
  <si>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</si>
  <si>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</si>
  <si>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</si>
  <si>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</si>
  <si>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</si>
  <si>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</si>
  <si>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</si>
  <si>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</si>
  <si>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</si>
  <si>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</si>
  <si>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</si>
  <si>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</si>
  <si>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</si>
  <si>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</si>
  <si>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</si>
  <si>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</si>
  <si>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</si>
  <si>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</si>
  <si>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</si>
  <si>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</si>
  <si>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</si>
  <si>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</si>
  <si>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</si>
  <si>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</si>
  <si>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</si>
  <si>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</si>
  <si>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</si>
  <si>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</si>
  <si>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</si>
  <si>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</si>
  <si>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</si>
  <si>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</si>
  <si>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</si>
  <si>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</si>
  <si>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</si>
  <si>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</si>
  <si>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</si>
  <si>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</si>
  <si>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</si>
  <si>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</si>
  <si>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</si>
  <si>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</si>
  <si>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</si>
  <si>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</si>
  <si>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</si>
  <si>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</si>
  <si>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</si>
  <si>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</si>
  <si>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</si>
  <si>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</si>
  <si>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</si>
  <si>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</si>
  <si>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</si>
  <si>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</si>
  <si>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</si>
  <si>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</si>
  <si>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</si>
  <si>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</si>
  <si>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</si>
  <si>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</si>
  <si>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</si>
  <si>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</si>
  <si>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</si>
  <si>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</si>
  <si>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</si>
  <si>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</si>
  <si>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</si>
  <si>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</si>
  <si>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</si>
  <si>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</si>
  <si>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</si>
  <si>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</si>
  <si>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</si>
  <si>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</si>
  <si>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</si>
  <si>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</si>
  <si>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</si>
  <si>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</si>
  <si>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</si>
  <si>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</si>
  <si>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</si>
  <si>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</si>
  <si>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</si>
  <si>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</si>
  <si>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</si>
  <si>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</si>
  <si>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</si>
  <si>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</si>
  <si>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</si>
  <si>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</si>
  <si>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</si>
  <si>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</si>
  <si>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</si>
  <si>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</si>
  <si>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</si>
  <si>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</si>
  <si>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</si>
  <si>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</si>
  <si>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</si>
  <si>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</si>
  <si>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</si>
  <si>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</si>
  <si>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</si>
  <si>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</si>
  <si>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</si>
  <si>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</si>
  <si>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</si>
  <si>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</si>
  <si>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</si>
  <si>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</si>
  <si>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</si>
  <si>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</si>
  <si>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</si>
  <si>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</si>
  <si>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</si>
  <si>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</si>
  <si>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</si>
  <si>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</si>
  <si>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</si>
  <si>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</si>
  <si>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</si>
  <si>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</si>
  <si>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</si>
  <si>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</si>
  <si>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</si>
  <si>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</si>
  <si>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</si>
  <si>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</si>
  <si>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</si>
  <si>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</si>
  <si>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</si>
  <si>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</si>
  <si>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</si>
  <si>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</si>
  <si>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</si>
  <si>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</si>
  <si>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</si>
  <si>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</si>
  <si>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</si>
  <si>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</si>
  <si>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</si>
  <si>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</si>
  <si>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</si>
  <si>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</si>
  <si>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</si>
  <si>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</si>
  <si>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</si>
  <si>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</si>
  <si>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</si>
  <si>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</si>
  <si>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</si>
  <si>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</si>
  <si>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</si>
  <si>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</si>
  <si>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</si>
  <si>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</si>
  <si>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</si>
  <si>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 xml:space="preserve">Askari Store </t>
  </si>
  <si>
    <t>Address: Pepsi Road</t>
  </si>
  <si>
    <t xml:space="preserve">Bin Dawood Mart </t>
  </si>
  <si>
    <t>Imran Store</t>
  </si>
  <si>
    <t>Khan Store</t>
  </si>
  <si>
    <t>Nazer GS</t>
  </si>
  <si>
    <t xml:space="preserve">Classic Mart </t>
  </si>
  <si>
    <t>United Store</t>
  </si>
  <si>
    <t>Cant Store</t>
  </si>
  <si>
    <t>Chishtiya Store</t>
  </si>
  <si>
    <t>Tahir Store</t>
  </si>
  <si>
    <t>Wali Super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</si>
</sst>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46246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 xml:space="preserve">Askari Store </v>
      </c>
      <c r="T3" s="301">
        <f>+'1'!P35</f>
        <v>840.51111147330516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Bin Dawood Mart </v>
      </c>
      <c r="T4" s="301">
        <f>+'2'!P35</f>
        <v>3553.5060634576266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Imran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Khan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Nazer GS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Classic Mart 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United Store</v>
      </c>
      <c r="T9" s="301">
        <f>+'7'!P35</f>
        <v>810.1894751885593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56</v>
      </c>
      <c r="I10" s="236">
        <f t="shared" si="0"/>
        <v>4067.84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325.42720000000003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142.37440000000001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3600.0384000000004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768.81355932203394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21.844259796610171</v>
      </c>
      <c r="P10" s="311">
        <f t="shared" si="2"/>
        <v>4390.6962191186449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42</v>
      </c>
      <c r="R10" s="314">
        <v>8</v>
      </c>
      <c r="S10" s="300" t="str">
        <f>+'8'!A6:A6</f>
        <v>Cant Store</v>
      </c>
      <c r="T10" s="301">
        <f>+'8'!P35</f>
        <v>6272.4231701694916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19.503803389830509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Chishtiya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Tahir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22</v>
      </c>
      <c r="I13" s="236">
        <f t="shared" si="0"/>
        <v>863.06000000000006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43.153000000000006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30.207100000000008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44.016060000000003</v>
      </c>
      <c r="M13" s="230">
        <f t="shared" si="1"/>
        <v>745.68384000000003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167.79661016949143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4.5674022508474579</v>
      </c>
      <c r="P13" s="311">
        <f t="shared" si="2"/>
        <v>918.04785242033881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Wali Super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5</v>
      </c>
      <c r="H16" s="113">
        <f t="shared" ref="H16:M16" si="3">SUM(H7:H15)</f>
        <v>200</v>
      </c>
      <c r="I16" s="114">
        <f t="shared" si="3"/>
        <v>13550.849999999999</v>
      </c>
      <c r="J16" s="274">
        <f>SUM(J7:J15)</f>
        <v>1058.1762000000001</v>
      </c>
      <c r="K16" s="275">
        <f t="shared" si="3"/>
        <v>474.27975000000009</v>
      </c>
      <c r="L16" s="276">
        <f t="shared" si="3"/>
        <v>44.016060000000003</v>
      </c>
      <c r="M16" s="232">
        <f t="shared" si="3"/>
        <v>11974.377989999999</v>
      </c>
      <c r="N16" s="233">
        <f>SUM(N7:N15)</f>
        <v>2565.7627118644068</v>
      </c>
      <c r="O16" s="101">
        <f>SUM(O7:O15)</f>
        <v>72.70070350932204</v>
      </c>
      <c r="P16" s="113">
        <f>SUM(P7:P15)</f>
        <v>14612.841405373729</v>
      </c>
      <c r="Q16" s="128">
        <f>SUM(Q7:Q15)</f>
        <v>42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13550.849999999999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1058.1762000000001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518.29581000000007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11974.377989999999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2565.7627118644068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14540.140701864406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72.70070350932204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14612.841405373729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14612.841405373729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18</v>
      </c>
      <c r="I25" s="114">
        <f t="shared" ref="I25:M25" si="10">SUM(I16:I24)</f>
        <v>785.53500000000008</v>
      </c>
      <c r="J25" s="274">
        <f>SUM(J16:J24)</f>
        <v>48.72</v>
      </c>
      <c r="K25" s="275">
        <f t="shared" si="10"/>
        <v>27.493725000000005</v>
      </c>
      <c r="L25" s="276">
        <f t="shared" si="10"/>
        <v>24.008760000000002</v>
      </c>
      <c r="M25" s="232">
        <f t="shared" si="10"/>
        <v>685.31251500000008</v>
      </c>
      <c r="N25" s="233">
        <f>SUM(N16:N24)</f>
        <v>151.01694915254228</v>
      </c>
      <c r="O25" s="101">
        <f>SUM(O16:O24)</f>
        <v>4.1816473207627114</v>
      </c>
      <c r="P25" s="113">
        <f>SUM(P16:P24)</f>
        <v>840.51111147330505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785.53500000000008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48.72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51.502485000000007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685.31251500000008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151.01694915254228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836.32946415254241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4.1816473207627123</v>
      </c>
    </row>
    <row r="35" spans="2:16" ht="15.75" customHeight="1" thickBot="1" x14ac:dyDescent="0.4">
      <c r="N35" s="342" t="s">
        <v>88</v>
      </c>
      <c r="O35" s="343"/>
      <c r="P35" s="297">
        <f>+P33+P34</f>
        <v>840.51111147330516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50</v>
      </c>
      <c r="I25" s="114">
        <f t="shared" si="7"/>
        <v>3297.9</v>
      </c>
      <c r="J25" s="274">
        <f>SUM(J16:J24)</f>
        <v>252.06300000000002</v>
      </c>
      <c r="K25" s="275">
        <f t="shared" si="7"/>
        <v>115.42650000000002</v>
      </c>
      <c r="L25" s="276">
        <f t="shared" si="7"/>
        <v>20.007300000000001</v>
      </c>
      <c r="M25" s="232">
        <f t="shared" si="7"/>
        <v>2910.4032000000002</v>
      </c>
      <c r="N25" s="233">
        <f>SUM(N16:N24)</f>
        <v>625.42372881355936</v>
      </c>
      <c r="O25" s="101">
        <f>SUM(O16:O24)</f>
        <v>17.679134644067798</v>
      </c>
      <c r="P25" s="113">
        <f>SUM(P16:P24)</f>
        <v>3553.5060634576271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3297.9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252.06300000000002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135.43380000000002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2910.4031999999997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625.42372881355936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3535.8269288135589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17.679134644067794</v>
      </c>
    </row>
    <row r="35" spans="2:16" ht="15.75" customHeight="1" thickBot="1" x14ac:dyDescent="0.4">
      <c r="N35" s="342" t="s">
        <v>88</v>
      </c>
      <c r="O35" s="343"/>
      <c r="P35" s="297">
        <f>+P33+P34</f>
        <v>3553.5060634576266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9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8.7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750.61500000000001</v>
      </c>
      <c r="J25" s="274">
        <f>SUM(J16:J24)</f>
        <v>60.049199999999999</v>
      </c>
      <c r="K25" s="275">
        <f t="shared" si="7"/>
        <v>26.271525000000004</v>
      </c>
      <c r="L25" s="276">
        <f t="shared" si="7"/>
        <v>0</v>
      </c>
      <c r="M25" s="232">
        <f t="shared" si="7"/>
        <v>664.29427499999997</v>
      </c>
      <c r="N25" s="233">
        <f>SUM(N16:N24)</f>
        <v>141.86440677966101</v>
      </c>
      <c r="O25" s="101">
        <f>SUM(O16:O24)</f>
        <v>4.0307934088983046</v>
      </c>
      <c r="P25" s="113">
        <f>SUM(P16:P24)</f>
        <v>810.1894751885593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750.61500000000001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60.049199999999999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26.271525000000004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664.29427499999997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806.15868177966104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4.0307934088983055</v>
      </c>
    </row>
    <row r="35" spans="2:16" ht="15.75" customHeight="1" thickBot="1" x14ac:dyDescent="0.4">
      <c r="N35" s="342" t="s">
        <v>88</v>
      </c>
      <c r="O35" s="343"/>
      <c r="P35" s="297">
        <f>+P33+P34</f>
        <v>810.1894751885593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0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46245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507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46246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2026-08-12T11:52:25Z</dcterms:modified>
</cp:coreProperties>
</file>