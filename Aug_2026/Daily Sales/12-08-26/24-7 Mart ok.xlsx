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BF6F62-8034-477E-A160-A76C4986042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<sst xmlns="http://schemas.openxmlformats.org/spreadsheetml/2006/main" count="3978" uniqueCount="516">
  <si>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</si>
  <si>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</si>
  <si>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</si>
  <si>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</si>
  <si>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</si>
  <si>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</si>
  <si>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</si>
  <si>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</si>
  <si>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</si>
  <si>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</si>
  <si>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</si>
  <si>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</si>
  <si>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</si>
  <si>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</si>
  <si>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</si>
  <si>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</si>
  <si>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</si>
  <si>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</si>
  <si>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</si>
  <si>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</si>
  <si>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</si>
  <si>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</si>
  <si>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</si>
  <si>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</si>
  <si>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</si>
  <si>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</si>
  <si>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</si>
  <si>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</si>
  <si>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</si>
  <si>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</si>
  <si>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</si>
  <si>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</si>
  <si>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</si>
  <si>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</si>
  <si>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</si>
  <si>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</si>
  <si>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</si>
  <si>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</si>
  <si>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</si>
  <si>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</si>
  <si>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</si>
  <si>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</si>
  <si>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</si>
  <si>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</si>
  <si>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</si>
  <si>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</si>
  <si>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</si>
  <si>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</si>
  <si>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</si>
  <si>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</si>
  <si>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</si>
  <si>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</si>
  <si>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</si>
  <si>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</si>
  <si>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</si>
  <si>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</si>
  <si>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</si>
  <si>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</si>
  <si>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</si>
  <si>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</si>
  <si>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</si>
  <si>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</si>
  <si>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</si>
  <si>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</si>
  <si>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</si>
  <si>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</si>
  <si>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</si>
  <si>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</si>
  <si>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</si>
  <si>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</si>
  <si>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</si>
  <si>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</si>
  <si>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</si>
  <si>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</si>
  <si>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</si>
  <si>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</si>
  <si>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</si>
  <si>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</si>
  <si>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</si>
  <si>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</si>
  <si>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</si>
  <si>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</si>
  <si>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</si>
  <si>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</si>
  <si>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</si>
  <si>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</si>
  <si>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</si>
  <si>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</si>
  <si>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</si>
  <si>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</si>
  <si>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</si>
  <si>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</si>
  <si>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</si>
  <si>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</si>
  <si>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</si>
  <si>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</si>
  <si>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</si>
  <si>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</si>
  <si>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</si>
  <si>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</si>
  <si>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</si>
  <si>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</si>
  <si>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</si>
  <si>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</si>
  <si>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</si>
  <si>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</si>
  <si>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</si>
  <si>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</si>
  <si>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</si>
  <si>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</si>
  <si>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</si>
  <si>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</si>
  <si>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</si>
  <si>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</si>
  <si>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</si>
  <si>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</si>
  <si>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</si>
  <si>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</si>
  <si>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</si>
  <si>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</si>
  <si>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</si>
  <si>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</si>
  <si>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</si>
  <si>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</si>
  <si>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</si>
  <si>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</si>
  <si>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</si>
  <si>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</si>
  <si>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</si>
  <si>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</si>
  <si>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</si>
  <si>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</si>
  <si>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</si>
  <si>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</si>
  <si>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</si>
  <si>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</si>
  <si>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</si>
  <si>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</si>
  <si>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</si>
  <si>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</si>
  <si>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</si>
  <si>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</si>
  <si>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</si>
  <si>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</si>
  <si>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</si>
  <si>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</si>
  <si>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</si>
  <si>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</si>
  <si>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</si>
  <si>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</si>
  <si>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</si>
  <si>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</si>
  <si>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</si>
  <si>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</si>
  <si>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</si>
  <si>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</si>
  <si>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</si>
  <si>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</si>
  <si>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</si>
  <si>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</si>
  <si>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</si>
  <si>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</si>
  <si>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</si>
  <si>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</si>
  <si>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</si>
  <si>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</si>
  <si>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</si>
  <si>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</si>
  <si>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</si>
  <si>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</si>
  <si>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</si>
  <si>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</si>
  <si>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</si>
  <si>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</si>
  <si>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</si>
  <si>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</si>
  <si>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</si>
  <si>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</si>
  <si>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</si>
  <si>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</si>
  <si>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</si>
  <si>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</si>
  <si>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</si>
  <si>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</si>
  <si>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</si>
  <si>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</si>
  <si>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</si>
  <si>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</si>
  <si>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</si>
  <si>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</si>
  <si>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</si>
  <si>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</si>
  <si>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</si>
  <si>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</si>
  <si>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</si>
  <si>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</si>
  <si>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</si>
  <si>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</si>
  <si>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</si>
  <si>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</si>
  <si>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</si>
  <si>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</si>
  <si>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</si>
  <si>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</si>
  <si>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</si>
  <si>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</si>
  <si>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</si>
  <si>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</si>
  <si>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</si>
  <si>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</si>
  <si>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</si>
  <si>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</si>
  <si>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</si>
  <si>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</si>
  <si>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</si>
  <si>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</si>
  <si>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</si>
  <si>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</si>
  <si>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</si>
  <si>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</si>
  <si>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</si>
  <si>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</si>
  <si>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</si>
  <si>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</si>
  <si>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</si>
  <si>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</si>
  <si>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</si>
  <si>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</si>
  <si>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</si>
  <si>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</si>
  <si>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</si>
  <si>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</si>
  <si>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</si>
  <si>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</si>
  <si>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</si>
  <si>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</si>
  <si>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</si>
  <si>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</si>
  <si>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</si>
  <si>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</si>
  <si>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</si>
  <si>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</si>
  <si>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</si>
  <si>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</si>
  <si>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</si>
  <si>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</si>
  <si>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</si>
  <si>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</si>
  <si>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</si>
  <si>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</si>
  <si>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</si>
  <si>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</si>
  <si>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</si>
  <si>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</si>
  <si>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</si>
  <si>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</si>
  <si>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</si>
  <si>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</si>
  <si>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</si>
  <si>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</si>
  <si>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</si>
  <si>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</si>
  <si>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</si>
  <si>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</si>
  <si>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</si>
  <si>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</si>
  <si>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</si>
  <si>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</si>
  <si>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</si>
  <si>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</si>
  <si>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</si>
  <si>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</si>
  <si>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</si>
  <si>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</si>
  <si>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</si>
  <si>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</si>
  <si>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</si>
  <si>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</si>
  <si>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</si>
  <si>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</si>
  <si>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</si>
  <si>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</si>
  <si>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</si>
  <si>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</si>
  <si>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</si>
  <si>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</si>
  <si>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</si>
  <si>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</si>
  <si>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</si>
  <si>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</si>
  <si>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</si>
  <si>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</si>
  <si>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</si>
  <si>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</si>
  <si>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</si>
  <si>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</si>
  <si>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</si>
  <si>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</si>
  <si>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</si>
  <si>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</si>
  <si>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</si>
  <si>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</si>
  <si>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</si>
  <si>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</si>
  <si>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</si>
  <si>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</si>
  <si>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</si>
  <si>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</si>
  <si>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</si>
  <si>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</si>
  <si>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</si>
  <si>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</si>
  <si>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</si>
  <si>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</si>
  <si>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</si>
  <si>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</si>
  <si>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</si>
  <si>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</si>
  <si>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</si>
  <si>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</si>
  <si>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</si>
  <si>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</si>
  <si>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</si>
  <si>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</si>
  <si>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</si>
  <si>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</si>
  <si>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</si>
  <si>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</si>
  <si>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</si>
  <si>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</si>
  <si>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</si>
  <si>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</si>
  <si>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</si>
  <si>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</si>
  <si>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</si>
  <si>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</si>
  <si>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</si>
  <si>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</si>
  <si>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</si>
  <si>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</si>
  <si>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</si>
  <si>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</si>
  <si>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</si>
  <si>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</si>
  <si>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</si>
  <si>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</si>
  <si>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</si>
  <si>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</si>
  <si>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</si>
  <si>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</si>
  <si>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</si>
  <si>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</si>
  <si>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</si>
  <si>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</si>
  <si>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</si>
  <si>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</si>
  <si>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</si>
  <si>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</si>
  <si>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</si>
  <si>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</si>
  <si>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</si>
  <si>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</si>
  <si>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</si>
  <si>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</si>
  <si>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</si>
  <si>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</si>
  <si>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</si>
  <si>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</si>
  <si>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</si>
  <si>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</si>
  <si>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</si>
  <si>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</si>
  <si>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</si>
  <si>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</si>
  <si>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</si>
  <si>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</si>
  <si>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</si>
  <si>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</si>
  <si>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</si>
  <si>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</si>
  <si>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</si>
  <si>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</si>
  <si>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</si>
  <si>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</si>
  <si>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</si>
  <si>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</si>
  <si>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</si>
  <si>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</si>
  <si>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</si>
  <si>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</si>
  <si>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</si>
  <si>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</si>
  <si>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</si>
  <si>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</si>
  <si>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</si>
  <si>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</si>
  <si>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</si>
  <si>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</si>
  <si>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</si>
  <si>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</si>
  <si>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</si>
  <si>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</si>
  <si>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</si>
  <si>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</si>
  <si>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</si>
  <si>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</si>
  <si>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</si>
  <si>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</si>
  <si>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</si>
  <si>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</si>
  <si>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</si>
  <si>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</si>
  <si>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</si>
  <si>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</si>
  <si>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</si>
  <si>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</si>
  <si>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</si>
  <si>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</si>
  <si>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</si>
  <si>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</si>
  <si>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</si>
  <si>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</si>
  <si>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</si>
  <si>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</si>
  <si>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</si>
  <si>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</si>
  <si>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</si>
  <si>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</si>
  <si>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</si>
  <si>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</si>
  <si>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</si>
  <si>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</si>
  <si>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</si>
  <si>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</si>
  <si>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</si>
  <si>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</si>
  <si>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</si>
  <si>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</si>
  <si>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</si>
  <si>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</si>
  <si>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</si>
  <si>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</si>
  <si>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</si>
  <si>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</si>
  <si>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</si>
  <si>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</si>
  <si>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</si>
  <si>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</si>
  <si>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</si>
  <si>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</si>
  <si>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</si>
  <si>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</si>
  <si>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</si>
  <si>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</si>
  <si>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</si>
  <si>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</si>
  <si>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</si>
  <si>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</si>
  <si>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</si>
  <si>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</si>
  <si>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</si>
  <si>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</si>
  <si>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</si>
  <si>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</si>
  <si>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</si>
  <si>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</si>
  <si>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</si>
  <si>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</si>
  <si>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</si>
  <si>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</si>
  <si>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</si>
  <si>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</si>
  <si>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</si>
  <si>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</si>
  <si>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</si>
  <si>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</si>
  <si>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</si>
  <si>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</si>
  <si>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</si>
  <si>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</si>
  <si>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</si>
  <si>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</si>
  <si>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</si>
  <si>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</si>
  <si>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</si>
  <si>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</si>
  <si>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</si>
  <si>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</si>
  <si>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</si>
  <si>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</si>
  <si>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</si>
  <si>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</si>
  <si>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</si>
  <si>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</si>
  <si>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</si>
  <si>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</si>
  <si>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</si>
  <si>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</si>
  <si>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</si>
  <si>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</si>
  <si>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</si>
  <si>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</si>
  <si>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</si>
  <si>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</si>
  <si>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</si>
  <si>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</si>
  <si>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</si>
  <si>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</si>
  <si>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</si>
  <si>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</si>
  <si>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</si>
  <si>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</si>
  <si>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24/7 Mart</t>
  </si>
  <si>
    <t>NTN/STRN #: 35202-8711253-3</t>
  </si>
  <si>
    <t>Address: Askri 10</t>
  </si>
  <si>
    <t>24-7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</si>
</sst>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515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24/7 Mart</v>
      </c>
      <c r="T3" s="301">
        <f>+'1'!P35</f>
        <v>13168.650039635591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24/7 Mart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24/7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24/7 Mart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24/7 Mart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24/7 Mart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24/7 Mart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311">
        <f t="shared" si="2"/>
        <v>1568.1057925423729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24/7 Mart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24/7 Mart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24/7 Mart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24/7 Mart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24/7 Mart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24/7 Mart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5.5</v>
      </c>
      <c r="H16" s="113">
        <f t="shared" ref="H16:M16" si="3">SUM(H7:H15)</f>
        <v>220</v>
      </c>
      <c r="I16" s="114">
        <f t="shared" si="3"/>
        <v>12223.1</v>
      </c>
      <c r="J16" s="274">
        <f>SUM(J7:J15)</f>
        <v>930.77200000000016</v>
      </c>
      <c r="K16" s="275">
        <f t="shared" si="3"/>
        <v>427.80850000000009</v>
      </c>
      <c r="L16" s="276">
        <f t="shared" si="3"/>
        <v>80.029200000000003</v>
      </c>
      <c r="M16" s="232">
        <f t="shared" si="3"/>
        <v>10784.490299999999</v>
      </c>
      <c r="N16" s="233">
        <f>SUM(N7:N15)</f>
        <v>2318.6440677966093</v>
      </c>
      <c r="O16" s="101">
        <f>SUM(O7:O15)</f>
        <v>65.515671838983053</v>
      </c>
      <c r="P16" s="113">
        <f>SUM(P7:P15)</f>
        <v>13168.650039635593</v>
      </c>
      <c r="Q16" s="128">
        <f>SUM(Q7:Q15)</f>
        <v>0</v>
      </c>
      <c r="R16" s="314">
        <v>14</v>
      </c>
      <c r="S16" s="300" t="str">
        <f>+'14'!A6:A6</f>
        <v>24/7 Mart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24/7 Mart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24/7 Mart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12223.1</v>
      </c>
      <c r="R19" s="299">
        <v>17</v>
      </c>
      <c r="S19" s="300" t="str">
        <f>+'17'!A6:A6</f>
        <v>24/7 Mart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930.77200000000016</v>
      </c>
      <c r="R20" s="299">
        <v>18</v>
      </c>
      <c r="S20" s="300" t="str">
        <f>+'18'!A6:A6</f>
        <v>24/7 Mart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507.8377000000001</v>
      </c>
      <c r="R21" s="299">
        <v>19</v>
      </c>
      <c r="S21" s="300" t="str">
        <f>+'19'!A6:A6</f>
        <v>24/7 Mart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10784.490299999999</v>
      </c>
      <c r="R22" s="299">
        <v>20</v>
      </c>
      <c r="S22" s="300" t="str">
        <f>+'20'!A6:A6</f>
        <v>24/7 Mart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2318.6440677966093</v>
      </c>
      <c r="R23" s="299">
        <v>21</v>
      </c>
      <c r="S23" s="300" t="str">
        <f>+'21'!A6:A6</f>
        <v>24/7 Mart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13103.134367796609</v>
      </c>
      <c r="R24" s="299">
        <v>22</v>
      </c>
      <c r="S24" s="300" t="str">
        <f>+'22'!A6:A6</f>
        <v>24/7 Mart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65.515671838983053</v>
      </c>
      <c r="R25" s="299">
        <v>23</v>
      </c>
      <c r="S25" s="300" t="str">
        <f>+'23'!A6:A6</f>
        <v>24/7 Mart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13168.650039635591</v>
      </c>
      <c r="R26" s="299">
        <v>24</v>
      </c>
      <c r="S26" s="300" t="str">
        <f>+'24'!A6:A6</f>
        <v>24/7 Mart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24/7 Mart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24/7 Mart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24/7 Mart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24/7 Mart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24/7 Mart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24/7 Mart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13168.650039635591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220</v>
      </c>
      <c r="I25" s="114">
        <f t="shared" ref="I25:M25" si="10">SUM(I16:I24)</f>
        <v>12223.1</v>
      </c>
      <c r="J25" s="274">
        <f>SUM(J16:J24)</f>
        <v>930.77200000000016</v>
      </c>
      <c r="K25" s="275">
        <f t="shared" si="10"/>
        <v>427.80850000000009</v>
      </c>
      <c r="L25" s="276">
        <f t="shared" si="10"/>
        <v>80.029200000000003</v>
      </c>
      <c r="M25" s="232">
        <f t="shared" si="10"/>
        <v>10784.490299999999</v>
      </c>
      <c r="N25" s="233">
        <f>SUM(N16:N24)</f>
        <v>2318.6440677966093</v>
      </c>
      <c r="O25" s="101">
        <f>SUM(O16:O24)</f>
        <v>65.515671838983053</v>
      </c>
      <c r="P25" s="113">
        <f>SUM(P16:P24)</f>
        <v>13168.650039635593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12223.1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930.77200000000016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507.8377000000001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10784.490299999999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2318.6440677966093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13103.134367796609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65.515671838983039</v>
      </c>
    </row>
    <row r="35" spans="2:16" ht="15.75" customHeight="1" thickBot="1" x14ac:dyDescent="0.4">
      <c r="N35" s="342" t="s">
        <v>88</v>
      </c>
      <c r="O35" s="343"/>
      <c r="P35" s="297">
        <f>+P33+P34</f>
        <v>13168.650039635591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2026-08-11T11:05:32Z</dcterms:modified>
</cp:coreProperties>
</file>