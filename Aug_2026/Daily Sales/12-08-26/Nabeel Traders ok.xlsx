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75B0058-40E5-48A0-869A-35908613FB28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11" i="62" l="1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M20" i="43"/>
  <c r="O20" i="43" s="1"/>
  <c r="P20" i="43" s="1"/>
  <c r="R20" i="43" s="1"/>
  <c r="M21" i="43"/>
  <c r="O21" i="43" s="1"/>
  <c r="P21" i="43" s="1"/>
  <c r="M22" i="43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<sst xmlns="http://schemas.openxmlformats.org/spreadsheetml/2006/main" count="3975" uniqueCount="519">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</sst>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C1" sqref="C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506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500</v>
      </c>
      <c r="F3" s="358"/>
      <c r="G3" s="358"/>
      <c r="H3" s="355">
        <f>+'1'!N4:N4</f>
        <v>46234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Nabeel Traders </v>
      </c>
      <c r="T3" s="301">
        <f>+'1'!P35</f>
        <v>842792.39350805082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1237869.1371584744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515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514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40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83940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13430.4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2937.9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67571.7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15864.406779661011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417.18053389830499</v>
      </c>
      <c r="P7" s="310">
        <f>M7+N7+O7</f>
        <v>83853.287313559311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40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83940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13430.4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2937.9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67571.7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15864.406779661011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417.18053389830499</v>
      </c>
      <c r="P8" s="311">
        <f t="shared" ref="P8:P15" si="2">M8+N8+O8</f>
        <v>83853.287313559311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70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146895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23503.200000000001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5141.3250000000007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118250.47500000001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27762.711864406767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730.06593432203374</v>
      </c>
      <c r="P9" s="311">
        <f t="shared" si="2"/>
        <v>146743.25279872882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170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493952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79032.320000000007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17288.32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397631.36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93355.932203389835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2454.9364610169496</v>
      </c>
      <c r="P10" s="311">
        <f t="shared" si="2"/>
        <v>493442.22866440675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140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406784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65085.440000000002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14237.440000000002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327461.12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76881.355932203383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2021.7123796610167</v>
      </c>
      <c r="P11" s="311">
        <f t="shared" si="2"/>
        <v>406364.18831186439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190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552064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88330.240000000005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19322.240000000002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444411.52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104338.98305084746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2743.7525152542371</v>
      </c>
      <c r="P12" s="311">
        <f t="shared" si="2"/>
        <v>551494.25556610164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200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313840.00000000006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34522.400000000009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10984.400000000003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16005.840000000002</v>
      </c>
      <c r="M13" s="230">
        <f t="shared" si="1"/>
        <v>252327.36000000004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61016.949152542336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1566.7215457627119</v>
      </c>
      <c r="P13" s="311">
        <f t="shared" si="2"/>
        <v>314911.03069830511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0</v>
      </c>
      <c r="H16" s="113">
        <f t="shared" ref="H16:M16" si="3">SUM(H7:H15)</f>
        <v>0</v>
      </c>
      <c r="I16" s="114">
        <f t="shared" si="3"/>
        <v>2081415</v>
      </c>
      <c r="J16" s="274">
        <f>SUM(J7:J15)</f>
        <v>317334.40000000002</v>
      </c>
      <c r="K16" s="275">
        <f t="shared" si="3"/>
        <v>72849.525000000009</v>
      </c>
      <c r="L16" s="276">
        <f t="shared" si="3"/>
        <v>16005.840000000002</v>
      </c>
      <c r="M16" s="232">
        <f t="shared" si="3"/>
        <v>1675225.2350000001</v>
      </c>
      <c r="N16" s="233">
        <f>SUM(N7:N15)</f>
        <v>395084.7457627118</v>
      </c>
      <c r="O16" s="101">
        <f>SUM(O7:O15)</f>
        <v>10351.549903813559</v>
      </c>
      <c r="P16" s="113">
        <f>SUM(P7:P15)</f>
        <v>2080661.530666525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2081415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317334.40000000002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88855.365000000005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1675225.2350000001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395084.7457627118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2070309.980762712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10351.549903813559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2080661.5306665255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2080661.5306665252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R27" sqref="R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v>46234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46233</v>
      </c>
      <c r="O5" s="367"/>
      <c r="P5" s="367"/>
      <c r="R5" s="85"/>
      <c r="S5" s="266"/>
    </row>
    <row r="6" spans="1:22 16383:16384" ht="17.2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50</v>
      </c>
      <c r="H18" s="96"/>
      <c r="I18" s="236">
        <f t="shared" ref="I18:I21" si="7">(G18*D18)*F18+H18*F18</f>
        <v>104925</v>
      </c>
      <c r="J18" s="272">
        <f t="shared" si="1"/>
        <v>16788</v>
      </c>
      <c r="K18" s="128">
        <f t="shared" si="1"/>
        <v>3672.3750000000005</v>
      </c>
      <c r="L18" s="119">
        <f t="shared" si="1"/>
        <v>0</v>
      </c>
      <c r="M18" s="230">
        <f t="shared" si="2"/>
        <v>84464.625</v>
      </c>
      <c r="N18" s="277">
        <f t="shared" si="3"/>
        <v>19830.508474576262</v>
      </c>
      <c r="O18" s="239">
        <f t="shared" si="4"/>
        <v>521.47566737288128</v>
      </c>
      <c r="P18" s="311">
        <f t="shared" si="5"/>
        <v>104816.60914194914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70</v>
      </c>
      <c r="H19" s="96"/>
      <c r="I19" s="236">
        <f t="shared" si="7"/>
        <v>203392</v>
      </c>
      <c r="J19" s="272">
        <f t="shared" si="1"/>
        <v>32542.720000000001</v>
      </c>
      <c r="K19" s="128">
        <f t="shared" si="1"/>
        <v>7118.72</v>
      </c>
      <c r="L19" s="119">
        <f t="shared" si="1"/>
        <v>0</v>
      </c>
      <c r="M19" s="230">
        <f t="shared" si="2"/>
        <v>163730.56</v>
      </c>
      <c r="N19" s="277">
        <f t="shared" si="3"/>
        <v>38440.677966101699</v>
      </c>
      <c r="O19" s="239">
        <f t="shared" si="4"/>
        <v>1010.8561898305086</v>
      </c>
      <c r="P19" s="311">
        <f t="shared" si="5"/>
        <v>203182.09415593222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60</v>
      </c>
      <c r="H20" s="96"/>
      <c r="I20" s="236">
        <f t="shared" si="7"/>
        <v>174336</v>
      </c>
      <c r="J20" s="272">
        <f t="shared" si="1"/>
        <v>27893.760000000002</v>
      </c>
      <c r="K20" s="128">
        <f t="shared" si="1"/>
        <v>6101.76</v>
      </c>
      <c r="L20" s="119">
        <f t="shared" si="1"/>
        <v>0</v>
      </c>
      <c r="M20" s="230">
        <f t="shared" si="2"/>
        <v>140340.47999999998</v>
      </c>
      <c r="N20" s="277">
        <f t="shared" si="3"/>
        <v>32949.152542372882</v>
      </c>
      <c r="O20" s="239">
        <f t="shared" si="4"/>
        <v>866.44816271186426</v>
      </c>
      <c r="P20" s="311">
        <f t="shared" si="5"/>
        <v>174156.08070508472</v>
      </c>
      <c r="Q20" s="156"/>
      <c r="R20">
        <f>P20/21</f>
        <v>8293.1467002421305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70</v>
      </c>
      <c r="H21" s="96"/>
      <c r="I21" s="236">
        <f t="shared" si="7"/>
        <v>203392</v>
      </c>
      <c r="J21" s="272">
        <f t="shared" si="1"/>
        <v>32542.720000000001</v>
      </c>
      <c r="K21" s="128">
        <f t="shared" si="1"/>
        <v>7118.72</v>
      </c>
      <c r="L21" s="119">
        <f t="shared" si="1"/>
        <v>0</v>
      </c>
      <c r="M21" s="230">
        <f t="shared" si="2"/>
        <v>163730.56</v>
      </c>
      <c r="N21" s="277">
        <f t="shared" si="3"/>
        <v>38440.677966101699</v>
      </c>
      <c r="O21" s="239">
        <f t="shared" si="4"/>
        <v>1010.8561898305086</v>
      </c>
      <c r="P21" s="311">
        <f t="shared" si="5"/>
        <v>203182.09415593222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100</v>
      </c>
      <c r="H22" s="96"/>
      <c r="I22" s="236">
        <f t="shared" si="0"/>
        <v>156920.00000000003</v>
      </c>
      <c r="J22" s="272">
        <f t="shared" si="1"/>
        <v>17261.200000000004</v>
      </c>
      <c r="K22" s="128">
        <f t="shared" si="1"/>
        <v>5492.2000000000016</v>
      </c>
      <c r="L22" s="119">
        <f t="shared" si="1"/>
        <v>8002.920000000001</v>
      </c>
      <c r="M22" s="230">
        <f t="shared" si="2"/>
        <v>126163.68000000002</v>
      </c>
      <c r="N22" s="277">
        <f t="shared" si="3"/>
        <v>30508.474576271168</v>
      </c>
      <c r="O22" s="239">
        <f t="shared" si="4"/>
        <v>783.36077288135596</v>
      </c>
      <c r="P22" s="311">
        <f t="shared" si="5"/>
        <v>157455.51534915256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350</v>
      </c>
      <c r="H25" s="113">
        <f t="shared" ref="H25" si="9">SUM(H16:H24)</f>
        <v>0</v>
      </c>
      <c r="I25" s="114">
        <f t="shared" ref="I25:M25" si="10">SUM(I16:I24)</f>
        <v>842965</v>
      </c>
      <c r="J25" s="274">
        <f>SUM(J16:J24)</f>
        <v>127028.40000000002</v>
      </c>
      <c r="K25" s="275">
        <f t="shared" si="10"/>
        <v>29503.775000000005</v>
      </c>
      <c r="L25" s="276">
        <f t="shared" si="10"/>
        <v>8002.920000000001</v>
      </c>
      <c r="M25" s="232">
        <f t="shared" si="10"/>
        <v>678429.90500000003</v>
      </c>
      <c r="N25" s="233">
        <f>SUM(N16:N24)</f>
        <v>160169.49152542371</v>
      </c>
      <c r="O25" s="101">
        <f>SUM(O16:O24)</f>
        <v>4192.996982627119</v>
      </c>
      <c r="P25" s="113">
        <f>SUM(P16:P24)</f>
        <v>842792.39350805082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842965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127028.40000000002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37506.695000000007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678429.90500000003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160169.49152542371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838599.39652542374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4192.996982627119</v>
      </c>
    </row>
    <row r="35" spans="2:16" ht="15.75" customHeight="1" thickBot="1" x14ac:dyDescent="0.4">
      <c r="N35" s="342" t="s">
        <v>88</v>
      </c>
      <c r="O35" s="343"/>
      <c r="P35" s="297">
        <f>+P33+P34</f>
        <v>842792.39350805082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Q15" workbookViewId="0">
      <selection activeCell="X25" sqref="X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516</v>
      </c>
      <c r="B6" s="396"/>
      <c r="C6" s="396"/>
      <c r="F6" s="85"/>
      <c r="G6" s="86"/>
      <c r="K6" s="368" t="s">
        <v>69</v>
      </c>
      <c r="L6" s="368"/>
      <c r="M6" s="368"/>
      <c r="N6" s="397" t="s">
        <v>510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40</v>
      </c>
      <c r="H16" s="112"/>
      <c r="I16" s="235">
        <f>(G16*D16)*F16+H16*F16</f>
        <v>83940</v>
      </c>
      <c r="J16" s="271">
        <f>$I16*S16</f>
        <v>13430.4</v>
      </c>
      <c r="K16" s="127">
        <f>$I16*T16</f>
        <v>2937.9</v>
      </c>
      <c r="L16" s="118">
        <f>$I16*U16</f>
        <v>0</v>
      </c>
      <c r="M16" s="229">
        <f>I16-SUM(J16:L16)</f>
        <v>67571.7</v>
      </c>
      <c r="N16" s="248">
        <f>+(G16*D16+H16)*V16</f>
        <v>15864.406779661011</v>
      </c>
      <c r="O16" s="238">
        <f>(N16+M16)*$O$15</f>
        <v>417.18053389830499</v>
      </c>
      <c r="P16" s="310">
        <f>M16+N16+O16</f>
        <v>83853.287313559311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40</v>
      </c>
      <c r="H17" s="112"/>
      <c r="I17" s="236">
        <f t="shared" ref="I17:I23" si="0">(G17*D17)*F17+H17*F17</f>
        <v>83940</v>
      </c>
      <c r="J17" s="272">
        <f t="shared" ref="J17:L24" si="1">$I17*S17</f>
        <v>13430.4</v>
      </c>
      <c r="K17" s="128">
        <f>$I17*T17</f>
        <v>2937.9</v>
      </c>
      <c r="L17" s="119">
        <f>$I17*U17</f>
        <v>0</v>
      </c>
      <c r="M17" s="230">
        <f t="shared" ref="M17:M24" si="2">I17-SUM(J17:L17)</f>
        <v>67571.7</v>
      </c>
      <c r="N17" s="277">
        <f t="shared" ref="N17:N24" si="3">+(G17*D17+H17)*V17</f>
        <v>15864.406779661011</v>
      </c>
      <c r="O17" s="239">
        <f t="shared" ref="O17:O24" si="4">(N17+M17)*$O$15</f>
        <v>417.18053389830499</v>
      </c>
      <c r="P17" s="311">
        <f t="shared" ref="P17:P24" si="5">M17+N17+O17</f>
        <v>83853.287313559311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20</v>
      </c>
      <c r="H18" s="112"/>
      <c r="I18" s="236">
        <f t="shared" si="0"/>
        <v>41970</v>
      </c>
      <c r="J18" s="272">
        <f t="shared" si="1"/>
        <v>6715.2</v>
      </c>
      <c r="K18" s="128">
        <f t="shared" si="1"/>
        <v>1468.95</v>
      </c>
      <c r="L18" s="119">
        <f t="shared" si="1"/>
        <v>0</v>
      </c>
      <c r="M18" s="230">
        <f t="shared" si="2"/>
        <v>33785.85</v>
      </c>
      <c r="N18" s="277">
        <f t="shared" si="3"/>
        <v>7932.2033898305053</v>
      </c>
      <c r="O18" s="239">
        <f t="shared" si="4"/>
        <v>208.59026694915249</v>
      </c>
      <c r="P18" s="311">
        <f t="shared" si="5"/>
        <v>41926.643656779655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100</v>
      </c>
      <c r="H19" s="112"/>
      <c r="I19" s="236">
        <f t="shared" si="0"/>
        <v>290560</v>
      </c>
      <c r="J19" s="272">
        <f t="shared" si="1"/>
        <v>46489.599999999999</v>
      </c>
      <c r="K19" s="128">
        <f t="shared" si="1"/>
        <v>10169.6</v>
      </c>
      <c r="L19" s="119">
        <f t="shared" si="1"/>
        <v>0</v>
      </c>
      <c r="M19" s="230">
        <f t="shared" si="2"/>
        <v>233900.79999999999</v>
      </c>
      <c r="N19" s="277">
        <f t="shared" si="3"/>
        <v>54915.254237288136</v>
      </c>
      <c r="O19" s="239">
        <f t="shared" si="4"/>
        <v>1444.0802711864408</v>
      </c>
      <c r="P19" s="311">
        <f t="shared" si="5"/>
        <v>290260.13450847456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80</v>
      </c>
      <c r="H20" s="112"/>
      <c r="I20" s="236">
        <f t="shared" si="0"/>
        <v>232448</v>
      </c>
      <c r="J20" s="272">
        <f t="shared" si="1"/>
        <v>37191.68</v>
      </c>
      <c r="K20" s="128">
        <f t="shared" si="1"/>
        <v>8135.6800000000012</v>
      </c>
      <c r="L20" s="119">
        <f t="shared" si="1"/>
        <v>0</v>
      </c>
      <c r="M20" s="230">
        <f t="shared" si="2"/>
        <v>187120.64000000001</v>
      </c>
      <c r="N20" s="277">
        <f t="shared" si="3"/>
        <v>43932.203389830509</v>
      </c>
      <c r="O20" s="239">
        <f t="shared" si="4"/>
        <v>1155.2642169491526</v>
      </c>
      <c r="P20" s="311">
        <f t="shared" si="5"/>
        <v>232208.10760677967</v>
      </c>
      <c r="Q20" s="156"/>
      <c r="R20">
        <f>P20/21</f>
        <v>11057.528933656175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120</v>
      </c>
      <c r="H21" s="112"/>
      <c r="I21" s="236">
        <f t="shared" si="0"/>
        <v>348672</v>
      </c>
      <c r="J21" s="272">
        <f t="shared" si="1"/>
        <v>55787.520000000004</v>
      </c>
      <c r="K21" s="128">
        <f t="shared" si="1"/>
        <v>12203.52</v>
      </c>
      <c r="L21" s="119">
        <f t="shared" si="1"/>
        <v>0</v>
      </c>
      <c r="M21" s="230">
        <f t="shared" si="2"/>
        <v>280680.95999999996</v>
      </c>
      <c r="N21" s="277">
        <f t="shared" si="3"/>
        <v>65898.305084745763</v>
      </c>
      <c r="O21" s="239">
        <f t="shared" si="4"/>
        <v>1732.8963254237285</v>
      </c>
      <c r="P21" s="311">
        <f t="shared" si="5"/>
        <v>348312.16141016944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100</v>
      </c>
      <c r="H22" s="112"/>
      <c r="I22" s="236">
        <f t="shared" si="0"/>
        <v>156920.00000000003</v>
      </c>
      <c r="J22" s="272">
        <f t="shared" si="1"/>
        <v>17261.200000000004</v>
      </c>
      <c r="K22" s="128">
        <f t="shared" si="1"/>
        <v>5492.2000000000016</v>
      </c>
      <c r="L22" s="119">
        <f t="shared" si="1"/>
        <v>8002.920000000001</v>
      </c>
      <c r="M22" s="230">
        <f t="shared" si="2"/>
        <v>126163.68000000002</v>
      </c>
      <c r="N22" s="277">
        <f t="shared" si="3"/>
        <v>30508.474576271168</v>
      </c>
      <c r="O22" s="239">
        <f t="shared" si="4"/>
        <v>783.36077288135596</v>
      </c>
      <c r="P22" s="311">
        <f t="shared" si="5"/>
        <v>157455.51534915256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500</v>
      </c>
      <c r="H25" s="113">
        <f t="shared" si="7"/>
        <v>0</v>
      </c>
      <c r="I25" s="114">
        <f t="shared" si="7"/>
        <v>1238450</v>
      </c>
      <c r="J25" s="274">
        <f>SUM(J16:J24)</f>
        <v>190306</v>
      </c>
      <c r="K25" s="275">
        <f t="shared" si="7"/>
        <v>43345.750000000007</v>
      </c>
      <c r="L25" s="276">
        <f t="shared" si="7"/>
        <v>8002.920000000001</v>
      </c>
      <c r="M25" s="232">
        <f t="shared" si="7"/>
        <v>996795.33</v>
      </c>
      <c r="N25" s="233">
        <f>SUM(N16:N24)</f>
        <v>234915.25423728811</v>
      </c>
      <c r="O25" s="101">
        <f>SUM(O16:O24)</f>
        <v>6158.5529211864405</v>
      </c>
      <c r="P25" s="113">
        <f>SUM(P16:P24)</f>
        <v>1237869.1371584744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1238450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190306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51348.670000000006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996795.33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234915.25423728811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1231710.584237288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6158.5529211864405</v>
      </c>
    </row>
    <row r="35" spans="2:16" ht="15.75" customHeight="1" thickBot="1" x14ac:dyDescent="0.4">
      <c r="N35" s="342" t="s">
        <v>88</v>
      </c>
      <c r="O35" s="343"/>
      <c r="P35" s="297">
        <f>+P33+P34</f>
        <v>1237869.1371584744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topLeftCell="A13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505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507</v>
      </c>
      <c r="B4" s="367"/>
      <c r="C4" s="367"/>
      <c r="F4" s="85"/>
      <c r="G4" s="1"/>
      <c r="K4" s="368" t="s">
        <v>44</v>
      </c>
      <c r="L4" s="368"/>
      <c r="M4" s="368"/>
      <c r="N4" s="398">
        <f ca="1">TODAY()+1</f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 ca="1"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513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513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515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514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46253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2026-08-19T05:53:53Z</dcterms:modified>
</cp:coreProperties>
</file>