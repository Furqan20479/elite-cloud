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6A2647E-4AB0-4D22-9282-7B3F514BDF32}" xr6:coauthVersionLast="47" xr6:coauthVersionMax="47" xr10:uidLastSave="{00000000-0000-0000-0000-000000000000}"/>
  <bookViews>
    <workbookView xWindow="-110" yWindow="-110" windowWidth="19420" windowHeight="10420" tabRatio="594" firstSheet="3" activeTab="5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5">'2'!$A$1:$P$36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51" l="1"/>
  <c r="J7" i="62"/>
  <c r="M18" i="48"/>
  <c r="M20" i="47"/>
  <c r="O20" i="47" s="1"/>
  <c r="P20" i="47" s="1"/>
  <c r="R20" i="47" s="1"/>
  <c r="M20" i="46"/>
  <c r="O20" i="46" s="1"/>
  <c r="P20" i="46" s="1"/>
  <c r="R20" i="46" s="1"/>
  <c r="M16" i="43"/>
  <c r="M17" i="72"/>
  <c r="O17" i="72" s="1"/>
  <c r="P17" i="72" s="1"/>
  <c r="M16" i="64"/>
  <c r="M20" i="61"/>
  <c r="O20" i="61" s="1"/>
  <c r="P20" i="61" s="1"/>
  <c r="R20" i="61" s="1"/>
  <c r="M22" i="43"/>
  <c r="O22" i="43" s="1"/>
  <c r="P22" i="43" s="1"/>
  <c r="M16" i="65"/>
  <c r="M22" i="63"/>
  <c r="O22" i="63" s="1"/>
  <c r="P22" i="63" s="1"/>
  <c r="M20" i="43"/>
  <c r="O20" i="43" s="1"/>
  <c r="P20" i="43" s="1"/>
  <c r="R20" i="43" s="1"/>
  <c r="M16" i="60"/>
  <c r="O16" i="60" s="1"/>
  <c r="P16" i="60" s="1"/>
  <c r="M16" i="58"/>
  <c r="M16" i="59"/>
  <c r="M16" i="66"/>
  <c r="M16" i="44"/>
  <c r="O16" i="44" s="1"/>
  <c r="M20" i="70"/>
  <c r="O20" i="70" s="1"/>
  <c r="P20" i="70" s="1"/>
  <c r="R20" i="70" s="1"/>
  <c r="M16" i="72"/>
  <c r="M20" i="57"/>
  <c r="O20" i="57" s="1"/>
  <c r="P20" i="57" s="1"/>
  <c r="R20" i="57" s="1"/>
  <c r="M21" i="68"/>
  <c r="O21" i="68" s="1"/>
  <c r="P21" i="68" s="1"/>
  <c r="M23" i="54"/>
  <c r="O23" i="54" s="1"/>
  <c r="P23" i="54" s="1"/>
  <c r="K12" i="62"/>
  <c r="J15" i="62"/>
  <c r="M21" i="51"/>
  <c r="M16" i="48"/>
  <c r="O16" i="48" s="1"/>
  <c r="P16" i="48" s="1"/>
  <c r="M21" i="43"/>
  <c r="O21" i="43" s="1"/>
  <c r="P21" i="43" s="1"/>
  <c r="M17" i="56"/>
  <c r="O17" i="56" s="1"/>
  <c r="P17" i="56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M21" i="44"/>
  <c r="O21" i="44" s="1"/>
  <c r="P21" i="44" s="1"/>
  <c r="M17" i="60"/>
  <c r="O17" i="60" s="1"/>
  <c r="P17" i="60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22" i="51"/>
  <c r="P22" i="51" s="1"/>
  <c r="O23" i="60"/>
  <c r="P23" i="60" s="1"/>
  <c r="O16" i="64"/>
  <c r="P16" i="64" s="1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6" i="72"/>
  <c r="P16" i="72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/>
  <c r="L25" i="43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1" i="50" l="1"/>
  <c r="M12" i="62"/>
  <c r="P30" i="70"/>
  <c r="P30" i="51"/>
  <c r="P31" i="51" s="1"/>
  <c r="P33" i="51" s="1"/>
  <c r="P34" i="51" s="1"/>
  <c r="P35" i="51" s="1"/>
  <c r="T12" i="62" s="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48"/>
  <c r="O25" i="52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<sst xmlns="http://schemas.openxmlformats.org/spreadsheetml/2006/main" count="3948" uniqueCount="547">
  <si>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</si>
  <si>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</si>
  <si>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</si>
  <si>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</si>
  <si>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</si>
  <si>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</si>
  <si>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</si>
  <si>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</si>
  <si>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</si>
  <si>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</si>
  <si>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</si>
  <si>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</si>
  <si>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</si>
  <si>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</si>
  <si>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</si>
  <si>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</si>
  <si>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</si>
  <si>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</si>
  <si>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</si>
  <si>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</si>
  <si>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</si>
  <si>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</si>
  <si>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</si>
  <si>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</si>
  <si>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</si>
  <si>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</si>
  <si>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</si>
  <si>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</si>
  <si>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</si>
  <si>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</si>
  <si>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</si>
  <si>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</si>
  <si>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</si>
  <si>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</si>
  <si>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</si>
  <si>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</si>
  <si>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</si>
  <si>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</si>
  <si>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</si>
  <si>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</si>
  <si>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</si>
  <si>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</si>
  <si>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</si>
  <si>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</si>
  <si>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</si>
  <si>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</si>
  <si>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</si>
  <si>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</si>
  <si>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</si>
  <si>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</si>
  <si>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</si>
  <si>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</si>
  <si>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</si>
  <si>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</si>
  <si>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</si>
  <si>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</si>
  <si>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</si>
  <si>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</si>
  <si>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</si>
  <si>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</si>
  <si>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</si>
  <si>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</si>
  <si>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</si>
  <si>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</si>
  <si>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</si>
  <si>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</si>
  <si>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</si>
  <si>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</si>
  <si>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</si>
  <si>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</si>
  <si>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</si>
  <si>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</si>
  <si>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</si>
  <si>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</si>
  <si>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</si>
  <si>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</si>
  <si>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</si>
  <si>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</si>
  <si>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</si>
  <si>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</si>
  <si>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</si>
  <si>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</si>
  <si>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</si>
  <si>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</si>
  <si>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</si>
  <si>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</si>
  <si>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</si>
  <si>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</si>
  <si>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</si>
  <si>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</si>
  <si>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</si>
  <si>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</si>
  <si>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</si>
  <si>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</si>
  <si>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</si>
  <si>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</si>
  <si>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</si>
  <si>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</si>
  <si>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</si>
  <si>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</si>
  <si>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</si>
  <si>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</si>
  <si>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</si>
  <si>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</si>
  <si>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</si>
  <si>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</si>
  <si>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</si>
  <si>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</si>
  <si>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</si>
  <si>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</si>
  <si>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</si>
  <si>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</si>
  <si>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</si>
  <si>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</si>
  <si>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</si>
  <si>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</si>
  <si>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</si>
  <si>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</si>
  <si>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</si>
  <si>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</si>
  <si>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</si>
  <si>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</si>
  <si>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</si>
  <si>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</si>
  <si>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</si>
  <si>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</si>
  <si>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</si>
  <si>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</si>
  <si>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</si>
  <si>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</si>
  <si>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</si>
  <si>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</si>
  <si>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</si>
  <si>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</si>
  <si>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</si>
  <si>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</si>
  <si>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</si>
  <si>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</si>
  <si>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</si>
  <si>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</si>
  <si>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</si>
  <si>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</si>
  <si>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</si>
  <si>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</si>
  <si>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</si>
  <si>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</si>
  <si>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</si>
  <si>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</si>
  <si>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</si>
  <si>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</si>
  <si>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</si>
  <si>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</si>
  <si>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</si>
  <si>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</si>
  <si>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</si>
  <si>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</si>
  <si>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</si>
  <si>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</si>
  <si>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</si>
  <si>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</si>
  <si>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</si>
  <si>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</si>
  <si>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</si>
  <si>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</si>
  <si>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</si>
  <si>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</si>
  <si>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</si>
  <si>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</si>
  <si>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</si>
  <si>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</si>
  <si>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</si>
  <si>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</si>
  <si>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</si>
  <si>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</si>
  <si>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</si>
  <si>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</si>
  <si>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</si>
  <si>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</si>
  <si>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</si>
  <si>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</si>
  <si>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</si>
  <si>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</si>
  <si>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</si>
  <si>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</si>
  <si>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</si>
  <si>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</si>
  <si>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</si>
  <si>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</si>
  <si>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</si>
  <si>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</si>
  <si>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</si>
  <si>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</si>
  <si>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</si>
  <si>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</si>
  <si>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</si>
  <si>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</si>
  <si>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</si>
  <si>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</si>
  <si>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</si>
  <si>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</si>
  <si>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</si>
  <si>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</si>
  <si>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</si>
  <si>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</si>
  <si>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</si>
  <si>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</si>
  <si>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</si>
  <si>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</si>
  <si>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</si>
  <si>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</si>
  <si>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</si>
  <si>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</si>
  <si>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</si>
  <si>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</si>
  <si>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</si>
  <si>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</si>
  <si>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</si>
  <si>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</si>
  <si>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</si>
  <si>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</si>
  <si>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</si>
  <si>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</si>
  <si>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</si>
  <si>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</si>
  <si>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</si>
  <si>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</si>
  <si>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</si>
  <si>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</si>
  <si>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</si>
  <si>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</si>
  <si>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</si>
  <si>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</si>
  <si>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</si>
  <si>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</si>
  <si>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</si>
  <si>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</si>
  <si>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</si>
  <si>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</si>
  <si>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</si>
  <si>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</si>
  <si>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</si>
  <si>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</si>
  <si>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</si>
  <si>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</si>
  <si>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</si>
  <si>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</si>
  <si>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</si>
  <si>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</si>
  <si>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</si>
  <si>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</si>
  <si>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</si>
  <si>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</si>
  <si>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</si>
  <si>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</si>
  <si>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</si>
  <si>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</si>
  <si>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</si>
  <si>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</si>
  <si>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</si>
  <si>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</si>
  <si>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</si>
  <si>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</si>
  <si>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</si>
  <si>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</si>
  <si>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</si>
  <si>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</si>
  <si>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</si>
  <si>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</si>
  <si>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</si>
  <si>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</si>
  <si>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</si>
  <si>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</si>
  <si>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</si>
  <si>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</si>
  <si>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</si>
  <si>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</si>
  <si>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</si>
  <si>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</si>
  <si>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</si>
  <si>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</si>
  <si>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</si>
  <si>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</si>
  <si>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</si>
  <si>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</si>
  <si>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</si>
  <si>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</si>
  <si>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</si>
  <si>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</si>
  <si>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</si>
  <si>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</si>
  <si>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</si>
  <si>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</si>
  <si>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</si>
  <si>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</si>
  <si>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</si>
  <si>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</si>
  <si>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</si>
  <si>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</si>
  <si>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</si>
  <si>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</si>
  <si>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</si>
  <si>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</si>
  <si>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</si>
  <si>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</si>
  <si>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</si>
  <si>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</si>
  <si>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</si>
  <si>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</si>
  <si>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</si>
  <si>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</si>
  <si>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</si>
  <si>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</si>
  <si>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</si>
  <si>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</si>
  <si>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</si>
  <si>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</si>
  <si>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</si>
  <si>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</si>
  <si>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</si>
  <si>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</si>
  <si>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</si>
  <si>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</si>
  <si>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</si>
  <si>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</si>
  <si>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</si>
  <si>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</si>
  <si>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</si>
  <si>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</si>
  <si>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</si>
  <si>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</si>
  <si>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</si>
  <si>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</si>
  <si>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</si>
  <si>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</si>
  <si>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</si>
  <si>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</si>
  <si>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</si>
  <si>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</si>
  <si>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</si>
  <si>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</si>
  <si>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</si>
  <si>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</si>
  <si>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</si>
  <si>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</si>
  <si>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</si>
  <si>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</si>
  <si>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</si>
  <si>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</si>
  <si>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</si>
  <si>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</si>
  <si>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</si>
  <si>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</si>
  <si>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</si>
  <si>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</si>
  <si>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</si>
  <si>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</si>
  <si>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</si>
  <si>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</si>
  <si>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</si>
  <si>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</si>
  <si>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</si>
  <si>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</si>
  <si>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</si>
  <si>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</si>
  <si>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</si>
  <si>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</si>
  <si>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</si>
  <si>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</si>
  <si>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</si>
  <si>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</si>
  <si>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</si>
  <si>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</si>
  <si>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</si>
  <si>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</si>
  <si>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</si>
  <si>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</si>
  <si>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</si>
  <si>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</si>
  <si>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</si>
  <si>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</si>
  <si>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</si>
  <si>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</si>
  <si>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</si>
  <si>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</si>
  <si>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</si>
  <si>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</si>
  <si>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</si>
  <si>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</si>
  <si>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</si>
  <si>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</si>
  <si>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</si>
  <si>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</si>
  <si>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</si>
  <si>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</si>
  <si>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</si>
  <si>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</si>
  <si>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</si>
  <si>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</si>
  <si>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</si>
  <si>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</si>
  <si>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</si>
  <si>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</si>
  <si>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</si>
  <si>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</si>
  <si>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</si>
  <si>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</si>
  <si>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</si>
  <si>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</si>
  <si>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</si>
  <si>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</si>
  <si>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</si>
  <si>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</si>
  <si>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</si>
  <si>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</si>
  <si>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</si>
  <si>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</si>
  <si>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</si>
  <si>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</si>
  <si>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</si>
  <si>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</si>
  <si>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</si>
  <si>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</si>
  <si>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</si>
  <si>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</si>
  <si>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</si>
  <si>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</si>
  <si>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</si>
  <si>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</si>
  <si>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</si>
  <si>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</si>
  <si>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</si>
  <si>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</si>
  <si>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</si>
  <si>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</si>
  <si>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</si>
  <si>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</si>
  <si>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</si>
  <si>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</si>
  <si>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</si>
  <si>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</si>
  <si>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</si>
  <si>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</si>
  <si>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</si>
  <si>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</si>
  <si>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</si>
  <si>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</si>
  <si>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</si>
  <si>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</si>
  <si>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</si>
  <si>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</si>
  <si>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</si>
  <si>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</si>
  <si>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</si>
  <si>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</si>
  <si>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</si>
  <si>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</si>
  <si>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</si>
  <si>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</si>
  <si>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</si>
  <si>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</si>
  <si>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</si>
  <si>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</si>
  <si>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</si>
  <si>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</si>
  <si>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</si>
  <si>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</si>
  <si>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</si>
  <si>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</si>
  <si>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</si>
  <si>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</si>
  <si>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</si>
  <si>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</si>
  <si>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</si>
  <si>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</si>
  <si>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</si>
  <si>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</si>
  <si>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</si>
  <si>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</si>
  <si>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</si>
  <si>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</si>
  <si>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</si>
  <si>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</si>
  <si>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</si>
  <si>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</si>
  <si>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</si>
  <si>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</si>
  <si>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</si>
  <si>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</si>
  <si>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</si>
  <si>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</si>
  <si>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</si>
  <si>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</si>
  <si>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</si>
  <si>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</si>
  <si>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</si>
  <si>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</si>
  <si>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</si>
  <si>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</si>
  <si>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</si>
  <si>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</si>
  <si>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</si>
  <si>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</si>
  <si>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</si>
  <si>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</si>
  <si>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</si>
  <si>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</si>
  <si>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</si>
  <si>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</si>
  <si>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</si>
  <si>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</si>
  <si>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</si>
  <si>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</si>
  <si>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</si>
  <si>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</si>
  <si>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</si>
  <si>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NTN:// 3218709-2</t>
  </si>
  <si>
    <t>Gourmet Food</t>
  </si>
  <si>
    <t xml:space="preserve">Gourmet Food Firdos Market </t>
  </si>
  <si>
    <t>Address:Firdos Market</t>
  </si>
  <si>
    <t>Gourmet Food Nishat</t>
  </si>
  <si>
    <t>Address:Nishat</t>
  </si>
  <si>
    <t xml:space="preserve">Gourmet Food Umer Chowk </t>
  </si>
  <si>
    <t xml:space="preserve">Address: Umer Chowk </t>
  </si>
  <si>
    <t xml:space="preserve">Gourmet Food Model Towm </t>
  </si>
  <si>
    <t xml:space="preserve">Address: Link Road Model Town </t>
  </si>
  <si>
    <t>Gourmet Food Riwand Road</t>
  </si>
  <si>
    <t>Address:Riwand Road</t>
  </si>
  <si>
    <t>Gourmet Food Choung</t>
  </si>
  <si>
    <t>Address: Choung</t>
  </si>
  <si>
    <t xml:space="preserve">Gourmet Food Moterway </t>
  </si>
  <si>
    <t>Address: Moter Way</t>
  </si>
  <si>
    <t>Gourmet Food College Road</t>
  </si>
  <si>
    <t>Address:College Road</t>
  </si>
  <si>
    <t>Address: Davis Road</t>
  </si>
  <si>
    <t>Gourmet Food Davis Road</t>
  </si>
  <si>
    <t>Gourmet Food Nisbat Road</t>
  </si>
  <si>
    <t>Address:  Nisbat Road</t>
  </si>
  <si>
    <t>Gourmet Food Jorry Pull</t>
  </si>
  <si>
    <t>Address: Jorry Pull</t>
  </si>
  <si>
    <t>Gourmet Food Zarar Shaheed</t>
  </si>
  <si>
    <t>Address: Zarar Shaheed</t>
  </si>
  <si>
    <t>Gourmet Food Kot Khwaja Saeed</t>
  </si>
  <si>
    <t xml:space="preserve">Address:  Kot Khwaja Saeed </t>
  </si>
  <si>
    <t>Gourmet Food Bagh Banpura</t>
  </si>
  <si>
    <t>Address: Baghbanpura</t>
  </si>
  <si>
    <t>Gourmet Food Shadi Pura</t>
  </si>
  <si>
    <t>Address: Shadi 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</si>
</sst>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4" sqref="S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39.179687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499</v>
      </c>
      <c r="F2" s="355"/>
      <c r="G2" s="355"/>
      <c r="H2" s="352" t="s">
        <v>516</v>
      </c>
      <c r="I2" s="352"/>
      <c r="J2" s="353"/>
      <c r="R2" s="349" t="s">
        <v>498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511</v>
      </c>
      <c r="F3" s="359"/>
      <c r="G3" s="359"/>
      <c r="H3" s="356">
        <f ca="1">TODAY()</f>
        <v>46246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>Gourmet Food Davis Road</v>
      </c>
      <c r="T3" s="301">
        <f>+'1'!P35</f>
        <v>11850.85456868644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Gourmet Food Nisbat Road</v>
      </c>
      <c r="T4" s="301">
        <f>+'2'!P35</f>
        <v>6952.5034507627115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510</v>
      </c>
      <c r="R5" s="314">
        <v>3</v>
      </c>
      <c r="S5" s="300" t="str">
        <f>+'3'!A6:A6</f>
        <v>Gourmet Food Jorry Pull</v>
      </c>
      <c r="T5" s="301">
        <f>+'3'!P35</f>
        <v>5688.3975701694917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509</v>
      </c>
      <c r="R6" s="314">
        <v>4</v>
      </c>
      <c r="S6" s="300" t="str">
        <f>+'4'!A6:A6</f>
        <v>Gourmet Food Zarar Shaheed</v>
      </c>
      <c r="T6" s="301">
        <f>+'4'!P35</f>
        <v>5688.3975701694917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1133.1899999999998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4941.9675000000007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30.658990042372878</v>
      </c>
      <c r="P7" s="310">
        <f>M7+N7+O7</f>
        <v>6162.4569985169492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40</v>
      </c>
      <c r="R7" s="314">
        <v>5</v>
      </c>
      <c r="S7" s="300" t="str">
        <f>+'5'!A6:A6</f>
        <v>Gourmet Food Kot Khwaja Saeed</v>
      </c>
      <c r="T7" s="301">
        <f>+'5'!P35</f>
        <v>5688.3975701694917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755.45999999999992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3294.645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20.439326694915252</v>
      </c>
      <c r="P8" s="311">
        <f t="shared" ref="P8:P15" si="2">M8+N8+O8</f>
        <v>4108.3046656779661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Gourmet Food Bagh Banpura</v>
      </c>
      <c r="T8" s="301">
        <f>+'6'!P35</f>
        <v>5688.3975701694917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1133.1899999999998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4941.9675000000007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30.658990042372878</v>
      </c>
      <c r="P9" s="311">
        <f t="shared" si="2"/>
        <v>6162.4569985169492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Gourmet Food Shadi Pura</v>
      </c>
      <c r="T9" s="301">
        <f>+'7'!P35</f>
        <v>11850.85456868644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160</v>
      </c>
      <c r="I10" s="236">
        <f t="shared" si="0"/>
        <v>11622.4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2092.0319999999997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406.78400000000005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9123.5839999999989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2196.6101694915255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56.600970847457624</v>
      </c>
      <c r="P10" s="311">
        <f t="shared" si="2"/>
        <v>11376.795140338982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20</v>
      </c>
      <c r="R10" s="314">
        <v>8</v>
      </c>
      <c r="S10" s="300" t="str">
        <f>+'8'!A6:A6</f>
        <v xml:space="preserve">Gourmet Food Firdos Market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140</v>
      </c>
      <c r="I11" s="236">
        <f t="shared" si="0"/>
        <v>10169.6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1830.5279999999996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355.93600000000004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7983.1360000000004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1922.0338983050847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49.52584949152542</v>
      </c>
      <c r="P11" s="311">
        <f t="shared" si="2"/>
        <v>9954.6957477966098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20</v>
      </c>
      <c r="R11" s="314">
        <v>9</v>
      </c>
      <c r="S11" s="300" t="str">
        <f>+'9'!A6:A6</f>
        <v>Gourmet Food Nishat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220</v>
      </c>
      <c r="I12" s="236">
        <f t="shared" si="0"/>
        <v>15980.8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2876.5439999999994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559.32800000000009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12544.928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3020.3389830508477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77.826334915254236</v>
      </c>
      <c r="P12" s="311">
        <f t="shared" si="2"/>
        <v>15643.093317966102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20</v>
      </c>
      <c r="R12" s="314">
        <v>10</v>
      </c>
      <c r="S12" s="300" t="str">
        <f>+'10'!A6:A6</f>
        <v xml:space="preserve">Gourmet Food Umer Chowk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Gourmet Food Model Towm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Gourmet Food Riwand Road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Gourmet Food Choung</v>
      </c>
      <c r="T15" s="301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21</v>
      </c>
      <c r="H16" s="113">
        <f t="shared" ref="H16:M16" si="3">SUM(H7:H15)</f>
        <v>840</v>
      </c>
      <c r="I16" s="114">
        <f t="shared" si="3"/>
        <v>54560.800000000003</v>
      </c>
      <c r="J16" s="274">
        <f>SUM(J7:J15)</f>
        <v>9820.9439999999977</v>
      </c>
      <c r="K16" s="275">
        <f t="shared" si="3"/>
        <v>1909.6280000000002</v>
      </c>
      <c r="L16" s="276">
        <f t="shared" si="3"/>
        <v>0</v>
      </c>
      <c r="M16" s="232">
        <f t="shared" si="3"/>
        <v>42830.228000000003</v>
      </c>
      <c r="N16" s="233">
        <f>SUM(N7:N15)</f>
        <v>10311.864406779659</v>
      </c>
      <c r="O16" s="101">
        <f>SUM(O7:O15)</f>
        <v>265.7104620338983</v>
      </c>
      <c r="P16" s="113">
        <f>SUM(P7:P15)</f>
        <v>53407.80286881356</v>
      </c>
      <c r="Q16" s="128">
        <f>SUM(Q7:Q15)</f>
        <v>100</v>
      </c>
      <c r="R16" s="314">
        <v>14</v>
      </c>
      <c r="S16" s="300" t="str">
        <f>+'14'!A6:A6</f>
        <v xml:space="preserve">Gourmet Food Moterway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Gourmet Food College Road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54560.800000000003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9820.9439999999977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1909.6280000000002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42830.22800000001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10311.864406779659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53142.092406779673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265.7104620338983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53407.802868813575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53407.80286881356</v>
      </c>
    </row>
    <row r="44" spans="2:20" x14ac:dyDescent="0.35">
      <c r="B44" t="s">
        <v>503</v>
      </c>
    </row>
    <row r="45" spans="2:20" x14ac:dyDescent="0.35">
      <c r="B45" t="s">
        <v>504</v>
      </c>
    </row>
    <row r="46" spans="2:20" x14ac:dyDescent="0.35">
      <c r="B46" t="s">
        <v>505</v>
      </c>
    </row>
    <row r="47" spans="2:20" x14ac:dyDescent="0.35">
      <c r="B47" t="s">
        <v>506</v>
      </c>
    </row>
    <row r="48" spans="2:20" x14ac:dyDescent="0.35">
      <c r="B48" t="s">
        <v>507</v>
      </c>
    </row>
    <row r="49" spans="2:2" x14ac:dyDescent="0.35">
      <c r="B49" t="s">
        <v>512</v>
      </c>
    </row>
    <row r="50" spans="2:2" x14ac:dyDescent="0.35">
      <c r="B50" t="s">
        <v>513</v>
      </c>
    </row>
    <row r="51" spans="2:2" x14ac:dyDescent="0.35">
      <c r="B51" t="s">
        <v>514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7"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46245</v>
      </c>
      <c r="O5" s="368"/>
      <c r="P5" s="368"/>
      <c r="R5" s="85"/>
      <c r="S5" s="266"/>
    </row>
    <row r="6" spans="1:22 16383:16384" ht="17.25" customHeight="1" x14ac:dyDescent="0.4">
      <c r="A6" s="397" t="s">
        <v>534</v>
      </c>
      <c r="B6" s="397"/>
      <c r="C6" s="397"/>
      <c r="F6" s="85"/>
      <c r="G6" s="86"/>
      <c r="K6" s="369" t="s">
        <v>69</v>
      </c>
      <c r="L6" s="369"/>
      <c r="M6" s="369"/>
      <c r="N6" s="398" t="s">
        <v>503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533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73.447500000000005</v>
      </c>
      <c r="L16" s="118">
        <f>$I16*U16</f>
        <v>0</v>
      </c>
      <c r="M16" s="229">
        <f>I16-SUM(J16:L16)</f>
        <v>1647.3225</v>
      </c>
      <c r="N16" s="248">
        <f>+(G16*D16+H16)*V16</f>
        <v>396.61016949152526</v>
      </c>
      <c r="O16" s="238">
        <f>(N16+M16)*$O$15</f>
        <v>10.219663347457626</v>
      </c>
      <c r="P16" s="310">
        <f>M16+N16+O16</f>
        <v>2054.1523328389831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1647.3225</v>
      </c>
      <c r="N17" s="277">
        <f t="shared" ref="N17:N24" si="3">+(G17*D17+H17)*V17</f>
        <v>396.61016949152526</v>
      </c>
      <c r="O17" s="239">
        <f t="shared" ref="O17:O24" si="4">(N17+M17)*$O$15</f>
        <v>10.219663347457626</v>
      </c>
      <c r="P17" s="311">
        <f t="shared" ref="P17:P24" si="5">M17+N17+O17</f>
        <v>2054.1523328389831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261.50399999999996</v>
      </c>
      <c r="K19" s="128">
        <f t="shared" si="1"/>
        <v>50.848000000000006</v>
      </c>
      <c r="L19" s="119">
        <f t="shared" si="1"/>
        <v>0</v>
      </c>
      <c r="M19" s="230">
        <f t="shared" si="2"/>
        <v>1140.4479999999999</v>
      </c>
      <c r="N19" s="277">
        <f t="shared" si="3"/>
        <v>274.57627118644069</v>
      </c>
      <c r="O19" s="239">
        <f t="shared" si="4"/>
        <v>7.075121355932203</v>
      </c>
      <c r="P19" s="311">
        <f t="shared" si="5"/>
        <v>1422.0993925423727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523.00799999999992</v>
      </c>
      <c r="K21" s="128">
        <f t="shared" si="1"/>
        <v>101.69600000000001</v>
      </c>
      <c r="L21" s="119">
        <f t="shared" si="1"/>
        <v>0</v>
      </c>
      <c r="M21" s="230">
        <f t="shared" si="2"/>
        <v>2280.8959999999997</v>
      </c>
      <c r="N21" s="277">
        <f t="shared" si="3"/>
        <v>549.15254237288138</v>
      </c>
      <c r="O21" s="239">
        <f t="shared" si="4"/>
        <v>14.150242711864406</v>
      </c>
      <c r="P21" s="311">
        <f t="shared" si="5"/>
        <v>2844.1987850847454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200</v>
      </c>
      <c r="I25" s="114">
        <f t="shared" ref="I25:M25" si="10">SUM(I16:I24)</f>
        <v>12106.7</v>
      </c>
      <c r="J25" s="274">
        <f>SUM(J16:J24)</f>
        <v>2179.2059999999997</v>
      </c>
      <c r="K25" s="275">
        <f t="shared" si="10"/>
        <v>423.73450000000008</v>
      </c>
      <c r="L25" s="276">
        <f t="shared" si="10"/>
        <v>0</v>
      </c>
      <c r="M25" s="232">
        <f t="shared" si="10"/>
        <v>9503.7595000000001</v>
      </c>
      <c r="N25" s="233">
        <f>SUM(N16:N24)</f>
        <v>2288.1355932203383</v>
      </c>
      <c r="O25" s="101">
        <f>SUM(O16:O24)</f>
        <v>58.959475466101694</v>
      </c>
      <c r="P25" s="113">
        <f>SUM(P16:P24)</f>
        <v>11850.85456868644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12106.7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2179.2059999999997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423.73450000000008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9503.7595000000001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2288.1355932203383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11791.895093220339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58.959475466101694</v>
      </c>
    </row>
    <row r="35" spans="2:16" ht="15.75" customHeight="1" thickBot="1" x14ac:dyDescent="0.4">
      <c r="N35" s="343" t="s">
        <v>88</v>
      </c>
      <c r="O35" s="344"/>
      <c r="P35" s="297">
        <f>+P33+P34</f>
        <v>11850.85456868644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46245</v>
      </c>
      <c r="O5" s="368"/>
      <c r="P5" s="368"/>
      <c r="R5" s="85"/>
      <c r="S5" s="266"/>
    </row>
    <row r="6" spans="1:22 16383:16384" ht="15" customHeight="1" x14ac:dyDescent="0.4">
      <c r="A6" s="397" t="s">
        <v>535</v>
      </c>
      <c r="B6" s="397"/>
      <c r="C6" s="397"/>
      <c r="F6" s="85"/>
      <c r="G6" s="86"/>
      <c r="K6" s="369" t="s">
        <v>69</v>
      </c>
      <c r="L6" s="369"/>
      <c r="M6" s="369"/>
      <c r="N6" s="398" t="s">
        <v>503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536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73.447500000000005</v>
      </c>
      <c r="L16" s="118">
        <f>$I16*U16</f>
        <v>0</v>
      </c>
      <c r="M16" s="229">
        <f>I16-SUM(J16:L16)</f>
        <v>1647.3225</v>
      </c>
      <c r="N16" s="248">
        <f>+(G16*D16+H16)*V16</f>
        <v>396.61016949152526</v>
      </c>
      <c r="O16" s="238">
        <f>(N16+M16)*$O$15</f>
        <v>10.219663347457626</v>
      </c>
      <c r="P16" s="310">
        <f>M16+N16+O16</f>
        <v>2054.1523328389831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50.848000000000006</v>
      </c>
      <c r="L19" s="119">
        <f t="shared" si="1"/>
        <v>0</v>
      </c>
      <c r="M19" s="230">
        <f t="shared" si="2"/>
        <v>1140.4479999999999</v>
      </c>
      <c r="N19" s="277">
        <f t="shared" si="3"/>
        <v>274.57627118644069</v>
      </c>
      <c r="O19" s="239">
        <f t="shared" si="4"/>
        <v>7.075121355932203</v>
      </c>
      <c r="P19" s="311">
        <f t="shared" si="5"/>
        <v>1422.0993925423727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120</v>
      </c>
      <c r="I25" s="114">
        <f t="shared" si="7"/>
        <v>7102.6</v>
      </c>
      <c r="J25" s="274">
        <f>SUM(J16:J24)</f>
        <v>1278.4679999999998</v>
      </c>
      <c r="K25" s="275">
        <f t="shared" si="7"/>
        <v>248.59100000000004</v>
      </c>
      <c r="L25" s="276">
        <f t="shared" si="7"/>
        <v>0</v>
      </c>
      <c r="M25" s="232">
        <f t="shared" si="7"/>
        <v>5575.5409999999993</v>
      </c>
      <c r="N25" s="233">
        <f>SUM(N16:N24)</f>
        <v>1342.3728813559319</v>
      </c>
      <c r="O25" s="101">
        <f>SUM(O16:O24)</f>
        <v>34.58956940677966</v>
      </c>
      <c r="P25" s="113">
        <f>SUM(P16:P24)</f>
        <v>6952.5034507627115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7102.6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1278.4679999999998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248.59100000000004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5575.5410000000002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1342.3728813559319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6917.9138813559321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34.58956940677966</v>
      </c>
    </row>
    <row r="35" spans="2:16" ht="15.75" customHeight="1" thickBot="1" x14ac:dyDescent="0.4">
      <c r="N35" s="343" t="s">
        <v>88</v>
      </c>
      <c r="O35" s="344"/>
      <c r="P35" s="297">
        <f>+P33+P34</f>
        <v>6952.5034507627115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S21" sqref="S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46245</v>
      </c>
      <c r="O5" s="368"/>
      <c r="P5" s="368"/>
      <c r="R5" s="85"/>
      <c r="S5" s="266"/>
    </row>
    <row r="6" spans="1:22 16383:16384" ht="18.75" customHeight="1" x14ac:dyDescent="0.4">
      <c r="A6" s="397" t="s">
        <v>537</v>
      </c>
      <c r="B6" s="397"/>
      <c r="C6" s="397"/>
      <c r="F6" s="85"/>
      <c r="G6" s="86"/>
      <c r="K6" s="369" t="s">
        <v>69</v>
      </c>
      <c r="L6" s="369"/>
      <c r="M6" s="369"/>
      <c r="N6" s="398" t="s">
        <v>503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538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50.848000000000006</v>
      </c>
      <c r="L19" s="119">
        <f t="shared" si="1"/>
        <v>0</v>
      </c>
      <c r="M19" s="230">
        <f t="shared" si="2"/>
        <v>1140.4479999999999</v>
      </c>
      <c r="N19" s="277">
        <f t="shared" si="3"/>
        <v>274.57627118644069</v>
      </c>
      <c r="O19" s="239">
        <f t="shared" si="4"/>
        <v>7.075121355932203</v>
      </c>
      <c r="P19" s="311">
        <f t="shared" si="5"/>
        <v>1422.0993925423727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101.69600000000001</v>
      </c>
      <c r="L21" s="119">
        <f t="shared" si="1"/>
        <v>0</v>
      </c>
      <c r="M21" s="230">
        <f t="shared" si="2"/>
        <v>2280.8959999999997</v>
      </c>
      <c r="N21" s="277">
        <f t="shared" si="3"/>
        <v>549.15254237288138</v>
      </c>
      <c r="O21" s="239">
        <f t="shared" si="4"/>
        <v>14.150242711864406</v>
      </c>
      <c r="P21" s="311">
        <f t="shared" si="5"/>
        <v>2844.1987850847454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203.39200000000002</v>
      </c>
      <c r="L25" s="276">
        <f t="shared" si="7"/>
        <v>0</v>
      </c>
      <c r="M25" s="232">
        <f t="shared" si="7"/>
        <v>4561.7919999999995</v>
      </c>
      <c r="N25" s="233">
        <f>SUM(N16:N24)</f>
        <v>1098.3050847457628</v>
      </c>
      <c r="O25" s="101">
        <f>SUM(O16:O24)</f>
        <v>28.300485423728812</v>
      </c>
      <c r="P25" s="113">
        <f>SUM(P16:P24)</f>
        <v>5688.3975701694908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5811.2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1046.0159999999998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203.39200000000002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4561.7920000000004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5660.0970847457629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28.300485423728816</v>
      </c>
    </row>
    <row r="35" spans="2:16" ht="15.75" customHeight="1" thickBot="1" x14ac:dyDescent="0.4">
      <c r="N35" s="343" t="s">
        <v>88</v>
      </c>
      <c r="O35" s="344"/>
      <c r="P35" s="297">
        <f>+P33+P34</f>
        <v>5688.3975701694917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S21" sqref="S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46245</v>
      </c>
      <c r="O5" s="368"/>
      <c r="P5" s="368"/>
      <c r="R5" s="85"/>
      <c r="S5" s="266"/>
    </row>
    <row r="6" spans="1:22 16383:16384" ht="15" customHeight="1" x14ac:dyDescent="0.4">
      <c r="A6" s="397" t="s">
        <v>539</v>
      </c>
      <c r="B6" s="397"/>
      <c r="C6" s="397"/>
      <c r="F6" s="85"/>
      <c r="G6" s="86"/>
      <c r="K6" s="369" t="s">
        <v>69</v>
      </c>
      <c r="L6" s="369"/>
      <c r="M6" s="369"/>
      <c r="N6" s="398" t="s">
        <v>503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540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50.848000000000006</v>
      </c>
      <c r="L19" s="119">
        <f t="shared" si="1"/>
        <v>0</v>
      </c>
      <c r="M19" s="230">
        <f t="shared" si="2"/>
        <v>1140.4479999999999</v>
      </c>
      <c r="N19" s="277">
        <f t="shared" si="3"/>
        <v>274.57627118644069</v>
      </c>
      <c r="O19" s="239">
        <f t="shared" si="4"/>
        <v>7.075121355932203</v>
      </c>
      <c r="P19" s="311">
        <f t="shared" si="5"/>
        <v>1422.0993925423727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101.69600000000001</v>
      </c>
      <c r="L21" s="119">
        <f t="shared" si="1"/>
        <v>0</v>
      </c>
      <c r="M21" s="230">
        <f t="shared" si="2"/>
        <v>2280.8959999999997</v>
      </c>
      <c r="N21" s="277">
        <f t="shared" si="3"/>
        <v>549.15254237288138</v>
      </c>
      <c r="O21" s="239">
        <f t="shared" si="4"/>
        <v>14.150242711864406</v>
      </c>
      <c r="P21" s="311">
        <f t="shared" si="5"/>
        <v>2844.1987850847454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203.39200000000002</v>
      </c>
      <c r="L25" s="276">
        <f t="shared" si="7"/>
        <v>0</v>
      </c>
      <c r="M25" s="232">
        <f t="shared" si="7"/>
        <v>4561.7919999999995</v>
      </c>
      <c r="N25" s="233">
        <f>SUM(N16:N24)</f>
        <v>1098.3050847457628</v>
      </c>
      <c r="O25" s="101">
        <f>SUM(O16:O24)</f>
        <v>28.300485423728812</v>
      </c>
      <c r="P25" s="113">
        <f>SUM(P16:P24)</f>
        <v>5688.3975701694908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5811.2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1046.0159999999998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203.39200000000002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4561.7920000000004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5660.0970847457629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28.300485423728816</v>
      </c>
    </row>
    <row r="35" spans="2:16" ht="15.75" customHeight="1" thickBot="1" x14ac:dyDescent="0.4">
      <c r="N35" s="343" t="s">
        <v>88</v>
      </c>
      <c r="O35" s="344"/>
      <c r="P35" s="297">
        <f>+P33+P34</f>
        <v>5688.3975701694917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S21" sqref="S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46245</v>
      </c>
      <c r="O5" s="368"/>
      <c r="P5" s="368"/>
      <c r="R5" s="85"/>
      <c r="S5" s="266"/>
    </row>
    <row r="6" spans="1:22 16383:16384" ht="15" customHeight="1" x14ac:dyDescent="0.4">
      <c r="A6" s="397" t="s">
        <v>541</v>
      </c>
      <c r="B6" s="397"/>
      <c r="C6" s="397"/>
      <c r="F6" s="85"/>
      <c r="G6" s="86"/>
      <c r="K6" s="369" t="s">
        <v>69</v>
      </c>
      <c r="L6" s="369"/>
      <c r="M6" s="369"/>
      <c r="N6" s="398" t="s">
        <v>503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542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101.69600000000001</v>
      </c>
      <c r="L19" s="119">
        <f t="shared" si="1"/>
        <v>0</v>
      </c>
      <c r="M19" s="230">
        <f t="shared" si="2"/>
        <v>2280.8959999999997</v>
      </c>
      <c r="N19" s="277">
        <f t="shared" si="3"/>
        <v>549.15254237288138</v>
      </c>
      <c r="O19" s="239">
        <f t="shared" si="4"/>
        <v>14.150242711864406</v>
      </c>
      <c r="P19" s="311">
        <f t="shared" si="5"/>
        <v>2844.1987850847454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203.39200000000002</v>
      </c>
      <c r="L25" s="276">
        <f t="shared" si="7"/>
        <v>0</v>
      </c>
      <c r="M25" s="232">
        <f t="shared" si="7"/>
        <v>4561.7919999999995</v>
      </c>
      <c r="N25" s="233">
        <f>SUM(N16:N24)</f>
        <v>1098.3050847457628</v>
      </c>
      <c r="O25" s="101">
        <f>SUM(O16:O24)</f>
        <v>28.300485423728812</v>
      </c>
      <c r="P25" s="113">
        <f>SUM(P16:P24)</f>
        <v>5688.3975701694908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5811.2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1046.0159999999998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203.39200000000002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4561.7920000000004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5660.0970847457629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28.300485423728816</v>
      </c>
    </row>
    <row r="35" spans="2:16" ht="15.75" customHeight="1" thickBot="1" x14ac:dyDescent="0.4">
      <c r="N35" s="343" t="s">
        <v>88</v>
      </c>
      <c r="O35" s="344"/>
      <c r="P35" s="297">
        <f>+P33+P34</f>
        <v>5688.3975701694917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S21" sqref="S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46245</v>
      </c>
      <c r="O5" s="368"/>
      <c r="P5" s="368"/>
      <c r="R5" s="85"/>
      <c r="S5" s="266"/>
    </row>
    <row r="6" spans="1:22 16383:16384" ht="15" customHeight="1" x14ac:dyDescent="0.4">
      <c r="A6" s="397" t="s">
        <v>543</v>
      </c>
      <c r="B6" s="397"/>
      <c r="C6" s="397"/>
      <c r="F6" s="85"/>
      <c r="G6" s="86"/>
      <c r="K6" s="369" t="s">
        <v>69</v>
      </c>
      <c r="L6" s="369"/>
      <c r="M6" s="369"/>
      <c r="N6" s="398" t="s">
        <v>503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544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50.848000000000006</v>
      </c>
      <c r="L19" s="119">
        <f t="shared" si="1"/>
        <v>0</v>
      </c>
      <c r="M19" s="230">
        <f t="shared" si="2"/>
        <v>1140.4479999999999</v>
      </c>
      <c r="N19" s="277">
        <f t="shared" si="3"/>
        <v>274.57627118644069</v>
      </c>
      <c r="O19" s="239">
        <f t="shared" si="4"/>
        <v>7.075121355932203</v>
      </c>
      <c r="P19" s="311">
        <f t="shared" si="5"/>
        <v>1422.0993925423727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101.69600000000001</v>
      </c>
      <c r="L21" s="119">
        <f t="shared" si="1"/>
        <v>0</v>
      </c>
      <c r="M21" s="230">
        <f t="shared" si="2"/>
        <v>2280.8959999999997</v>
      </c>
      <c r="N21" s="277">
        <f t="shared" si="3"/>
        <v>549.15254237288138</v>
      </c>
      <c r="O21" s="239">
        <f t="shared" si="4"/>
        <v>14.150242711864406</v>
      </c>
      <c r="P21" s="311">
        <f t="shared" si="5"/>
        <v>2844.1987850847454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203.39200000000002</v>
      </c>
      <c r="L25" s="276">
        <f t="shared" si="7"/>
        <v>0</v>
      </c>
      <c r="M25" s="232">
        <f t="shared" si="7"/>
        <v>4561.7919999999995</v>
      </c>
      <c r="N25" s="233">
        <f>SUM(N16:N24)</f>
        <v>1098.3050847457628</v>
      </c>
      <c r="O25" s="101">
        <f>SUM(O16:O24)</f>
        <v>28.300485423728812</v>
      </c>
      <c r="P25" s="113">
        <f>SUM(P16:P24)</f>
        <v>5688.3975701694908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5811.2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1046.0159999999998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203.39200000000002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4561.7920000000004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5660.0970847457629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28.300485423728816</v>
      </c>
    </row>
    <row r="35" spans="2:16" ht="15.75" customHeight="1" thickBot="1" x14ac:dyDescent="0.4">
      <c r="N35" s="343" t="s">
        <v>88</v>
      </c>
      <c r="O35" s="344"/>
      <c r="P35" s="297">
        <f>+P33+P34</f>
        <v>5688.3975701694917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S21" sqref="S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46245</v>
      </c>
      <c r="O5" s="368"/>
      <c r="P5" s="368"/>
      <c r="R5" s="85"/>
      <c r="S5" s="266"/>
    </row>
    <row r="6" spans="1:22 16383:16384" ht="15" customHeight="1" x14ac:dyDescent="0.4">
      <c r="A6" s="397" t="s">
        <v>545</v>
      </c>
      <c r="B6" s="397"/>
      <c r="C6" s="397"/>
      <c r="F6" s="85"/>
      <c r="G6" s="86"/>
      <c r="K6" s="369" t="s">
        <v>69</v>
      </c>
      <c r="L6" s="369"/>
      <c r="M6" s="369"/>
      <c r="N6" s="398" t="s">
        <v>503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546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73.447500000000005</v>
      </c>
      <c r="L16" s="118">
        <f>$I16*U16</f>
        <v>0</v>
      </c>
      <c r="M16" s="229">
        <f>I16-SUM(J16:L16)</f>
        <v>1647.3225</v>
      </c>
      <c r="N16" s="248">
        <f>+(G16*D16+H16)*V16</f>
        <v>396.61016949152526</v>
      </c>
      <c r="O16" s="238">
        <f>(N16+M16)*$O$15</f>
        <v>10.219663347457626</v>
      </c>
      <c r="P16" s="310">
        <f>M16+N16+O16</f>
        <v>2054.1523328389831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1647.3225</v>
      </c>
      <c r="N17" s="277">
        <f t="shared" ref="N17:N24" si="3">+(G17*D17+H17)*V17</f>
        <v>396.61016949152526</v>
      </c>
      <c r="O17" s="239">
        <f t="shared" ref="O17:O24" si="4">(N17+M17)*$O$15</f>
        <v>10.219663347457626</v>
      </c>
      <c r="P17" s="311">
        <f t="shared" ref="P17:P24" si="5">M17+N17+O17</f>
        <v>2054.1523328389831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50.848000000000006</v>
      </c>
      <c r="L19" s="119">
        <f t="shared" si="1"/>
        <v>0</v>
      </c>
      <c r="M19" s="230">
        <f t="shared" si="2"/>
        <v>1140.4479999999999</v>
      </c>
      <c r="N19" s="277">
        <f t="shared" si="3"/>
        <v>274.57627118644069</v>
      </c>
      <c r="O19" s="239">
        <f t="shared" si="4"/>
        <v>7.075121355932203</v>
      </c>
      <c r="P19" s="311">
        <f t="shared" si="5"/>
        <v>1422.0993925423727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101.69600000000001</v>
      </c>
      <c r="L21" s="119">
        <f t="shared" si="1"/>
        <v>0</v>
      </c>
      <c r="M21" s="230">
        <f t="shared" si="2"/>
        <v>2280.8959999999997</v>
      </c>
      <c r="N21" s="277">
        <f t="shared" si="3"/>
        <v>549.15254237288138</v>
      </c>
      <c r="O21" s="239">
        <f t="shared" si="4"/>
        <v>14.150242711864406</v>
      </c>
      <c r="P21" s="311">
        <f t="shared" si="5"/>
        <v>2844.1987850847454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200</v>
      </c>
      <c r="I25" s="114">
        <f t="shared" si="7"/>
        <v>12106.7</v>
      </c>
      <c r="J25" s="274">
        <f>SUM(J16:J24)</f>
        <v>2179.2059999999997</v>
      </c>
      <c r="K25" s="275">
        <f t="shared" si="7"/>
        <v>423.73450000000008</v>
      </c>
      <c r="L25" s="276">
        <f t="shared" si="7"/>
        <v>0</v>
      </c>
      <c r="M25" s="232">
        <f t="shared" si="7"/>
        <v>9503.7595000000001</v>
      </c>
      <c r="N25" s="233">
        <f>SUM(N16:N24)</f>
        <v>2288.1355932203383</v>
      </c>
      <c r="O25" s="101">
        <f>SUM(O16:O24)</f>
        <v>58.959475466101694</v>
      </c>
      <c r="P25" s="113">
        <f>SUM(P16:P24)</f>
        <v>11850.85456868644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12106.7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2179.2059999999997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423.73450000000008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9503.7595000000001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2288.1355932203383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11791.895093220339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58.959475466101694</v>
      </c>
    </row>
    <row r="35" spans="2:16" ht="15.75" customHeight="1" thickBot="1" x14ac:dyDescent="0.4">
      <c r="N35" s="343" t="s">
        <v>88</v>
      </c>
      <c r="O35" s="344"/>
      <c r="P35" s="297">
        <f>+P33+P34</f>
        <v>11850.85456868644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8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46245</v>
      </c>
      <c r="O5" s="368"/>
      <c r="P5" s="368"/>
      <c r="R5" s="85"/>
      <c r="S5" s="266"/>
    </row>
    <row r="6" spans="1:22 16383:16384" ht="15" customHeight="1" x14ac:dyDescent="0.4">
      <c r="A6" s="397" t="s">
        <v>517</v>
      </c>
      <c r="B6" s="397"/>
      <c r="C6" s="397"/>
      <c r="F6" s="85"/>
      <c r="G6" s="86"/>
      <c r="K6" s="369" t="s">
        <v>69</v>
      </c>
      <c r="L6" s="369"/>
      <c r="M6" s="369"/>
      <c r="N6" s="398" t="s">
        <v>503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518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10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46245</v>
      </c>
      <c r="O5" s="368"/>
      <c r="P5" s="368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69" t="s">
        <v>69</v>
      </c>
      <c r="L6" s="369"/>
      <c r="M6" s="369"/>
      <c r="N6" s="398" t="s">
        <v>503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520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S24" sqref="S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46245</v>
      </c>
      <c r="O5" s="368"/>
      <c r="P5" s="368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69" t="s">
        <v>69</v>
      </c>
      <c r="L6" s="369"/>
      <c r="M6" s="369"/>
      <c r="N6" s="398" t="s">
        <v>503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522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8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46245</v>
      </c>
      <c r="O5" s="368"/>
      <c r="P5" s="368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69" t="s">
        <v>69</v>
      </c>
      <c r="L6" s="369"/>
      <c r="M6" s="369"/>
      <c r="N6" s="398" t="s">
        <v>503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524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8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46245</v>
      </c>
      <c r="O5" s="368"/>
      <c r="P5" s="368"/>
      <c r="R5" s="85"/>
      <c r="S5" s="266"/>
    </row>
    <row r="6" spans="1:22 16383:16384" ht="15" customHeight="1" x14ac:dyDescent="0.4">
      <c r="A6" s="397" t="s">
        <v>525</v>
      </c>
      <c r="B6" s="397"/>
      <c r="C6" s="397"/>
      <c r="F6" s="85"/>
      <c r="G6" s="86"/>
      <c r="K6" s="369" t="s">
        <v>69</v>
      </c>
      <c r="L6" s="369"/>
      <c r="M6" s="369"/>
      <c r="N6" s="398" t="s">
        <v>503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526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11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46245</v>
      </c>
      <c r="O5" s="368"/>
      <c r="P5" s="368"/>
      <c r="R5" s="85"/>
      <c r="S5" s="266"/>
    </row>
    <row r="6" spans="1:22 16383:16384" ht="15" customHeight="1" x14ac:dyDescent="0.4">
      <c r="A6" s="397" t="s">
        <v>527</v>
      </c>
      <c r="B6" s="397"/>
      <c r="C6" s="397"/>
      <c r="F6" s="85"/>
      <c r="G6" s="86"/>
      <c r="K6" s="369" t="s">
        <v>69</v>
      </c>
      <c r="L6" s="369"/>
      <c r="M6" s="369"/>
      <c r="N6" s="398" t="s">
        <v>503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528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7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46245</v>
      </c>
      <c r="O5" s="368"/>
      <c r="P5" s="368"/>
      <c r="R5" s="85"/>
      <c r="S5" s="266"/>
    </row>
    <row r="6" spans="1:22 16383:16384" ht="15" customHeight="1" x14ac:dyDescent="0.4">
      <c r="A6" s="397" t="s">
        <v>529</v>
      </c>
      <c r="B6" s="397"/>
      <c r="C6" s="397"/>
      <c r="F6" s="85"/>
      <c r="G6" s="86"/>
      <c r="K6" s="369" t="s">
        <v>69</v>
      </c>
      <c r="L6" s="369"/>
      <c r="M6" s="369"/>
      <c r="N6" s="398" t="s">
        <v>503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530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10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46245</v>
      </c>
      <c r="O5" s="368"/>
      <c r="P5" s="368"/>
      <c r="R5" s="85"/>
      <c r="S5" s="266"/>
    </row>
    <row r="6" spans="1:22 16383:16384" ht="15" customHeight="1" x14ac:dyDescent="0.4">
      <c r="A6" s="397" t="s">
        <v>531</v>
      </c>
      <c r="B6" s="397"/>
      <c r="C6" s="397"/>
      <c r="F6" s="85"/>
      <c r="G6" s="86"/>
      <c r="K6" s="369" t="s">
        <v>69</v>
      </c>
      <c r="L6" s="369"/>
      <c r="M6" s="369"/>
      <c r="N6" s="398" t="s">
        <v>503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532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40</v>
      </c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20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20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20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100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46245</v>
      </c>
      <c r="O5" s="368"/>
      <c r="P5" s="368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46245</v>
      </c>
      <c r="O5" s="368"/>
      <c r="P5" s="368"/>
      <c r="R5" s="85"/>
      <c r="S5" s="266"/>
    </row>
    <row r="6" spans="1:22 16383:16384" ht="18.75" customHeight="1" x14ac:dyDescent="0.4">
      <c r="A6" s="397" t="s">
        <v>501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502</v>
      </c>
      <c r="B4" s="368"/>
      <c r="C4" s="368"/>
      <c r="F4" s="85"/>
      <c r="G4" s="1"/>
      <c r="K4" s="369" t="s">
        <v>44</v>
      </c>
      <c r="L4" s="369"/>
      <c r="M4" s="369"/>
      <c r="N4" s="399">
        <v>46246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508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508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46247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46246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2026-08-12T08:49:46Z</dcterms:modified>
</cp:coreProperties>
</file>