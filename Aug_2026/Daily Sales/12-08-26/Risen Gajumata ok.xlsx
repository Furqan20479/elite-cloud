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DCD169E-AAC0-4328-A0FF-83B31DFF2E16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<sst xmlns="http://schemas.openxmlformats.org/spreadsheetml/2006/main" count="3948" uniqueCount="519">
  <si>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</si>
  <si>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</si>
  <si>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</si>
  <si>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</si>
  <si>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</si>
  <si>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</si>
  <si>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</si>
  <si>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</si>
  <si>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</si>
  <si>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</si>
  <si>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</si>
  <si>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</si>
  <si>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</si>
  <si>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</si>
  <si>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</si>
  <si>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</si>
  <si>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</si>
  <si>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</si>
  <si>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</si>
  <si>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</si>
  <si>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</si>
  <si>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</si>
  <si>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</si>
  <si>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</si>
  <si>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</si>
  <si>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</si>
  <si>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</si>
  <si>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</si>
  <si>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</si>
  <si>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</si>
  <si>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</si>
  <si>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</si>
  <si>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</si>
  <si>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</si>
  <si>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</si>
  <si>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</si>
  <si>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</si>
  <si>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</si>
  <si>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</si>
  <si>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</si>
  <si>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</si>
  <si>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</si>
  <si>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</si>
  <si>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</si>
  <si>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</si>
  <si>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</si>
  <si>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</si>
  <si>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</si>
  <si>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</si>
  <si>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</si>
  <si>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</si>
  <si>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</si>
  <si>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</si>
  <si>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</si>
  <si>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</si>
  <si>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</si>
  <si>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</si>
  <si>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</si>
  <si>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</si>
  <si>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</si>
  <si>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</si>
  <si>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</si>
  <si>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</si>
  <si>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</si>
  <si>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</si>
  <si>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</si>
  <si>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</si>
  <si>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</si>
  <si>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</si>
  <si>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</si>
  <si>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</si>
  <si>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</si>
  <si>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</si>
  <si>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</si>
  <si>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</si>
  <si>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</si>
  <si>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</si>
  <si>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</si>
  <si>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</si>
  <si>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</si>
  <si>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</si>
  <si>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</si>
  <si>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</si>
  <si>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</si>
  <si>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</si>
  <si>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</si>
  <si>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</si>
  <si>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</si>
  <si>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</si>
  <si>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</si>
  <si>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</si>
  <si>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</si>
  <si>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</si>
  <si>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</si>
  <si>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</si>
  <si>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</si>
  <si>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</si>
  <si>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</si>
  <si>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</si>
  <si>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</si>
  <si>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</si>
  <si>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</si>
  <si>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</si>
  <si>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</si>
  <si>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</si>
  <si>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</si>
  <si>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</si>
  <si>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</si>
  <si>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</si>
  <si>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</si>
  <si>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</si>
  <si>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</si>
  <si>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</si>
  <si>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</si>
  <si>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</si>
  <si>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</si>
  <si>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</si>
  <si>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</si>
  <si>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</si>
  <si>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</si>
  <si>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</si>
  <si>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</si>
  <si>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</si>
  <si>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</si>
  <si>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</si>
  <si>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</si>
  <si>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</si>
  <si>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</si>
  <si>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</si>
  <si>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</si>
  <si>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</si>
  <si>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</si>
  <si>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</si>
  <si>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</si>
  <si>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</si>
  <si>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</si>
  <si>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</si>
  <si>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</si>
  <si>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</si>
  <si>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</si>
  <si>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</si>
  <si>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</si>
  <si>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</si>
  <si>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</si>
  <si>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</si>
  <si>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</si>
  <si>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</si>
  <si>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</si>
  <si>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</si>
  <si>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</si>
  <si>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</si>
  <si>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</si>
  <si>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</si>
  <si>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</si>
  <si>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</si>
  <si>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</si>
  <si>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</si>
  <si>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</si>
  <si>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</si>
  <si>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</si>
  <si>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</si>
  <si>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</si>
  <si>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</si>
  <si>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</si>
  <si>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</si>
  <si>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</si>
  <si>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</si>
  <si>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</si>
  <si>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</si>
  <si>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</si>
  <si>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</si>
  <si>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</si>
  <si>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</si>
  <si>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</si>
  <si>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</si>
  <si>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</si>
  <si>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</si>
  <si>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</si>
  <si>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</si>
  <si>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</si>
  <si>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</si>
  <si>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</si>
  <si>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</si>
  <si>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</si>
  <si>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</si>
  <si>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</si>
  <si>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</si>
  <si>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</si>
  <si>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</si>
  <si>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</si>
  <si>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</si>
  <si>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</si>
  <si>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</si>
  <si>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</si>
  <si>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</si>
  <si>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</si>
  <si>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</si>
  <si>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</si>
  <si>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</si>
  <si>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</si>
  <si>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</si>
  <si>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</si>
  <si>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</si>
  <si>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</si>
  <si>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</si>
  <si>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</si>
  <si>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</si>
  <si>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</si>
  <si>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</si>
  <si>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</si>
  <si>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</si>
  <si>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</si>
  <si>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</si>
  <si>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</si>
  <si>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</si>
  <si>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</si>
  <si>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</si>
  <si>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</si>
  <si>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</si>
  <si>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</si>
  <si>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</si>
  <si>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</si>
  <si>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</si>
  <si>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</si>
  <si>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</si>
  <si>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</si>
  <si>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</si>
  <si>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</si>
  <si>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</si>
  <si>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</si>
  <si>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</si>
  <si>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</si>
  <si>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</si>
  <si>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</si>
  <si>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</si>
  <si>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</si>
  <si>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</si>
  <si>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</si>
  <si>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</si>
  <si>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</si>
  <si>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</si>
  <si>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</si>
  <si>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</si>
  <si>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</si>
  <si>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</si>
  <si>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</si>
  <si>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</si>
  <si>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</si>
  <si>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</si>
  <si>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</si>
  <si>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</si>
  <si>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</si>
  <si>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</si>
  <si>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</si>
  <si>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</si>
  <si>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</si>
  <si>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</si>
  <si>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</si>
  <si>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</si>
  <si>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</si>
  <si>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</si>
  <si>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</si>
  <si>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</si>
  <si>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</si>
  <si>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</si>
  <si>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</si>
  <si>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</si>
  <si>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</si>
  <si>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</si>
  <si>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</si>
  <si>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</si>
  <si>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</si>
  <si>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</si>
  <si>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</si>
  <si>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</si>
  <si>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</si>
  <si>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</si>
  <si>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</si>
  <si>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</si>
  <si>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</si>
  <si>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</si>
  <si>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</si>
  <si>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</si>
  <si>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</si>
  <si>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</si>
  <si>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</si>
  <si>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</si>
  <si>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</si>
  <si>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</si>
  <si>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</si>
  <si>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</si>
  <si>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</si>
  <si>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</si>
  <si>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</si>
  <si>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</si>
  <si>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</si>
  <si>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</si>
  <si>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</si>
  <si>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</si>
  <si>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</si>
  <si>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</si>
  <si>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</si>
  <si>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</si>
  <si>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</si>
  <si>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</si>
  <si>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</si>
  <si>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</si>
  <si>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</si>
  <si>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</si>
  <si>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</si>
  <si>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</si>
  <si>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</si>
  <si>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</si>
  <si>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</si>
  <si>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</si>
  <si>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</si>
  <si>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</si>
  <si>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</si>
  <si>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</si>
  <si>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</si>
  <si>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</si>
  <si>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</si>
  <si>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</si>
  <si>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</si>
  <si>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</si>
  <si>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</si>
  <si>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</si>
  <si>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</si>
  <si>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</si>
  <si>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</si>
  <si>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</si>
  <si>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</si>
  <si>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</si>
  <si>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</si>
  <si>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</si>
  <si>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</si>
  <si>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</si>
  <si>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</si>
  <si>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</si>
  <si>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</si>
  <si>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</si>
  <si>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</si>
  <si>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</si>
  <si>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</si>
  <si>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</si>
  <si>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</si>
  <si>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</si>
  <si>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</si>
  <si>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</si>
  <si>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</si>
  <si>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</si>
  <si>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</si>
  <si>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</si>
  <si>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</si>
  <si>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</si>
  <si>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</si>
  <si>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</si>
  <si>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</si>
  <si>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</si>
  <si>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</si>
  <si>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</si>
  <si>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</si>
  <si>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</si>
  <si>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</si>
  <si>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</si>
  <si>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</si>
  <si>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</si>
  <si>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</si>
  <si>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</si>
  <si>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</si>
  <si>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</si>
  <si>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</si>
  <si>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</si>
  <si>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</si>
  <si>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</si>
  <si>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</si>
  <si>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</si>
  <si>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</si>
  <si>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</si>
  <si>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</si>
  <si>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</si>
  <si>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</si>
  <si>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</si>
  <si>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</si>
  <si>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</si>
  <si>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</si>
  <si>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</si>
  <si>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</si>
  <si>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</si>
  <si>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</si>
  <si>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</si>
  <si>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</si>
  <si>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</si>
  <si>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</si>
  <si>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</si>
  <si>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</si>
  <si>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</si>
  <si>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</si>
  <si>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</si>
  <si>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</si>
  <si>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</si>
  <si>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</si>
  <si>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</si>
  <si>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</si>
  <si>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</si>
  <si>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</si>
  <si>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</si>
  <si>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</si>
  <si>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</si>
  <si>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</si>
  <si>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</si>
  <si>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</si>
  <si>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</si>
  <si>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</si>
  <si>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</si>
  <si>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</si>
  <si>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</si>
  <si>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</si>
  <si>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</si>
  <si>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</si>
  <si>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</si>
  <si>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</si>
  <si>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</si>
  <si>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</si>
  <si>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</si>
  <si>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</si>
  <si>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</si>
  <si>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</si>
  <si>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</si>
  <si>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</si>
  <si>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</si>
  <si>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</si>
  <si>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</si>
  <si>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</si>
  <si>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</si>
  <si>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</si>
  <si>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</si>
  <si>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</si>
  <si>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</si>
  <si>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</si>
  <si>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</si>
  <si>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</si>
  <si>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</si>
  <si>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</si>
  <si>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</si>
  <si>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</si>
  <si>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</si>
  <si>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</si>
  <si>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</si>
  <si>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</si>
  <si>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</si>
  <si>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</si>
  <si>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</si>
  <si>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</si>
  <si>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</si>
  <si>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</si>
  <si>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</si>
  <si>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</si>
  <si>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</si>
  <si>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</si>
  <si>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</si>
  <si>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</si>
  <si>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</si>
  <si>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</si>
  <si>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</si>
  <si>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</si>
  <si>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</si>
  <si>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</si>
  <si>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</si>
  <si>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</si>
  <si>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</si>
  <si>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</si>
  <si>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</si>
  <si>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</si>
  <si>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</si>
  <si>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</si>
  <si>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</si>
  <si>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</si>
  <si>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</si>
  <si>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</si>
  <si>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</si>
  <si>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</si>
  <si>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</si>
  <si>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</si>
  <si>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</si>
  <si>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</si>
  <si>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</si>
  <si>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</si>
  <si>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</si>
  <si>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</si>
  <si>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</si>
  <si>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</si>
  <si>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</si>
  <si>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</si>
  <si>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</si>
  <si>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</si>
  <si>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</si>
  <si>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</si>
  <si>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</si>
  <si>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</si>
  <si>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</si>
  <si>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</si>
  <si>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</si>
  <si>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</si>
  <si>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</si>
  <si>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</si>
  <si>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</si>
  <si>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</si>
  <si>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</si>
  <si>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</si>
  <si>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</si>
  <si>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</si>
  <si>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 #: 4692648-8</t>
  </si>
  <si>
    <t>Address:Gajjumata</t>
  </si>
  <si>
    <t xml:space="preserve"> _FR TRADERS (Risen)</t>
  </si>
  <si>
    <t>Invoice No # :9991</t>
  </si>
  <si>
    <t>Address: Gajjumata</t>
  </si>
  <si>
    <t>M/S Rafaqat Sons</t>
  </si>
  <si>
    <t>NTN #: 9725069-2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</si>
</sst>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Q4" sqref="Q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 t="s">
        <v>514</v>
      </c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46325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M/S Rafaqat Sons</v>
      </c>
      <c r="T3" s="301">
        <f>+'1'!P35</f>
        <v>39973.635631144069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 _FR TRADERS (Risen)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 _FR TRADERS (Risen)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 _FR TRADERS (Risen)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1468.95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8656.3125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53.196816737288138</v>
      </c>
      <c r="P7" s="310">
        <f>M7+N7+O7</f>
        <v>10692.560164194916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 _FR TRADERS (Risen)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 _FR TRADERS (Risen)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1175.1600000000001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6925.05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42.557453389830506</v>
      </c>
      <c r="P9" s="311">
        <f t="shared" si="2"/>
        <v>8554.0481313559321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 _FR TRADERS (Risen)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7191.3599999999988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44.194088135593212</v>
      </c>
      <c r="P10" s="311">
        <f t="shared" si="2"/>
        <v>8883.0117152542352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 _FR TRADERS (Risen)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 _FR TRADERS (Risen)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1627.1360000000002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9588.48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58.925450847457626</v>
      </c>
      <c r="P12" s="311">
        <f t="shared" si="2"/>
        <v>11844.015620338982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 _FR TRADERS (Risen)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 _FR TRADERS (Risen)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 _FR TRADERS (Risen)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 _FR TRADERS (Risen)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16</v>
      </c>
      <c r="H16" s="113">
        <f t="shared" ref="H16:M16" si="3">SUM(H7:H15)</f>
        <v>640</v>
      </c>
      <c r="I16" s="114">
        <f t="shared" si="3"/>
        <v>39225.699999999997</v>
      </c>
      <c r="J16" s="274">
        <f>SUM(J7:J15)</f>
        <v>5491.5980000000009</v>
      </c>
      <c r="K16" s="275">
        <f t="shared" si="3"/>
        <v>1372.8995000000002</v>
      </c>
      <c r="L16" s="276">
        <f t="shared" si="3"/>
        <v>0</v>
      </c>
      <c r="M16" s="232">
        <f t="shared" si="3"/>
        <v>32361.202499999996</v>
      </c>
      <c r="N16" s="233">
        <f>SUM(N7:N15)</f>
        <v>7413.5593220338978</v>
      </c>
      <c r="O16" s="101">
        <f>SUM(O7:O15)</f>
        <v>198.87380911016947</v>
      </c>
      <c r="P16" s="113">
        <f>SUM(P7:P15)</f>
        <v>39973.635631144061</v>
      </c>
      <c r="Q16" s="128">
        <f>SUM(Q7:Q15)</f>
        <v>0</v>
      </c>
      <c r="R16" s="314">
        <v>14</v>
      </c>
      <c r="S16" s="300" t="str">
        <f>+'14'!A6:A6</f>
        <v xml:space="preserve"> _FR TRADERS (Risen)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 _FR TRADERS (Risen)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 _FR TRADERS (Risen)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39225.699999999997</v>
      </c>
      <c r="R19" s="299">
        <v>17</v>
      </c>
      <c r="S19" s="300" t="str">
        <f>+'17'!A6:A6</f>
        <v xml:space="preserve"> _FR TRADERS (Risen)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5491.5980000000009</v>
      </c>
      <c r="R20" s="299">
        <v>18</v>
      </c>
      <c r="S20" s="300" t="str">
        <f>+'18'!A6:A6</f>
        <v xml:space="preserve"> _FR TRADERS (Risen)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1372.8995000000002</v>
      </c>
      <c r="R21" s="299">
        <v>19</v>
      </c>
      <c r="S21" s="300" t="str">
        <f>+'19'!A6:A6</f>
        <v xml:space="preserve"> _FR TRADERS (Risen)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32361.202499999999</v>
      </c>
      <c r="R22" s="299">
        <v>20</v>
      </c>
      <c r="S22" s="300" t="str">
        <f>+'20'!A6:A6</f>
        <v xml:space="preserve"> _FR TRADERS (Risen)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7413.5593220338978</v>
      </c>
      <c r="R23" s="299">
        <v>21</v>
      </c>
      <c r="S23" s="300" t="str">
        <f>+'21'!A6:A6</f>
        <v xml:space="preserve"> _FR TRADERS (Risen)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39774.761822033899</v>
      </c>
      <c r="R24" s="299">
        <v>22</v>
      </c>
      <c r="S24" s="300" t="str">
        <f>+'22'!A6:A6</f>
        <v xml:space="preserve"> _FR TRADERS (Risen)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198.87380911016947</v>
      </c>
      <c r="R25" s="299">
        <v>23</v>
      </c>
      <c r="S25" s="300" t="str">
        <f>+'23'!A6:A6</f>
        <v xml:space="preserve"> _FR TRADERS (Risen)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39973.635631144069</v>
      </c>
      <c r="R26" s="299">
        <v>24</v>
      </c>
      <c r="S26" s="300" t="str">
        <f>+'24'!A6:A6</f>
        <v xml:space="preserve"> _FR TRADERS (Risen)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 xml:space="preserve"> _FR TRADERS (Risen)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 _FR TRADERS (Risen)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 _FR TRADERS (Risen)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 _FR TRADERS (Risen)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 _FR TRADERS (Risen)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 _FR TRADERS (Risen)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39973.635631144069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J4" sqref="J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515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518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1468.95</v>
      </c>
      <c r="K16" s="127">
        <f>$I16*T16</f>
        <v>367.23750000000001</v>
      </c>
      <c r="L16" s="118">
        <f>$I16*U16</f>
        <v>0</v>
      </c>
      <c r="M16" s="229">
        <f>I16-SUM(J16:L16)</f>
        <v>8656.3125</v>
      </c>
      <c r="N16" s="248">
        <f>+(G16*D16+H16)*V16</f>
        <v>1983.0508474576263</v>
      </c>
      <c r="O16" s="238">
        <f>(N16+M16)*$O$15</f>
        <v>53.196816737288138</v>
      </c>
      <c r="P16" s="310">
        <f>M16+N16+O16</f>
        <v>10692.560164194916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160</v>
      </c>
      <c r="I18" s="236">
        <f t="shared" ref="I18:I21" si="7">(G18*D18)*F18+H18*F18</f>
        <v>8394</v>
      </c>
      <c r="J18" s="272">
        <f t="shared" si="1"/>
        <v>1175.1600000000001</v>
      </c>
      <c r="K18" s="128">
        <f t="shared" si="1"/>
        <v>293.79000000000002</v>
      </c>
      <c r="L18" s="119">
        <f t="shared" si="1"/>
        <v>0</v>
      </c>
      <c r="M18" s="230">
        <f t="shared" si="2"/>
        <v>6925.05</v>
      </c>
      <c r="N18" s="277">
        <f t="shared" si="3"/>
        <v>1586.440677966101</v>
      </c>
      <c r="O18" s="239">
        <f t="shared" si="4"/>
        <v>42.557453389830506</v>
      </c>
      <c r="P18" s="311">
        <f t="shared" si="5"/>
        <v>8554.0481313559321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311">
        <f t="shared" si="5"/>
        <v>8883.0117152542352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160</v>
      </c>
      <c r="I21" s="236">
        <f t="shared" si="7"/>
        <v>11622.4</v>
      </c>
      <c r="J21" s="272">
        <f t="shared" si="1"/>
        <v>1627.1360000000002</v>
      </c>
      <c r="K21" s="128">
        <f t="shared" si="1"/>
        <v>406.78400000000005</v>
      </c>
      <c r="L21" s="119">
        <f t="shared" si="1"/>
        <v>0</v>
      </c>
      <c r="M21" s="230">
        <f t="shared" si="2"/>
        <v>9588.48</v>
      </c>
      <c r="N21" s="277">
        <f t="shared" si="3"/>
        <v>2196.6101694915255</v>
      </c>
      <c r="O21" s="239">
        <f t="shared" si="4"/>
        <v>58.925450847457626</v>
      </c>
      <c r="P21" s="311">
        <f t="shared" si="5"/>
        <v>11844.015620338982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640</v>
      </c>
      <c r="I25" s="114">
        <f t="shared" ref="I25:M25" si="10">SUM(I16:I24)</f>
        <v>39225.699999999997</v>
      </c>
      <c r="J25" s="274">
        <f>SUM(J16:J24)</f>
        <v>5491.5980000000009</v>
      </c>
      <c r="K25" s="275">
        <f t="shared" si="10"/>
        <v>1372.8995000000002</v>
      </c>
      <c r="L25" s="276">
        <f t="shared" si="10"/>
        <v>0</v>
      </c>
      <c r="M25" s="232">
        <f t="shared" si="10"/>
        <v>32361.202499999996</v>
      </c>
      <c r="N25" s="233">
        <f>SUM(N16:N24)</f>
        <v>7413.5593220338978</v>
      </c>
      <c r="O25" s="101">
        <f>SUM(O16:O24)</f>
        <v>198.87380911016947</v>
      </c>
      <c r="P25" s="113">
        <f>SUM(P16:P24)</f>
        <v>39973.635631144061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39225.699999999997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5491.5980000000009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1372.8995000000002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32361.202499999999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7413.5593220338978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39774.761822033899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198.8738091101695</v>
      </c>
    </row>
    <row r="35" spans="2:16" ht="15.75" customHeight="1" thickBot="1" x14ac:dyDescent="0.4">
      <c r="N35" s="343" t="s">
        <v>88</v>
      </c>
      <c r="O35" s="344"/>
      <c r="P35" s="297">
        <f>+P33+P34</f>
        <v>39973.635631144069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8.7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8.7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46326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46325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2026-10-30T08:46:04Z</dcterms:modified>
</cp:coreProperties>
</file>