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8480CF4-5B04-4A80-990B-3DA8C4F506B5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<sst xmlns="http://schemas.openxmlformats.org/spreadsheetml/2006/main" count="3978" uniqueCount="529">
  <si>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</si>
  <si>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</si>
  <si>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</si>
  <si>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</si>
  <si>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</si>
  <si>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</si>
  <si>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</si>
  <si>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</si>
  <si>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</si>
  <si>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</si>
  <si>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</si>
  <si>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</si>
  <si>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</si>
  <si>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</si>
  <si>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</si>
  <si>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</si>
  <si>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</si>
  <si>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</si>
  <si>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</si>
  <si>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</si>
  <si>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</si>
  <si>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</si>
  <si>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</si>
  <si>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</si>
  <si>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</si>
  <si>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</si>
  <si>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</si>
  <si>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</si>
  <si>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</si>
  <si>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</si>
  <si>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</si>
  <si>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</si>
  <si>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</si>
  <si>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</si>
  <si>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</si>
  <si>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</si>
  <si>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</si>
  <si>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</si>
  <si>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</si>
  <si>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</si>
  <si>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</si>
  <si>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</si>
  <si>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</si>
  <si>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</si>
  <si>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</si>
  <si>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</si>
  <si>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</si>
  <si>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</si>
  <si>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</si>
  <si>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</si>
  <si>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</si>
  <si>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</si>
  <si>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</si>
  <si>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</si>
  <si>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</si>
  <si>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</si>
  <si>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</si>
  <si>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</si>
  <si>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</si>
  <si>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</si>
  <si>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</si>
  <si>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</si>
  <si>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</si>
  <si>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</si>
  <si>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</si>
  <si>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</si>
  <si>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</si>
  <si>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</si>
  <si>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</si>
  <si>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</si>
  <si>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</si>
  <si>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</si>
  <si>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</si>
  <si>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</si>
  <si>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</si>
  <si>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</si>
  <si>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</si>
  <si>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</si>
  <si>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</si>
  <si>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</si>
  <si>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</si>
  <si>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</si>
  <si>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</si>
  <si>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</si>
  <si>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</si>
  <si>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</si>
  <si>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</si>
  <si>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</si>
  <si>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</si>
  <si>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</si>
  <si>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</si>
  <si>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</si>
  <si>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</si>
  <si>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</si>
  <si>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</si>
  <si>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</si>
  <si>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</si>
  <si>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</si>
  <si>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</si>
  <si>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</si>
  <si>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</si>
  <si>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</si>
  <si>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</si>
  <si>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</si>
  <si>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</si>
  <si>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</si>
  <si>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</si>
  <si>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</si>
  <si>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</si>
  <si>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</si>
  <si>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</si>
  <si>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</si>
  <si>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</si>
  <si>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</si>
  <si>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</si>
  <si>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</si>
  <si>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</si>
  <si>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</si>
  <si>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</si>
  <si>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</si>
  <si>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</si>
  <si>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</si>
  <si>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</si>
  <si>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</si>
  <si>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</si>
  <si>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</si>
  <si>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</si>
  <si>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</si>
  <si>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</si>
  <si>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</si>
  <si>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</si>
  <si>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</si>
  <si>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</si>
  <si>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</si>
  <si>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</si>
  <si>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</si>
  <si>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</si>
  <si>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</si>
  <si>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</si>
  <si>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</si>
  <si>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</si>
  <si>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</si>
  <si>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</si>
  <si>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</si>
  <si>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</si>
  <si>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</si>
  <si>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</si>
  <si>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</si>
  <si>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</si>
  <si>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</si>
  <si>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</si>
  <si>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</si>
  <si>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</si>
  <si>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</si>
  <si>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</si>
  <si>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</si>
  <si>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</si>
  <si>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</si>
  <si>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</si>
  <si>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</si>
  <si>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</si>
  <si>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</si>
  <si>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</si>
  <si>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</si>
  <si>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</si>
  <si>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</si>
  <si>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</si>
  <si>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</si>
  <si>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</si>
  <si>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</si>
  <si>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</si>
  <si>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</si>
  <si>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</si>
  <si>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</si>
  <si>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</si>
  <si>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</si>
  <si>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</si>
  <si>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</si>
  <si>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</si>
  <si>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</si>
  <si>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</si>
  <si>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</si>
  <si>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</si>
  <si>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</si>
  <si>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</si>
  <si>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</si>
  <si>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</si>
  <si>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</si>
  <si>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</si>
  <si>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</si>
  <si>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</si>
  <si>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</si>
  <si>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</si>
  <si>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</si>
  <si>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</si>
  <si>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</si>
  <si>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</si>
  <si>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</si>
  <si>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</si>
  <si>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</si>
  <si>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</si>
  <si>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</si>
  <si>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</si>
  <si>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</si>
  <si>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</si>
  <si>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</si>
  <si>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</si>
  <si>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</si>
  <si>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</si>
  <si>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</si>
  <si>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</si>
  <si>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</si>
  <si>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</si>
  <si>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</si>
  <si>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</si>
  <si>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</si>
  <si>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</si>
  <si>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</si>
  <si>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</si>
  <si>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</si>
  <si>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</si>
  <si>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</si>
  <si>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</si>
  <si>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</si>
  <si>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</si>
  <si>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</si>
  <si>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</si>
  <si>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</si>
  <si>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</si>
  <si>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</si>
  <si>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</si>
  <si>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</si>
  <si>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</si>
  <si>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</si>
  <si>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</si>
  <si>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</si>
  <si>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</si>
  <si>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</si>
  <si>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</si>
  <si>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</si>
  <si>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</si>
  <si>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</si>
  <si>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</si>
  <si>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</si>
  <si>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</si>
  <si>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</si>
  <si>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</si>
  <si>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</si>
  <si>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</si>
  <si>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</si>
  <si>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</si>
  <si>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</si>
  <si>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</si>
  <si>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</si>
  <si>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</si>
  <si>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</si>
  <si>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</si>
  <si>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</si>
  <si>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</si>
  <si>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</si>
  <si>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</si>
  <si>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</si>
  <si>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</si>
  <si>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</si>
  <si>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</si>
  <si>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</si>
  <si>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</si>
  <si>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</si>
  <si>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</si>
  <si>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</si>
  <si>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</si>
  <si>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</si>
  <si>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</si>
  <si>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</si>
  <si>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</si>
  <si>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</si>
  <si>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</si>
  <si>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</si>
  <si>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</si>
  <si>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</si>
  <si>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</si>
  <si>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</si>
  <si>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</si>
  <si>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</si>
  <si>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</si>
  <si>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</si>
  <si>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</si>
  <si>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</si>
  <si>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</si>
  <si>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</si>
  <si>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</si>
  <si>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</si>
  <si>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</si>
  <si>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</si>
  <si>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</si>
  <si>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</si>
  <si>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</si>
  <si>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</si>
  <si>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</si>
  <si>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</si>
  <si>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</si>
  <si>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</si>
  <si>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</si>
  <si>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</si>
  <si>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</si>
  <si>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</si>
  <si>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</si>
  <si>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</si>
  <si>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</si>
  <si>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</si>
  <si>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</si>
  <si>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</si>
  <si>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</si>
  <si>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</si>
  <si>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</si>
  <si>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</si>
  <si>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</si>
  <si>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</si>
  <si>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</si>
  <si>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</si>
  <si>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</si>
  <si>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</si>
  <si>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</si>
  <si>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</si>
  <si>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</si>
  <si>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</si>
  <si>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</si>
  <si>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</si>
  <si>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</si>
  <si>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</si>
  <si>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</si>
  <si>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</si>
  <si>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</si>
  <si>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</si>
  <si>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</si>
  <si>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</si>
  <si>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</si>
  <si>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</si>
  <si>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</si>
  <si>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</si>
  <si>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</si>
  <si>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</si>
  <si>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</si>
  <si>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</si>
  <si>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</si>
  <si>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</si>
  <si>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</si>
  <si>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</si>
  <si>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</si>
  <si>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</si>
  <si>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</si>
  <si>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</si>
  <si>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</si>
  <si>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</si>
  <si>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</si>
  <si>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</si>
  <si>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</si>
  <si>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</si>
  <si>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</si>
  <si>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</si>
  <si>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</si>
  <si>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</si>
  <si>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</si>
  <si>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</si>
  <si>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</si>
  <si>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</si>
  <si>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</si>
  <si>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</si>
  <si>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</si>
  <si>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</si>
  <si>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</si>
  <si>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</si>
  <si>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</si>
  <si>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</si>
  <si>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</si>
  <si>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</si>
  <si>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</si>
  <si>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</si>
  <si>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</si>
  <si>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</si>
  <si>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</si>
  <si>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</si>
  <si>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</si>
  <si>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</si>
  <si>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</si>
  <si>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</si>
  <si>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</si>
  <si>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</si>
  <si>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</si>
  <si>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</si>
  <si>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</si>
  <si>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</si>
  <si>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</si>
  <si>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</si>
  <si>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</si>
  <si>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</si>
  <si>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</si>
  <si>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</si>
  <si>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</si>
  <si>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</si>
  <si>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</si>
  <si>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</si>
  <si>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</si>
  <si>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</si>
  <si>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</si>
  <si>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</si>
  <si>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</si>
  <si>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</si>
  <si>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</si>
  <si>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</si>
  <si>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</si>
  <si>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</si>
  <si>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</si>
  <si>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</si>
  <si>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</si>
  <si>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</si>
  <si>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</si>
  <si>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</si>
  <si>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</si>
  <si>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</si>
  <si>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</si>
  <si>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</si>
  <si>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</si>
  <si>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</si>
  <si>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</si>
  <si>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</si>
  <si>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</si>
  <si>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</si>
  <si>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</si>
  <si>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</si>
  <si>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</si>
  <si>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</si>
  <si>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</si>
  <si>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</si>
  <si>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</si>
  <si>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</si>
  <si>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</si>
  <si>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</si>
  <si>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</si>
  <si>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</si>
  <si>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</si>
  <si>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</si>
  <si>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</si>
  <si>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</si>
  <si>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</si>
  <si>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</si>
  <si>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</si>
  <si>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</si>
  <si>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</si>
  <si>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</si>
  <si>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</si>
  <si>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</si>
  <si>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</si>
  <si>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</si>
  <si>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</si>
  <si>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</si>
  <si>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</si>
  <si>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</si>
  <si>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</si>
  <si>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</si>
  <si>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</si>
  <si>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</si>
  <si>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</si>
  <si>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</si>
  <si>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</si>
  <si>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</si>
  <si>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</si>
  <si>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</si>
  <si>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</si>
  <si>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</si>
  <si>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</si>
  <si>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</si>
  <si>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</si>
  <si>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</si>
  <si>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</si>
  <si>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</si>
  <si>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</si>
  <si>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</si>
  <si>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</si>
  <si>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</si>
  <si>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</si>
  <si>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</si>
  <si>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</si>
  <si>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</si>
  <si>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</si>
  <si>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</si>
  <si>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</si>
  <si>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</si>
  <si>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</si>
  <si>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</si>
  <si>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</si>
  <si>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</si>
  <si>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</si>
  <si>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</si>
  <si>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</si>
  <si>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</si>
  <si>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</si>
  <si>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</si>
  <si>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</si>
  <si>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</si>
  <si>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</si>
  <si>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</si>
  <si>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</si>
  <si>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</si>
  <si>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</si>
  <si>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</si>
  <si>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</si>
  <si>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</si>
  <si>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</si>
  <si>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</si>
  <si>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</si>
  <si>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</si>
  <si>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</si>
  <si>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</si>
  <si>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</si>
  <si>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</si>
  <si>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Umair</t>
  </si>
  <si>
    <t xml:space="preserve">Al Fazal Cash N Carry </t>
  </si>
  <si>
    <t>Address: Nashter Bazar</t>
  </si>
  <si>
    <t xml:space="preserve">Al ahmad Bakers </t>
  </si>
  <si>
    <t xml:space="preserve">Address: Nashter Bazar </t>
  </si>
  <si>
    <t xml:space="preserve">A 1 Bakery </t>
  </si>
  <si>
    <t xml:space="preserve">Faridiya Veriety </t>
  </si>
  <si>
    <t>Hanif Khan GS</t>
  </si>
  <si>
    <t xml:space="preserve">Every K Bakery </t>
  </si>
  <si>
    <t xml:space="preserve">Khubaib Super Mart </t>
  </si>
  <si>
    <t xml:space="preserve">SS Bakers </t>
  </si>
  <si>
    <t>Haji Sardar</t>
  </si>
  <si>
    <t>Hashaam 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</si>
</sst>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46245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Al Fazal Cash N Carry </v>
      </c>
      <c r="T3" s="301">
        <f>+'1'!P35</f>
        <v>6272.4231701694916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Al ahmad Bakers </v>
      </c>
      <c r="T4" s="301">
        <f>+'2'!P35</f>
        <v>4805.3894985762718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 xml:space="preserve">A 1 Bakery </v>
      </c>
      <c r="T5" s="301">
        <f>+'3'!P35</f>
        <v>3136.2115850847463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 xml:space="preserve">Faridiya Veriety </v>
      </c>
      <c r="T6" s="301">
        <f>+'4'!P35</f>
        <v>1568.1057925423729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Hanif Khan GS</v>
      </c>
      <c r="T7" s="301">
        <f>+'5'!P35</f>
        <v>834.58895674576274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Every K Bakery </v>
      </c>
      <c r="T8" s="301">
        <f>+'6'!P35</f>
        <v>1669.1779134915255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Khubaib Super Mart 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126</v>
      </c>
      <c r="I10" s="236">
        <f t="shared" si="0"/>
        <v>9152.64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732.21120000000019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320.3424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8100.0863999999992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1729.8305084745764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49.149584542372885</v>
      </c>
      <c r="P10" s="311">
        <f t="shared" si="2"/>
        <v>9879.0664930169478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SS Bakers </v>
      </c>
      <c r="T10" s="301">
        <f>+'8'!P35</f>
        <v>1881.7269510508474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44</v>
      </c>
      <c r="I11" s="236">
        <f t="shared" si="0"/>
        <v>3196.16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255.69280000000001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111.86560000000001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2828.6016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604.06779661016947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17.163346983050847</v>
      </c>
      <c r="P11" s="311">
        <f t="shared" si="2"/>
        <v>3449.8327435932201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Haji Sardar</v>
      </c>
      <c r="T11" s="301">
        <f>+'9'!P35</f>
        <v>4805.3894985762709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134</v>
      </c>
      <c r="I12" s="236">
        <f t="shared" si="0"/>
        <v>9733.76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778.70080000000019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340.6816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8614.3775999999998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1839.6610169491528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52.270193084745763</v>
      </c>
      <c r="P12" s="311">
        <f t="shared" si="2"/>
        <v>10506.308810033897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Hashaam GS</v>
      </c>
      <c r="T12" s="301">
        <f>+'10'!P35</f>
        <v>2402.6947492881354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160</v>
      </c>
      <c r="I13" s="236">
        <f t="shared" si="0"/>
        <v>6276.8000000000011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313.84000000000009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219.68800000000005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320.11680000000001</v>
      </c>
      <c r="M13" s="230">
        <f t="shared" si="1"/>
        <v>5423.1552000000011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1220.3389830508468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33.217470915254239</v>
      </c>
      <c r="P13" s="311">
        <f t="shared" si="2"/>
        <v>6676.7116539661019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11.6</v>
      </c>
      <c r="H16" s="113">
        <f t="shared" ref="H16:M16" si="3">SUM(H7:H15)</f>
        <v>464</v>
      </c>
      <c r="I16" s="114">
        <f t="shared" si="3"/>
        <v>28359.360000000001</v>
      </c>
      <c r="J16" s="274">
        <f>SUM(J7:J15)</f>
        <v>2080.4448000000007</v>
      </c>
      <c r="K16" s="275">
        <f t="shared" si="3"/>
        <v>992.57760000000007</v>
      </c>
      <c r="L16" s="276">
        <f t="shared" si="3"/>
        <v>320.11680000000001</v>
      </c>
      <c r="M16" s="232">
        <f t="shared" si="3"/>
        <v>24966.220799999999</v>
      </c>
      <c r="N16" s="233">
        <f>SUM(N7:N15)</f>
        <v>5393.8983050847455</v>
      </c>
      <c r="O16" s="101">
        <f>SUM(O7:O15)</f>
        <v>151.80059552542374</v>
      </c>
      <c r="P16" s="113">
        <f>SUM(P7:P15)</f>
        <v>30511.919700610168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28359.360000000001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2080.4448000000007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1312.6944000000001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24966.220799999999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5393.8983050847455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30360.119105084745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151.80059552542374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30511.919700610168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30511.919700610168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7.2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5811.2</v>
      </c>
      <c r="J25" s="274">
        <f>SUM(J16:J24)</f>
        <v>464.89600000000002</v>
      </c>
      <c r="K25" s="275">
        <f t="shared" si="10"/>
        <v>203.39200000000002</v>
      </c>
      <c r="L25" s="276">
        <f t="shared" si="10"/>
        <v>0</v>
      </c>
      <c r="M25" s="232">
        <f t="shared" si="10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5811.2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464.89600000000002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203.39200000000002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5142.9120000000003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6241.2170847457628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1" t="s">
        <v>88</v>
      </c>
      <c r="O35" s="372"/>
      <c r="P35" s="297">
        <f>+P33+P34</f>
        <v>6272.4231701694916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</v>
      </c>
      <c r="I21" s="236">
        <f t="shared" si="0"/>
        <v>1162.24</v>
      </c>
      <c r="J21" s="272">
        <f t="shared" si="1"/>
        <v>92.979200000000006</v>
      </c>
      <c r="K21" s="128">
        <f t="shared" si="1"/>
        <v>40.678400000000003</v>
      </c>
      <c r="L21" s="119">
        <f t="shared" si="1"/>
        <v>0</v>
      </c>
      <c r="M21" s="230">
        <f t="shared" si="2"/>
        <v>1028.5824</v>
      </c>
      <c r="N21" s="277">
        <f t="shared" si="3"/>
        <v>219.66101694915255</v>
      </c>
      <c r="O21" s="239">
        <f t="shared" si="4"/>
        <v>6.2412170847457631</v>
      </c>
      <c r="P21" s="311">
        <f t="shared" si="5"/>
        <v>1254.4846340338984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4474.8000000000011</v>
      </c>
      <c r="J25" s="274">
        <f>SUM(J16:J24)</f>
        <v>310.90800000000007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4474.8000000000011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310.90800000000007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236.64720000000003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3927.2448000000009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4781.4820881355936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23.907410440677968</v>
      </c>
    </row>
    <row r="35" spans="2:16" ht="15.75" customHeight="1" thickBot="1" x14ac:dyDescent="0.4">
      <c r="N35" s="371" t="s">
        <v>88</v>
      </c>
      <c r="O35" s="372"/>
      <c r="P35" s="297">
        <f>+P33+P34</f>
        <v>4805.3894985762718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8.7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</v>
      </c>
      <c r="I21" s="236">
        <f t="shared" si="0"/>
        <v>1162.24</v>
      </c>
      <c r="J21" s="272">
        <f t="shared" si="1"/>
        <v>92.979200000000006</v>
      </c>
      <c r="K21" s="128">
        <f t="shared" si="1"/>
        <v>40.678400000000003</v>
      </c>
      <c r="L21" s="119">
        <f t="shared" si="1"/>
        <v>0</v>
      </c>
      <c r="M21" s="230">
        <f t="shared" si="2"/>
        <v>1028.5824</v>
      </c>
      <c r="N21" s="277">
        <f t="shared" si="3"/>
        <v>219.66101694915255</v>
      </c>
      <c r="O21" s="239">
        <f t="shared" si="4"/>
        <v>6.2412170847457631</v>
      </c>
      <c r="P21" s="311">
        <f t="shared" si="5"/>
        <v>1254.4846340338984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2905.6000000000004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232.44800000000004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2571.4560000000006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3136.2115850847463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1452.8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116.224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50.848000000000006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1285.7280000000001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1560.3042711864407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1" t="s">
        <v>88</v>
      </c>
      <c r="O35" s="372"/>
      <c r="P35" s="297">
        <f>+P33+P34</f>
        <v>1568.1057925423729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113">
        <f>SUM(P16:P24)</f>
        <v>834.58895674576274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784.60000000000014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39.230000000000011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67.475600000000014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677.89440000000013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830.43677288135598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71" t="s">
        <v>88</v>
      </c>
      <c r="O35" s="372"/>
      <c r="P35" s="297">
        <f>+P33+P34</f>
        <v>834.58895674576274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113">
        <f>SUM(P16:P24)</f>
        <v>1881.7269510508474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1743.3600000000001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139.46880000000002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61.017600000000009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1542.8736000000001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1872.3651254237288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1" t="s">
        <v>88</v>
      </c>
      <c r="O35" s="372"/>
      <c r="P35" s="297">
        <f>+P33+P34</f>
        <v>1881.7269510508474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4474.8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310.90800000000002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236.64720000000003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3927.2447999999999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4781.4820881355927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1" t="s">
        <v>88</v>
      </c>
      <c r="O35" s="372"/>
      <c r="P35" s="297">
        <f>+P33+P34</f>
        <v>4805.3894985762709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2237.4</v>
      </c>
      <c r="J25" s="274">
        <f>SUM(J16:J24)</f>
        <v>155.45400000000001</v>
      </c>
      <c r="K25" s="275">
        <f t="shared" si="7"/>
        <v>78.309000000000012</v>
      </c>
      <c r="L25" s="276">
        <f t="shared" si="7"/>
        <v>40.014600000000002</v>
      </c>
      <c r="M25" s="232">
        <f t="shared" si="7"/>
        <v>1963.6224000000002</v>
      </c>
      <c r="N25" s="233">
        <f>SUM(N16:N24)</f>
        <v>427.11864406779654</v>
      </c>
      <c r="O25" s="101">
        <f>SUM(O16:O24)</f>
        <v>11.953705220338984</v>
      </c>
      <c r="P25" s="113">
        <f>SUM(P16:P24)</f>
        <v>2402.6947492881354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2237.4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155.45400000000001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118.32360000000001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1963.6224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427.11864406779654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2390.7410440677963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11.953705220338982</v>
      </c>
    </row>
    <row r="35" spans="2:16" ht="15.75" customHeight="1" thickBot="1" x14ac:dyDescent="0.4">
      <c r="N35" s="371" t="s">
        <v>88</v>
      </c>
      <c r="O35" s="372"/>
      <c r="P35" s="297">
        <f>+P33+P34</f>
        <v>2402.6947492881354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46246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46245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2026-08-11T12:24:28Z</dcterms:modified>
</cp:coreProperties>
</file>