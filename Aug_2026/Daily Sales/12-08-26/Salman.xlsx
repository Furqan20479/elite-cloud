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ABB64C-AF3B-4F6F-AC1E-9F4D0C56AA3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1" i="47"/>
  <c r="O21" i="47" s="1"/>
  <c r="P21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<sst xmlns="http://schemas.openxmlformats.org/spreadsheetml/2006/main" count="3978" uniqueCount="529">
  <si>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</si>
  <si>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</si>
  <si>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</si>
  <si>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</si>
  <si>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</si>
  <si>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</si>
  <si>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</si>
  <si>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</si>
  <si>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</si>
  <si>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</si>
  <si>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</si>
  <si>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</si>
  <si>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</si>
  <si>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</si>
  <si>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</si>
  <si>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</si>
  <si>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</si>
  <si>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</si>
  <si>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</si>
  <si>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</si>
  <si>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</si>
  <si>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</si>
  <si>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</si>
  <si>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</si>
  <si>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</si>
  <si>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</si>
  <si>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</si>
  <si>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</si>
  <si>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</si>
  <si>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</si>
  <si>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</si>
  <si>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</si>
  <si>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</si>
  <si>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</si>
  <si>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</si>
  <si>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</si>
  <si>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</si>
  <si>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</si>
  <si>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</si>
  <si>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</si>
  <si>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</si>
  <si>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</si>
  <si>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</si>
  <si>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</si>
  <si>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</si>
  <si>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</si>
  <si>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</si>
  <si>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</si>
  <si>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</si>
  <si>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</si>
  <si>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</si>
  <si>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</si>
  <si>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</si>
  <si>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</si>
  <si>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</si>
  <si>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</si>
  <si>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</si>
  <si>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</si>
  <si>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</si>
  <si>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</si>
  <si>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</si>
  <si>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</si>
  <si>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</si>
  <si>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</si>
  <si>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</si>
  <si>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</si>
  <si>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</si>
  <si>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</si>
  <si>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</si>
  <si>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</si>
  <si>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</si>
  <si>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</si>
  <si>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</si>
  <si>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</si>
  <si>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</si>
  <si>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</si>
  <si>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</si>
  <si>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</si>
  <si>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</si>
  <si>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</si>
  <si>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</si>
  <si>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</si>
  <si>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</si>
  <si>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</si>
  <si>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</si>
  <si>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</si>
  <si>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</si>
  <si>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</si>
  <si>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</si>
  <si>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</si>
  <si>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</si>
  <si>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</si>
  <si>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</si>
  <si>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</si>
  <si>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</si>
  <si>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</si>
  <si>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</si>
  <si>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</si>
  <si>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</si>
  <si>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</si>
  <si>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</si>
  <si>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</si>
  <si>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</si>
  <si>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</si>
  <si>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</si>
  <si>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</si>
  <si>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</si>
  <si>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</si>
  <si>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</si>
  <si>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</si>
  <si>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</si>
  <si>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</si>
  <si>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</si>
  <si>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</si>
  <si>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</si>
  <si>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</si>
  <si>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</si>
  <si>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</si>
  <si>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</si>
  <si>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</si>
  <si>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</si>
  <si>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</si>
  <si>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</si>
  <si>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</si>
  <si>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</si>
  <si>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</si>
  <si>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</si>
  <si>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</si>
  <si>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</si>
  <si>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</si>
  <si>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</si>
  <si>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</si>
  <si>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</si>
  <si>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</si>
  <si>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</si>
  <si>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</si>
  <si>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</si>
  <si>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</si>
  <si>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</si>
  <si>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</si>
  <si>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</si>
  <si>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</si>
  <si>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</si>
  <si>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</si>
  <si>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</si>
  <si>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</si>
  <si>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</si>
  <si>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</si>
  <si>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</si>
  <si>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</si>
  <si>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</si>
  <si>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</si>
  <si>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</si>
  <si>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</si>
  <si>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</si>
  <si>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</si>
  <si>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</si>
  <si>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</si>
  <si>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</si>
  <si>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</si>
  <si>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</si>
  <si>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</si>
  <si>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</si>
  <si>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</si>
  <si>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</si>
  <si>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</si>
  <si>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</si>
  <si>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</si>
  <si>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</si>
  <si>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</si>
  <si>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</si>
  <si>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</si>
  <si>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</si>
  <si>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</si>
  <si>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</si>
  <si>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</si>
  <si>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</si>
  <si>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</si>
  <si>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</si>
  <si>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</si>
  <si>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</si>
  <si>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</si>
  <si>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</si>
  <si>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</si>
  <si>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</si>
  <si>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</si>
  <si>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</si>
  <si>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</si>
  <si>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</si>
  <si>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</si>
  <si>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</si>
  <si>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</si>
  <si>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</si>
  <si>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</si>
  <si>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</si>
  <si>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</si>
  <si>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</si>
  <si>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</si>
  <si>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</si>
  <si>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</si>
  <si>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</si>
  <si>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</si>
  <si>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</si>
  <si>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</si>
  <si>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</si>
  <si>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</si>
  <si>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</si>
  <si>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</si>
  <si>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</si>
  <si>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</si>
  <si>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</si>
  <si>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</si>
  <si>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</si>
  <si>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</si>
  <si>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</si>
  <si>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</si>
  <si>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</si>
  <si>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</si>
  <si>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</si>
  <si>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</si>
  <si>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</si>
  <si>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</si>
  <si>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</si>
  <si>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</si>
  <si>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</si>
  <si>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</si>
  <si>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</si>
  <si>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</si>
  <si>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</si>
  <si>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</si>
  <si>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</si>
  <si>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</si>
  <si>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</si>
  <si>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</si>
  <si>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</si>
  <si>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</si>
  <si>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</si>
  <si>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</si>
  <si>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</si>
  <si>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</si>
  <si>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</si>
  <si>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</si>
  <si>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</si>
  <si>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</si>
  <si>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</si>
  <si>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</si>
  <si>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</si>
  <si>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</si>
  <si>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</si>
  <si>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</si>
  <si>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</si>
  <si>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</si>
  <si>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</si>
  <si>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</si>
  <si>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</si>
  <si>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</si>
  <si>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</si>
  <si>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</si>
  <si>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</si>
  <si>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</si>
  <si>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</si>
  <si>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</si>
  <si>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</si>
  <si>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</si>
  <si>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</si>
  <si>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</si>
  <si>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</si>
  <si>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</si>
  <si>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</si>
  <si>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</si>
  <si>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</si>
  <si>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</si>
  <si>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</si>
  <si>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</si>
  <si>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</si>
  <si>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</si>
  <si>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</si>
  <si>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</si>
  <si>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</si>
  <si>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</si>
  <si>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</si>
  <si>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</si>
  <si>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</si>
  <si>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</si>
  <si>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</si>
  <si>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</si>
  <si>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</si>
  <si>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</si>
  <si>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</si>
  <si>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</si>
  <si>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</si>
  <si>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</si>
  <si>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</si>
  <si>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</si>
  <si>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</si>
  <si>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</si>
  <si>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</si>
  <si>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</si>
  <si>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</si>
  <si>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</si>
  <si>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</si>
  <si>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</si>
  <si>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</si>
  <si>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</si>
  <si>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</si>
  <si>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</si>
  <si>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</si>
  <si>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</si>
  <si>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</si>
  <si>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</si>
  <si>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</si>
  <si>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</si>
  <si>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</si>
  <si>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</si>
  <si>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</si>
  <si>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</si>
  <si>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</si>
  <si>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</si>
  <si>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</si>
  <si>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</si>
  <si>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</si>
  <si>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</si>
  <si>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</si>
  <si>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</si>
  <si>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</si>
  <si>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</si>
  <si>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</si>
  <si>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</si>
  <si>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</si>
  <si>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</si>
  <si>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</si>
  <si>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</si>
  <si>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</si>
  <si>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</si>
  <si>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</si>
  <si>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</si>
  <si>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</si>
  <si>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</si>
  <si>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</si>
  <si>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</si>
  <si>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</si>
  <si>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</si>
  <si>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</si>
  <si>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</si>
  <si>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</si>
  <si>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</si>
  <si>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</si>
  <si>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</si>
  <si>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</si>
  <si>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</si>
  <si>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</si>
  <si>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</si>
  <si>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</si>
  <si>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</si>
  <si>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</si>
  <si>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</si>
  <si>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</si>
  <si>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</si>
  <si>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</si>
  <si>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</si>
  <si>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</si>
  <si>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</si>
  <si>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</si>
  <si>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</si>
  <si>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</si>
  <si>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</si>
  <si>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</si>
  <si>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</si>
  <si>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</si>
  <si>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</si>
  <si>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</si>
  <si>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</si>
  <si>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</si>
  <si>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</si>
  <si>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</si>
  <si>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</si>
  <si>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</si>
  <si>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</si>
  <si>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</si>
  <si>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</si>
  <si>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</si>
  <si>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</si>
  <si>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</si>
  <si>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</si>
  <si>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</si>
  <si>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</si>
  <si>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</si>
  <si>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</si>
  <si>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</si>
  <si>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</si>
  <si>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</si>
  <si>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</si>
  <si>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</si>
  <si>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</si>
  <si>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</si>
  <si>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</si>
  <si>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</si>
  <si>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</si>
  <si>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</si>
  <si>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</si>
  <si>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</si>
  <si>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</si>
  <si>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</si>
  <si>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</si>
  <si>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</si>
  <si>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</si>
  <si>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</si>
  <si>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</si>
  <si>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</si>
  <si>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</si>
  <si>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</si>
  <si>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</si>
  <si>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</si>
  <si>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</si>
  <si>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</si>
  <si>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</si>
  <si>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</si>
  <si>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</si>
  <si>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</si>
  <si>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</si>
  <si>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</si>
  <si>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</si>
  <si>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</si>
  <si>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</si>
  <si>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</si>
  <si>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</si>
  <si>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</si>
  <si>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</si>
  <si>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</si>
  <si>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</si>
  <si>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</si>
  <si>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</si>
  <si>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</si>
  <si>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</si>
  <si>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</si>
  <si>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</si>
  <si>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</si>
  <si>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</si>
  <si>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</si>
  <si>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</si>
  <si>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</si>
  <si>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</si>
  <si>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</si>
  <si>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</si>
  <si>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</si>
  <si>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</si>
  <si>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</si>
  <si>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</si>
  <si>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</si>
  <si>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</si>
  <si>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</si>
  <si>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</si>
  <si>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</si>
  <si>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</si>
  <si>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</si>
  <si>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</si>
  <si>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</si>
  <si>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</si>
  <si>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</si>
  <si>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</si>
  <si>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</si>
  <si>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</si>
  <si>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</si>
  <si>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</si>
  <si>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</si>
  <si>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</si>
  <si>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</si>
  <si>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</si>
  <si>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</si>
  <si>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</si>
  <si>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</si>
  <si>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</si>
  <si>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</si>
  <si>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</si>
  <si>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</si>
  <si>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</si>
  <si>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</si>
  <si>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</si>
  <si>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</si>
  <si>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</si>
  <si>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</si>
  <si>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</si>
  <si>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</si>
  <si>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</si>
  <si>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</si>
  <si>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</si>
  <si>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</si>
  <si>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</si>
  <si>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</si>
  <si>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</si>
  <si>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</si>
  <si>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</si>
  <si>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</si>
  <si>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</si>
  <si>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</si>
  <si>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</si>
  <si>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</si>
  <si>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</si>
  <si>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</si>
  <si>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</si>
  <si>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</si>
  <si>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</si>
  <si>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</si>
  <si>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</si>
  <si>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</si>
  <si>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</si>
  <si>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</si>
  <si>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</si>
  <si>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</si>
  <si>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</si>
  <si>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</si>
  <si>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</si>
  <si>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</si>
  <si>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</si>
  <si>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</si>
  <si>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</si>
  <si>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</si>
  <si>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 xml:space="preserve">Askari Store </t>
  </si>
  <si>
    <t>Address: Pepsi Road</t>
  </si>
  <si>
    <t xml:space="preserve">Bin Dawood Mart </t>
  </si>
  <si>
    <t>Imran Store</t>
  </si>
  <si>
    <t>Khan Store</t>
  </si>
  <si>
    <t>Nazer GS</t>
  </si>
  <si>
    <t xml:space="preserve">Classic Mart </t>
  </si>
  <si>
    <t>United Store</t>
  </si>
  <si>
    <t>Cant Store</t>
  </si>
  <si>
    <t>Chishtiya Store</t>
  </si>
  <si>
    <t>Tahir Store</t>
  </si>
  <si>
    <t>Wali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</si>
</sst>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3" workbookViewId="0">
      <selection activeCell="D33" sqref="D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Askari Store </v>
      </c>
      <c r="T3" s="301">
        <f>+'1'!P35</f>
        <v>840.51111147330516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Bin Dawood Mart </v>
      </c>
      <c r="T4" s="301">
        <f>+'2'!P35</f>
        <v>3553.5060634576266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Imran Store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Khan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Nazer GS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Classic Mart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United Store</v>
      </c>
      <c r="T9" s="301">
        <f>+'7'!P35</f>
        <v>810.1894751885593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98</v>
      </c>
      <c r="I10" s="236">
        <f t="shared" si="0"/>
        <v>7118.72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569.49760000000015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249.15520000000004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6300.0672000000004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1345.4237288135594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38.227454644067798</v>
      </c>
      <c r="P10" s="311">
        <f t="shared" si="2"/>
        <v>7683.7183834576272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Cant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Chishtiya Store</v>
      </c>
      <c r="T11" s="301">
        <f>+'9'!P35</f>
        <v>470.43173776271186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Tahir Store</v>
      </c>
      <c r="T12" s="301">
        <f>+'10'!P35</f>
        <v>940.86347552542372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22</v>
      </c>
      <c r="I13" s="236">
        <f t="shared" si="0"/>
        <v>863.06000000000006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43.153000000000006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30.207100000000008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44.016060000000003</v>
      </c>
      <c r="M13" s="230">
        <f t="shared" si="1"/>
        <v>745.68384000000003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167.79661016949143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4.5674022508474579</v>
      </c>
      <c r="P13" s="311">
        <f t="shared" si="2"/>
        <v>918.04785242033881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Wali Super Store</v>
      </c>
      <c r="T13" s="301">
        <f>+'11'!P35</f>
        <v>470.43173776271186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6.05</v>
      </c>
      <c r="H16" s="113">
        <f t="shared" ref="H16:M16" si="3">SUM(H7:H15)</f>
        <v>242</v>
      </c>
      <c r="I16" s="114">
        <f t="shared" si="3"/>
        <v>16601.73</v>
      </c>
      <c r="J16" s="274">
        <f>SUM(J7:J15)</f>
        <v>1302.2466000000002</v>
      </c>
      <c r="K16" s="275">
        <f t="shared" si="3"/>
        <v>581.06055000000003</v>
      </c>
      <c r="L16" s="276">
        <f t="shared" si="3"/>
        <v>44.016060000000003</v>
      </c>
      <c r="M16" s="232">
        <f t="shared" si="3"/>
        <v>14674.406789999999</v>
      </c>
      <c r="N16" s="233">
        <f>SUM(N7:N15)</f>
        <v>3142.3728813559323</v>
      </c>
      <c r="O16" s="101">
        <f>SUM(O7:O15)</f>
        <v>89.083898356779656</v>
      </c>
      <c r="P16" s="113">
        <f>SUM(P7:P15)</f>
        <v>17905.863569712714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16601.73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1302.2466000000002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625.07661000000007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14674.406789999999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3142.3728813559323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17816.779671355933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89.083898356779656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17905.863569712714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17905.863569712714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785.53500000000008</v>
      </c>
      <c r="J25" s="274">
        <f>SUM(J16:J24)</f>
        <v>48.72</v>
      </c>
      <c r="K25" s="275">
        <f t="shared" si="10"/>
        <v>27.493725000000005</v>
      </c>
      <c r="L25" s="276">
        <f t="shared" si="10"/>
        <v>24.008760000000002</v>
      </c>
      <c r="M25" s="232">
        <f t="shared" si="10"/>
        <v>685.31251500000008</v>
      </c>
      <c r="N25" s="233">
        <f>SUM(N16:N24)</f>
        <v>151.01694915254228</v>
      </c>
      <c r="O25" s="101">
        <f>SUM(O16:O24)</f>
        <v>4.1816473207627114</v>
      </c>
      <c r="P25" s="113">
        <f>SUM(P16:P24)</f>
        <v>840.51111147330505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785.53500000000008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48.72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51.502485000000007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685.31251500000008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151.01694915254228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836.32946415254241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4.1816473207627123</v>
      </c>
    </row>
    <row r="35" spans="2:16" ht="15.75" customHeight="1" thickBot="1" x14ac:dyDescent="0.4">
      <c r="N35" s="371" t="s">
        <v>88</v>
      </c>
      <c r="O35" s="372"/>
      <c r="P35" s="297">
        <f>+P33+P34</f>
        <v>840.51111147330516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50</v>
      </c>
      <c r="I25" s="114">
        <f t="shared" si="7"/>
        <v>3297.9</v>
      </c>
      <c r="J25" s="274">
        <f>SUM(J16:J24)</f>
        <v>252.06300000000002</v>
      </c>
      <c r="K25" s="275">
        <f t="shared" si="7"/>
        <v>115.42650000000002</v>
      </c>
      <c r="L25" s="276">
        <f t="shared" si="7"/>
        <v>20.007300000000001</v>
      </c>
      <c r="M25" s="232">
        <f t="shared" si="7"/>
        <v>2910.4032000000002</v>
      </c>
      <c r="N25" s="233">
        <f>SUM(N16:N24)</f>
        <v>625.42372881355936</v>
      </c>
      <c r="O25" s="101">
        <f>SUM(O16:O24)</f>
        <v>17.679134644067798</v>
      </c>
      <c r="P25" s="113">
        <f>SUM(P16:P24)</f>
        <v>3553.5060634576271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3297.9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252.06300000000002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135.43380000000002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2910.4031999999997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625.42372881355936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3535.8269288135589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17.679134644067794</v>
      </c>
    </row>
    <row r="35" spans="2:16" ht="15.75" customHeight="1" thickBot="1" x14ac:dyDescent="0.4">
      <c r="N35" s="371" t="s">
        <v>88</v>
      </c>
      <c r="O35" s="372"/>
      <c r="P35" s="297">
        <f>+P33+P34</f>
        <v>3553.5060634576266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435.84000000000003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34.867200000000004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15.254400000000002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385.71840000000003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468.09128135593221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1" t="s">
        <v>88</v>
      </c>
      <c r="O35" s="372"/>
      <c r="P35" s="297">
        <f>+P33+P34</f>
        <v>470.43173776271186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435.84000000000003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34.867200000000004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15.254400000000002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385.71840000000003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468.09128135593221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1" t="s">
        <v>88</v>
      </c>
      <c r="O35" s="372"/>
      <c r="P35" s="297">
        <f>+P33+P34</f>
        <v>470.43173776271186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435.84000000000003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34.867200000000004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15.254400000000002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385.71840000000003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468.09128135593221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1" t="s">
        <v>88</v>
      </c>
      <c r="O35" s="372"/>
      <c r="P35" s="297">
        <f>+P33+P34</f>
        <v>470.43173776271186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750.61500000000001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664.29427499999997</v>
      </c>
      <c r="N25" s="233">
        <f>SUM(N16:N24)</f>
        <v>141.86440677966101</v>
      </c>
      <c r="O25" s="101">
        <f>SUM(O16:O24)</f>
        <v>4.0307934088983046</v>
      </c>
      <c r="P25" s="113">
        <f>SUM(P16:P24)</f>
        <v>810.1894751885593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750.61500000000001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60.049199999999999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26.271525000000004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664.29427499999997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806.15868177966104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71" t="s">
        <v>88</v>
      </c>
      <c r="O35" s="372"/>
      <c r="P35" s="297">
        <f>+P33+P34</f>
        <v>810.1894751885593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435.84000000000003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34.867200000000004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15.254400000000002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385.71840000000003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468.09128135593221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1" t="s">
        <v>88</v>
      </c>
      <c r="O35" s="372"/>
      <c r="P35" s="297">
        <f>+P33+P34</f>
        <v>470.43173776271186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871.68000000000006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69.734400000000008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30.508800000000004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771.43680000000006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936.18256271186442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1" t="s">
        <v>88</v>
      </c>
      <c r="O35" s="372"/>
      <c r="P35" s="297">
        <f>+P33+P34</f>
        <v>940.86347552542372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46245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435.84000000000003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34.867200000000004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15.254400000000002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385.71840000000003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468.09128135593221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1" t="s">
        <v>88</v>
      </c>
      <c r="O35" s="372"/>
      <c r="P35" s="297">
        <f>+P33+P34</f>
        <v>470.43173776271186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46245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46244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2026-08-11T12:13:18Z</dcterms:modified>
</cp:coreProperties>
</file>