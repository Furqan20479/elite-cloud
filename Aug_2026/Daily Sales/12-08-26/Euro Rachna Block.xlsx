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3A528D-A776-4445-AA4F-4AF53870388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<sst xmlns="http://schemas.openxmlformats.org/spreadsheetml/2006/main" count="3978" uniqueCount="522">
  <si>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</si>
  <si>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</si>
  <si>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</si>
  <si>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</si>
  <si>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</si>
  <si>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</si>
  <si>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</si>
  <si>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</si>
  <si>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</si>
  <si>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</si>
  <si>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</si>
  <si>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</si>
  <si>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</si>
  <si>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</si>
  <si>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</si>
  <si>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</si>
  <si>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</si>
  <si>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</si>
  <si>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</si>
  <si>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</si>
  <si>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</si>
  <si>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</si>
  <si>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</si>
  <si>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</si>
  <si>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</si>
  <si>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</si>
  <si>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</si>
  <si>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</si>
  <si>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</si>
  <si>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</si>
  <si>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</si>
  <si>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</si>
  <si>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</si>
  <si>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</si>
  <si>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</si>
  <si>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</si>
  <si>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</si>
  <si>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</si>
  <si>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</si>
  <si>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</si>
  <si>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</si>
  <si>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</si>
  <si>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</si>
  <si>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</si>
  <si>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</si>
  <si>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</si>
  <si>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</si>
  <si>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</si>
  <si>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</si>
  <si>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</si>
  <si>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</si>
  <si>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</si>
  <si>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</si>
  <si>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</si>
  <si>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</si>
  <si>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</si>
  <si>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</si>
  <si>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</si>
  <si>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</si>
  <si>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</si>
  <si>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</si>
  <si>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</si>
  <si>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</si>
  <si>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</si>
  <si>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</si>
  <si>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</si>
  <si>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</si>
  <si>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</si>
  <si>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</si>
  <si>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</si>
  <si>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</si>
  <si>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</si>
  <si>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</si>
  <si>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</si>
  <si>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</si>
  <si>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</si>
  <si>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</si>
  <si>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</si>
  <si>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</si>
  <si>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</si>
  <si>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</si>
  <si>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</si>
  <si>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</si>
  <si>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</si>
  <si>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</si>
  <si>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</si>
  <si>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</si>
  <si>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</si>
  <si>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</si>
  <si>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</si>
  <si>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</si>
  <si>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</si>
  <si>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</si>
  <si>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</si>
  <si>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</si>
  <si>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</si>
  <si>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</si>
  <si>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</si>
  <si>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</si>
  <si>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</si>
  <si>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</si>
  <si>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</si>
  <si>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</si>
  <si>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</si>
  <si>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</si>
  <si>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</si>
  <si>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</si>
  <si>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</si>
  <si>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</si>
  <si>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</si>
  <si>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</si>
  <si>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</si>
  <si>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</si>
  <si>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</si>
  <si>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</si>
  <si>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</si>
  <si>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</si>
  <si>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</si>
  <si>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</si>
  <si>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</si>
  <si>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</si>
  <si>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</si>
  <si>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</si>
  <si>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</si>
  <si>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</si>
  <si>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</si>
  <si>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</si>
  <si>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</si>
  <si>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</si>
  <si>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</si>
  <si>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</si>
  <si>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</si>
  <si>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</si>
  <si>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</si>
  <si>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</si>
  <si>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</si>
  <si>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</si>
  <si>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</si>
  <si>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</si>
  <si>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</si>
  <si>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</si>
  <si>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</si>
  <si>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</si>
  <si>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</si>
  <si>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</si>
  <si>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</si>
  <si>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</si>
  <si>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</si>
  <si>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</si>
  <si>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</si>
  <si>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</si>
  <si>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</si>
  <si>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</si>
  <si>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</si>
  <si>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</si>
  <si>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</si>
  <si>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</si>
  <si>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</si>
  <si>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</si>
  <si>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</si>
  <si>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</si>
  <si>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</si>
  <si>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</si>
  <si>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</si>
  <si>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</si>
  <si>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</si>
  <si>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</si>
  <si>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</si>
  <si>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</si>
  <si>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</si>
  <si>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</si>
  <si>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</si>
  <si>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</si>
  <si>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</si>
  <si>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</si>
  <si>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</si>
  <si>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</si>
  <si>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</si>
  <si>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</si>
  <si>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</si>
  <si>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</si>
  <si>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</si>
  <si>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</si>
  <si>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</si>
  <si>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</si>
  <si>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</si>
  <si>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</si>
  <si>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</si>
  <si>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</si>
  <si>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</si>
  <si>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</si>
  <si>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</si>
  <si>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</si>
  <si>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</si>
  <si>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</si>
  <si>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</si>
  <si>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</si>
  <si>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</si>
  <si>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</si>
  <si>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</si>
  <si>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</si>
  <si>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</si>
  <si>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</si>
  <si>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</si>
  <si>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</si>
  <si>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</si>
  <si>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</si>
  <si>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</si>
  <si>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</si>
  <si>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</si>
  <si>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</si>
  <si>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</si>
  <si>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</si>
  <si>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</si>
  <si>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</si>
  <si>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</si>
  <si>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</si>
  <si>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</si>
  <si>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</si>
  <si>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</si>
  <si>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</si>
  <si>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</si>
  <si>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</si>
  <si>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</si>
  <si>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</si>
  <si>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</si>
  <si>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</si>
  <si>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</si>
  <si>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</si>
  <si>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</si>
  <si>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</si>
  <si>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</si>
  <si>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</si>
  <si>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</si>
  <si>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</si>
  <si>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</si>
  <si>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</si>
  <si>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</si>
  <si>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</si>
  <si>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</si>
  <si>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</si>
  <si>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</si>
  <si>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</si>
  <si>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</si>
  <si>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</si>
  <si>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</si>
  <si>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</si>
  <si>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</si>
  <si>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</si>
  <si>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</si>
  <si>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</si>
  <si>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</si>
  <si>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</si>
  <si>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</si>
  <si>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</si>
  <si>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</si>
  <si>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</si>
  <si>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</si>
  <si>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</si>
  <si>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</si>
  <si>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</si>
  <si>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</si>
  <si>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</si>
  <si>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</si>
  <si>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</si>
  <si>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</si>
  <si>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</si>
  <si>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</si>
  <si>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</si>
  <si>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</si>
  <si>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</si>
  <si>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</si>
  <si>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</si>
  <si>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</si>
  <si>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</si>
  <si>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</si>
  <si>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</si>
  <si>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</si>
  <si>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</si>
  <si>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</si>
  <si>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</si>
  <si>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</si>
  <si>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</si>
  <si>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</si>
  <si>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</si>
  <si>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</si>
  <si>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</si>
  <si>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</si>
  <si>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</si>
  <si>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</si>
  <si>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</si>
  <si>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</si>
  <si>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</si>
  <si>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</si>
  <si>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</si>
  <si>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</si>
  <si>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</si>
  <si>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</si>
  <si>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</si>
  <si>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</si>
  <si>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</si>
  <si>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</si>
  <si>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</si>
  <si>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</si>
  <si>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</si>
  <si>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</si>
  <si>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</si>
  <si>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</si>
  <si>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</si>
  <si>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</si>
  <si>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</si>
  <si>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</si>
  <si>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</si>
  <si>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</si>
  <si>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</si>
  <si>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</si>
  <si>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</si>
  <si>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</si>
  <si>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</si>
  <si>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</si>
  <si>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</si>
  <si>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</si>
  <si>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</si>
  <si>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</si>
  <si>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</si>
  <si>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</si>
  <si>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</si>
  <si>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</si>
  <si>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</si>
  <si>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</si>
  <si>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</si>
  <si>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</si>
  <si>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</si>
  <si>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</si>
  <si>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</si>
  <si>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</si>
  <si>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</si>
  <si>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</si>
  <si>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</si>
  <si>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</si>
  <si>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</si>
  <si>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</si>
  <si>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</si>
  <si>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</si>
  <si>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</si>
  <si>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</si>
  <si>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</si>
  <si>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</si>
  <si>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</si>
  <si>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</si>
  <si>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</si>
  <si>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</si>
  <si>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</si>
  <si>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</si>
  <si>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</si>
  <si>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</si>
  <si>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</si>
  <si>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</si>
  <si>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</si>
  <si>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</si>
  <si>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</si>
  <si>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</si>
  <si>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</si>
  <si>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</si>
  <si>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</si>
  <si>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</si>
  <si>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</si>
  <si>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</si>
  <si>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</si>
  <si>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</si>
  <si>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</si>
  <si>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</si>
  <si>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</si>
  <si>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</si>
  <si>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</si>
  <si>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</si>
  <si>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</si>
  <si>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</si>
  <si>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</si>
  <si>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</si>
  <si>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</si>
  <si>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</si>
  <si>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</si>
  <si>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</si>
  <si>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</si>
  <si>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</si>
  <si>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</si>
  <si>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</si>
  <si>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</si>
  <si>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</si>
  <si>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</si>
  <si>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</si>
  <si>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</si>
  <si>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</si>
  <si>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</si>
  <si>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</si>
  <si>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</si>
  <si>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</si>
  <si>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</si>
  <si>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</si>
  <si>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</si>
  <si>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</si>
  <si>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</si>
  <si>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</si>
  <si>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</si>
  <si>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</si>
  <si>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</si>
  <si>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</si>
  <si>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</si>
  <si>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</si>
  <si>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</si>
  <si>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</si>
  <si>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</si>
  <si>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</si>
  <si>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</si>
  <si>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</si>
  <si>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</si>
  <si>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</si>
  <si>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</si>
  <si>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</si>
  <si>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</si>
  <si>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</si>
  <si>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</si>
  <si>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</si>
  <si>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</si>
  <si>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</si>
  <si>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</si>
  <si>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</si>
  <si>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</si>
  <si>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</si>
  <si>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</si>
  <si>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</si>
  <si>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</si>
  <si>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</si>
  <si>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</si>
  <si>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</si>
  <si>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</si>
  <si>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</si>
  <si>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</si>
  <si>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</si>
  <si>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</si>
  <si>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</si>
  <si>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</si>
  <si>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</si>
  <si>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</si>
  <si>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</si>
  <si>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</si>
  <si>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</si>
  <si>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</si>
  <si>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</si>
  <si>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</si>
  <si>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</si>
  <si>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</si>
  <si>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</si>
  <si>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</si>
  <si>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</si>
  <si>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</si>
  <si>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</si>
  <si>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</si>
  <si>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</si>
  <si>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</si>
  <si>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</si>
  <si>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</si>
  <si>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</si>
  <si>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</si>
  <si>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</si>
  <si>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</si>
  <si>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</si>
  <si>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</si>
  <si>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</si>
  <si>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</si>
  <si>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</si>
  <si>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</si>
  <si>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</si>
  <si>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</si>
  <si>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</si>
  <si>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</si>
  <si>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</si>
  <si>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</si>
  <si>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</si>
  <si>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</si>
  <si>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</si>
  <si>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</si>
  <si>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</si>
  <si>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</si>
  <si>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</si>
  <si>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</si>
  <si>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</si>
  <si>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</si>
  <si>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</si>
  <si>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</si>
  <si>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</si>
  <si>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</si>
  <si>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</si>
  <si>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</si>
  <si>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</si>
  <si>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</si>
  <si>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</si>
  <si>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</si>
  <si>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</si>
  <si>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</si>
  <si>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</si>
  <si>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</si>
  <si>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</si>
  <si>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</si>
  <si>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</si>
  <si>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</si>
  <si>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</si>
  <si>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</si>
  <si>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</si>
  <si>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</si>
  <si>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</si>
  <si>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</si>
  <si>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</si>
  <si>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</si>
  <si>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</si>
  <si>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</si>
  <si>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</si>
  <si>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Rachna Block </t>
  </si>
  <si>
    <t>Euro</t>
  </si>
  <si>
    <t>NTN #: E757686-3</t>
  </si>
  <si>
    <t>Invoice No # :4851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</si>
</sst>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519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Euro</v>
      </c>
      <c r="T3" s="301">
        <f>+'1'!P35</f>
        <v>87856.100936313553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9076.0125000000007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55.29531673728814</v>
      </c>
      <c r="P7" s="310">
        <f>M7+N7+O7</f>
        <v>11114.358664194917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1049.25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9076.0125000000007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55.29531673728814</v>
      </c>
      <c r="P8" s="311">
        <f t="shared" ref="P8:P15" si="2">M8+N8+O8</f>
        <v>11114.358664194917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9076.0125000000007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55.29531673728814</v>
      </c>
      <c r="P9" s="311">
        <f t="shared" si="2"/>
        <v>11114.358664194917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41.521838644067806</v>
      </c>
      <c r="P13" s="311">
        <f t="shared" si="2"/>
        <v>8345.8895674576288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35</v>
      </c>
      <c r="H16" s="113">
        <f t="shared" ref="H16:M16" si="3">SUM(H7:H15)</f>
        <v>1400</v>
      </c>
      <c r="I16" s="114">
        <f t="shared" si="3"/>
        <v>82907.5</v>
      </c>
      <c r="J16" s="274">
        <f>SUM(J7:J15)</f>
        <v>7898.4500000000007</v>
      </c>
      <c r="K16" s="275">
        <f t="shared" si="3"/>
        <v>2901.7625000000003</v>
      </c>
      <c r="L16" s="276">
        <f t="shared" si="3"/>
        <v>400.14600000000002</v>
      </c>
      <c r="M16" s="232">
        <f t="shared" si="3"/>
        <v>71707.141499999998</v>
      </c>
      <c r="N16" s="233">
        <f>SUM(N7:N15)</f>
        <v>15711.864406779659</v>
      </c>
      <c r="O16" s="101">
        <f>SUM(O7:O15)</f>
        <v>437.09502953389841</v>
      </c>
      <c r="P16" s="113">
        <f>SUM(P7:P15)</f>
        <v>87856.100936313567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82907.5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7898.4500000000007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3301.9085000000005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71707.141499999998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15711.864406779659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87419.005906779654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437.09502953389841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87856.100936313553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87856.100936313553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R9" sqref="R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521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1049.25</v>
      </c>
      <c r="K16" s="127">
        <f>$I16*T16</f>
        <v>367.23750000000001</v>
      </c>
      <c r="L16" s="118">
        <f>$I16*U16</f>
        <v>0</v>
      </c>
      <c r="M16" s="229">
        <f>I16-SUM(J16:L16)</f>
        <v>9076.0125000000007</v>
      </c>
      <c r="N16" s="248">
        <f>+(G16*D16+H16)*V16</f>
        <v>1983.0508474576263</v>
      </c>
      <c r="O16" s="238">
        <f>(N16+M16)*$O$15</f>
        <v>55.29531673728814</v>
      </c>
      <c r="P16" s="310">
        <f>M16+N16+O16</f>
        <v>11114.358664194917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1049.25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9076.0125000000007</v>
      </c>
      <c r="N17" s="277">
        <f t="shared" ref="N17:N24" si="3">+(G17*D17+H17)*V17</f>
        <v>1983.0508474576263</v>
      </c>
      <c r="O17" s="239">
        <f t="shared" ref="O17:O24" si="4">(N17+M17)*$O$15</f>
        <v>55.29531673728814</v>
      </c>
      <c r="P17" s="311">
        <f t="shared" ref="P17:P24" si="5">M17+N17+O17</f>
        <v>11114.358664194917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1049.25</v>
      </c>
      <c r="K18" s="128">
        <f t="shared" si="1"/>
        <v>367.23750000000001</v>
      </c>
      <c r="L18" s="119">
        <f t="shared" si="1"/>
        <v>0</v>
      </c>
      <c r="M18" s="230">
        <f t="shared" si="2"/>
        <v>9076.0125000000007</v>
      </c>
      <c r="N18" s="277">
        <f t="shared" si="3"/>
        <v>1983.0508474576263</v>
      </c>
      <c r="O18" s="239">
        <f t="shared" si="4"/>
        <v>55.29531673728814</v>
      </c>
      <c r="P18" s="311">
        <f t="shared" si="5"/>
        <v>11114.358664194917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82907.5</v>
      </c>
      <c r="J25" s="274">
        <f>SUM(J16:J24)</f>
        <v>7898.4500000000007</v>
      </c>
      <c r="K25" s="275">
        <f t="shared" si="10"/>
        <v>2901.7625000000003</v>
      </c>
      <c r="L25" s="276">
        <f t="shared" si="10"/>
        <v>400.14600000000002</v>
      </c>
      <c r="M25" s="232">
        <f t="shared" si="10"/>
        <v>71707.141499999998</v>
      </c>
      <c r="N25" s="233">
        <f>SUM(N16:N24)</f>
        <v>15711.864406779659</v>
      </c>
      <c r="O25" s="101">
        <f>SUM(O16:O24)</f>
        <v>437.09502953389841</v>
      </c>
      <c r="P25" s="113">
        <f>SUM(P16:P24)</f>
        <v>87856.100936313567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82907.5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7898.4500000000007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3301.9085000000005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71707.141499999998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15711.864406779659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87419.005906779654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437.0950295338983</v>
      </c>
    </row>
    <row r="35" spans="2:16" ht="15.75" customHeight="1" thickBot="1" x14ac:dyDescent="0.4">
      <c r="N35" s="371" t="s">
        <v>88</v>
      </c>
      <c r="O35" s="372"/>
      <c r="P35" s="297">
        <f>+P33+P34</f>
        <v>87856.100936313553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2026-08-12T05:04:10Z</dcterms:modified>
</cp:coreProperties>
</file>