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AAFBBCC-4834-476C-BAB9-FD9CFDCFD98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<sst xmlns="http://schemas.openxmlformats.org/spreadsheetml/2006/main" count="3978" uniqueCount="533">
  <si>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</si>
  <si>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</si>
  <si>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</si>
  <si>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</si>
  <si>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</si>
  <si>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</si>
  <si>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</si>
  <si>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</si>
  <si>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</si>
  <si>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</si>
  <si>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</si>
  <si>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</si>
  <si>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</si>
  <si>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</si>
  <si>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</si>
  <si>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</si>
  <si>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</si>
  <si>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</si>
  <si>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</si>
  <si>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</si>
  <si>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</si>
  <si>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</si>
  <si>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</si>
  <si>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</si>
  <si>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</si>
  <si>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</si>
  <si>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</si>
  <si>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</si>
  <si>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</si>
  <si>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</si>
  <si>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</si>
  <si>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</si>
  <si>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</si>
  <si>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</si>
  <si>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</si>
  <si>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</si>
  <si>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</si>
  <si>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</si>
  <si>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</si>
  <si>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</si>
  <si>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</si>
  <si>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</si>
  <si>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</si>
  <si>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</si>
  <si>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</si>
  <si>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</si>
  <si>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</si>
  <si>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</si>
  <si>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</si>
  <si>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</si>
  <si>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</si>
  <si>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</si>
  <si>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</si>
  <si>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</si>
  <si>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</si>
  <si>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</si>
  <si>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</si>
  <si>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</si>
  <si>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</si>
  <si>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</si>
  <si>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</si>
  <si>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</si>
  <si>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</si>
  <si>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</si>
  <si>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</si>
  <si>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</si>
  <si>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</si>
  <si>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</si>
  <si>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</si>
  <si>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</si>
  <si>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</si>
  <si>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</si>
  <si>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</si>
  <si>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</si>
  <si>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</si>
  <si>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</si>
  <si>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</si>
  <si>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</si>
  <si>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</si>
  <si>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</si>
  <si>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</si>
  <si>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</si>
  <si>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</si>
  <si>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</si>
  <si>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</si>
  <si>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</si>
  <si>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</si>
  <si>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</si>
  <si>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</si>
  <si>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</si>
  <si>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</si>
  <si>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</si>
  <si>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</si>
  <si>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</si>
  <si>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</si>
  <si>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</si>
  <si>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</si>
  <si>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</si>
  <si>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</si>
  <si>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</si>
  <si>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</si>
  <si>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</si>
  <si>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</si>
  <si>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</si>
  <si>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</si>
  <si>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</si>
  <si>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</si>
  <si>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</si>
  <si>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</si>
  <si>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</si>
  <si>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</si>
  <si>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</si>
  <si>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</si>
  <si>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</si>
  <si>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</si>
  <si>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</si>
  <si>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</si>
  <si>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</si>
  <si>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</si>
  <si>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</si>
  <si>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</si>
  <si>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</si>
  <si>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</si>
  <si>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</si>
  <si>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</si>
  <si>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</si>
  <si>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</si>
  <si>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</si>
  <si>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</si>
  <si>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</si>
  <si>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</si>
  <si>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</si>
  <si>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</si>
  <si>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</si>
  <si>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</si>
  <si>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</si>
  <si>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</si>
  <si>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</si>
  <si>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</si>
  <si>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</si>
  <si>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</si>
  <si>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</si>
  <si>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</si>
  <si>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</si>
  <si>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</si>
  <si>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</si>
  <si>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</si>
  <si>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</si>
  <si>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</si>
  <si>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</si>
  <si>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</si>
  <si>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</si>
  <si>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</si>
  <si>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</si>
  <si>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</si>
  <si>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</si>
  <si>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</si>
  <si>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</si>
  <si>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</si>
  <si>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</si>
  <si>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</si>
  <si>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</si>
  <si>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</si>
  <si>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</si>
  <si>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</si>
  <si>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</si>
  <si>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</si>
  <si>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</si>
  <si>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</si>
  <si>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</si>
  <si>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</si>
  <si>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</si>
  <si>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</si>
  <si>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</si>
  <si>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</si>
  <si>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</si>
  <si>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</si>
  <si>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</si>
  <si>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</si>
  <si>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</si>
  <si>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</si>
  <si>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</si>
  <si>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</si>
  <si>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</si>
  <si>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</si>
  <si>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</si>
  <si>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</si>
  <si>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</si>
  <si>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</si>
  <si>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</si>
  <si>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</si>
  <si>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</si>
  <si>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</si>
  <si>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</si>
  <si>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</si>
  <si>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</si>
  <si>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</si>
  <si>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</si>
  <si>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</si>
  <si>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</si>
  <si>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</si>
  <si>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</si>
  <si>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</si>
  <si>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</si>
  <si>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</si>
  <si>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</si>
  <si>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</si>
  <si>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</si>
  <si>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</si>
  <si>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</si>
  <si>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</si>
  <si>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</si>
  <si>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</si>
  <si>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</si>
  <si>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</si>
  <si>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</si>
  <si>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</si>
  <si>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</si>
  <si>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</si>
  <si>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</si>
  <si>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</si>
  <si>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</si>
  <si>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</si>
  <si>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</si>
  <si>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</si>
  <si>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</si>
  <si>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</si>
  <si>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</si>
  <si>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</si>
  <si>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</si>
  <si>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</si>
  <si>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</si>
  <si>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</si>
  <si>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</si>
  <si>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</si>
  <si>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</si>
  <si>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</si>
  <si>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</si>
  <si>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</si>
  <si>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</si>
  <si>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</si>
  <si>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</si>
  <si>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</si>
  <si>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</si>
  <si>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</si>
  <si>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</si>
  <si>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</si>
  <si>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</si>
  <si>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</si>
  <si>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</si>
  <si>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</si>
  <si>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</si>
  <si>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</si>
  <si>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</si>
  <si>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</si>
  <si>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</si>
  <si>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</si>
  <si>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</si>
  <si>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</si>
  <si>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</si>
  <si>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</si>
  <si>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</si>
  <si>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</si>
  <si>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</si>
  <si>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</si>
  <si>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</si>
  <si>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</si>
  <si>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</si>
  <si>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</si>
  <si>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</si>
  <si>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</si>
  <si>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</si>
  <si>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</si>
  <si>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</si>
  <si>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</si>
  <si>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</si>
  <si>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</si>
  <si>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</si>
  <si>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</si>
  <si>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</si>
  <si>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</si>
  <si>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</si>
  <si>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</si>
  <si>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</si>
  <si>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</si>
  <si>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</si>
  <si>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</si>
  <si>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</si>
  <si>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</si>
  <si>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</si>
  <si>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</si>
  <si>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</si>
  <si>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</si>
  <si>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</si>
  <si>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</si>
  <si>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</si>
  <si>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</si>
  <si>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</si>
  <si>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</si>
  <si>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</si>
  <si>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</si>
  <si>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</si>
  <si>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</si>
  <si>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</si>
  <si>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</si>
  <si>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</si>
  <si>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</si>
  <si>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</si>
  <si>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</si>
  <si>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</si>
  <si>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</si>
  <si>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</si>
  <si>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</si>
  <si>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</si>
  <si>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</si>
  <si>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</si>
  <si>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</si>
  <si>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</si>
  <si>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</si>
  <si>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</si>
  <si>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</si>
  <si>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</si>
  <si>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</si>
  <si>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</si>
  <si>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</si>
  <si>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</si>
  <si>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</si>
  <si>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</si>
  <si>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</si>
  <si>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</si>
  <si>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</si>
  <si>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</si>
  <si>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</si>
  <si>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</si>
  <si>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</si>
  <si>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</si>
  <si>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</si>
  <si>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</si>
  <si>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</si>
  <si>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</si>
  <si>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</si>
  <si>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</si>
  <si>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</si>
  <si>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</si>
  <si>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</si>
  <si>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</si>
  <si>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</si>
  <si>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</si>
  <si>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</si>
  <si>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</si>
  <si>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</si>
  <si>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</si>
  <si>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</si>
  <si>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</si>
  <si>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</si>
  <si>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</si>
  <si>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</si>
  <si>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</si>
  <si>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</si>
  <si>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</si>
  <si>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</si>
  <si>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</si>
  <si>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</si>
  <si>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</si>
  <si>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</si>
  <si>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</si>
  <si>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</si>
  <si>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</si>
  <si>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</si>
  <si>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</si>
  <si>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</si>
  <si>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</si>
  <si>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</si>
  <si>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</si>
  <si>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</si>
  <si>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</si>
  <si>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</si>
  <si>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</si>
  <si>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</si>
  <si>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</si>
  <si>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</si>
  <si>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</si>
  <si>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</si>
  <si>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</si>
  <si>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</si>
  <si>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</si>
  <si>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</si>
  <si>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</si>
  <si>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</si>
  <si>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</si>
  <si>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</si>
  <si>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</si>
  <si>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</si>
  <si>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</si>
  <si>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</si>
  <si>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</si>
  <si>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</si>
  <si>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</si>
  <si>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</si>
  <si>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</si>
  <si>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</si>
  <si>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</si>
  <si>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</si>
  <si>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</si>
  <si>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</si>
  <si>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</si>
  <si>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</si>
  <si>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</si>
  <si>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</si>
  <si>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</si>
  <si>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</si>
  <si>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</si>
  <si>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</si>
  <si>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</si>
  <si>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</si>
  <si>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</si>
  <si>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</si>
  <si>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</si>
  <si>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</si>
  <si>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</si>
  <si>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</si>
  <si>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</si>
  <si>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</si>
  <si>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</si>
  <si>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</si>
  <si>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</si>
  <si>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</si>
  <si>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</si>
  <si>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</si>
  <si>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</si>
  <si>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</si>
  <si>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</si>
  <si>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</si>
  <si>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</si>
  <si>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</si>
  <si>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</si>
  <si>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</si>
  <si>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</si>
  <si>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</si>
  <si>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</si>
  <si>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</si>
  <si>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</si>
  <si>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</si>
  <si>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</si>
  <si>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</si>
  <si>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</si>
  <si>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</si>
  <si>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</si>
  <si>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</si>
  <si>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</si>
  <si>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</si>
  <si>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</si>
  <si>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</si>
  <si>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</si>
  <si>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</si>
  <si>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</si>
  <si>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</si>
  <si>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</si>
  <si>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</si>
  <si>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</si>
  <si>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</si>
  <si>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</si>
  <si>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</si>
  <si>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</si>
  <si>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</si>
  <si>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</si>
  <si>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</si>
  <si>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</si>
  <si>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</si>
  <si>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</si>
  <si>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</si>
  <si>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</si>
  <si>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</si>
  <si>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</si>
  <si>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</si>
  <si>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</si>
  <si>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</si>
  <si>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</si>
  <si>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</si>
  <si>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</si>
  <si>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</si>
  <si>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</si>
  <si>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</si>
  <si>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</si>
  <si>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</si>
  <si>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</si>
  <si>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</si>
  <si>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</si>
  <si>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</si>
  <si>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</si>
  <si>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</si>
  <si>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</si>
  <si>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</si>
  <si>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</si>
  <si>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</si>
  <si>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</si>
  <si>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</si>
  <si>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</si>
  <si>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</si>
  <si>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</si>
  <si>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</si>
  <si>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</si>
  <si>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</si>
  <si>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</si>
  <si>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</si>
  <si>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</si>
  <si>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</si>
  <si>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</si>
  <si>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</si>
  <si>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</si>
  <si>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</si>
  <si>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</si>
  <si>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</si>
  <si>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</si>
  <si>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</si>
  <si>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</si>
  <si>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Zeshan</t>
  </si>
  <si>
    <t>Nishat Store</t>
  </si>
  <si>
    <t xml:space="preserve">Address: Nishat </t>
  </si>
  <si>
    <t xml:space="preserve">Value Mart </t>
  </si>
  <si>
    <t>Address: Nishat</t>
  </si>
  <si>
    <t>Mian Store</t>
  </si>
  <si>
    <t xml:space="preserve">Address: Nishter </t>
  </si>
  <si>
    <t>Sheikh Store</t>
  </si>
  <si>
    <t>Address: Nishter</t>
  </si>
  <si>
    <t>786 Store</t>
  </si>
  <si>
    <t>Euro Store</t>
  </si>
  <si>
    <t>Chaudry Sons</t>
  </si>
  <si>
    <t xml:space="preserve">Address:Nishat </t>
  </si>
  <si>
    <t>MS Store</t>
  </si>
  <si>
    <t>Khan Store</t>
  </si>
  <si>
    <t>Bilal Store</t>
  </si>
  <si>
    <t>Rana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</si>
</sst>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Nishat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Value Mart 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Mian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Sheikh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786 Store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</v>
      </c>
      <c r="T8" s="301">
        <f>+'6'!P35</f>
        <v>15607.915834423729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Chaudry Sons</v>
      </c>
      <c r="T9" s="301">
        <f>+'7'!P35</f>
        <v>1568.1057925423729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55</v>
      </c>
      <c r="I10" s="236">
        <f t="shared" si="0"/>
        <v>3995.2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319.61599999999999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139.83200000000002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3535.752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755.08474576271192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21.454183728813561</v>
      </c>
      <c r="P10" s="311">
        <f t="shared" si="2"/>
        <v>4312.2909294915253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 Store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Khan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65</v>
      </c>
      <c r="I12" s="236">
        <f t="shared" si="0"/>
        <v>4721.6000000000004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377.72800000000001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165.25600000000003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4178.616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892.37288135593224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25.354944406779662</v>
      </c>
      <c r="P12" s="311">
        <f t="shared" si="2"/>
        <v>5096.3438257627113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Bilal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320.11679999999996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311">
        <f t="shared" si="2"/>
        <v>6676.7116539661019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Rana Store</v>
      </c>
      <c r="T13" s="301">
        <f>+'11'!P35</f>
        <v>417.29447837288137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10.5</v>
      </c>
      <c r="H16" s="113">
        <f t="shared" ref="H16:M16" si="3">SUM(H7:H15)</f>
        <v>420</v>
      </c>
      <c r="I16" s="114">
        <f t="shared" si="3"/>
        <v>23549</v>
      </c>
      <c r="J16" s="274">
        <f>SUM(J7:J15)</f>
        <v>1695.6160000000002</v>
      </c>
      <c r="K16" s="275">
        <f t="shared" si="3"/>
        <v>824.21500000000015</v>
      </c>
      <c r="L16" s="276">
        <f t="shared" si="3"/>
        <v>320.11679999999996</v>
      </c>
      <c r="M16" s="232">
        <f t="shared" si="3"/>
        <v>20709.052199999998</v>
      </c>
      <c r="N16" s="233">
        <f>SUM(N7:N15)</f>
        <v>4484.7457627118638</v>
      </c>
      <c r="O16" s="101">
        <f>SUM(O7:O15)</f>
        <v>125.96898981355933</v>
      </c>
      <c r="P16" s="113">
        <f>SUM(P7:P15)</f>
        <v>25319.766952525424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23549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1695.6160000000002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1144.3318000000002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20709.052199999998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4484.7457627118638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25193.797962711862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125.96898981355933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25319.76695252542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25319.766952525424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4474.8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310.90800000000002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236.6472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3927.2447999999999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4781.4820881355927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42" t="s">
        <v>88</v>
      </c>
      <c r="O35" s="343"/>
      <c r="P35" s="297">
        <f>+P33+P34</f>
        <v>4805.3894985762709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240</v>
      </c>
      <c r="I25" s="114">
        <f t="shared" si="7"/>
        <v>14483.000000000002</v>
      </c>
      <c r="J25" s="274">
        <f>SUM(J16:J24)</f>
        <v>1111.5640000000001</v>
      </c>
      <c r="K25" s="275">
        <f t="shared" si="7"/>
        <v>506.90500000000009</v>
      </c>
      <c r="L25" s="276">
        <f t="shared" si="7"/>
        <v>80.029200000000003</v>
      </c>
      <c r="M25" s="232">
        <f t="shared" si="7"/>
        <v>12784.501800000002</v>
      </c>
      <c r="N25" s="233">
        <f>SUM(N16:N24)</f>
        <v>2745.7627118644059</v>
      </c>
      <c r="O25" s="101">
        <f>SUM(O16:O24)</f>
        <v>77.651322559322026</v>
      </c>
      <c r="P25" s="113">
        <f>SUM(P16:P24)</f>
        <v>15607.915834423729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14483.000000000002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1111.5640000000001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586.93420000000015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12784.501800000002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2745.7627118644059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15530.264511864407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77.65132255932204</v>
      </c>
    </row>
    <row r="35" spans="2:16" ht="15.75" customHeight="1" thickBot="1" x14ac:dyDescent="0.4">
      <c r="N35" s="342" t="s">
        <v>88</v>
      </c>
      <c r="O35" s="343"/>
      <c r="P35" s="297">
        <f>+P33+P34</f>
        <v>15607.915834423729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1452.8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116.224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50.848000000000006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1285.7280000000001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1560.3042711864407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2" t="s">
        <v>88</v>
      </c>
      <c r="O35" s="343"/>
      <c r="P35" s="297">
        <f>+P33+P34</f>
        <v>1568.1057925423729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529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530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531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532</v>
      </c>
      <c r="B6" s="396"/>
      <c r="C6" s="396"/>
      <c r="F6" s="85"/>
      <c r="G6" s="86"/>
      <c r="K6" s="368" t="s">
        <v>69</v>
      </c>
      <c r="L6" s="368"/>
      <c r="M6" s="368"/>
      <c r="N6" s="397" t="s">
        <v>505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2026-08-11T11:56:03Z</dcterms:modified>
</cp:coreProperties>
</file>