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8554ED7-F073-4C0B-ABDB-2979B0DF059B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R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<sst xmlns="http://schemas.openxmlformats.org/spreadsheetml/2006/main" count="3978" uniqueCount="533">
  <si>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</si>
  <si>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</si>
  <si>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</si>
  <si>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</si>
  <si>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</si>
  <si>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</si>
  <si>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</si>
  <si>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</si>
  <si>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</si>
  <si>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</si>
  <si>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</si>
  <si>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</si>
  <si>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</si>
  <si>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</si>
  <si>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</si>
  <si>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</si>
  <si>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</si>
  <si>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</si>
  <si>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</si>
  <si>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</si>
  <si>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</si>
  <si>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</si>
  <si>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</si>
  <si>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</si>
  <si>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</si>
  <si>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</si>
  <si>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</si>
  <si>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</si>
  <si>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</si>
  <si>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</si>
  <si>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</si>
  <si>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</si>
  <si>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</si>
  <si>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</si>
  <si>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</si>
  <si>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</si>
  <si>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</si>
  <si>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</si>
  <si>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</si>
  <si>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</si>
  <si>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</si>
  <si>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</si>
  <si>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</si>
  <si>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</si>
  <si>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</si>
  <si>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</si>
  <si>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</si>
  <si>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</si>
  <si>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</si>
  <si>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</si>
  <si>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</si>
  <si>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</si>
  <si>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</si>
  <si>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</si>
  <si>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</si>
  <si>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</si>
  <si>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</si>
  <si>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</si>
  <si>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</si>
  <si>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</si>
  <si>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</si>
  <si>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</si>
  <si>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</si>
  <si>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</si>
  <si>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</si>
  <si>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</si>
  <si>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</si>
  <si>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</si>
  <si>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</si>
  <si>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</si>
  <si>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</si>
  <si>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</si>
  <si>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</si>
  <si>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</si>
  <si>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</si>
  <si>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</si>
  <si>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</si>
  <si>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</si>
  <si>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</si>
  <si>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</si>
  <si>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</si>
  <si>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</si>
  <si>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</si>
  <si>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</si>
  <si>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</si>
  <si>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</si>
  <si>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</si>
  <si>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</si>
  <si>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</si>
  <si>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</si>
  <si>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</si>
  <si>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</si>
  <si>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</si>
  <si>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</si>
  <si>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</si>
  <si>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</si>
  <si>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</si>
  <si>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</si>
  <si>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</si>
  <si>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</si>
  <si>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</si>
  <si>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</si>
  <si>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</si>
  <si>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</si>
  <si>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</si>
  <si>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</si>
  <si>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</si>
  <si>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</si>
  <si>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</si>
  <si>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</si>
  <si>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</si>
  <si>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</si>
  <si>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</si>
  <si>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</si>
  <si>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</si>
  <si>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</si>
  <si>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</si>
  <si>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</si>
  <si>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</si>
  <si>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</si>
  <si>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</si>
  <si>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</si>
  <si>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</si>
  <si>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</si>
  <si>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</si>
  <si>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</si>
  <si>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</si>
  <si>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</si>
  <si>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</si>
  <si>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</si>
  <si>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</si>
  <si>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</si>
  <si>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</si>
  <si>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</si>
  <si>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</si>
  <si>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</si>
  <si>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</si>
  <si>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</si>
  <si>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</si>
  <si>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</si>
  <si>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</si>
  <si>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</si>
  <si>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</si>
  <si>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</si>
  <si>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</si>
  <si>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</si>
  <si>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</si>
  <si>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</si>
  <si>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</si>
  <si>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</si>
  <si>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</si>
  <si>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</si>
  <si>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</si>
  <si>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</si>
  <si>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</si>
  <si>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</si>
  <si>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</si>
  <si>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</si>
  <si>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</si>
  <si>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</si>
  <si>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</si>
  <si>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</si>
  <si>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</si>
  <si>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</si>
  <si>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</si>
  <si>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</si>
  <si>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</si>
  <si>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</si>
  <si>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</si>
  <si>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</si>
  <si>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</si>
  <si>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</si>
  <si>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</si>
  <si>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</si>
  <si>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</si>
  <si>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</si>
  <si>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</si>
  <si>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</si>
  <si>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</si>
  <si>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</si>
  <si>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</si>
  <si>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</si>
  <si>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</si>
  <si>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</si>
  <si>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</si>
  <si>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</si>
  <si>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</si>
  <si>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</si>
  <si>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</si>
  <si>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</si>
  <si>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</si>
  <si>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</si>
  <si>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</si>
  <si>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</si>
  <si>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</si>
  <si>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</si>
  <si>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</si>
  <si>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</si>
  <si>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</si>
  <si>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</si>
  <si>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</si>
  <si>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</si>
  <si>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</si>
  <si>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</si>
  <si>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</si>
  <si>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</si>
  <si>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</si>
  <si>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</si>
  <si>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</si>
  <si>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</si>
  <si>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</si>
  <si>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</si>
  <si>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</si>
  <si>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</si>
  <si>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</si>
  <si>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</si>
  <si>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</si>
  <si>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</si>
  <si>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</si>
  <si>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</si>
  <si>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</si>
  <si>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</si>
  <si>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</si>
  <si>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</si>
  <si>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</si>
  <si>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</si>
  <si>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</si>
  <si>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</si>
  <si>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</si>
  <si>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</si>
  <si>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</si>
  <si>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</si>
  <si>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</si>
  <si>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</si>
  <si>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</si>
  <si>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</si>
  <si>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</si>
  <si>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</si>
  <si>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</si>
  <si>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</si>
  <si>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</si>
  <si>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</si>
  <si>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</si>
  <si>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</si>
  <si>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</si>
  <si>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</si>
  <si>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</si>
  <si>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</si>
  <si>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</si>
  <si>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</si>
  <si>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</si>
  <si>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</si>
  <si>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</si>
  <si>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</si>
  <si>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</si>
  <si>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</si>
  <si>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</si>
  <si>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</si>
  <si>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</si>
  <si>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</si>
  <si>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</si>
  <si>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</si>
  <si>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</si>
  <si>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</si>
  <si>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</si>
  <si>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</si>
  <si>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</si>
  <si>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</si>
  <si>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</si>
  <si>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</si>
  <si>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</si>
  <si>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</si>
  <si>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</si>
  <si>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</si>
  <si>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</si>
  <si>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</si>
  <si>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</si>
  <si>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</si>
  <si>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</si>
  <si>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</si>
  <si>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</si>
  <si>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</si>
  <si>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</si>
  <si>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</si>
  <si>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</si>
  <si>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</si>
  <si>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</si>
  <si>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</si>
  <si>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</si>
  <si>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</si>
  <si>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</si>
  <si>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</si>
  <si>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</si>
  <si>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</si>
  <si>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</si>
  <si>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</si>
  <si>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</si>
  <si>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</si>
  <si>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</si>
  <si>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</si>
  <si>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</si>
  <si>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</si>
  <si>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</si>
  <si>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</si>
  <si>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</si>
  <si>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</si>
  <si>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</si>
  <si>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</si>
  <si>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</si>
  <si>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</si>
  <si>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</si>
  <si>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</si>
  <si>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</si>
  <si>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</si>
  <si>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</si>
  <si>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</si>
  <si>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</si>
  <si>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</si>
  <si>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</si>
  <si>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</si>
  <si>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</si>
  <si>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</si>
  <si>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</si>
  <si>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</si>
  <si>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</si>
  <si>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</si>
  <si>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</si>
  <si>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</si>
  <si>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</si>
  <si>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</si>
  <si>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</si>
  <si>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</si>
  <si>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</si>
  <si>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</si>
  <si>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</si>
  <si>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</si>
  <si>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</si>
  <si>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</si>
  <si>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</si>
  <si>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</si>
  <si>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</si>
  <si>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</si>
  <si>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</si>
  <si>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</si>
  <si>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</si>
  <si>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</si>
  <si>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</si>
  <si>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</si>
  <si>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</si>
  <si>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</si>
  <si>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</si>
  <si>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</si>
  <si>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</si>
  <si>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</si>
  <si>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</si>
  <si>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</si>
  <si>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</si>
  <si>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</si>
  <si>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</si>
  <si>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</si>
  <si>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</si>
  <si>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</si>
  <si>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</si>
  <si>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</si>
  <si>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</si>
  <si>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</si>
  <si>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</si>
  <si>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</si>
  <si>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</si>
  <si>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</si>
  <si>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</si>
  <si>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</si>
  <si>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</si>
  <si>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</si>
  <si>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</si>
  <si>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</si>
  <si>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</si>
  <si>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</si>
  <si>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</si>
  <si>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</si>
  <si>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</si>
  <si>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</si>
  <si>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</si>
  <si>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</si>
  <si>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</si>
  <si>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</si>
  <si>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</si>
  <si>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</si>
  <si>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</si>
  <si>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</si>
  <si>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</si>
  <si>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</si>
  <si>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</si>
  <si>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</si>
  <si>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</si>
  <si>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</si>
  <si>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</si>
  <si>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</si>
  <si>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</si>
  <si>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</si>
  <si>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</si>
  <si>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</si>
  <si>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</si>
  <si>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</si>
  <si>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</si>
  <si>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</si>
  <si>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</si>
  <si>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</si>
  <si>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</si>
  <si>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</si>
  <si>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</si>
  <si>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</si>
  <si>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</si>
  <si>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</si>
  <si>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</si>
  <si>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</si>
  <si>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</si>
  <si>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</si>
  <si>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</si>
  <si>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</si>
  <si>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</si>
  <si>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</si>
  <si>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</si>
  <si>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</si>
  <si>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</si>
  <si>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</si>
  <si>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</si>
  <si>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</si>
  <si>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</si>
  <si>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</si>
  <si>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</si>
  <si>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</si>
  <si>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</si>
  <si>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</si>
  <si>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</si>
  <si>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</si>
  <si>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</si>
  <si>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</si>
  <si>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</si>
  <si>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</si>
  <si>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</si>
  <si>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</si>
  <si>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</si>
  <si>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</si>
  <si>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</si>
  <si>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</si>
  <si>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</si>
  <si>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</si>
  <si>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</si>
  <si>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</si>
  <si>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</si>
  <si>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</si>
  <si>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</si>
  <si>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</si>
  <si>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</si>
  <si>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</si>
  <si>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</si>
  <si>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</si>
  <si>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</si>
  <si>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</si>
  <si>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</si>
  <si>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</si>
  <si>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</si>
  <si>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</si>
  <si>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</si>
  <si>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</si>
  <si>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</si>
  <si>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</si>
  <si>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</si>
  <si>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</si>
  <si>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</si>
  <si>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</si>
  <si>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</si>
  <si>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</si>
  <si>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</si>
  <si>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</si>
  <si>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</si>
  <si>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</si>
  <si>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</si>
  <si>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</si>
  <si>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</si>
  <si>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</si>
  <si>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</si>
  <si>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</si>
  <si>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</si>
  <si>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</si>
  <si>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</si>
  <si>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</si>
  <si>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</si>
  <si>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</si>
  <si>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</si>
  <si>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</si>
  <si>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</si>
  <si>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</si>
  <si>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</si>
  <si>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</si>
  <si>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</si>
  <si>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</si>
  <si>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</si>
  <si>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</si>
  <si>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</si>
  <si>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</si>
  <si>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</si>
  <si>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</si>
  <si>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</si>
  <si>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</si>
  <si>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</si>
  <si>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</si>
  <si>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</si>
  <si>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</si>
  <si>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</si>
  <si>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</si>
  <si>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</si>
  <si>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</si>
  <si>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</si>
  <si>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</si>
  <si>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Zeshan</t>
  </si>
  <si>
    <t>Nishat Store</t>
  </si>
  <si>
    <t xml:space="preserve">Address: Nishat </t>
  </si>
  <si>
    <t xml:space="preserve">Value Mart </t>
  </si>
  <si>
    <t>Address: Nishat</t>
  </si>
  <si>
    <t>Mian Store</t>
  </si>
  <si>
    <t xml:space="preserve">Address: Nishter </t>
  </si>
  <si>
    <t>Sheikh Store</t>
  </si>
  <si>
    <t>Address: Nishter</t>
  </si>
  <si>
    <t>786 Store</t>
  </si>
  <si>
    <t>Euro Store</t>
  </si>
  <si>
    <t>Chaudry Sons</t>
  </si>
  <si>
    <t xml:space="preserve">Address:Nishat </t>
  </si>
  <si>
    <t>MS Store</t>
  </si>
  <si>
    <t>Khan Store</t>
  </si>
  <si>
    <t>Bilal Store</t>
  </si>
  <si>
    <t>Rana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</si>
</sst>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3" workbookViewId="0">
      <selection activeCell="U5" sqref="U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499</v>
      </c>
      <c r="F2" s="383"/>
      <c r="G2" s="383"/>
      <c r="H2" s="380" t="s">
        <v>516</v>
      </c>
      <c r="I2" s="380"/>
      <c r="J2" s="381"/>
      <c r="R2" s="377" t="s">
        <v>498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512</v>
      </c>
      <c r="F3" s="387"/>
      <c r="G3" s="387"/>
      <c r="H3" s="384">
        <f ca="1">TODAY()</f>
        <v>46246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>Nishat Store</v>
      </c>
      <c r="T3" s="301">
        <f>+'1'!P35</f>
        <v>417.29447837288137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Value Mart </v>
      </c>
      <c r="T4" s="301">
        <f>+'2'!P35</f>
        <v>417.29447837288137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511</v>
      </c>
      <c r="R5" s="314">
        <v>3</v>
      </c>
      <c r="S5" s="300" t="str">
        <f>+'3'!A6:A6</f>
        <v>Mian Store</v>
      </c>
      <c r="T5" s="301">
        <f>+'3'!P35</f>
        <v>417.29447837288137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510</v>
      </c>
      <c r="R6" s="314">
        <v>4</v>
      </c>
      <c r="S6" s="300" t="str">
        <f>+'4'!A6:A6</f>
        <v>Sheikh Store</v>
      </c>
      <c r="T6" s="301">
        <f>+'4'!P35</f>
        <v>417.29447837288137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167.88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1857.1725000000001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11.268913347457627</v>
      </c>
      <c r="P7" s="310">
        <f>M7+N7+O7</f>
        <v>2265.051582838983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786 Store</v>
      </c>
      <c r="T7" s="301">
        <f>+'5'!P35</f>
        <v>3136.2115850847458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167.88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1857.1725000000001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11.268913347457627</v>
      </c>
      <c r="P8" s="311">
        <f t="shared" ref="P8:P15" si="2">M8+N8+O8</f>
        <v>2265.051582838983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Euro Store</v>
      </c>
      <c r="T8" s="301">
        <f>+'6'!P35</f>
        <v>15607.915834423729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Chaudry Sons</v>
      </c>
      <c r="T9" s="301">
        <f>+'7'!P35</f>
        <v>1568.1057925423729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55</v>
      </c>
      <c r="I10" s="236">
        <f t="shared" si="0"/>
        <v>3995.2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319.61599999999999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139.83200000000002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3535.752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755.08474576271192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21.454183728813561</v>
      </c>
      <c r="P10" s="311">
        <f t="shared" si="2"/>
        <v>4312.2909294915253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MS Store</v>
      </c>
      <c r="T10" s="301">
        <f>+'8'!P35</f>
        <v>417.29447837288137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60</v>
      </c>
      <c r="I11" s="236">
        <f t="shared" si="0"/>
        <v>4358.3999999999996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348.67200000000003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152.54400000000001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3857.1839999999997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823.72881355932202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23.40456406779661</v>
      </c>
      <c r="P11" s="311">
        <f t="shared" si="2"/>
        <v>4704.3173776271187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Khan Store</v>
      </c>
      <c r="T11" s="301">
        <f>+'9'!P35</f>
        <v>417.29447837288137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65</v>
      </c>
      <c r="I12" s="236">
        <f t="shared" si="0"/>
        <v>4721.6000000000004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377.72800000000001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165.25600000000003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4178.616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892.37288135593224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25.354944406779662</v>
      </c>
      <c r="P12" s="311">
        <f t="shared" si="2"/>
        <v>5096.3438257627113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Bilal Store</v>
      </c>
      <c r="T12" s="301">
        <f>+'10'!P35</f>
        <v>417.29447837288137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120</v>
      </c>
      <c r="I13" s="236">
        <f t="shared" si="0"/>
        <v>4707.6000000000004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235.38000000000008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164.76600000000005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240.08759999999995</v>
      </c>
      <c r="M13" s="230">
        <f t="shared" si="1"/>
        <v>4067.3664000000003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915.25423728813485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24.913103186440679</v>
      </c>
      <c r="P13" s="311">
        <f t="shared" si="2"/>
        <v>5007.533740474576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40</v>
      </c>
      <c r="R13" s="314">
        <v>11</v>
      </c>
      <c r="S13" s="300" t="str">
        <f>+'11'!A6:A6</f>
        <v>Rana Store</v>
      </c>
      <c r="T13" s="301">
        <f>+'11'!P35</f>
        <v>417.29447837288137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9.5</v>
      </c>
      <c r="H16" s="113">
        <f t="shared" ref="H16:M16" si="3">SUM(H7:H15)</f>
        <v>380</v>
      </c>
      <c r="I16" s="114">
        <f t="shared" si="3"/>
        <v>21979.800000000003</v>
      </c>
      <c r="J16" s="274">
        <f>SUM(J7:J15)</f>
        <v>1617.1560000000002</v>
      </c>
      <c r="K16" s="275">
        <f t="shared" si="3"/>
        <v>769.29300000000012</v>
      </c>
      <c r="L16" s="276">
        <f t="shared" si="3"/>
        <v>240.08759999999995</v>
      </c>
      <c r="M16" s="232">
        <f t="shared" si="3"/>
        <v>19353.2634</v>
      </c>
      <c r="N16" s="233">
        <f>SUM(N7:N15)</f>
        <v>4179.6610169491523</v>
      </c>
      <c r="O16" s="101">
        <f>SUM(O7:O15)</f>
        <v>117.66462208474577</v>
      </c>
      <c r="P16" s="113">
        <f>SUM(P7:P15)</f>
        <v>23650.589039033901</v>
      </c>
      <c r="Q16" s="128">
        <f>SUM(Q7:Q15)</f>
        <v>40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21979.800000000003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1617.1560000000002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1009.3806000000001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19353.263400000003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4179.6610169491523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23532.924416949158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117.66462208474577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23650.589039033905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23650.589039033901</v>
      </c>
    </row>
    <row r="44" spans="2:20" x14ac:dyDescent="0.35">
      <c r="B44" t="s">
        <v>504</v>
      </c>
    </row>
    <row r="45" spans="2:20" x14ac:dyDescent="0.35">
      <c r="B45" t="s">
        <v>505</v>
      </c>
    </row>
    <row r="46" spans="2:20" x14ac:dyDescent="0.35">
      <c r="B46" t="s">
        <v>506</v>
      </c>
    </row>
    <row r="47" spans="2:20" x14ac:dyDescent="0.35">
      <c r="B47" t="s">
        <v>507</v>
      </c>
    </row>
    <row r="48" spans="2:20" x14ac:dyDescent="0.35">
      <c r="B48" t="s">
        <v>508</v>
      </c>
    </row>
    <row r="49" spans="2:2" x14ac:dyDescent="0.35">
      <c r="B49" t="s">
        <v>513</v>
      </c>
    </row>
    <row r="50" spans="2:2" x14ac:dyDescent="0.35">
      <c r="B50" t="s">
        <v>515</v>
      </c>
    </row>
    <row r="51" spans="2:2" x14ac:dyDescent="0.35">
      <c r="B51" t="s">
        <v>514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7.25" customHeight="1" x14ac:dyDescent="0.4">
      <c r="A6" s="397" t="s">
        <v>517</v>
      </c>
      <c r="B6" s="397"/>
      <c r="C6" s="397"/>
      <c r="F6" s="85"/>
      <c r="G6" s="86"/>
      <c r="K6" s="392" t="s">
        <v>69</v>
      </c>
      <c r="L6" s="392"/>
      <c r="M6" s="392"/>
      <c r="N6" s="394" t="s">
        <v>505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518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10</v>
      </c>
      <c r="I25" s="114">
        <f t="shared" ref="I25:M25" si="10">SUM(I16:I24)</f>
        <v>392.30000000000007</v>
      </c>
      <c r="J25" s="274">
        <f>SUM(J16:J24)</f>
        <v>19.615000000000006</v>
      </c>
      <c r="K25" s="275">
        <f t="shared" si="10"/>
        <v>13.730500000000003</v>
      </c>
      <c r="L25" s="276">
        <f t="shared" si="10"/>
        <v>20.007300000000001</v>
      </c>
      <c r="M25" s="232">
        <f t="shared" si="10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392.30000000000007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19.615000000000006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33.737800000000007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338.94720000000007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415.21838644067799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71" t="s">
        <v>88</v>
      </c>
      <c r="O35" s="372"/>
      <c r="P35" s="297">
        <f>+P33+P34</f>
        <v>417.29447837288137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6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519</v>
      </c>
      <c r="B6" s="397"/>
      <c r="C6" s="397"/>
      <c r="F6" s="85"/>
      <c r="G6" s="86"/>
      <c r="K6" s="392" t="s">
        <v>69</v>
      </c>
      <c r="L6" s="392"/>
      <c r="M6" s="392"/>
      <c r="N6" s="394" t="s">
        <v>505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520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392.30000000000007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19.615000000000006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33.737800000000007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338.94720000000007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415.21838644067799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71" t="s">
        <v>88</v>
      </c>
      <c r="O35" s="372"/>
      <c r="P35" s="297">
        <f>+P33+P34</f>
        <v>417.29447837288137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8.75" customHeight="1" x14ac:dyDescent="0.4">
      <c r="A6" s="397" t="s">
        <v>521</v>
      </c>
      <c r="B6" s="397"/>
      <c r="C6" s="397"/>
      <c r="F6" s="85"/>
      <c r="G6" s="86"/>
      <c r="K6" s="392" t="s">
        <v>69</v>
      </c>
      <c r="L6" s="392"/>
      <c r="M6" s="392"/>
      <c r="N6" s="394" t="s">
        <v>505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522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392.30000000000007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19.615000000000006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33.737800000000007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338.94720000000007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415.21838644067799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71" t="s">
        <v>88</v>
      </c>
      <c r="O35" s="372"/>
      <c r="P35" s="297">
        <f>+P33+P34</f>
        <v>417.29447837288137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523</v>
      </c>
      <c r="B6" s="397"/>
      <c r="C6" s="397"/>
      <c r="F6" s="85"/>
      <c r="G6" s="86"/>
      <c r="K6" s="392" t="s">
        <v>69</v>
      </c>
      <c r="L6" s="392"/>
      <c r="M6" s="392"/>
      <c r="N6" s="394" t="s">
        <v>505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524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392.30000000000007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19.615000000000006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33.737800000000007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338.94720000000007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415.21838644067799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71" t="s">
        <v>88</v>
      </c>
      <c r="O35" s="372"/>
      <c r="P35" s="297">
        <f>+P33+P34</f>
        <v>417.29447837288137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9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525</v>
      </c>
      <c r="B6" s="397"/>
      <c r="C6" s="397"/>
      <c r="F6" s="85"/>
      <c r="G6" s="86"/>
      <c r="K6" s="392" t="s">
        <v>69</v>
      </c>
      <c r="L6" s="392"/>
      <c r="M6" s="392"/>
      <c r="N6" s="394" t="s">
        <v>505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524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311">
        <f t="shared" si="5"/>
        <v>1176.0793444067797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40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113">
        <f>SUM(P16:P24)</f>
        <v>3136.2115850847458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2905.6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232.44799999999998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101.696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2571.4560000000001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3120.6085423728814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1" t="s">
        <v>88</v>
      </c>
      <c r="O35" s="372"/>
      <c r="P35" s="297">
        <f>+P33+P34</f>
        <v>3136.2115850847458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526</v>
      </c>
      <c r="B6" s="397"/>
      <c r="C6" s="397"/>
      <c r="F6" s="85"/>
      <c r="G6" s="86"/>
      <c r="K6" s="392" t="s">
        <v>69</v>
      </c>
      <c r="L6" s="392"/>
      <c r="M6" s="392"/>
      <c r="N6" s="394" t="s">
        <v>505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520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310">
        <f>M16+N16+O16</f>
        <v>2265.051582838983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311">
        <f t="shared" ref="P17:P24" si="5">M17+N17+O17</f>
        <v>2265.051582838983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311">
        <f t="shared" si="5"/>
        <v>3136.2115850847458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311">
        <f t="shared" si="5"/>
        <v>3136.2115850847458</v>
      </c>
      <c r="Q20" s="156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311">
        <f t="shared" si="5"/>
        <v>3136.2115850847458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240</v>
      </c>
      <c r="I25" s="114">
        <f t="shared" si="7"/>
        <v>14483.000000000002</v>
      </c>
      <c r="J25" s="274">
        <f>SUM(J16:J24)</f>
        <v>1111.5640000000001</v>
      </c>
      <c r="K25" s="275">
        <f t="shared" si="7"/>
        <v>506.90500000000009</v>
      </c>
      <c r="L25" s="276">
        <f t="shared" si="7"/>
        <v>80.029200000000003</v>
      </c>
      <c r="M25" s="232">
        <f t="shared" si="7"/>
        <v>12784.501800000002</v>
      </c>
      <c r="N25" s="233">
        <f>SUM(N16:N24)</f>
        <v>2745.7627118644059</v>
      </c>
      <c r="O25" s="101">
        <f>SUM(O16:O24)</f>
        <v>77.651322559322026</v>
      </c>
      <c r="P25" s="113">
        <f>SUM(P16:P24)</f>
        <v>15607.915834423729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14483.000000000002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1111.5640000000001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586.93420000000015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12784.501800000002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2745.7627118644059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15530.264511864407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77.65132255932204</v>
      </c>
    </row>
    <row r="35" spans="2:16" ht="15.75" customHeight="1" thickBot="1" x14ac:dyDescent="0.4">
      <c r="N35" s="371" t="s">
        <v>88</v>
      </c>
      <c r="O35" s="372"/>
      <c r="P35" s="297">
        <f>+P33+P34</f>
        <v>15607.915834423729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527</v>
      </c>
      <c r="B6" s="397"/>
      <c r="C6" s="397"/>
      <c r="F6" s="85"/>
      <c r="G6" s="86"/>
      <c r="K6" s="392" t="s">
        <v>69</v>
      </c>
      <c r="L6" s="392"/>
      <c r="M6" s="392"/>
      <c r="N6" s="394" t="s">
        <v>505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528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113">
        <f>SUM(P16:P24)</f>
        <v>1568.1057925423729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1452.8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116.224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50.848000000000006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1285.7280000000001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1560.3042711864407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71" t="s">
        <v>88</v>
      </c>
      <c r="O35" s="372"/>
      <c r="P35" s="297">
        <f>+P33+P34</f>
        <v>1568.1057925423729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7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529</v>
      </c>
      <c r="B6" s="397"/>
      <c r="C6" s="397"/>
      <c r="F6" s="85"/>
      <c r="G6" s="86"/>
      <c r="K6" s="392" t="s">
        <v>69</v>
      </c>
      <c r="L6" s="392"/>
      <c r="M6" s="392"/>
      <c r="N6" s="394" t="s">
        <v>505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520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392.30000000000007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19.615000000000006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33.737800000000007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338.94720000000007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415.21838644067799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71" t="s">
        <v>88</v>
      </c>
      <c r="O35" s="372"/>
      <c r="P35" s="297">
        <f>+P33+P34</f>
        <v>417.29447837288137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6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530</v>
      </c>
      <c r="B6" s="397"/>
      <c r="C6" s="397"/>
      <c r="F6" s="85"/>
      <c r="G6" s="86"/>
      <c r="K6" s="392" t="s">
        <v>69</v>
      </c>
      <c r="L6" s="392"/>
      <c r="M6" s="392"/>
      <c r="N6" s="394" t="s">
        <v>505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520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392.30000000000007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19.615000000000006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33.737800000000007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338.94720000000007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415.21838644067799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71" t="s">
        <v>88</v>
      </c>
      <c r="O35" s="372"/>
      <c r="P35" s="297">
        <f>+P33+P34</f>
        <v>417.29447837288137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6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531</v>
      </c>
      <c r="B6" s="397"/>
      <c r="C6" s="397"/>
      <c r="F6" s="85"/>
      <c r="G6" s="86"/>
      <c r="K6" s="392" t="s">
        <v>69</v>
      </c>
      <c r="L6" s="392"/>
      <c r="M6" s="392"/>
      <c r="N6" s="394" t="s">
        <v>505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520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392.30000000000007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19.615000000000006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33.737800000000007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338.94720000000007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415.21838644067799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71" t="s">
        <v>88</v>
      </c>
      <c r="O35" s="372"/>
      <c r="P35" s="297">
        <f>+P33+P34</f>
        <v>417.29447837288137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6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532</v>
      </c>
      <c r="B6" s="397"/>
      <c r="C6" s="397"/>
      <c r="F6" s="85"/>
      <c r="G6" s="86"/>
      <c r="K6" s="392" t="s">
        <v>69</v>
      </c>
      <c r="L6" s="392"/>
      <c r="M6" s="392"/>
      <c r="N6" s="394" t="s">
        <v>505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520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311">
        <f t="shared" si="5"/>
        <v>417.29447837288137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10</v>
      </c>
      <c r="I25" s="114">
        <f t="shared" si="7"/>
        <v>392.30000000000007</v>
      </c>
      <c r="J25" s="274">
        <f>SUM(J16:J24)</f>
        <v>19.615000000000006</v>
      </c>
      <c r="K25" s="275">
        <f t="shared" si="7"/>
        <v>13.730500000000003</v>
      </c>
      <c r="L25" s="276">
        <f t="shared" si="7"/>
        <v>20.007300000000001</v>
      </c>
      <c r="M25" s="232">
        <f t="shared" si="7"/>
        <v>338.94720000000007</v>
      </c>
      <c r="N25" s="233">
        <f>SUM(N16:N24)</f>
        <v>76.271186440677923</v>
      </c>
      <c r="O25" s="101">
        <f>SUM(O16:O24)</f>
        <v>2.0760919322033899</v>
      </c>
      <c r="P25" s="113">
        <f>SUM(P16:P24)</f>
        <v>417.29447837288137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392.30000000000007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19.615000000000006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33.737800000000007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338.94720000000007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76.271186440677923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415.21838644067799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2.0760919322033899</v>
      </c>
    </row>
    <row r="35" spans="2:16" ht="15.75" customHeight="1" thickBot="1" x14ac:dyDescent="0.4">
      <c r="N35" s="371" t="s">
        <v>88</v>
      </c>
      <c r="O35" s="372"/>
      <c r="P35" s="297">
        <f>+P33+P34</f>
        <v>417.29447837288137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500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501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8.75" customHeight="1" x14ac:dyDescent="0.4">
      <c r="A6" s="397" t="s">
        <v>502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503</v>
      </c>
      <c r="B4" s="391"/>
      <c r="C4" s="391"/>
      <c r="F4" s="85"/>
      <c r="G4" s="1"/>
      <c r="K4" s="392" t="s">
        <v>44</v>
      </c>
      <c r="L4" s="392"/>
      <c r="M4" s="392"/>
      <c r="N4" s="395">
        <v>46246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46245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509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509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511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510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46247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46246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2026-08-12T11:49:47Z</dcterms:modified>
</cp:coreProperties>
</file>