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749C970-7A55-432D-9D20-AFBE71B9403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  <fileRecoveryPr repairLoad="1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9" l="1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O16" i="58" s="1"/>
  <c r="P16" i="58" s="1"/>
  <c r="M16" i="59"/>
  <c r="M23" i="72"/>
  <c r="O23" i="72" s="1"/>
  <c r="P23" i="72" s="1"/>
  <c r="M23" i="64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69"/>
  <c r="P23" i="69" s="1"/>
  <c r="O24" i="48"/>
  <c r="P24" i="48" s="1"/>
  <c r="O22" i="51"/>
  <c r="P22" i="51" s="1"/>
  <c r="O23" i="60"/>
  <c r="P23" i="60" s="1"/>
  <c r="O16" i="64"/>
  <c r="P16" i="64" s="1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N24" i="16" l="1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8" i="16" l="1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<sst xmlns="http://schemas.openxmlformats.org/spreadsheetml/2006/main" count="3948" uniqueCount="551">
  <si>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</si>
  <si>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</si>
  <si>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</si>
  <si>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</si>
  <si>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</si>
  <si>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</si>
  <si>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</si>
  <si>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</si>
  <si>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</si>
  <si>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</si>
  <si>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</si>
  <si>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</si>
  <si>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</si>
  <si>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</si>
  <si>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</si>
  <si>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</si>
  <si>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</si>
  <si>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</si>
  <si>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</si>
  <si>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</si>
  <si>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</si>
  <si>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</si>
  <si>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</si>
  <si>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</si>
  <si>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</si>
  <si>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</si>
  <si>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</si>
  <si>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</si>
  <si>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</si>
  <si>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</si>
  <si>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</si>
  <si>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</si>
  <si>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</si>
  <si>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</si>
  <si>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</si>
  <si>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</si>
  <si>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</si>
  <si>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</si>
  <si>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</si>
  <si>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</si>
  <si>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</si>
  <si>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</si>
  <si>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</si>
  <si>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</si>
  <si>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</si>
  <si>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</si>
  <si>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</si>
  <si>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</si>
  <si>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</si>
  <si>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</si>
  <si>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</si>
  <si>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</si>
  <si>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</si>
  <si>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</si>
  <si>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</si>
  <si>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</si>
  <si>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</si>
  <si>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</si>
  <si>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</si>
  <si>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</si>
  <si>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</si>
  <si>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</si>
  <si>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</si>
  <si>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</si>
  <si>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</si>
  <si>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</si>
  <si>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</si>
  <si>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</si>
  <si>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</si>
  <si>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</si>
  <si>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</si>
  <si>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</si>
  <si>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</si>
  <si>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</si>
  <si>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</si>
  <si>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</si>
  <si>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</si>
  <si>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</si>
  <si>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</si>
  <si>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</si>
  <si>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</si>
  <si>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</si>
  <si>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</si>
  <si>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</si>
  <si>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</si>
  <si>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</si>
  <si>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</si>
  <si>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</si>
  <si>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</si>
  <si>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</si>
  <si>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</si>
  <si>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</si>
  <si>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</si>
  <si>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</si>
  <si>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</si>
  <si>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</si>
  <si>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</si>
  <si>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</si>
  <si>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</si>
  <si>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</si>
  <si>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</si>
  <si>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</si>
  <si>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</si>
  <si>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</si>
  <si>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</si>
  <si>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</si>
  <si>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</si>
  <si>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</si>
  <si>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</si>
  <si>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</si>
  <si>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</si>
  <si>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</si>
  <si>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</si>
  <si>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</si>
  <si>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</si>
  <si>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</si>
  <si>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</si>
  <si>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</si>
  <si>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</si>
  <si>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</si>
  <si>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</si>
  <si>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</si>
  <si>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</si>
  <si>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</si>
  <si>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</si>
  <si>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</si>
  <si>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</si>
  <si>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</si>
  <si>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</si>
  <si>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</si>
  <si>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</si>
  <si>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</si>
  <si>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</si>
  <si>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</si>
  <si>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</si>
  <si>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</si>
  <si>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</si>
  <si>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</si>
  <si>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</si>
  <si>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</si>
  <si>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</si>
  <si>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</si>
  <si>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</si>
  <si>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</si>
  <si>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</si>
  <si>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</si>
  <si>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</si>
  <si>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</si>
  <si>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</si>
  <si>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</si>
  <si>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</si>
  <si>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</si>
  <si>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</si>
  <si>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</si>
  <si>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</si>
  <si>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</si>
  <si>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</si>
  <si>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</si>
  <si>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</si>
  <si>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</si>
  <si>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</si>
  <si>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</si>
  <si>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</si>
  <si>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</si>
  <si>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</si>
  <si>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</si>
  <si>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</si>
  <si>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</si>
  <si>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</si>
  <si>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</si>
  <si>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</si>
  <si>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</si>
  <si>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</si>
  <si>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</si>
  <si>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</si>
  <si>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</si>
  <si>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</si>
  <si>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</si>
  <si>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</si>
  <si>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</si>
  <si>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</si>
  <si>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</si>
  <si>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</si>
  <si>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</si>
  <si>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</si>
  <si>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</si>
  <si>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</si>
  <si>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</si>
  <si>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</si>
  <si>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</si>
  <si>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</si>
  <si>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</si>
  <si>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</si>
  <si>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</si>
  <si>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</si>
  <si>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</si>
  <si>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</si>
  <si>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</si>
  <si>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</si>
  <si>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</si>
  <si>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</si>
  <si>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</si>
  <si>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</si>
  <si>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</si>
  <si>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</si>
  <si>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</si>
  <si>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</si>
  <si>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</si>
  <si>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</si>
  <si>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</si>
  <si>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</si>
  <si>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</si>
  <si>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</si>
  <si>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</si>
  <si>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</si>
  <si>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</si>
  <si>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</si>
  <si>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</si>
  <si>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</si>
  <si>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</si>
  <si>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</si>
  <si>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</si>
  <si>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</si>
  <si>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</si>
  <si>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</si>
  <si>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</si>
  <si>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</si>
  <si>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</si>
  <si>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</si>
  <si>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</si>
  <si>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</si>
  <si>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</si>
  <si>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</si>
  <si>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</si>
  <si>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</si>
  <si>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</si>
  <si>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</si>
  <si>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</si>
  <si>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</si>
  <si>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</si>
  <si>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</si>
  <si>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</si>
  <si>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</si>
  <si>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</si>
  <si>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</si>
  <si>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</si>
  <si>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</si>
  <si>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</si>
  <si>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</si>
  <si>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</si>
  <si>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</si>
  <si>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</si>
  <si>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</si>
  <si>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</si>
  <si>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</si>
  <si>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</si>
  <si>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</si>
  <si>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</si>
  <si>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</si>
  <si>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</si>
  <si>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</si>
  <si>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</si>
  <si>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</si>
  <si>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</si>
  <si>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</si>
  <si>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</si>
  <si>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</si>
  <si>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</si>
  <si>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</si>
  <si>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</si>
  <si>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</si>
  <si>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</si>
  <si>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</si>
  <si>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</si>
  <si>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</si>
  <si>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</si>
  <si>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</si>
  <si>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</si>
  <si>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</si>
  <si>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</si>
  <si>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</si>
  <si>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</si>
  <si>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</si>
  <si>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</si>
  <si>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</si>
  <si>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</si>
  <si>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</si>
  <si>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</si>
  <si>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</si>
  <si>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</si>
  <si>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</si>
  <si>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</si>
  <si>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</si>
  <si>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</si>
  <si>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</si>
  <si>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</si>
  <si>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</si>
  <si>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</si>
  <si>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</si>
  <si>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</si>
  <si>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</si>
  <si>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</si>
  <si>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</si>
  <si>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</si>
  <si>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</si>
  <si>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</si>
  <si>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</si>
  <si>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</si>
  <si>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</si>
  <si>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</si>
  <si>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</si>
  <si>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</si>
  <si>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</si>
  <si>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</si>
  <si>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</si>
  <si>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</si>
  <si>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</si>
  <si>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</si>
  <si>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</si>
  <si>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</si>
  <si>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</si>
  <si>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</si>
  <si>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</si>
  <si>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</si>
  <si>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</si>
  <si>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</si>
  <si>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</si>
  <si>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</si>
  <si>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</si>
  <si>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</si>
  <si>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</si>
  <si>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</si>
  <si>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</si>
  <si>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</si>
  <si>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</si>
  <si>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</si>
  <si>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</si>
  <si>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</si>
  <si>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</si>
  <si>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</si>
  <si>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</si>
  <si>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</si>
  <si>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</si>
  <si>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</si>
  <si>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</si>
  <si>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</si>
  <si>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</si>
  <si>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</si>
  <si>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</si>
  <si>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</si>
  <si>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</si>
  <si>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</si>
  <si>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</si>
  <si>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</si>
  <si>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</si>
  <si>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</si>
  <si>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</si>
  <si>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</si>
  <si>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</si>
  <si>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</si>
  <si>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</si>
  <si>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</si>
  <si>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</si>
  <si>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</si>
  <si>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</si>
  <si>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</si>
  <si>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</si>
  <si>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</si>
  <si>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</si>
  <si>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</si>
  <si>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</si>
  <si>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</si>
  <si>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</si>
  <si>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</si>
  <si>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</si>
  <si>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</si>
  <si>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</si>
  <si>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</si>
  <si>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</si>
  <si>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</si>
  <si>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</si>
  <si>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</si>
  <si>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</si>
  <si>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</si>
  <si>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</si>
  <si>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</si>
  <si>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</si>
  <si>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</si>
  <si>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</si>
  <si>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</si>
  <si>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</si>
  <si>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</si>
  <si>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</si>
  <si>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</si>
  <si>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</si>
  <si>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</si>
  <si>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</si>
  <si>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</si>
  <si>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</si>
  <si>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</si>
  <si>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</si>
  <si>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</si>
  <si>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</si>
  <si>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</si>
  <si>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</si>
  <si>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</si>
  <si>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</si>
  <si>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</si>
  <si>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</si>
  <si>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</si>
  <si>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</si>
  <si>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</si>
  <si>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</si>
  <si>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</si>
  <si>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</si>
  <si>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</si>
  <si>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</si>
  <si>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</si>
  <si>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</si>
  <si>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</si>
  <si>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</si>
  <si>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</si>
  <si>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</si>
  <si>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</si>
  <si>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</si>
  <si>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</si>
  <si>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</si>
  <si>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</si>
  <si>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</si>
  <si>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</si>
  <si>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</si>
  <si>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</si>
  <si>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</si>
  <si>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</si>
  <si>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</si>
  <si>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</si>
  <si>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</si>
  <si>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</si>
  <si>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</si>
  <si>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</si>
  <si>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</si>
  <si>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</si>
  <si>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</si>
  <si>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</si>
  <si>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</si>
  <si>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</si>
  <si>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</si>
  <si>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</si>
  <si>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</si>
  <si>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</si>
  <si>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</si>
  <si>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</si>
  <si>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</si>
  <si>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</si>
  <si>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</si>
  <si>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</si>
  <si>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</si>
  <si>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</si>
  <si>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</si>
  <si>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</si>
  <si>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</si>
  <si>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</si>
  <si>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</si>
  <si>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</si>
  <si>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</si>
  <si>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</si>
  <si>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</si>
  <si>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</si>
  <si>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</si>
  <si>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</si>
  <si>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</si>
  <si>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</si>
  <si>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</si>
  <si>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</si>
  <si>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</si>
  <si>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</si>
  <si>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</si>
  <si>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</si>
  <si>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</si>
  <si>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</si>
  <si>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</si>
  <si>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</si>
  <si>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</si>
  <si>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</si>
  <si>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</si>
  <si>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</si>
  <si>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</si>
  <si>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</si>
  <si>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</si>
  <si>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</si>
  <si>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</si>
  <si>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</si>
  <si>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</si>
  <si>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</si>
  <si>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</si>
  <si>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</si>
  <si>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</si>
  <si>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</si>
  <si>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</si>
  <si>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</si>
  <si>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</si>
  <si>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</si>
  <si>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</si>
  <si>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</si>
  <si>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</si>
  <si>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</si>
  <si>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</si>
  <si>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</si>
  <si>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</si>
  <si>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</si>
  <si>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</si>
  <si>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</si>
  <si>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</si>
  <si>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</si>
  <si>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</si>
  <si>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</si>
  <si>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</si>
  <si>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Nasirabad</t>
  </si>
  <si>
    <t>Address: Nasiraabad</t>
  </si>
  <si>
    <t>Gourmet Food Remanpura</t>
  </si>
  <si>
    <t>Address: Rehmanpura</t>
  </si>
  <si>
    <t>Gourmet Food Ayoubia Market</t>
  </si>
  <si>
    <t>Address: Ayoubia Market</t>
  </si>
  <si>
    <t xml:space="preserve">Gourmet Food Walton </t>
  </si>
  <si>
    <t xml:space="preserve">Address: Walton </t>
  </si>
  <si>
    <t xml:space="preserve">Gourmet Food Firdos Market </t>
  </si>
  <si>
    <t>Address: Firdos Market</t>
  </si>
  <si>
    <t>Gourmet Food Younaabad</t>
  </si>
  <si>
    <t>Address: younaabad</t>
  </si>
  <si>
    <t>Gourmet Food XX</t>
  </si>
  <si>
    <t>Address: DHA XX</t>
  </si>
  <si>
    <t xml:space="preserve">Gourmet Food H Block </t>
  </si>
  <si>
    <t xml:space="preserve">Address: H Block </t>
  </si>
  <si>
    <t xml:space="preserve">Gourmet Food K Block </t>
  </si>
  <si>
    <t xml:space="preserve">Address: Dha K Block </t>
  </si>
  <si>
    <t xml:space="preserve">Gourmet Food Z Block </t>
  </si>
  <si>
    <t xml:space="preserve">Address:  Z Block </t>
  </si>
  <si>
    <t xml:space="preserve">Gourmet Food Awan Market </t>
  </si>
  <si>
    <t>Address: Ferozpur Road</t>
  </si>
  <si>
    <t xml:space="preserve">Gourmet Food Ismail Nager </t>
  </si>
  <si>
    <t>Address: Ismail Nager</t>
  </si>
  <si>
    <t xml:space="preserve">Gourmet Food Kahna </t>
  </si>
  <si>
    <t>Address: Kahna Now</t>
  </si>
  <si>
    <t>Address: Main Ghazi Road</t>
  </si>
  <si>
    <t>Address: Punjab Ghazi Road</t>
  </si>
  <si>
    <t xml:space="preserve">Gourmet Food Punjab Ghazi </t>
  </si>
  <si>
    <t xml:space="preserve">Gourmet Food Main Ghazi </t>
  </si>
  <si>
    <t xml:space="preserve">Gourmet Food Pak Arab </t>
  </si>
  <si>
    <t xml:space="preserve">Address: Pak Arab </t>
  </si>
  <si>
    <t xml:space="preserve">Gourmet Food Muslim Town </t>
  </si>
  <si>
    <t xml:space="preserve">Address: Muslim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</si>
</sst>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510</v>
      </c>
      <c r="F3" s="359"/>
      <c r="G3" s="359"/>
      <c r="H3" s="356">
        <f ca="1">TODAY()</f>
        <v>46261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Gourmet Food Nasirabad</v>
      </c>
      <c r="T3" s="301">
        <f>+'1'!P35</f>
        <v>1027.0761664194915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Remanpura</v>
      </c>
      <c r="T4" s="301">
        <f>+'2'!P35</f>
        <v>2054.1523328389831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>Gourmet Food Ayoubia Market</v>
      </c>
      <c r="T5" s="301">
        <f>+'3'!P35</f>
        <v>2054.1523328389831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 xml:space="preserve">Gourmet Food Walton </v>
      </c>
      <c r="T6" s="301">
        <f>+'4'!P35</f>
        <v>2054.1523328389831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566.59499999999991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2470.9837500000003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15.329495021186439</v>
      </c>
      <c r="P7" s="310">
        <f>M7+N7+O7</f>
        <v>3081.2284992584746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Gourmet Food Firdos Market </v>
      </c>
      <c r="T7" s="301">
        <f>+'5'!P35</f>
        <v>2054.1523328389831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Gourmet Food Younaabad</v>
      </c>
      <c r="T8" s="301">
        <f>+'6'!P35</f>
        <v>6952.5034507627115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640</v>
      </c>
      <c r="I9" s="236">
        <f t="shared" si="0"/>
        <v>33576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6043.6799999999976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1175.1600000000001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26357.160000000003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6345.7627118644023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163.51461355932207</v>
      </c>
      <c r="P9" s="311">
        <f t="shared" si="2"/>
        <v>32866.437325423729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360</v>
      </c>
      <c r="R9" s="314">
        <v>7</v>
      </c>
      <c r="S9" s="300" t="str">
        <f>+'7'!A6:A6</f>
        <v>Gourmet Food XX</v>
      </c>
      <c r="T9" s="301">
        <f>+'7'!P35</f>
        <v>6320.450510466103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4561.7919999999995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28.300485423728812</v>
      </c>
      <c r="P10" s="311">
        <f t="shared" si="2"/>
        <v>5688.3975701694908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H Block 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784.51199999999994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3421.3439999999996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21.225364067796608</v>
      </c>
      <c r="P11" s="311">
        <f t="shared" si="2"/>
        <v>4266.2981776271181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Gourmet Food K Block </v>
      </c>
      <c r="T11" s="301">
        <f>+'9'!P35</f>
        <v>6320.450510466103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4561.7919999999995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28.300485423728812</v>
      </c>
      <c r="P12" s="311">
        <f t="shared" si="2"/>
        <v>5688.3975701694908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100</v>
      </c>
      <c r="R12" s="314">
        <v>10</v>
      </c>
      <c r="S12" s="300" t="str">
        <f>+'10'!A6:A6</f>
        <v xml:space="preserve">Gourmet Food Z Block </v>
      </c>
      <c r="T12" s="301">
        <f>+'10'!P35</f>
        <v>2054.1523328389831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Awan Market </v>
      </c>
      <c r="T13" s="301">
        <f>+'11'!P35</f>
        <v>2054.1523328389831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Gourmet Food Ismail Nager </v>
      </c>
      <c r="T14" s="301">
        <f>+'12'!P35</f>
        <v>2054.1523328389831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Gourmet Food Kahna </v>
      </c>
      <c r="T15" s="301">
        <f>+'13'!P35</f>
        <v>10428.755176144066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25</v>
      </c>
      <c r="H16" s="113">
        <f t="shared" ref="H16:M16" si="3">SUM(H7:H15)</f>
        <v>1000</v>
      </c>
      <c r="I16" s="114">
        <f t="shared" si="3"/>
        <v>56901.549999999996</v>
      </c>
      <c r="J16" s="274">
        <f>SUM(J7:J15)</f>
        <v>10242.278999999997</v>
      </c>
      <c r="K16" s="275">
        <f t="shared" si="3"/>
        <v>1991.5542500000004</v>
      </c>
      <c r="L16" s="276">
        <f t="shared" si="3"/>
        <v>0</v>
      </c>
      <c r="M16" s="232">
        <f t="shared" si="3"/>
        <v>44667.71675</v>
      </c>
      <c r="N16" s="233">
        <f>SUM(N7:N15)</f>
        <v>10754.23728813559</v>
      </c>
      <c r="O16" s="101">
        <f>SUM(O7:O15)</f>
        <v>277.10977019067798</v>
      </c>
      <c r="P16" s="113">
        <f>SUM(P7:P15)</f>
        <v>55699.06380832626</v>
      </c>
      <c r="Q16" s="128">
        <f>SUM(Q7:Q15)</f>
        <v>460</v>
      </c>
      <c r="R16" s="314">
        <v>14</v>
      </c>
      <c r="S16" s="300" t="str">
        <f>+'14'!A6:A6</f>
        <v xml:space="preserve">Gourmet Food Main Ghazi </v>
      </c>
      <c r="T16" s="301">
        <f>+'14'!P35</f>
        <v>2054.1523328389831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Gourmet Food Punjab Ghazi </v>
      </c>
      <c r="T17" s="301">
        <f>+'15'!P35</f>
        <v>2054.1523328389831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Gourmet Food Pak Arab </v>
      </c>
      <c r="T18" s="301">
        <f>+'16'!P35</f>
        <v>2054.1523328389831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56901.549999999996</v>
      </c>
      <c r="R19" s="299">
        <v>17</v>
      </c>
      <c r="S19" s="300" t="str">
        <f>+'17'!A6:A6</f>
        <v xml:space="preserve">Gourmet Food Muslim Town </v>
      </c>
      <c r="T19" s="301">
        <f>+'17'!P35</f>
        <v>2054.1523328389831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10242.278999999997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1991.5542500000004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44667.71675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10754.23728813559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55421.954038135591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277.10977019067798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55699.063808326267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55699.06380832626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zoomScaleNormal="10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188.86499999999998</v>
      </c>
      <c r="K16" s="127">
        <f>$I16*T16</f>
        <v>36.723750000000003</v>
      </c>
      <c r="L16" s="118">
        <f>$I16*U16</f>
        <v>0</v>
      </c>
      <c r="M16" s="229">
        <f>I16-SUM(J16:L16)</f>
        <v>823.66125</v>
      </c>
      <c r="N16" s="248">
        <f>+(G16*D16+H16)*V16</f>
        <v>198.30508474576263</v>
      </c>
      <c r="O16" s="238">
        <f>(N16+M16)*$O$15</f>
        <v>5.109831673728813</v>
      </c>
      <c r="P16" s="310">
        <f>M16+N16+O16</f>
        <v>1027.0761664194915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188.86499999999998</v>
      </c>
      <c r="K25" s="275">
        <f t="shared" si="10"/>
        <v>36.723750000000003</v>
      </c>
      <c r="L25" s="276">
        <f t="shared" si="10"/>
        <v>0</v>
      </c>
      <c r="M25" s="232">
        <f t="shared" si="10"/>
        <v>823.66125</v>
      </c>
      <c r="N25" s="233">
        <f>SUM(N16:N24)</f>
        <v>198.30508474576263</v>
      </c>
      <c r="O25" s="101">
        <f>SUM(O16:O24)</f>
        <v>5.109831673728813</v>
      </c>
      <c r="P25" s="113">
        <f>SUM(P16:P24)</f>
        <v>1027.0761664194915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1049.25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188.86499999999998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36.723750000000003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823.66125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1021.9663347457627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5.109831673728813</v>
      </c>
    </row>
    <row r="35" spans="2:16" ht="15.75" customHeight="1" thickBot="1" x14ac:dyDescent="0.4">
      <c r="N35" s="343" t="s">
        <v>88</v>
      </c>
      <c r="O35" s="344"/>
      <c r="P35" s="297">
        <f>+P33+P34</f>
        <v>1027.0761664194915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zoomScaleNormal="10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248.59100000000004</v>
      </c>
      <c r="L25" s="276">
        <f t="shared" si="7"/>
        <v>0</v>
      </c>
      <c r="M25" s="232">
        <f t="shared" si="7"/>
        <v>5575.5409999999993</v>
      </c>
      <c r="N25" s="233">
        <f>SUM(N16:N24)</f>
        <v>1342.3728813559319</v>
      </c>
      <c r="O25" s="101">
        <f>SUM(O16:O24)</f>
        <v>34.58956940677966</v>
      </c>
      <c r="P25" s="113">
        <f>SUM(P16:P24)</f>
        <v>6952.5034507627115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7102.6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1278.4679999999998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248.59100000000004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5575.5410000000002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6917.9138813559321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34.58956940677966</v>
      </c>
    </row>
    <row r="35" spans="2:16" ht="15.75" customHeight="1" thickBot="1" x14ac:dyDescent="0.4">
      <c r="N35" s="343" t="s">
        <v>88</v>
      </c>
      <c r="O35" s="344"/>
      <c r="P35" s="297">
        <f>+P33+P34</f>
        <v>6952.5034507627115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zoomScale="110" zoomScaleNormal="1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372.88650000000007</v>
      </c>
      <c r="L25" s="276">
        <f t="shared" si="7"/>
        <v>0</v>
      </c>
      <c r="M25" s="232">
        <f t="shared" si="7"/>
        <v>8363.3114999999998</v>
      </c>
      <c r="N25" s="233">
        <f>SUM(N16:N24)</f>
        <v>2013.5593220338976</v>
      </c>
      <c r="O25" s="101">
        <f>SUM(O16:O24)</f>
        <v>51.88435411016949</v>
      </c>
      <c r="P25" s="113">
        <f>SUM(P16:P24)</f>
        <v>10428.755176144066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10653.9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1917.7019999999995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372.88650000000007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8363.3114999999998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10376.870822033898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51.88435411016949</v>
      </c>
    </row>
    <row r="35" spans="2:16" ht="15.75" customHeight="1" thickBot="1" x14ac:dyDescent="0.4">
      <c r="N35" s="343" t="s">
        <v>88</v>
      </c>
      <c r="O35" s="344"/>
      <c r="P35" s="297">
        <f>+P33+P34</f>
        <v>10428.755176144066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546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543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549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550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46262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46262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46261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2026-08-27T12:47:02Z</dcterms:modified>
</cp:coreProperties>
</file>