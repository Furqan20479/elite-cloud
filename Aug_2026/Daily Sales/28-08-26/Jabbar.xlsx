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C82B45E-F7F5-44FA-B84D-9C4C22A2517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<sst xmlns="http://schemas.openxmlformats.org/spreadsheetml/2006/main" count="3948" uniqueCount="519">
  <si>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</si>
  <si>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</si>
  <si>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</si>
  <si>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</si>
  <si>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</si>
  <si>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</si>
  <si>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</si>
  <si>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</si>
  <si>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</si>
  <si>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</si>
  <si>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</si>
  <si>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</si>
  <si>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</si>
  <si>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</si>
  <si>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</si>
  <si>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</si>
  <si>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</si>
  <si>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</si>
  <si>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</si>
  <si>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</si>
  <si>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</si>
  <si>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</si>
  <si>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</si>
  <si>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</si>
  <si>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</si>
  <si>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</si>
  <si>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</si>
  <si>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</si>
  <si>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</si>
  <si>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</si>
  <si>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</si>
  <si>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</si>
  <si>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</si>
  <si>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</si>
  <si>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</si>
  <si>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</si>
  <si>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</si>
  <si>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</si>
  <si>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</si>
  <si>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</si>
  <si>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</si>
  <si>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</si>
  <si>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</si>
  <si>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</si>
  <si>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</si>
  <si>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</si>
  <si>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</si>
  <si>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</si>
  <si>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</si>
  <si>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</si>
  <si>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</si>
  <si>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</si>
  <si>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</si>
  <si>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</si>
  <si>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</si>
  <si>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</si>
  <si>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</si>
  <si>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</si>
  <si>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</si>
  <si>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</si>
  <si>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</si>
  <si>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</si>
  <si>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</si>
  <si>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</si>
  <si>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</si>
  <si>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</si>
  <si>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</si>
  <si>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</si>
  <si>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</si>
  <si>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</si>
  <si>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</si>
  <si>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</si>
  <si>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</si>
  <si>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</si>
  <si>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</si>
  <si>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</si>
  <si>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</si>
  <si>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</si>
  <si>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</si>
  <si>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</si>
  <si>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</si>
  <si>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</si>
  <si>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</si>
  <si>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</si>
  <si>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</si>
  <si>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</si>
  <si>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</si>
  <si>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</si>
  <si>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</si>
  <si>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</si>
  <si>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</si>
  <si>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</si>
  <si>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</si>
  <si>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</si>
  <si>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</si>
  <si>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</si>
  <si>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</si>
  <si>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</si>
  <si>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</si>
  <si>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</si>
  <si>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</si>
  <si>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</si>
  <si>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</si>
  <si>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</si>
  <si>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</si>
  <si>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</si>
  <si>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</si>
  <si>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</si>
  <si>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</si>
  <si>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</si>
  <si>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</si>
  <si>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</si>
  <si>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</si>
  <si>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</si>
  <si>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</si>
  <si>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</si>
  <si>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</si>
  <si>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</si>
  <si>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</si>
  <si>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</si>
  <si>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</si>
  <si>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</si>
  <si>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</si>
  <si>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</si>
  <si>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</si>
  <si>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</si>
  <si>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</si>
  <si>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</si>
  <si>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</si>
  <si>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</si>
  <si>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</si>
  <si>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</si>
  <si>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</si>
  <si>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</si>
  <si>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</si>
  <si>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</si>
  <si>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</si>
  <si>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</si>
  <si>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</si>
  <si>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</si>
  <si>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</si>
  <si>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</si>
  <si>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</si>
  <si>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</si>
  <si>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</si>
  <si>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</si>
  <si>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</si>
  <si>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</si>
  <si>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</si>
  <si>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</si>
  <si>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</si>
  <si>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</si>
  <si>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</si>
  <si>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</si>
  <si>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</si>
  <si>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</si>
  <si>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</si>
  <si>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</si>
  <si>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</si>
  <si>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</si>
  <si>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</si>
  <si>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</si>
  <si>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</si>
  <si>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</si>
  <si>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</si>
  <si>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</si>
  <si>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</si>
  <si>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</si>
  <si>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</si>
  <si>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</si>
  <si>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</si>
  <si>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</si>
  <si>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</si>
  <si>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</si>
  <si>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</si>
  <si>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</si>
  <si>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</si>
  <si>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</si>
  <si>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</si>
  <si>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</si>
  <si>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</si>
  <si>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</si>
  <si>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</si>
  <si>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</si>
  <si>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</si>
  <si>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</si>
  <si>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</si>
  <si>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</si>
  <si>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</si>
  <si>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</si>
  <si>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</si>
  <si>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</si>
  <si>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</si>
  <si>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</si>
  <si>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</si>
  <si>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</si>
  <si>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</si>
  <si>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</si>
  <si>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</si>
  <si>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</si>
  <si>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</si>
  <si>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</si>
  <si>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</si>
  <si>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</si>
  <si>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</si>
  <si>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</si>
  <si>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</si>
  <si>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</si>
  <si>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</si>
  <si>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</si>
  <si>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</si>
  <si>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</si>
  <si>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</si>
  <si>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</si>
  <si>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</si>
  <si>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</si>
  <si>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</si>
  <si>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</si>
  <si>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</si>
  <si>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</si>
  <si>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</si>
  <si>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</si>
  <si>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</si>
  <si>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</si>
  <si>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</si>
  <si>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</si>
  <si>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</si>
  <si>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</si>
  <si>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</si>
  <si>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</si>
  <si>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</si>
  <si>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</si>
  <si>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</si>
  <si>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</si>
  <si>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</si>
  <si>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</si>
  <si>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</si>
  <si>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</si>
  <si>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</si>
  <si>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</si>
  <si>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</si>
  <si>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</si>
  <si>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</si>
  <si>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</si>
  <si>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</si>
  <si>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</si>
  <si>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</si>
  <si>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</si>
  <si>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</si>
  <si>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</si>
  <si>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</si>
  <si>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</si>
  <si>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</si>
  <si>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</si>
  <si>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</si>
  <si>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</si>
  <si>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</si>
  <si>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</si>
  <si>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</si>
  <si>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</si>
  <si>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</si>
  <si>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</si>
  <si>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</si>
  <si>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</si>
  <si>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</si>
  <si>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</si>
  <si>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</si>
  <si>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</si>
  <si>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</si>
  <si>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</si>
  <si>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</si>
  <si>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</si>
  <si>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</si>
  <si>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</si>
  <si>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</si>
  <si>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</si>
  <si>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</si>
  <si>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</si>
  <si>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</si>
  <si>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</si>
  <si>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</si>
  <si>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</si>
  <si>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</si>
  <si>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</si>
  <si>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</si>
  <si>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</si>
  <si>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</si>
  <si>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</si>
  <si>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</si>
  <si>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</si>
  <si>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</si>
  <si>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</si>
  <si>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</si>
  <si>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</si>
  <si>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</si>
  <si>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</si>
  <si>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</si>
  <si>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</si>
  <si>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</si>
  <si>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</si>
  <si>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</si>
  <si>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</si>
  <si>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</si>
  <si>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</si>
  <si>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</si>
  <si>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</si>
  <si>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</si>
  <si>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</si>
  <si>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</si>
  <si>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</si>
  <si>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</si>
  <si>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</si>
  <si>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</si>
  <si>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</si>
  <si>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</si>
  <si>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</si>
  <si>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</si>
  <si>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</si>
  <si>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</si>
  <si>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</si>
  <si>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</si>
  <si>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</si>
  <si>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</si>
  <si>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</si>
  <si>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</si>
  <si>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</si>
  <si>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</si>
  <si>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</si>
  <si>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</si>
  <si>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</si>
  <si>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</si>
  <si>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</si>
  <si>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</si>
  <si>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</si>
  <si>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</si>
  <si>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</si>
  <si>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</si>
  <si>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</si>
  <si>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</si>
  <si>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</si>
  <si>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</si>
  <si>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</si>
  <si>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</si>
  <si>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</si>
  <si>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</si>
  <si>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</si>
  <si>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</si>
  <si>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</si>
  <si>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</si>
  <si>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</si>
  <si>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</si>
  <si>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</si>
  <si>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</si>
  <si>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</si>
  <si>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</si>
  <si>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</si>
  <si>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</si>
  <si>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</si>
  <si>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</si>
  <si>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</si>
  <si>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</si>
  <si>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</si>
  <si>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</si>
  <si>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</si>
  <si>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</si>
  <si>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</si>
  <si>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</si>
  <si>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</si>
  <si>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</si>
  <si>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</si>
  <si>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</si>
  <si>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</si>
  <si>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</si>
  <si>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</si>
  <si>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</si>
  <si>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</si>
  <si>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</si>
  <si>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</si>
  <si>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</si>
  <si>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</si>
  <si>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</si>
  <si>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</si>
  <si>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</si>
  <si>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</si>
  <si>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</si>
  <si>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</si>
  <si>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</si>
  <si>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</si>
  <si>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</si>
  <si>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</si>
  <si>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</si>
  <si>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</si>
  <si>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</si>
  <si>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</si>
  <si>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</si>
  <si>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</si>
  <si>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</si>
  <si>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</si>
  <si>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</si>
  <si>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</si>
  <si>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</si>
  <si>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</si>
  <si>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</si>
  <si>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</si>
  <si>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</si>
  <si>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</si>
  <si>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</si>
  <si>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</si>
  <si>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</si>
  <si>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</si>
  <si>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</si>
  <si>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</si>
  <si>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</si>
  <si>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</si>
  <si>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</si>
  <si>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</si>
  <si>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</si>
  <si>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</si>
  <si>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</si>
  <si>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</si>
  <si>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</si>
  <si>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</si>
  <si>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</si>
  <si>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</si>
  <si>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</si>
  <si>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</si>
  <si>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</si>
  <si>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</si>
  <si>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</si>
  <si>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</si>
  <si>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</si>
  <si>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</si>
  <si>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</si>
  <si>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</si>
  <si>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</si>
  <si>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</si>
  <si>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</si>
  <si>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</si>
  <si>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</si>
  <si>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</si>
  <si>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</si>
  <si>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</si>
  <si>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</si>
  <si>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</si>
  <si>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</si>
  <si>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</si>
  <si>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</si>
  <si>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</si>
  <si>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</si>
  <si>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</si>
  <si>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</si>
  <si>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</si>
  <si>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</si>
  <si>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</si>
  <si>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</si>
  <si>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</si>
  <si>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</si>
  <si>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</si>
  <si>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</si>
  <si>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</si>
  <si>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</si>
  <si>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</si>
  <si>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</si>
  <si>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</si>
  <si>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</si>
  <si>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</si>
  <si>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</si>
  <si>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</si>
  <si>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</si>
  <si>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</si>
  <si>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</si>
  <si>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</si>
  <si>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</si>
  <si>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</si>
  <si>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</si>
  <si>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</si>
  <si>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</si>
  <si>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</si>
  <si>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</si>
  <si>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</si>
  <si>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</si>
  <si>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</si>
  <si>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</si>
  <si>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</si>
  <si>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</si>
  <si>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</si>
  <si>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</si>
  <si>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</si>
  <si>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</si>
  <si>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</si>
  <si>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</si>
  <si>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</si>
  <si>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</si>
  <si>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</si>
  <si>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</si>
  <si>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</si>
  <si>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</si>
  <si>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</si>
  <si>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</si>
  <si>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</si>
  <si>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</si>
  <si>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</si>
  <si>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</si>
  <si>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</si>
  <si>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</si>
  <si>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</si>
  <si>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</si>
  <si>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</si>
  <si>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</si>
  <si>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</si>
  <si>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</si>
  <si>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</si>
  <si>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</si>
  <si>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</si>
  <si>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</si>
  <si>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Brawo Store</t>
  </si>
  <si>
    <t>Address: Dha Phase 6</t>
  </si>
  <si>
    <t>Maag Store</t>
  </si>
  <si>
    <t>Address: DHA Phase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</si>
</sst>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H31" sqref="H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46262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Brawo Store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Maag Store</v>
      </c>
      <c r="T4" s="301">
        <f>+'2'!P35</f>
        <v>3240.7579007542372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27</v>
      </c>
      <c r="I7" s="235">
        <f>(G7*D7)*F7+H7*F7</f>
        <v>1416.4875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113.31899999999999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49.577062500000004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1253.5914375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267.71186440677957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7.6065165095338978</v>
      </c>
      <c r="P7" s="310">
        <f>M7+N7+O7</f>
        <v>1528.9098184163136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27</v>
      </c>
      <c r="I9" s="236">
        <f t="shared" si="0"/>
        <v>1416.4875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113.31899999999999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49.577062500000004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1253.5914375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267.71186440677957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7.6065165095338978</v>
      </c>
      <c r="P9" s="311">
        <f t="shared" si="2"/>
        <v>1528.9098184163136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</v>
      </c>
      <c r="I10" s="236">
        <f t="shared" si="0"/>
        <v>871.68000000000006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69.734400000000008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30.508800000000004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771.43680000000006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164.74576271186442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4.6809128135593223</v>
      </c>
      <c r="P10" s="311">
        <f t="shared" si="2"/>
        <v>940.86347552542372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</v>
      </c>
      <c r="I12" s="236">
        <f t="shared" si="0"/>
        <v>871.68000000000006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69.734400000000008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30.508800000000004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771.43680000000006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164.74576271186442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4.6809128135593223</v>
      </c>
      <c r="P12" s="311">
        <f t="shared" si="2"/>
        <v>940.86347552542372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2.2000000000000002</v>
      </c>
      <c r="H16" s="113">
        <f t="shared" ref="H16:M16" si="3">SUM(H7:H15)</f>
        <v>88</v>
      </c>
      <c r="I16" s="114">
        <f t="shared" si="3"/>
        <v>5100.96</v>
      </c>
      <c r="J16" s="274">
        <f>SUM(J7:J15)</f>
        <v>408.07679999999993</v>
      </c>
      <c r="K16" s="275">
        <f t="shared" si="3"/>
        <v>178.53360000000004</v>
      </c>
      <c r="L16" s="276">
        <f t="shared" si="3"/>
        <v>0</v>
      </c>
      <c r="M16" s="232">
        <f t="shared" si="3"/>
        <v>4514.3495999999996</v>
      </c>
      <c r="N16" s="233">
        <f>SUM(N7:N15)</f>
        <v>964.06779661016935</v>
      </c>
      <c r="O16" s="101">
        <f>SUM(O7:O15)</f>
        <v>27.392086983050845</v>
      </c>
      <c r="P16" s="113">
        <f>SUM(P7:P15)</f>
        <v>5505.8094835932197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5100.96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408.07679999999993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178.53360000000004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4514.3496000000005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964.06779661016935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5478.4173966101698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27.392086983050845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5505.8094835932206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5505.8094835932206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ref="I18:I21" si="7">(G18*D18)*F18+H18*F18</f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73.447500000000019</v>
      </c>
      <c r="L25" s="276">
        <f t="shared" si="10"/>
        <v>0</v>
      </c>
      <c r="M25" s="232">
        <f t="shared" si="10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2098.5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167.88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73.447500000000019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1857.1724999999999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2253.7826694915252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3" t="s">
        <v>88</v>
      </c>
      <c r="O35" s="374"/>
      <c r="P35" s="297">
        <f>+P33+P34</f>
        <v>2265.051582838983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48</v>
      </c>
      <c r="I25" s="114">
        <f t="shared" si="7"/>
        <v>3002.46</v>
      </c>
      <c r="J25" s="274">
        <f>SUM(J16:J24)</f>
        <v>240.1968</v>
      </c>
      <c r="K25" s="275">
        <f t="shared" si="7"/>
        <v>105.08610000000002</v>
      </c>
      <c r="L25" s="276">
        <f t="shared" si="7"/>
        <v>0</v>
      </c>
      <c r="M25" s="232">
        <f t="shared" si="7"/>
        <v>2657.1770999999999</v>
      </c>
      <c r="N25" s="233">
        <f>SUM(N16:N24)</f>
        <v>567.45762711864404</v>
      </c>
      <c r="O25" s="101">
        <f>SUM(O16:O24)</f>
        <v>16.123173635593218</v>
      </c>
      <c r="P25" s="113">
        <f>SUM(P16:P24)</f>
        <v>3240.7579007542372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3002.46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240.1968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105.08610000000002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2657.1770999999999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567.45762711864404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3224.6347271186442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16.123173635593222</v>
      </c>
    </row>
    <row r="35" spans="2:16" ht="15.75" customHeight="1" thickBot="1" x14ac:dyDescent="0.4">
      <c r="N35" s="373" t="s">
        <v>88</v>
      </c>
      <c r="O35" s="374"/>
      <c r="P35" s="297">
        <f>+P33+P34</f>
        <v>3240.7579007542372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46262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46261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2026-08-27T11:52:44Z</dcterms:modified>
</cp:coreProperties>
</file>