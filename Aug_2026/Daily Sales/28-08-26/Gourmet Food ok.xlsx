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8762584-63E2-4B5C-B555-A7C3CECF94C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9" l="1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O16" i="58" s="1"/>
  <c r="P16" i="58" s="1"/>
  <c r="M16" i="59"/>
  <c r="M23" i="72"/>
  <c r="O23" i="72" s="1"/>
  <c r="P23" i="72" s="1"/>
  <c r="M23" i="64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69"/>
  <c r="P23" i="69" s="1"/>
  <c r="O24" i="48"/>
  <c r="P24" i="48" s="1"/>
  <c r="O22" i="51"/>
  <c r="P22" i="51" s="1"/>
  <c r="O23" i="60"/>
  <c r="P23" i="60" s="1"/>
  <c r="O16" i="64"/>
  <c r="P16" i="64" s="1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N24" i="16" l="1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8" i="16" l="1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<sst xmlns="http://schemas.openxmlformats.org/spreadsheetml/2006/main" count="3948" uniqueCount="551">
  <si>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</si>
  <si>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</si>
  <si>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</si>
  <si>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</si>
  <si>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</si>
  <si>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</si>
  <si>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</si>
  <si>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</si>
  <si>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</si>
  <si>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</si>
  <si>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</si>
  <si>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</si>
  <si>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</si>
  <si>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</si>
  <si>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</si>
  <si>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</si>
  <si>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</si>
  <si>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</si>
  <si>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</si>
  <si>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</si>
  <si>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</si>
  <si>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</si>
  <si>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</si>
  <si>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</si>
  <si>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</si>
  <si>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</si>
  <si>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</si>
  <si>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</si>
  <si>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</si>
  <si>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</si>
  <si>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</si>
  <si>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</si>
  <si>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</si>
  <si>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</si>
  <si>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</si>
  <si>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</si>
  <si>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</si>
  <si>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</si>
  <si>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</si>
  <si>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</si>
  <si>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</si>
  <si>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</si>
  <si>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</si>
  <si>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</si>
  <si>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</si>
  <si>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</si>
  <si>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</si>
  <si>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</si>
  <si>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</si>
  <si>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</si>
  <si>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</si>
  <si>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</si>
  <si>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</si>
  <si>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</si>
  <si>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</si>
  <si>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</si>
  <si>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</si>
  <si>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</si>
  <si>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</si>
  <si>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</si>
  <si>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</si>
  <si>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</si>
  <si>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</si>
  <si>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</si>
  <si>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</si>
  <si>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</si>
  <si>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</si>
  <si>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</si>
  <si>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</si>
  <si>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</si>
  <si>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</si>
  <si>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</si>
  <si>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</si>
  <si>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</si>
  <si>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</si>
  <si>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</si>
  <si>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</si>
  <si>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</si>
  <si>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</si>
  <si>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</si>
  <si>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</si>
  <si>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</si>
  <si>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</si>
  <si>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</si>
  <si>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</si>
  <si>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</si>
  <si>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</si>
  <si>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</si>
  <si>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</si>
  <si>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</si>
  <si>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</si>
  <si>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</si>
  <si>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</si>
  <si>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</si>
  <si>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</si>
  <si>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</si>
  <si>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</si>
  <si>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</si>
  <si>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</si>
  <si>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</si>
  <si>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</si>
  <si>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</si>
  <si>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</si>
  <si>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</si>
  <si>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</si>
  <si>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</si>
  <si>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</si>
  <si>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</si>
  <si>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</si>
  <si>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</si>
  <si>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</si>
  <si>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</si>
  <si>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</si>
  <si>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</si>
  <si>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</si>
  <si>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</si>
  <si>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</si>
  <si>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</si>
  <si>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</si>
  <si>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</si>
  <si>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</si>
  <si>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</si>
  <si>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</si>
  <si>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</si>
  <si>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</si>
  <si>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</si>
  <si>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</si>
  <si>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</si>
  <si>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</si>
  <si>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</si>
  <si>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</si>
  <si>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</si>
  <si>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</si>
  <si>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</si>
  <si>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</si>
  <si>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</si>
  <si>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</si>
  <si>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</si>
  <si>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</si>
  <si>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</si>
  <si>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</si>
  <si>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</si>
  <si>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</si>
  <si>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</si>
  <si>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</si>
  <si>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</si>
  <si>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</si>
  <si>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</si>
  <si>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</si>
  <si>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</si>
  <si>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</si>
  <si>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</si>
  <si>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</si>
  <si>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</si>
  <si>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</si>
  <si>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</si>
  <si>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</si>
  <si>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</si>
  <si>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</si>
  <si>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</si>
  <si>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</si>
  <si>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</si>
  <si>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</si>
  <si>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</si>
  <si>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</si>
  <si>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</si>
  <si>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</si>
  <si>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</si>
  <si>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</si>
  <si>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</si>
  <si>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</si>
  <si>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</si>
  <si>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</si>
  <si>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</si>
  <si>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</si>
  <si>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</si>
  <si>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</si>
  <si>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</si>
  <si>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</si>
  <si>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</si>
  <si>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</si>
  <si>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</si>
  <si>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</si>
  <si>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</si>
  <si>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</si>
  <si>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</si>
  <si>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</si>
  <si>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</si>
  <si>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</si>
  <si>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</si>
  <si>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</si>
  <si>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</si>
  <si>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</si>
  <si>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</si>
  <si>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</si>
  <si>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</si>
  <si>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</si>
  <si>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</si>
  <si>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</si>
  <si>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</si>
  <si>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</si>
  <si>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</si>
  <si>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</si>
  <si>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</si>
  <si>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</si>
  <si>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</si>
  <si>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</si>
  <si>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</si>
  <si>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</si>
  <si>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</si>
  <si>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</si>
  <si>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</si>
  <si>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</si>
  <si>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</si>
  <si>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</si>
  <si>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</si>
  <si>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</si>
  <si>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</si>
  <si>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</si>
  <si>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</si>
  <si>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</si>
  <si>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</si>
  <si>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</si>
  <si>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</si>
  <si>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</si>
  <si>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</si>
  <si>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</si>
  <si>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</si>
  <si>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</si>
  <si>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</si>
  <si>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</si>
  <si>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</si>
  <si>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</si>
  <si>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</si>
  <si>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</si>
  <si>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</si>
  <si>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</si>
  <si>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</si>
  <si>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</si>
  <si>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</si>
  <si>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</si>
  <si>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</si>
  <si>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</si>
  <si>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</si>
  <si>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</si>
  <si>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</si>
  <si>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</si>
  <si>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</si>
  <si>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</si>
  <si>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</si>
  <si>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</si>
  <si>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</si>
  <si>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</si>
  <si>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</si>
  <si>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</si>
  <si>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</si>
  <si>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</si>
  <si>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</si>
  <si>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</si>
  <si>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</si>
  <si>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</si>
  <si>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</si>
  <si>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</si>
  <si>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</si>
  <si>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</si>
  <si>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</si>
  <si>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</si>
  <si>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</si>
  <si>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</si>
  <si>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</si>
  <si>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</si>
  <si>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</si>
  <si>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</si>
  <si>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</si>
  <si>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</si>
  <si>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</si>
  <si>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</si>
  <si>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</si>
  <si>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</si>
  <si>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</si>
  <si>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</si>
  <si>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</si>
  <si>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</si>
  <si>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</si>
  <si>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</si>
  <si>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</si>
  <si>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</si>
  <si>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</si>
  <si>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</si>
  <si>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</si>
  <si>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</si>
  <si>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</si>
  <si>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</si>
  <si>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</si>
  <si>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</si>
  <si>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</si>
  <si>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</si>
  <si>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</si>
  <si>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</si>
  <si>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</si>
  <si>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</si>
  <si>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</si>
  <si>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</si>
  <si>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</si>
  <si>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</si>
  <si>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</si>
  <si>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</si>
  <si>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</si>
  <si>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</si>
  <si>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</si>
  <si>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</si>
  <si>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</si>
  <si>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</si>
  <si>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</si>
  <si>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</si>
  <si>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</si>
  <si>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</si>
  <si>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</si>
  <si>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</si>
  <si>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</si>
  <si>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</si>
  <si>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</si>
  <si>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</si>
  <si>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</si>
  <si>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</si>
  <si>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</si>
  <si>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</si>
  <si>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</si>
  <si>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</si>
  <si>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</si>
  <si>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</si>
  <si>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</si>
  <si>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</si>
  <si>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</si>
  <si>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</si>
  <si>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</si>
  <si>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</si>
  <si>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</si>
  <si>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</si>
  <si>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</si>
  <si>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</si>
  <si>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</si>
  <si>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</si>
  <si>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</si>
  <si>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</si>
  <si>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</si>
  <si>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</si>
  <si>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</si>
  <si>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</si>
  <si>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</si>
  <si>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</si>
  <si>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</si>
  <si>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</si>
  <si>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</si>
  <si>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</si>
  <si>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</si>
  <si>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</si>
  <si>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</si>
  <si>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</si>
  <si>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</si>
  <si>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</si>
  <si>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</si>
  <si>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</si>
  <si>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</si>
  <si>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</si>
  <si>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</si>
  <si>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</si>
  <si>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</si>
  <si>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</si>
  <si>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</si>
  <si>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</si>
  <si>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</si>
  <si>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</si>
  <si>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</si>
  <si>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</si>
  <si>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</si>
  <si>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</si>
  <si>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</si>
  <si>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</si>
  <si>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</si>
  <si>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</si>
  <si>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</si>
  <si>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</si>
  <si>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</si>
  <si>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</si>
  <si>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</si>
  <si>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</si>
  <si>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</si>
  <si>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</si>
  <si>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</si>
  <si>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</si>
  <si>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</si>
  <si>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</si>
  <si>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</si>
  <si>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</si>
  <si>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</si>
  <si>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</si>
  <si>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</si>
  <si>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</si>
  <si>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</si>
  <si>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</si>
  <si>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</si>
  <si>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</si>
  <si>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</si>
  <si>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</si>
  <si>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</si>
  <si>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</si>
  <si>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</si>
  <si>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</si>
  <si>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</si>
  <si>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</si>
  <si>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</si>
  <si>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</si>
  <si>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</si>
  <si>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</si>
  <si>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</si>
  <si>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</si>
  <si>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</si>
  <si>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</si>
  <si>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</si>
  <si>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</si>
  <si>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</si>
  <si>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</si>
  <si>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</si>
  <si>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</si>
  <si>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</si>
  <si>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</si>
  <si>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</si>
  <si>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</si>
  <si>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</si>
  <si>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</si>
  <si>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</si>
  <si>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</si>
  <si>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</si>
  <si>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</si>
  <si>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</si>
  <si>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</si>
  <si>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</si>
  <si>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</si>
  <si>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</si>
  <si>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</si>
  <si>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</si>
  <si>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</si>
  <si>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</si>
  <si>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</si>
  <si>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</si>
  <si>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</si>
  <si>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</si>
  <si>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</si>
  <si>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</si>
  <si>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</si>
  <si>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</si>
  <si>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</si>
  <si>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</si>
  <si>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</si>
  <si>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</si>
  <si>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</si>
  <si>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</si>
  <si>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</si>
  <si>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</si>
  <si>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</si>
  <si>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</si>
  <si>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</si>
  <si>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</si>
  <si>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</si>
  <si>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</si>
  <si>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</si>
  <si>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</si>
  <si>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</si>
  <si>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</si>
  <si>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</si>
  <si>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</si>
  <si>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</si>
  <si>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</si>
  <si>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</si>
  <si>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</si>
  <si>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</si>
  <si>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</si>
  <si>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</si>
  <si>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</si>
  <si>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</si>
  <si>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</si>
  <si>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</si>
  <si>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</si>
  <si>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</si>
  <si>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</si>
  <si>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</si>
  <si>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</si>
  <si>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</si>
  <si>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</si>
  <si>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</si>
  <si>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</si>
  <si>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</si>
  <si>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</si>
  <si>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</si>
  <si>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</si>
  <si>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</si>
  <si>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</si>
  <si>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</si>
  <si>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</si>
  <si>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</si>
  <si>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</si>
  <si>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</si>
  <si>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</si>
  <si>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</si>
  <si>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</si>
  <si>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</si>
  <si>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</si>
  <si>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</si>
  <si>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</si>
  <si>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</si>
  <si>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</si>
  <si>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</si>
  <si>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</si>
  <si>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</si>
  <si>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</si>
  <si>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</si>
  <si>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Nasirabad</t>
  </si>
  <si>
    <t>Address: Nasiraabad</t>
  </si>
  <si>
    <t>Gourmet Food Remanpura</t>
  </si>
  <si>
    <t>Address: Rehmanpura</t>
  </si>
  <si>
    <t>Gourmet Food Ayoubia Market</t>
  </si>
  <si>
    <t>Address: Ayoubia Market</t>
  </si>
  <si>
    <t xml:space="preserve">Gourmet Food Walton </t>
  </si>
  <si>
    <t xml:space="preserve">Address: Walton </t>
  </si>
  <si>
    <t xml:space="preserve">Gourmet Food Firdos Market </t>
  </si>
  <si>
    <t>Address: Firdos Market</t>
  </si>
  <si>
    <t>Gourmet Food Younaabad</t>
  </si>
  <si>
    <t>Address: younaabad</t>
  </si>
  <si>
    <t>Gourmet Food XX</t>
  </si>
  <si>
    <t>Address: DHA XX</t>
  </si>
  <si>
    <t xml:space="preserve">Gourmet Food H Block </t>
  </si>
  <si>
    <t xml:space="preserve">Address: H Block </t>
  </si>
  <si>
    <t xml:space="preserve">Gourmet Food K Block </t>
  </si>
  <si>
    <t xml:space="preserve">Address: Dha K Block </t>
  </si>
  <si>
    <t xml:space="preserve">Gourmet Food Z Block </t>
  </si>
  <si>
    <t xml:space="preserve">Address:  Z Block </t>
  </si>
  <si>
    <t xml:space="preserve">Gourmet Food Awan Market </t>
  </si>
  <si>
    <t>Address: Ferozpur Road</t>
  </si>
  <si>
    <t xml:space="preserve">Gourmet Food Ismail Nager </t>
  </si>
  <si>
    <t>Address: Ismail Nager</t>
  </si>
  <si>
    <t xml:space="preserve">Gourmet Food Kahna </t>
  </si>
  <si>
    <t>Address: Kahna Now</t>
  </si>
  <si>
    <t>Address: Main Ghazi Road</t>
  </si>
  <si>
    <t>Address: Punjab Ghazi Road</t>
  </si>
  <si>
    <t xml:space="preserve">Gourmet Food Punjab Ghazi </t>
  </si>
  <si>
    <t xml:space="preserve">Gourmet Food Main Ghazi </t>
  </si>
  <si>
    <t xml:space="preserve">Gourmet Food Pak Arab </t>
  </si>
  <si>
    <t xml:space="preserve">Address: Pak Arab </t>
  </si>
  <si>
    <t xml:space="preserve">Gourmet Food Muslim Town </t>
  </si>
  <si>
    <t xml:space="preserve">Address: Muslim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</si>
</sst>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R15" sqref="R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515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510</v>
      </c>
      <c r="F3" s="388"/>
      <c r="G3" s="388"/>
      <c r="H3" s="385">
        <f ca="1">TODAY()</f>
        <v>46263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Gourmet Food Nasirabad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Remanpura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>Gourmet Food Ayoubia Market</v>
      </c>
      <c r="T5" s="301">
        <f>+'3'!P35</f>
        <v>2054.1523328389831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 xml:space="preserve">Gourmet Food Walton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377.72999999999996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1647.3225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10.219663347457626</v>
      </c>
      <c r="P7" s="310">
        <f>M7+N7+O7</f>
        <v>2054.1523328389831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4">
        <v>5</v>
      </c>
      <c r="S7" s="300" t="str">
        <f>+'5'!A6:A6</f>
        <v xml:space="preserve">Gourmet Food Firdos Market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Gourmet Food Younaabad</v>
      </c>
      <c r="T8" s="301">
        <f>+'6'!P35</f>
        <v>6952.5034507627115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480</v>
      </c>
      <c r="I9" s="236">
        <f t="shared" si="0"/>
        <v>25182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4532.7599999999993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881.37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19767.870000000003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4759.3220338983019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122.63596016949151</v>
      </c>
      <c r="P9" s="311">
        <f t="shared" si="2"/>
        <v>24649.827994067797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160</v>
      </c>
      <c r="R9" s="314">
        <v>7</v>
      </c>
      <c r="S9" s="300" t="str">
        <f>+'7'!A6:A6</f>
        <v>Gourmet Food XX</v>
      </c>
      <c r="T9" s="301">
        <f>+'7'!P35</f>
        <v>6320.450510466103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4561.7919999999995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28.300485423728812</v>
      </c>
      <c r="P10" s="311">
        <f t="shared" si="2"/>
        <v>5688.3975701694908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H Block 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784.51199999999994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3421.3439999999996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21.225364067796608</v>
      </c>
      <c r="P11" s="311">
        <f t="shared" si="2"/>
        <v>4266.2981776271181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Gourmet Food K Block </v>
      </c>
      <c r="T11" s="301">
        <f>+'9'!P35</f>
        <v>6320.450510466103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4561.7919999999995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28.300485423728812</v>
      </c>
      <c r="P12" s="311">
        <f t="shared" si="2"/>
        <v>5688.3975701694908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Gourmet Food Z Block </v>
      </c>
      <c r="T12" s="301">
        <f>+'10'!P35</f>
        <v>2054.1523328389831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Awan Market </v>
      </c>
      <c r="T13" s="301">
        <f>+'11'!P35</f>
        <v>2054.1523328389831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Gourmet Food Ismail Nager </v>
      </c>
      <c r="T14" s="301">
        <f>+'12'!P35</f>
        <v>2054.1523328389831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Gourmet Food Kahna </v>
      </c>
      <c r="T15" s="301">
        <f>+'13'!P35</f>
        <v>10428.755176144066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20.5</v>
      </c>
      <c r="H16" s="113">
        <f t="shared" ref="H16:M16" si="3">SUM(H7:H15)</f>
        <v>820</v>
      </c>
      <c r="I16" s="114">
        <f t="shared" si="3"/>
        <v>47458.299999999996</v>
      </c>
      <c r="J16" s="274">
        <f>SUM(J7:J15)</f>
        <v>8542.4939999999988</v>
      </c>
      <c r="K16" s="275">
        <f t="shared" si="3"/>
        <v>1661.0405000000003</v>
      </c>
      <c r="L16" s="276">
        <f t="shared" si="3"/>
        <v>0</v>
      </c>
      <c r="M16" s="232">
        <f t="shared" si="3"/>
        <v>37254.765500000001</v>
      </c>
      <c r="N16" s="233">
        <f>SUM(N7:N15)</f>
        <v>8969.4915254237258</v>
      </c>
      <c r="O16" s="101">
        <f>SUM(O7:O15)</f>
        <v>231.12128512711863</v>
      </c>
      <c r="P16" s="113">
        <f>SUM(P7:P15)</f>
        <v>46455.378310550848</v>
      </c>
      <c r="Q16" s="128">
        <f>SUM(Q7:Q15)</f>
        <v>180</v>
      </c>
      <c r="R16" s="314">
        <v>14</v>
      </c>
      <c r="S16" s="300" t="str">
        <f>+'14'!A6:A6</f>
        <v xml:space="preserve">Gourmet Food Main Ghazi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Gourmet Food Punjab Ghazi </v>
      </c>
      <c r="T17" s="301">
        <f>+'15'!P35</f>
        <v>2054.1523328389831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Gourmet Food Pak Arab </v>
      </c>
      <c r="T18" s="301">
        <f>+'16'!P35</f>
        <v>2054.1523328389831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47458.299999999996</v>
      </c>
      <c r="R19" s="299">
        <v>17</v>
      </c>
      <c r="S19" s="300" t="str">
        <f>+'17'!A6:A6</f>
        <v xml:space="preserve">Gourmet Food Muslim Town </v>
      </c>
      <c r="T19" s="301">
        <f>+'17'!P35</f>
        <v>2054.1523328389831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8542.4939999999988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1661.0405000000003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37254.765499999994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8969.4915254237258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46224.257025423722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231.12128512711863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46455.378310550841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46455.378310550841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zoomScaleNormal="10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7.2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20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8.75" customHeight="1" x14ac:dyDescent="0.4">
      <c r="A6" s="398" t="s">
        <v>521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522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524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526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528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248.59100000000004</v>
      </c>
      <c r="L25" s="276">
        <f t="shared" si="7"/>
        <v>0</v>
      </c>
      <c r="M25" s="232">
        <f t="shared" si="7"/>
        <v>5575.5409999999993</v>
      </c>
      <c r="N25" s="233">
        <f>SUM(N16:N24)</f>
        <v>1342.3728813559319</v>
      </c>
      <c r="O25" s="101">
        <f>SUM(O16:O24)</f>
        <v>34.58956940677966</v>
      </c>
      <c r="P25" s="113">
        <f>SUM(P16:P24)</f>
        <v>6952.5034507627115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7102.6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1278.4679999999998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248.59100000000004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5575.5410000000002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6917.9138813559321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34.58956940677966</v>
      </c>
    </row>
    <row r="35" spans="2:16" ht="15.75" customHeight="1" thickBot="1" x14ac:dyDescent="0.4">
      <c r="N35" s="372" t="s">
        <v>88</v>
      </c>
      <c r="O35" s="373"/>
      <c r="P35" s="297">
        <f>+P33+P34</f>
        <v>6952.5034507627115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530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6456.9000000000005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1162.2419999999997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225.99150000000003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5068.6665000000012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6289.0054830508489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72" t="s">
        <v>88</v>
      </c>
      <c r="O35" s="373"/>
      <c r="P35" s="297">
        <f>+P33+P34</f>
        <v>6320.450510466103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zoomScale="110" zoomScaleNormal="110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532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534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6456.9000000000005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1162.2419999999997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225.99150000000003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5068.6665000000012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6289.0054830508489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72" t="s">
        <v>88</v>
      </c>
      <c r="O35" s="373"/>
      <c r="P35" s="297">
        <f>+P33+P34</f>
        <v>6320.450510466103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536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538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540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542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372.88650000000007</v>
      </c>
      <c r="L25" s="276">
        <f t="shared" si="7"/>
        <v>0</v>
      </c>
      <c r="M25" s="232">
        <f t="shared" si="7"/>
        <v>8363.3114999999998</v>
      </c>
      <c r="N25" s="233">
        <f>SUM(N16:N24)</f>
        <v>2013.5593220338976</v>
      </c>
      <c r="O25" s="101">
        <f>SUM(O16:O24)</f>
        <v>51.88435411016949</v>
      </c>
      <c r="P25" s="113">
        <f>SUM(P16:P24)</f>
        <v>10428.755176144066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10653.9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1917.7019999999995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372.88650000000007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8363.3114999999998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10376.870822033898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51.88435411016949</v>
      </c>
    </row>
    <row r="35" spans="2:16" ht="15.75" customHeight="1" thickBot="1" x14ac:dyDescent="0.4">
      <c r="N35" s="372" t="s">
        <v>88</v>
      </c>
      <c r="O35" s="373"/>
      <c r="P35" s="297">
        <f>+P33+P34</f>
        <v>10428.755176144066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543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544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548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549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550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8.7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46262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46263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2026-08-29T04:29:03Z</dcterms:modified>
</cp:coreProperties>
</file>