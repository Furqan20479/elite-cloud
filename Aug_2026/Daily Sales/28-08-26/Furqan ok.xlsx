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648FE9-BDC9-4FED-B9F1-2CC15AC9E82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<sst xmlns="http://schemas.openxmlformats.org/spreadsheetml/2006/main" count="3948" uniqueCount="527">
  <si>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</si>
  <si>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</si>
  <si>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</si>
  <si>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</si>
  <si>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</si>
  <si>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</si>
  <si>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</si>
  <si>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</si>
  <si>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</si>
  <si>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</si>
  <si>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</si>
  <si>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</si>
  <si>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</si>
  <si>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</si>
  <si>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</si>
  <si>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</si>
  <si>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</si>
  <si>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</si>
  <si>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</si>
  <si>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</si>
  <si>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</si>
  <si>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</si>
  <si>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</si>
  <si>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</si>
  <si>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</si>
  <si>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</si>
  <si>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</si>
  <si>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</si>
  <si>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</si>
  <si>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</si>
  <si>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</si>
  <si>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</si>
  <si>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</si>
  <si>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</si>
  <si>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</si>
  <si>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</si>
  <si>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</si>
  <si>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</si>
  <si>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</si>
  <si>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</si>
  <si>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</si>
  <si>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</si>
  <si>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</si>
  <si>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</si>
  <si>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</si>
  <si>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</si>
  <si>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</si>
  <si>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</si>
  <si>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</si>
  <si>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</si>
  <si>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</si>
  <si>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</si>
  <si>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</si>
  <si>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</si>
  <si>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</si>
  <si>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</si>
  <si>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</si>
  <si>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</si>
  <si>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</si>
  <si>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</si>
  <si>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</si>
  <si>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</si>
  <si>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</si>
  <si>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</si>
  <si>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</si>
  <si>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</si>
  <si>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</si>
  <si>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</si>
  <si>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</si>
  <si>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</si>
  <si>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</si>
  <si>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</si>
  <si>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</si>
  <si>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</si>
  <si>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</si>
  <si>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</si>
  <si>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</si>
  <si>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</si>
  <si>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</si>
  <si>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</si>
  <si>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</si>
  <si>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</si>
  <si>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</si>
  <si>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</si>
  <si>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</si>
  <si>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</si>
  <si>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</si>
  <si>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</si>
  <si>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</si>
  <si>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</si>
  <si>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</si>
  <si>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</si>
  <si>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</si>
  <si>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</si>
  <si>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</si>
  <si>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</si>
  <si>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</si>
  <si>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</si>
  <si>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</si>
  <si>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</si>
  <si>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</si>
  <si>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</si>
  <si>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</si>
  <si>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</si>
  <si>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</si>
  <si>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</si>
  <si>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</si>
  <si>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</si>
  <si>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</si>
  <si>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</si>
  <si>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</si>
  <si>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</si>
  <si>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</si>
  <si>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</si>
  <si>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</si>
  <si>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</si>
  <si>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</si>
  <si>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</si>
  <si>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</si>
  <si>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</si>
  <si>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</si>
  <si>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</si>
  <si>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</si>
  <si>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</si>
  <si>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</si>
  <si>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</si>
  <si>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</si>
  <si>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</si>
  <si>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</si>
  <si>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</si>
  <si>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</si>
  <si>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</si>
  <si>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</si>
  <si>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</si>
  <si>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</si>
  <si>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</si>
  <si>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</si>
  <si>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</si>
  <si>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</si>
  <si>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</si>
  <si>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</si>
  <si>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</si>
  <si>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</si>
  <si>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</si>
  <si>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</si>
  <si>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</si>
  <si>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</si>
  <si>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</si>
  <si>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</si>
  <si>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</si>
  <si>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</si>
  <si>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</si>
  <si>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</si>
  <si>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</si>
  <si>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</si>
  <si>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</si>
  <si>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</si>
  <si>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</si>
  <si>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</si>
  <si>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</si>
  <si>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</si>
  <si>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</si>
  <si>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</si>
  <si>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</si>
  <si>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</si>
  <si>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</si>
  <si>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</si>
  <si>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</si>
  <si>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</si>
  <si>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</si>
  <si>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</si>
  <si>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</si>
  <si>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</si>
  <si>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</si>
  <si>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</si>
  <si>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</si>
  <si>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</si>
  <si>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</si>
  <si>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</si>
  <si>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</si>
  <si>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</si>
  <si>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</si>
  <si>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</si>
  <si>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</si>
  <si>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</si>
  <si>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</si>
  <si>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</si>
  <si>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</si>
  <si>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</si>
  <si>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</si>
  <si>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</si>
  <si>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</si>
  <si>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</si>
  <si>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</si>
  <si>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</si>
  <si>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</si>
  <si>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</si>
  <si>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</si>
  <si>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</si>
  <si>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</si>
  <si>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</si>
  <si>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</si>
  <si>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</si>
  <si>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</si>
  <si>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</si>
  <si>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</si>
  <si>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</si>
  <si>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</si>
  <si>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</si>
  <si>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</si>
  <si>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</si>
  <si>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</si>
  <si>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</si>
  <si>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</si>
  <si>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</si>
  <si>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</si>
  <si>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</si>
  <si>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</si>
  <si>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</si>
  <si>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</si>
  <si>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</si>
  <si>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</si>
  <si>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</si>
  <si>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</si>
  <si>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</si>
  <si>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</si>
  <si>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</si>
  <si>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</si>
  <si>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</si>
  <si>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</si>
  <si>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</si>
  <si>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</si>
  <si>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</si>
  <si>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</si>
  <si>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</si>
  <si>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</si>
  <si>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</si>
  <si>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</si>
  <si>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</si>
  <si>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</si>
  <si>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</si>
  <si>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</si>
  <si>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</si>
  <si>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</si>
  <si>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</si>
  <si>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</si>
  <si>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</si>
  <si>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</si>
  <si>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</si>
  <si>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</si>
  <si>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</si>
  <si>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</si>
  <si>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</si>
  <si>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</si>
  <si>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</si>
  <si>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</si>
  <si>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</si>
  <si>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</si>
  <si>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</si>
  <si>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</si>
  <si>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</si>
  <si>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</si>
  <si>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</si>
  <si>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</si>
  <si>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</si>
  <si>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</si>
  <si>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</si>
  <si>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</si>
  <si>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</si>
  <si>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</si>
  <si>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</si>
  <si>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</si>
  <si>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</si>
  <si>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</si>
  <si>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</si>
  <si>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</si>
  <si>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</si>
  <si>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</si>
  <si>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</si>
  <si>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</si>
  <si>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</si>
  <si>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</si>
  <si>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</si>
  <si>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</si>
  <si>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</si>
  <si>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</si>
  <si>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</si>
  <si>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</si>
  <si>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</si>
  <si>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</si>
  <si>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</si>
  <si>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</si>
  <si>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</si>
  <si>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</si>
  <si>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</si>
  <si>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</si>
  <si>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</si>
  <si>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</si>
  <si>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</si>
  <si>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</si>
  <si>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</si>
  <si>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</si>
  <si>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</si>
  <si>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</si>
  <si>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</si>
  <si>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</si>
  <si>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</si>
  <si>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</si>
  <si>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</si>
  <si>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</si>
  <si>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</si>
  <si>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</si>
  <si>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</si>
  <si>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</si>
  <si>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</si>
  <si>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</si>
  <si>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</si>
  <si>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</si>
  <si>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</si>
  <si>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</si>
  <si>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</si>
  <si>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</si>
  <si>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</si>
  <si>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</si>
  <si>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</si>
  <si>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</si>
  <si>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</si>
  <si>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</si>
  <si>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</si>
  <si>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</si>
  <si>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</si>
  <si>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</si>
  <si>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</si>
  <si>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</si>
  <si>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</si>
  <si>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</si>
  <si>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</si>
  <si>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</si>
  <si>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</si>
  <si>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</si>
  <si>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</si>
  <si>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</si>
  <si>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</si>
  <si>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</si>
  <si>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</si>
  <si>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</si>
  <si>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</si>
  <si>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</si>
  <si>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</si>
  <si>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</si>
  <si>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</si>
  <si>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</si>
  <si>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</si>
  <si>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</si>
  <si>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</si>
  <si>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</si>
  <si>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</si>
  <si>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</si>
  <si>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</si>
  <si>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</si>
  <si>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</si>
  <si>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</si>
  <si>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</si>
  <si>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</si>
  <si>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</si>
  <si>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</si>
  <si>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</si>
  <si>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</si>
  <si>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</si>
  <si>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</si>
  <si>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</si>
  <si>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</si>
  <si>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</si>
  <si>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</si>
  <si>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</si>
  <si>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</si>
  <si>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</si>
  <si>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</si>
  <si>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</si>
  <si>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</si>
  <si>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</si>
  <si>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</si>
  <si>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</si>
  <si>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</si>
  <si>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</si>
  <si>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</si>
  <si>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</si>
  <si>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</si>
  <si>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</si>
  <si>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</si>
  <si>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</si>
  <si>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</si>
  <si>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</si>
  <si>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</si>
  <si>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</si>
  <si>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</si>
  <si>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</si>
  <si>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</si>
  <si>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</si>
  <si>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</si>
  <si>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</si>
  <si>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</si>
  <si>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</si>
  <si>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</si>
  <si>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</si>
  <si>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</si>
  <si>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</si>
  <si>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</si>
  <si>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</si>
  <si>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</si>
  <si>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</si>
  <si>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</si>
  <si>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</si>
  <si>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</si>
  <si>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</si>
  <si>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</si>
  <si>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</si>
  <si>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</si>
  <si>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</si>
  <si>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</si>
  <si>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</si>
  <si>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</si>
  <si>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</si>
  <si>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</si>
  <si>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</si>
  <si>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</si>
  <si>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</si>
  <si>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</si>
  <si>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</si>
  <si>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</si>
  <si>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</si>
  <si>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</si>
  <si>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</si>
  <si>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</si>
  <si>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</si>
  <si>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</si>
  <si>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</si>
  <si>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</si>
  <si>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</si>
  <si>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</si>
  <si>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</si>
  <si>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</si>
  <si>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</si>
  <si>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</si>
  <si>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</si>
  <si>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</si>
  <si>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</si>
  <si>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</si>
  <si>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</si>
  <si>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</si>
  <si>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</si>
  <si>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</si>
  <si>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</si>
  <si>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</si>
  <si>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</si>
  <si>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</si>
  <si>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</si>
  <si>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</si>
  <si>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</si>
  <si>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</si>
  <si>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</si>
  <si>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</si>
  <si>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</si>
  <si>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</si>
  <si>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</si>
  <si>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</si>
  <si>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</si>
  <si>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</si>
  <si>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</si>
  <si>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</si>
  <si>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</si>
  <si>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</si>
  <si>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</si>
  <si>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</si>
  <si>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</si>
  <si>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</si>
  <si>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</si>
  <si>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</si>
  <si>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</si>
  <si>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</si>
  <si>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</si>
  <si>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</si>
  <si>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</si>
  <si>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</si>
  <si>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</si>
  <si>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</si>
  <si>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</si>
  <si>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</si>
  <si>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</si>
  <si>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</si>
  <si>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</si>
  <si>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</si>
  <si>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</si>
  <si>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</si>
  <si>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</si>
  <si>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</si>
  <si>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</si>
  <si>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</si>
  <si>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</si>
  <si>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</si>
  <si>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</si>
  <si>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</si>
  <si>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</si>
  <si>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</si>
  <si>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</si>
  <si>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</si>
  <si>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</si>
  <si>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</si>
  <si>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</si>
  <si>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</si>
  <si>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</si>
  <si>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</si>
  <si>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</si>
  <si>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</si>
  <si>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Address: Al noor Town </t>
  </si>
  <si>
    <t>Khan Store</t>
  </si>
  <si>
    <t xml:space="preserve">Address: Al noor Town  Work shop main </t>
  </si>
  <si>
    <t>Chohan Store</t>
  </si>
  <si>
    <t xml:space="preserve">Address: Al noor Town  Bajwa Chowk </t>
  </si>
  <si>
    <t>Niamat Store</t>
  </si>
  <si>
    <t>Mehman Store</t>
  </si>
  <si>
    <t>Rana Store</t>
  </si>
  <si>
    <t>Naeem Store</t>
  </si>
  <si>
    <t xml:space="preserve">Address: Al noor Town  Ali Ali Chowk </t>
  </si>
  <si>
    <t>Zahid Store</t>
  </si>
  <si>
    <t xml:space="preserve">Address: Al noor Town Bilal Colony Abu harera Masjid </t>
  </si>
  <si>
    <t>Address: Al noor Town  Bilal Colony abu harera masjid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</si>
</sst>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C21" workbookViewId="0">
      <selection activeCell="U26" sqref="U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Khan Store</v>
      </c>
      <c r="T3" s="301">
        <f>+'1'!P35</f>
        <v>940.86347552542372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Chohan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Niamat Store</v>
      </c>
      <c r="T5" s="301">
        <f>+'3'!P35</f>
        <v>1489.7049500402541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Mehman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Rana Store</v>
      </c>
      <c r="T7" s="301">
        <f>+'5'!P35</f>
        <v>560.34074098220333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4">
        <v>6</v>
      </c>
      <c r="S8" s="300" t="str">
        <f>+'6'!A6:A6</f>
        <v>Naeem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Zahid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4">
        <v>8</v>
      </c>
      <c r="S10" s="300" t="str">
        <f>+'8'!A6:A6</f>
        <v>Khan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</v>
      </c>
      <c r="I12" s="236">
        <f t="shared" si="0"/>
        <v>1307.52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104.60160000000002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45.763200000000005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1157.1551999999999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247.11864406779662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7.0213692203389835</v>
      </c>
      <c r="P12" s="311">
        <f t="shared" si="2"/>
        <v>1411.2952132881355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60</v>
      </c>
      <c r="I13" s="236">
        <f t="shared" si="0"/>
        <v>2353.8000000000002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117.69000000000003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82.38300000000001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120.0438</v>
      </c>
      <c r="M13" s="230">
        <f t="shared" si="1"/>
        <v>2033.6832000000002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457.62711864406754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12.45655159322034</v>
      </c>
      <c r="P13" s="311">
        <f t="shared" si="2"/>
        <v>2503.766870237288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44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2.5</v>
      </c>
      <c r="H16" s="113">
        <f t="shared" ref="H16:M16" si="3">SUM(H7:H15)</f>
        <v>100</v>
      </c>
      <c r="I16" s="114">
        <f t="shared" si="3"/>
        <v>4815.4949999999999</v>
      </c>
      <c r="J16" s="274">
        <f>SUM(J7:J15)</f>
        <v>314.62560000000008</v>
      </c>
      <c r="K16" s="275">
        <f t="shared" si="3"/>
        <v>168.54232500000001</v>
      </c>
      <c r="L16" s="276">
        <f t="shared" si="3"/>
        <v>120.0438</v>
      </c>
      <c r="M16" s="232">
        <f t="shared" si="3"/>
        <v>4212.2832749999998</v>
      </c>
      <c r="N16" s="233">
        <f>SUM(N7:N15)</f>
        <v>922.88135593220306</v>
      </c>
      <c r="O16" s="101">
        <f>SUM(O7:O15)</f>
        <v>25.675823154661018</v>
      </c>
      <c r="P16" s="113">
        <f>SUM(P7:P15)</f>
        <v>5160.8404540868642</v>
      </c>
      <c r="Q16" s="128">
        <f>SUM(Q7:Q15)</f>
        <v>64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4815.4949999999999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314.62560000000008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288.58612500000004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4212.2832749999998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922.88135593220306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5135.1646309322032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25.675823154661018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5160.8404540868642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5160.8404540868642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871.68000000000006</v>
      </c>
      <c r="J25" s="274">
        <f>SUM(J16:J24)</f>
        <v>69.734400000000008</v>
      </c>
      <c r="K25" s="275">
        <f t="shared" si="10"/>
        <v>30.508800000000004</v>
      </c>
      <c r="L25" s="276">
        <f t="shared" si="10"/>
        <v>0</v>
      </c>
      <c r="M25" s="232">
        <f t="shared" si="10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1380.165</v>
      </c>
      <c r="J25" s="274">
        <f>SUM(J16:J24)</f>
        <v>110.41319999999999</v>
      </c>
      <c r="K25" s="275">
        <f t="shared" si="7"/>
        <v>48.305775000000004</v>
      </c>
      <c r="L25" s="276">
        <f t="shared" si="7"/>
        <v>0</v>
      </c>
      <c r="M25" s="232">
        <f t="shared" si="7"/>
        <v>1221.446025</v>
      </c>
      <c r="N25" s="233">
        <f>SUM(N16:N24)</f>
        <v>260.84745762711862</v>
      </c>
      <c r="O25" s="101">
        <f>SUM(O16:O24)</f>
        <v>7.4114674131355924</v>
      </c>
      <c r="P25" s="113">
        <f>SUM(P16:P24)</f>
        <v>1489.7049500402543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1380.165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110.41319999999999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48.305775000000004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1221.446025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260.84745762711862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1482.2934826271185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7.4114674131355924</v>
      </c>
    </row>
    <row r="35" spans="2:16" ht="15.75" customHeight="1" thickBot="1" x14ac:dyDescent="0.4">
      <c r="N35" s="344" t="s">
        <v>88</v>
      </c>
      <c r="O35" s="345"/>
      <c r="P35" s="297">
        <f>+P33+P34</f>
        <v>1489.7049500402541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</v>
      </c>
      <c r="I22" s="236">
        <f t="shared" si="0"/>
        <v>313.84000000000003</v>
      </c>
      <c r="J22" s="272">
        <f t="shared" si="1"/>
        <v>15.692000000000002</v>
      </c>
      <c r="K22" s="128">
        <f t="shared" si="1"/>
        <v>10.984400000000003</v>
      </c>
      <c r="L22" s="119">
        <f t="shared" si="1"/>
        <v>16.005839999999999</v>
      </c>
      <c r="M22" s="230">
        <f t="shared" si="2"/>
        <v>271.15776000000005</v>
      </c>
      <c r="N22" s="277">
        <f t="shared" si="3"/>
        <v>61.016949152542338</v>
      </c>
      <c r="O22" s="239">
        <f t="shared" si="4"/>
        <v>1.660873545762712</v>
      </c>
      <c r="P22" s="311">
        <f t="shared" si="5"/>
        <v>333.83558269830507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523.69000000000005</v>
      </c>
      <c r="J25" s="274">
        <f>SUM(J16:J24)</f>
        <v>32.480000000000004</v>
      </c>
      <c r="K25" s="275">
        <f t="shared" si="7"/>
        <v>18.329150000000002</v>
      </c>
      <c r="L25" s="276">
        <f t="shared" si="7"/>
        <v>16.005839999999999</v>
      </c>
      <c r="M25" s="232">
        <f t="shared" si="7"/>
        <v>456.87501000000003</v>
      </c>
      <c r="N25" s="233">
        <f>SUM(N16:N24)</f>
        <v>100.67796610169486</v>
      </c>
      <c r="O25" s="101">
        <f>SUM(O16:O24)</f>
        <v>2.7877648805084743</v>
      </c>
      <c r="P25" s="113">
        <f>SUM(P16:P24)</f>
        <v>560.34074098220333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523.69000000000005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32.480000000000004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34.334990000000005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456.87501000000003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100.67796610169486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557.55297610169487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2.7877648805084743</v>
      </c>
    </row>
    <row r="35" spans="2:16" ht="15.75" customHeight="1" thickBot="1" x14ac:dyDescent="0.4">
      <c r="N35" s="344" t="s">
        <v>88</v>
      </c>
      <c r="O35" s="345"/>
      <c r="P35" s="297">
        <f>+P33+P34</f>
        <v>560.34074098220333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2026-08-29T04:23:41Z</dcterms:modified>
</cp:coreProperties>
</file>