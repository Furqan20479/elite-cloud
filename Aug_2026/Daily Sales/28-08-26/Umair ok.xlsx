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C163A65-0AC6-4749-BBCC-09CD3FBA0E3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<sst xmlns="http://schemas.openxmlformats.org/spreadsheetml/2006/main" count="3948" uniqueCount="523">
  <si>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</si>
  <si>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</si>
  <si>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</si>
  <si>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</si>
  <si>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</si>
  <si>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</si>
  <si>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</si>
  <si>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</si>
  <si>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</si>
  <si>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</si>
  <si>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</si>
  <si>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</si>
  <si>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</si>
  <si>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</si>
  <si>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</si>
  <si>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</si>
  <si>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</si>
  <si>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</si>
  <si>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</si>
  <si>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</si>
  <si>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</si>
  <si>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</si>
  <si>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</si>
  <si>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</si>
  <si>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</si>
  <si>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</si>
  <si>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</si>
  <si>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</si>
  <si>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</si>
  <si>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</si>
  <si>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</si>
  <si>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</si>
  <si>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</si>
  <si>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</si>
  <si>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</si>
  <si>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</si>
  <si>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</si>
  <si>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</si>
  <si>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</si>
  <si>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</si>
  <si>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</si>
  <si>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</si>
  <si>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</si>
  <si>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</si>
  <si>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</si>
  <si>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</si>
  <si>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</si>
  <si>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</si>
  <si>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</si>
  <si>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</si>
  <si>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</si>
  <si>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</si>
  <si>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</si>
  <si>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</si>
  <si>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</si>
  <si>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</si>
  <si>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</si>
  <si>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</si>
  <si>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</si>
  <si>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</si>
  <si>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</si>
  <si>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</si>
  <si>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</si>
  <si>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</si>
  <si>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</si>
  <si>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</si>
  <si>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</si>
  <si>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</si>
  <si>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</si>
  <si>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</si>
  <si>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</si>
  <si>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</si>
  <si>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</si>
  <si>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</si>
  <si>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</si>
  <si>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</si>
  <si>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</si>
  <si>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</si>
  <si>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</si>
  <si>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</si>
  <si>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</si>
  <si>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</si>
  <si>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</si>
  <si>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</si>
  <si>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</si>
  <si>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</si>
  <si>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</si>
  <si>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</si>
  <si>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</si>
  <si>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</si>
  <si>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</si>
  <si>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</si>
  <si>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</si>
  <si>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</si>
  <si>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</si>
  <si>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</si>
  <si>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</si>
  <si>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</si>
  <si>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</si>
  <si>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</si>
  <si>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</si>
  <si>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</si>
  <si>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</si>
  <si>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</si>
  <si>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</si>
  <si>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</si>
  <si>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</si>
  <si>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</si>
  <si>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</si>
  <si>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</si>
  <si>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</si>
  <si>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</si>
  <si>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</si>
  <si>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</si>
  <si>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</si>
  <si>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</si>
  <si>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</si>
  <si>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</si>
  <si>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</si>
  <si>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</si>
  <si>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</si>
  <si>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</si>
  <si>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</si>
  <si>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</si>
  <si>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</si>
  <si>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</si>
  <si>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</si>
  <si>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</si>
  <si>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</si>
  <si>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</si>
  <si>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</si>
  <si>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</si>
  <si>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</si>
  <si>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</si>
  <si>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</si>
  <si>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</si>
  <si>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</si>
  <si>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</si>
  <si>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</si>
  <si>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</si>
  <si>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</si>
  <si>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</si>
  <si>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</si>
  <si>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</si>
  <si>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</si>
  <si>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</si>
  <si>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</si>
  <si>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</si>
  <si>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</si>
  <si>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</si>
  <si>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</si>
  <si>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</si>
  <si>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</si>
  <si>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</si>
  <si>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</si>
  <si>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</si>
  <si>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</si>
  <si>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</si>
  <si>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</si>
  <si>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</si>
  <si>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</si>
  <si>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</si>
  <si>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</si>
  <si>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</si>
  <si>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</si>
  <si>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</si>
  <si>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</si>
  <si>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</si>
  <si>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</si>
  <si>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</si>
  <si>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</si>
  <si>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</si>
  <si>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</si>
  <si>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</si>
  <si>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</si>
  <si>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</si>
  <si>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</si>
  <si>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</si>
  <si>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</si>
  <si>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</si>
  <si>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</si>
  <si>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</si>
  <si>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</si>
  <si>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</si>
  <si>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</si>
  <si>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</si>
  <si>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</si>
  <si>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</si>
  <si>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</si>
  <si>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</si>
  <si>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</si>
  <si>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</si>
  <si>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</si>
  <si>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</si>
  <si>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</si>
  <si>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</si>
  <si>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</si>
  <si>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</si>
  <si>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</si>
  <si>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</si>
  <si>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</si>
  <si>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</si>
  <si>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</si>
  <si>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</si>
  <si>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</si>
  <si>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</si>
  <si>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</si>
  <si>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</si>
  <si>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</si>
  <si>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</si>
  <si>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</si>
  <si>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</si>
  <si>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</si>
  <si>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</si>
  <si>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</si>
  <si>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</si>
  <si>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</si>
  <si>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</si>
  <si>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</si>
  <si>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</si>
  <si>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</si>
  <si>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</si>
  <si>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</si>
  <si>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</si>
  <si>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</si>
  <si>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</si>
  <si>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</si>
  <si>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</si>
  <si>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</si>
  <si>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</si>
  <si>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</si>
  <si>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</si>
  <si>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</si>
  <si>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</si>
  <si>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</si>
  <si>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</si>
  <si>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</si>
  <si>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</si>
  <si>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</si>
  <si>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</si>
  <si>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</si>
  <si>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</si>
  <si>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</si>
  <si>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</si>
  <si>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</si>
  <si>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</si>
  <si>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</si>
  <si>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</si>
  <si>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</si>
  <si>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</si>
  <si>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</si>
  <si>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</si>
  <si>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</si>
  <si>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</si>
  <si>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</si>
  <si>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</si>
  <si>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</si>
  <si>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</si>
  <si>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</si>
  <si>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</si>
  <si>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</si>
  <si>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</si>
  <si>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</si>
  <si>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</si>
  <si>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</si>
  <si>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</si>
  <si>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</si>
  <si>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</si>
  <si>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</si>
  <si>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</si>
  <si>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</si>
  <si>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</si>
  <si>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</si>
  <si>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</si>
  <si>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</si>
  <si>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</si>
  <si>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</si>
  <si>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</si>
  <si>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</si>
  <si>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</si>
  <si>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</si>
  <si>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</si>
  <si>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</si>
  <si>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</si>
  <si>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</si>
  <si>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</si>
  <si>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</si>
  <si>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</si>
  <si>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</si>
  <si>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</si>
  <si>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</si>
  <si>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</si>
  <si>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</si>
  <si>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</si>
  <si>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</si>
  <si>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</si>
  <si>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</si>
  <si>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</si>
  <si>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</si>
  <si>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</si>
  <si>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</si>
  <si>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</si>
  <si>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</si>
  <si>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</si>
  <si>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</si>
  <si>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</si>
  <si>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</si>
  <si>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</si>
  <si>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</si>
  <si>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</si>
  <si>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</si>
  <si>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</si>
  <si>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</si>
  <si>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</si>
  <si>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</si>
  <si>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</si>
  <si>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</si>
  <si>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</si>
  <si>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</si>
  <si>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</si>
  <si>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</si>
  <si>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</si>
  <si>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</si>
  <si>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</si>
  <si>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</si>
  <si>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</si>
  <si>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</si>
  <si>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</si>
  <si>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</si>
  <si>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</si>
  <si>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</si>
  <si>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</si>
  <si>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</si>
  <si>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</si>
  <si>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</si>
  <si>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</si>
  <si>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</si>
  <si>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</si>
  <si>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</si>
  <si>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</si>
  <si>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</si>
  <si>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</si>
  <si>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</si>
  <si>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</si>
  <si>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</si>
  <si>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</si>
  <si>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</si>
  <si>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</si>
  <si>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</si>
  <si>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</si>
  <si>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</si>
  <si>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</si>
  <si>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</si>
  <si>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</si>
  <si>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</si>
  <si>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</si>
  <si>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</si>
  <si>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</si>
  <si>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</si>
  <si>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</si>
  <si>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</si>
  <si>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</si>
  <si>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</si>
  <si>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</si>
  <si>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</si>
  <si>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</si>
  <si>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</si>
  <si>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</si>
  <si>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</si>
  <si>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</si>
  <si>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</si>
  <si>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</si>
  <si>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</si>
  <si>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</si>
  <si>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</si>
  <si>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</si>
  <si>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</si>
  <si>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</si>
  <si>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</si>
  <si>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</si>
  <si>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</si>
  <si>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</si>
  <si>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</si>
  <si>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</si>
  <si>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</si>
  <si>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</si>
  <si>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</si>
  <si>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</si>
  <si>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</si>
  <si>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</si>
  <si>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</si>
  <si>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</si>
  <si>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</si>
  <si>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</si>
  <si>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</si>
  <si>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</si>
  <si>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</si>
  <si>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</si>
  <si>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</si>
  <si>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</si>
  <si>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</si>
  <si>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</si>
  <si>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</si>
  <si>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</si>
  <si>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</si>
  <si>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</si>
  <si>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</si>
  <si>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</si>
  <si>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</si>
  <si>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</si>
  <si>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</si>
  <si>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</si>
  <si>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</si>
  <si>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</si>
  <si>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</si>
  <si>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</si>
  <si>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</si>
  <si>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</si>
  <si>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</si>
  <si>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</si>
  <si>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</si>
  <si>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</si>
  <si>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</si>
  <si>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</si>
  <si>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</si>
  <si>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</si>
  <si>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</si>
  <si>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</si>
  <si>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</si>
  <si>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</si>
  <si>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</si>
  <si>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</si>
  <si>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</si>
  <si>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</si>
  <si>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</si>
  <si>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</si>
  <si>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</si>
  <si>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</si>
  <si>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</si>
  <si>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</si>
  <si>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</si>
  <si>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</si>
  <si>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</si>
  <si>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</si>
  <si>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</si>
  <si>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</si>
  <si>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</si>
  <si>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</si>
  <si>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</si>
  <si>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</si>
  <si>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</si>
  <si>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</si>
  <si>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</si>
  <si>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</si>
  <si>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</si>
  <si>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</si>
  <si>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</si>
  <si>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</si>
  <si>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</si>
  <si>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</si>
  <si>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</si>
  <si>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</si>
  <si>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</si>
  <si>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</si>
  <si>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</si>
  <si>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</si>
  <si>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</si>
  <si>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</si>
  <si>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</si>
  <si>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</si>
  <si>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</si>
  <si>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</si>
  <si>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</si>
  <si>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</si>
  <si>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</si>
  <si>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</si>
  <si>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</si>
  <si>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</si>
  <si>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</si>
  <si>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</si>
  <si>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</si>
  <si>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</si>
  <si>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</si>
  <si>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</si>
  <si>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</si>
  <si>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</si>
  <si>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</si>
  <si>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</si>
  <si>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</si>
  <si>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</si>
  <si>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</si>
  <si>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</si>
  <si>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</si>
  <si>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</si>
  <si>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</si>
  <si>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</si>
  <si>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</si>
  <si>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</si>
  <si>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</si>
  <si>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</si>
  <si>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</si>
  <si>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</si>
  <si>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</si>
  <si>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</si>
  <si>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</si>
  <si>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</si>
  <si>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</si>
  <si>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</si>
  <si>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</si>
  <si>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</si>
  <si>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</si>
  <si>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</si>
  <si>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</si>
  <si>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</si>
  <si>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Tayayb Khan  GS</t>
  </si>
  <si>
    <t>Address: Youna Abad</t>
  </si>
  <si>
    <t>Khatak Pishawar Store</t>
  </si>
  <si>
    <t xml:space="preserve">Grace Land Mart </t>
  </si>
  <si>
    <t>Alaudein Khan GS</t>
  </si>
  <si>
    <t xml:space="preserve">K Kz Bakers </t>
  </si>
  <si>
    <t>B I B Store</t>
  </si>
  <si>
    <t>Malik Ijaz Kareyana Store</t>
  </si>
  <si>
    <t>Moazam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</si>
</sst>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5" workbookViewId="0">
      <selection activeCell="F30" sqref="F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Tayayb Khan  GS</v>
      </c>
      <c r="T3" s="301">
        <f>+'1'!P35</f>
        <v>4470.8816184025418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Khatak Pishawar Store</v>
      </c>
      <c r="T4" s="301">
        <f>+'2'!P35</f>
        <v>940.86347552542372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Grace Land Mart </v>
      </c>
      <c r="T5" s="301">
        <f>+'3'!P35</f>
        <v>6037.2073012881356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Alaudein Khan GS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K Kz Bakers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B I B Store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Malik Ijaz Kareyana Store</v>
      </c>
      <c r="T9" s="301">
        <f>+'7'!P35</f>
        <v>3296.6263791457627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111</v>
      </c>
      <c r="I10" s="236">
        <f t="shared" si="0"/>
        <v>8063.04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645.04319999999996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282.20640000000003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7135.7903999999999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1523.898305084746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43.298443525423735</v>
      </c>
      <c r="P10" s="311">
        <f t="shared" si="2"/>
        <v>8702.9871486101692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</v>
      </c>
      <c r="R10" s="314">
        <v>8</v>
      </c>
      <c r="S10" s="300" t="str">
        <f>+'8'!A6:A6</f>
        <v>Moazam Store</v>
      </c>
      <c r="T10" s="301">
        <f>+'8'!P35</f>
        <v>12746.990582237289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78</v>
      </c>
      <c r="I11" s="236">
        <f t="shared" si="0"/>
        <v>5665.92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453.27359999999999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198.30720000000002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5014.3392000000003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1070.8474576271187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30.425933288135596</v>
      </c>
      <c r="P11" s="311">
        <f t="shared" si="2"/>
        <v>6115.6125909152543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22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239</v>
      </c>
      <c r="I13" s="236">
        <f t="shared" si="0"/>
        <v>9375.9700000000012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468.7985000000001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328.15895000000012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478.17447000000004</v>
      </c>
      <c r="M13" s="230">
        <f t="shared" si="1"/>
        <v>8100.8380800000014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1822.8813559322025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49.618597179661023</v>
      </c>
      <c r="P13" s="311">
        <f t="shared" si="2"/>
        <v>9973.3380331118642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13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12.2</v>
      </c>
      <c r="H16" s="113">
        <f t="shared" ref="H16:M16" si="3">SUM(H7:H15)</f>
        <v>488</v>
      </c>
      <c r="I16" s="114">
        <f t="shared" si="3"/>
        <v>27059.780000000002</v>
      </c>
      <c r="J16" s="274">
        <f>SUM(J7:J15)</f>
        <v>1883.5033000000001</v>
      </c>
      <c r="K16" s="275">
        <f t="shared" si="3"/>
        <v>947.09230000000025</v>
      </c>
      <c r="L16" s="276">
        <f t="shared" si="3"/>
        <v>478.17447000000004</v>
      </c>
      <c r="M16" s="232">
        <f t="shared" si="3"/>
        <v>23751.00993</v>
      </c>
      <c r="N16" s="233">
        <f>SUM(N7:N15)</f>
        <v>5165.0847457627115</v>
      </c>
      <c r="O16" s="101">
        <f>SUM(O7:O15)</f>
        <v>144.58047337881356</v>
      </c>
      <c r="P16" s="113">
        <f>SUM(P7:P15)</f>
        <v>29060.675149141523</v>
      </c>
      <c r="Q16" s="128">
        <f>SUM(Q7:Q15)</f>
        <v>56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27059.780000000002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1883.5033000000001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1425.2667700000002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23751.00993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5165.0847457627115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28916.09467576271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144.58047337881356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29060.675149141523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29060.675149141527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100</v>
      </c>
      <c r="I25" s="114">
        <f t="shared" ref="I25:M25" si="10">SUM(I16:I24)</f>
        <v>4187.6500000000005</v>
      </c>
      <c r="J25" s="274">
        <f>SUM(J16:J24)</f>
        <v>240.86000000000004</v>
      </c>
      <c r="K25" s="275">
        <f t="shared" si="10"/>
        <v>146.56775000000002</v>
      </c>
      <c r="L25" s="276">
        <f t="shared" si="10"/>
        <v>160.05840000000001</v>
      </c>
      <c r="M25" s="232">
        <f t="shared" si="10"/>
        <v>3640.1638500000008</v>
      </c>
      <c r="N25" s="233">
        <f>SUM(N16:N24)</f>
        <v>808.47457627118604</v>
      </c>
      <c r="O25" s="101">
        <f>SUM(O16:O24)</f>
        <v>22.243192131355933</v>
      </c>
      <c r="P25" s="113">
        <f>SUM(P16:P24)</f>
        <v>4470.8816184025427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4187.6500000000005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240.86000000000004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306.62615000000005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3640.1638500000004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808.47457627118604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4448.6384262711863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22.243192131355933</v>
      </c>
    </row>
    <row r="35" spans="2:16" ht="15.75" customHeight="1" thickBot="1" x14ac:dyDescent="0.4">
      <c r="N35" s="344" t="s">
        <v>88</v>
      </c>
      <c r="O35" s="345"/>
      <c r="P35" s="297">
        <f>+P33+P34</f>
        <v>4470.8816184025418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1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39</v>
      </c>
      <c r="I19" s="236">
        <f t="shared" si="0"/>
        <v>2832.96</v>
      </c>
      <c r="J19" s="272">
        <f t="shared" si="1"/>
        <v>226.63679999999999</v>
      </c>
      <c r="K19" s="128">
        <f t="shared" si="1"/>
        <v>99.153600000000012</v>
      </c>
      <c r="L19" s="119">
        <f t="shared" si="1"/>
        <v>0</v>
      </c>
      <c r="M19" s="230">
        <f t="shared" si="2"/>
        <v>2507.1696000000002</v>
      </c>
      <c r="N19" s="277">
        <f t="shared" si="3"/>
        <v>535.42372881355936</v>
      </c>
      <c r="O19" s="239">
        <f t="shared" si="4"/>
        <v>15.212966644067796</v>
      </c>
      <c r="P19" s="311">
        <f t="shared" si="5"/>
        <v>3057.8062954576271</v>
      </c>
      <c r="Q19" s="156">
        <v>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38</v>
      </c>
      <c r="I20" s="236">
        <f t="shared" si="0"/>
        <v>2760.32</v>
      </c>
      <c r="J20" s="272">
        <f t="shared" si="1"/>
        <v>220.82560000000001</v>
      </c>
      <c r="K20" s="128">
        <f t="shared" si="1"/>
        <v>96.611200000000011</v>
      </c>
      <c r="L20" s="119">
        <f t="shared" si="1"/>
        <v>0</v>
      </c>
      <c r="M20" s="230">
        <f t="shared" si="2"/>
        <v>2442.8832000000002</v>
      </c>
      <c r="N20" s="277">
        <f t="shared" si="3"/>
        <v>521.69491525423734</v>
      </c>
      <c r="O20" s="239">
        <f t="shared" si="4"/>
        <v>14.822890576271188</v>
      </c>
      <c r="P20" s="311">
        <f t="shared" si="5"/>
        <v>2979.4010058305089</v>
      </c>
      <c r="Q20" s="156">
        <v>2</v>
      </c>
      <c r="R20">
        <f>P20/21</f>
        <v>141.87623837288137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77</v>
      </c>
      <c r="I25" s="114">
        <f t="shared" si="7"/>
        <v>5593.2800000000007</v>
      </c>
      <c r="J25" s="274">
        <f>SUM(J16:J24)</f>
        <v>447.4624</v>
      </c>
      <c r="K25" s="275">
        <f t="shared" si="7"/>
        <v>195.76480000000004</v>
      </c>
      <c r="L25" s="276">
        <f t="shared" si="7"/>
        <v>0</v>
      </c>
      <c r="M25" s="232">
        <f t="shared" si="7"/>
        <v>4950.0528000000004</v>
      </c>
      <c r="N25" s="233">
        <f>SUM(N16:N24)</f>
        <v>1057.1186440677966</v>
      </c>
      <c r="O25" s="101">
        <f>SUM(O16:O24)</f>
        <v>30.035857220338983</v>
      </c>
      <c r="P25" s="113">
        <f>SUM(P16:P24)</f>
        <v>6037.2073012881356</v>
      </c>
      <c r="Q25" s="128">
        <f>SUM(Q16:Q24)</f>
        <v>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5593.2800000000007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447.4624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195.76480000000004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4950.0528000000004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1057.1186440677966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6007.171444067797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30.035857220338986</v>
      </c>
    </row>
    <row r="35" spans="2:16" ht="15.75" customHeight="1" thickBot="1" x14ac:dyDescent="0.4">
      <c r="N35" s="344" t="s">
        <v>88</v>
      </c>
      <c r="O35" s="345"/>
      <c r="P35" s="297">
        <f>+P33+P34</f>
        <v>6037.2073012881356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21" sqref="H20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1452.8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116.224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50.848000000000006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1285.7280000000001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1560.3042711864407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4" t="s">
        <v>88</v>
      </c>
      <c r="O35" s="345"/>
      <c r="P35" s="297">
        <f>+P33+P34</f>
        <v>1568.1057925423729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79</v>
      </c>
      <c r="I22" s="236">
        <f t="shared" si="0"/>
        <v>3099.1700000000005</v>
      </c>
      <c r="J22" s="272">
        <f t="shared" si="1"/>
        <v>154.95850000000004</v>
      </c>
      <c r="K22" s="128">
        <f t="shared" si="1"/>
        <v>108.47095000000003</v>
      </c>
      <c r="L22" s="119">
        <f t="shared" si="1"/>
        <v>158.05767000000003</v>
      </c>
      <c r="M22" s="230">
        <f t="shared" si="2"/>
        <v>2677.6828800000003</v>
      </c>
      <c r="N22" s="277">
        <f t="shared" si="3"/>
        <v>602.54237288135562</v>
      </c>
      <c r="O22" s="239">
        <f t="shared" si="4"/>
        <v>16.401126264406781</v>
      </c>
      <c r="P22" s="311">
        <f t="shared" si="5"/>
        <v>3296.6263791457627</v>
      </c>
      <c r="Q22" s="156">
        <v>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79</v>
      </c>
      <c r="I25" s="114">
        <f t="shared" si="7"/>
        <v>3099.1700000000005</v>
      </c>
      <c r="J25" s="274">
        <f>SUM(J16:J24)</f>
        <v>154.95850000000004</v>
      </c>
      <c r="K25" s="275">
        <f t="shared" si="7"/>
        <v>108.47095000000003</v>
      </c>
      <c r="L25" s="276">
        <f t="shared" si="7"/>
        <v>158.05767000000003</v>
      </c>
      <c r="M25" s="232">
        <f t="shared" si="7"/>
        <v>2677.6828800000003</v>
      </c>
      <c r="N25" s="233">
        <f>SUM(N16:N24)</f>
        <v>602.54237288135562</v>
      </c>
      <c r="O25" s="101">
        <f>SUM(O16:O24)</f>
        <v>16.401126264406781</v>
      </c>
      <c r="P25" s="113">
        <f>SUM(P16:P24)</f>
        <v>3296.6263791457627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3099.1700000000005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154.95850000000004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266.52862000000005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2677.6828800000003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602.54237288135562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3280.225252881356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16.401126264406781</v>
      </c>
    </row>
    <row r="35" spans="2:16" ht="15.75" customHeight="1" thickBot="1" x14ac:dyDescent="0.4">
      <c r="N35" s="344" t="s">
        <v>88</v>
      </c>
      <c r="O35" s="345"/>
      <c r="P35" s="297">
        <f>+P33+P34</f>
        <v>3296.6263791457627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200</v>
      </c>
      <c r="I25" s="114">
        <f t="shared" si="7"/>
        <v>11855.2</v>
      </c>
      <c r="J25" s="274">
        <f>SUM(J16:J24)</f>
        <v>854.26400000000012</v>
      </c>
      <c r="K25" s="275">
        <f t="shared" si="7"/>
        <v>414.93200000000002</v>
      </c>
      <c r="L25" s="276">
        <f t="shared" si="7"/>
        <v>160.05840000000001</v>
      </c>
      <c r="M25" s="232">
        <f t="shared" si="7"/>
        <v>10425.945600000001</v>
      </c>
      <c r="N25" s="233">
        <f>SUM(N16:N24)</f>
        <v>2257.6271186440677</v>
      </c>
      <c r="O25" s="101">
        <f>SUM(O16:O24)</f>
        <v>63.417863593220346</v>
      </c>
      <c r="P25" s="113">
        <f>SUM(P16:P24)</f>
        <v>12746.990582237289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11855.2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854.26400000000012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574.99040000000002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10425.945600000001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2257.6271186440677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12683.572718644069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63.417863593220346</v>
      </c>
    </row>
    <row r="35" spans="2:16" ht="15.75" customHeight="1" thickBot="1" x14ac:dyDescent="0.4">
      <c r="N35" s="344" t="s">
        <v>88</v>
      </c>
      <c r="O35" s="345"/>
      <c r="P35" s="297">
        <f>+P33+P34</f>
        <v>12746.990582237289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2026-08-29T04:36:23Z</dcterms:modified>
</cp:coreProperties>
</file>