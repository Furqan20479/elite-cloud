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06C084C4-2C10-4EB5-A275-04FF3E5F0332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N6" i="43" l="1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N4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44" l="1"/>
  <c r="N4" i="48"/>
  <c r="N4" i="52"/>
  <c r="N4" i="56"/>
  <c r="N4" i="60"/>
  <c r="N4" i="65"/>
  <c r="N4" i="69"/>
  <c r="N5" i="69" s="1"/>
  <c r="N4" i="43"/>
  <c r="N4" i="47"/>
  <c r="N4" i="55"/>
  <c r="N4" i="68"/>
  <c r="N4" i="45"/>
  <c r="N4" i="49"/>
  <c r="N4" i="53"/>
  <c r="N4" i="57"/>
  <c r="N4" i="61"/>
  <c r="N4" i="66"/>
  <c r="N4" i="70"/>
  <c r="N4" i="46"/>
  <c r="N4" i="50"/>
  <c r="N4" i="54"/>
  <c r="N4" i="58"/>
  <c r="N4" i="63"/>
  <c r="N4" i="67"/>
  <c r="N5" i="67" s="1"/>
  <c r="N4" i="71"/>
  <c r="N4" i="51"/>
  <c r="N4" i="59"/>
  <c r="N4" i="64"/>
  <c r="N5" i="64" s="1"/>
  <c r="N4" i="72"/>
  <c r="Q16" i="62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2" i="43" l="1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<sst xmlns="http://schemas.openxmlformats.org/spreadsheetml/2006/main" count="3948" uniqueCount="527">
  <si>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</si>
  <si>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</si>
  <si>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</si>
  <si>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</si>
  <si>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</si>
  <si>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</si>
  <si>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</si>
  <si>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</si>
  <si>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</si>
  <si>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</si>
  <si>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</si>
  <si>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</si>
  <si>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</si>
  <si>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</si>
  <si>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</si>
  <si>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</si>
  <si>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</si>
  <si>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</si>
  <si>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</si>
  <si>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</si>
  <si>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</si>
  <si>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</si>
  <si>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</si>
  <si>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</si>
  <si>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</si>
  <si>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</si>
  <si>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</si>
  <si>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</si>
  <si>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</si>
  <si>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</si>
  <si>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</si>
  <si>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</si>
  <si>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</si>
  <si>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</si>
  <si>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</si>
  <si>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</si>
  <si>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</si>
  <si>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</si>
  <si>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</si>
  <si>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</si>
  <si>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</si>
  <si>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</si>
  <si>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</si>
  <si>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</si>
  <si>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</si>
  <si>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</si>
  <si>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</si>
  <si>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</si>
  <si>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</si>
  <si>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</si>
  <si>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</si>
  <si>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</si>
  <si>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</si>
  <si>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</si>
  <si>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</si>
  <si>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</si>
  <si>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</si>
  <si>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</si>
  <si>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</si>
  <si>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</si>
  <si>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</si>
  <si>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</si>
  <si>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</si>
  <si>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</si>
  <si>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</si>
  <si>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</si>
  <si>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</si>
  <si>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</si>
  <si>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</si>
  <si>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</si>
  <si>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</si>
  <si>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</si>
  <si>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</si>
  <si>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</si>
  <si>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</si>
  <si>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</si>
  <si>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</si>
  <si>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</si>
  <si>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</si>
  <si>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</si>
  <si>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</si>
  <si>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</si>
  <si>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</si>
  <si>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</si>
  <si>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</si>
  <si>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</si>
  <si>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</si>
  <si>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</si>
  <si>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</si>
  <si>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</si>
  <si>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</si>
  <si>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</si>
  <si>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</si>
  <si>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</si>
  <si>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</si>
  <si>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</si>
  <si>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</si>
  <si>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</si>
  <si>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</si>
  <si>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</si>
  <si>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</si>
  <si>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</si>
  <si>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</si>
  <si>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</si>
  <si>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</si>
  <si>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</si>
  <si>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</si>
  <si>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</si>
  <si>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</si>
  <si>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</si>
  <si>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</si>
  <si>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</si>
  <si>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</si>
  <si>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</si>
  <si>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</si>
  <si>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</si>
  <si>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</si>
  <si>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</si>
  <si>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</si>
  <si>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</si>
  <si>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</si>
  <si>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</si>
  <si>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</si>
  <si>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</si>
  <si>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</si>
  <si>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</si>
  <si>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</si>
  <si>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</si>
  <si>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</si>
  <si>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</si>
  <si>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</si>
  <si>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</si>
  <si>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</si>
  <si>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</si>
  <si>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</si>
  <si>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</si>
  <si>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</si>
  <si>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</si>
  <si>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</si>
  <si>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</si>
  <si>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</si>
  <si>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</si>
  <si>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</si>
  <si>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</si>
  <si>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</si>
  <si>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</si>
  <si>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</si>
  <si>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</si>
  <si>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</si>
  <si>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</si>
  <si>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</si>
  <si>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</si>
  <si>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</si>
  <si>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</si>
  <si>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</si>
  <si>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</si>
  <si>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</si>
  <si>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</si>
  <si>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</si>
  <si>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</si>
  <si>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</si>
  <si>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</si>
  <si>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</si>
  <si>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</si>
  <si>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</si>
  <si>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</si>
  <si>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</si>
  <si>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</si>
  <si>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</si>
  <si>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</si>
  <si>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</si>
  <si>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</si>
  <si>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</si>
  <si>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</si>
  <si>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</si>
  <si>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</si>
  <si>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</si>
  <si>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</si>
  <si>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</si>
  <si>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</si>
  <si>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</si>
  <si>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</si>
  <si>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</si>
  <si>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</si>
  <si>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</si>
  <si>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</si>
  <si>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</si>
  <si>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</si>
  <si>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</si>
  <si>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</si>
  <si>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</si>
  <si>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</si>
  <si>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</si>
  <si>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</si>
  <si>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</si>
  <si>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</si>
  <si>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</si>
  <si>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</si>
  <si>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</si>
  <si>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</si>
  <si>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</si>
  <si>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</si>
  <si>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</si>
  <si>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</si>
  <si>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</si>
  <si>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</si>
  <si>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</si>
  <si>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</si>
  <si>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</si>
  <si>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</si>
  <si>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</si>
  <si>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</si>
  <si>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</si>
  <si>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</si>
  <si>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</si>
  <si>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</si>
  <si>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</si>
  <si>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</si>
  <si>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</si>
  <si>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</si>
  <si>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</si>
  <si>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</si>
  <si>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</si>
  <si>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</si>
  <si>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</si>
  <si>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</si>
  <si>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</si>
  <si>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</si>
  <si>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</si>
  <si>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</si>
  <si>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</si>
  <si>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</si>
  <si>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</si>
  <si>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</si>
  <si>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</si>
  <si>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</si>
  <si>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</si>
  <si>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</si>
  <si>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</si>
  <si>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</si>
  <si>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</si>
  <si>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</si>
  <si>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</si>
  <si>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</si>
  <si>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</si>
  <si>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</si>
  <si>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</si>
  <si>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</si>
  <si>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</si>
  <si>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</si>
  <si>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</si>
  <si>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</si>
  <si>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</si>
  <si>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</si>
  <si>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</si>
  <si>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</si>
  <si>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</si>
  <si>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</si>
  <si>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</si>
  <si>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</si>
  <si>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</si>
  <si>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</si>
  <si>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</si>
  <si>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</si>
  <si>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</si>
  <si>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</si>
  <si>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</si>
  <si>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</si>
  <si>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</si>
  <si>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</si>
  <si>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</si>
  <si>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</si>
  <si>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</si>
  <si>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</si>
  <si>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</si>
  <si>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</si>
  <si>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</si>
  <si>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</si>
  <si>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</si>
  <si>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</si>
  <si>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</si>
  <si>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</si>
  <si>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</si>
  <si>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</si>
  <si>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</si>
  <si>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</si>
  <si>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</si>
  <si>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</si>
  <si>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</si>
  <si>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</si>
  <si>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</si>
  <si>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</si>
  <si>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</si>
  <si>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</si>
  <si>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</si>
  <si>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</si>
  <si>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</si>
  <si>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</si>
  <si>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</si>
  <si>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</si>
  <si>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</si>
  <si>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</si>
  <si>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</si>
  <si>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</si>
  <si>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</si>
  <si>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</si>
  <si>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</si>
  <si>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</si>
  <si>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</si>
  <si>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</si>
  <si>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</si>
  <si>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</si>
  <si>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</si>
  <si>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</si>
  <si>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</si>
  <si>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</si>
  <si>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</si>
  <si>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</si>
  <si>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</si>
  <si>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</si>
  <si>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</si>
  <si>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</si>
  <si>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</si>
  <si>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</si>
  <si>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</si>
  <si>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</si>
  <si>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</si>
  <si>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</si>
  <si>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</si>
  <si>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</si>
  <si>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</si>
  <si>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</si>
  <si>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</si>
  <si>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</si>
  <si>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</si>
  <si>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</si>
  <si>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</si>
  <si>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</si>
  <si>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</si>
  <si>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</si>
  <si>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</si>
  <si>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</si>
  <si>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</si>
  <si>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</si>
  <si>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</si>
  <si>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</si>
  <si>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</si>
  <si>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</si>
  <si>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</si>
  <si>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</si>
  <si>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</si>
  <si>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</si>
  <si>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</si>
  <si>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</si>
  <si>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</si>
  <si>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</si>
  <si>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</si>
  <si>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</si>
  <si>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</si>
  <si>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</si>
  <si>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</si>
  <si>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</si>
  <si>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</si>
  <si>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</si>
  <si>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</si>
  <si>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</si>
  <si>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</si>
  <si>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</si>
  <si>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</si>
  <si>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</si>
  <si>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</si>
  <si>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</si>
  <si>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</si>
  <si>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</si>
  <si>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</si>
  <si>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</si>
  <si>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</si>
  <si>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</si>
  <si>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</si>
  <si>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</si>
  <si>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</si>
  <si>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</si>
  <si>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</si>
  <si>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</si>
  <si>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</si>
  <si>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</si>
  <si>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</si>
  <si>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</si>
  <si>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</si>
  <si>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</si>
  <si>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</si>
  <si>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</si>
  <si>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</si>
  <si>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</si>
  <si>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</si>
  <si>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</si>
  <si>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</si>
  <si>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</si>
  <si>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</si>
  <si>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</si>
  <si>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</si>
  <si>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</si>
  <si>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</si>
  <si>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</si>
  <si>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</si>
  <si>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</si>
  <si>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</si>
  <si>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</si>
  <si>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</si>
  <si>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</si>
  <si>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</si>
  <si>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</si>
  <si>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</si>
  <si>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</si>
  <si>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</si>
  <si>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</si>
  <si>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</si>
  <si>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</si>
  <si>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</si>
  <si>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</si>
  <si>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</si>
  <si>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</si>
  <si>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</si>
  <si>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</si>
  <si>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</si>
  <si>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</si>
  <si>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</si>
  <si>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</si>
  <si>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</si>
  <si>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</si>
  <si>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</si>
  <si>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</si>
  <si>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</si>
  <si>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</si>
  <si>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</si>
  <si>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</si>
  <si>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</si>
  <si>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</si>
  <si>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</si>
  <si>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</si>
  <si>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</si>
  <si>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</si>
  <si>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</si>
  <si>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</si>
  <si>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</si>
  <si>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</si>
  <si>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</si>
  <si>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</si>
  <si>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</si>
  <si>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</si>
  <si>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</si>
  <si>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</si>
  <si>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</si>
  <si>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</si>
  <si>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</si>
  <si>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</si>
  <si>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</si>
  <si>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</si>
  <si>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</si>
  <si>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</si>
  <si>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</si>
  <si>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</si>
  <si>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</si>
  <si>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</si>
  <si>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</si>
  <si>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</si>
  <si>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</si>
  <si>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</si>
  <si>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</si>
  <si>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</si>
  <si>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</si>
  <si>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</si>
  <si>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</si>
  <si>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</si>
  <si>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</si>
  <si>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</si>
  <si>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</si>
  <si>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</si>
  <si>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</si>
  <si>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</si>
  <si>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</si>
  <si>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</si>
  <si>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</si>
  <si>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</si>
  <si>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</si>
  <si>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</si>
  <si>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</si>
  <si>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</si>
  <si>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</si>
  <si>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</si>
  <si>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</si>
  <si>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</si>
  <si>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</si>
  <si>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</si>
  <si>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</si>
  <si>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</si>
  <si>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</si>
  <si>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</si>
  <si>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</si>
  <si>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</si>
  <si>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</si>
  <si>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</si>
  <si>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</si>
  <si>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</si>
  <si>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</si>
  <si>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</si>
  <si>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</si>
  <si>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</si>
  <si>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</si>
  <si>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</si>
  <si>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</si>
  <si>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</si>
  <si>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</si>
  <si>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>Furqan</t>
  </si>
  <si>
    <t xml:space="preserve">Address: Al noor Town </t>
  </si>
  <si>
    <t>Khan Store</t>
  </si>
  <si>
    <t xml:space="preserve">Address: Al noor Town  Work shop main </t>
  </si>
  <si>
    <t>Chohan Store</t>
  </si>
  <si>
    <t xml:space="preserve">Address: Al noor Town  Bajwa Chowk </t>
  </si>
  <si>
    <t>Niamat Store</t>
  </si>
  <si>
    <t>Mehman Store</t>
  </si>
  <si>
    <t>Rana Store</t>
  </si>
  <si>
    <t>Naeem Store</t>
  </si>
  <si>
    <t xml:space="preserve">Address: Al noor Town  Ali Ali Chowk </t>
  </si>
  <si>
    <t>Zahid Store</t>
  </si>
  <si>
    <t xml:space="preserve">Address: Al noor Town Bilal Colony Abu harera Masjid </t>
  </si>
  <si>
    <t>Address: Al noor Town  Bilal Colony abu harera masjid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</si>
</sst>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topLeftCell="A21" workbookViewId="0">
      <selection activeCell="G30" sqref="G3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513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v>46262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>Khan Store</v>
      </c>
      <c r="T3" s="301">
        <f>+'1'!P35</f>
        <v>940.86347552542372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9">
        <v>46258</v>
      </c>
      <c r="R4" s="299">
        <v>2</v>
      </c>
      <c r="S4" s="300" t="str">
        <f>+'2'!A6:A6</f>
        <v>Chohan Store</v>
      </c>
      <c r="T4" s="301">
        <f>+'2'!P35</f>
        <v>500.75337404745761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>Niamat Store</v>
      </c>
      <c r="T5" s="301">
        <f>+'3'!P35</f>
        <v>1489.7049500402541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Mehman Store</v>
      </c>
      <c r="T6" s="301">
        <f>+'4'!P35</f>
        <v>500.75337404745761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Rana Store</v>
      </c>
      <c r="T7" s="301">
        <f>+'5'!P35</f>
        <v>560.34074098220333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20</v>
      </c>
      <c r="I8" s="236">
        <f t="shared" ref="I8:I14" si="0">(G8*D8)*F8+H8*F8</f>
        <v>1049.25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83.94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36.723750000000003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928.58625000000006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198.30508474576263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5.6344566737288133</v>
      </c>
      <c r="P8" s="311">
        <f t="shared" ref="P8:P15" si="2">M8+N8+O8</f>
        <v>1132.5257914194915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>Naeem Store</v>
      </c>
      <c r="T8" s="301">
        <f>+'6'!P35</f>
        <v>500.75337404745761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12</v>
      </c>
      <c r="I9" s="236">
        <f t="shared" si="0"/>
        <v>629.54999999999995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50.363999999999997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22.03425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557.15174999999999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118.98305084745758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3.3806740042372878</v>
      </c>
      <c r="P9" s="311">
        <f t="shared" si="2"/>
        <v>679.51547485169488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Zahid Store</v>
      </c>
      <c r="T9" s="301">
        <f>+'7'!P35</f>
        <v>1669.1779134915255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10</v>
      </c>
      <c r="I10" s="236">
        <f t="shared" si="0"/>
        <v>726.4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58.112000000000002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25.424000000000003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642.86400000000003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137.28813559322035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3.9007606779661019</v>
      </c>
      <c r="P10" s="311">
        <f t="shared" si="2"/>
        <v>784.05289627118646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Khan Store</v>
      </c>
      <c r="T10" s="301">
        <f>+'8'!P35</f>
        <v>2184.9047487266948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0</v>
      </c>
      <c r="I11" s="236">
        <f t="shared" si="0"/>
        <v>0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0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0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0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0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0</v>
      </c>
      <c r="P11" s="311">
        <f t="shared" si="2"/>
        <v>0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18</v>
      </c>
      <c r="I12" s="236">
        <f t="shared" si="0"/>
        <v>1307.52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104.60160000000002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45.763200000000005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1157.1551999999999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247.11864406779662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7.0213692203389835</v>
      </c>
      <c r="P12" s="311">
        <f t="shared" si="2"/>
        <v>1411.2952132881355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104</v>
      </c>
      <c r="I13" s="236">
        <f t="shared" si="0"/>
        <v>4079.9200000000005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203.99600000000004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142.79720000000003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208.07592</v>
      </c>
      <c r="M13" s="230">
        <f t="shared" si="1"/>
        <v>3525.0508800000007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793.2203389830504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21.591356094915255</v>
      </c>
      <c r="P13" s="311">
        <f t="shared" si="2"/>
        <v>4339.8625750779665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4.0999999999999996</v>
      </c>
      <c r="H16" s="113">
        <f t="shared" ref="H16:M16" si="3">SUM(H7:H15)</f>
        <v>164</v>
      </c>
      <c r="I16" s="114">
        <f t="shared" si="3"/>
        <v>7792.64</v>
      </c>
      <c r="J16" s="274">
        <f>SUM(J7:J15)</f>
        <v>501.01360000000005</v>
      </c>
      <c r="K16" s="275">
        <f t="shared" si="3"/>
        <v>272.74240000000003</v>
      </c>
      <c r="L16" s="276">
        <f t="shared" si="3"/>
        <v>208.07592</v>
      </c>
      <c r="M16" s="232">
        <f t="shared" si="3"/>
        <v>6810.8080800000007</v>
      </c>
      <c r="N16" s="233">
        <f>SUM(N7:N15)</f>
        <v>1494.9152542372876</v>
      </c>
      <c r="O16" s="101">
        <f>SUM(O7:O15)</f>
        <v>41.528616671186441</v>
      </c>
      <c r="P16" s="113">
        <f>SUM(P7:P15)</f>
        <v>8347.2519509084741</v>
      </c>
      <c r="Q16" s="128">
        <f>SUM(Q7:Q15)</f>
        <v>0</v>
      </c>
      <c r="R16" s="314">
        <v>14</v>
      </c>
      <c r="S16" s="318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7792.64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501.01360000000005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480.81832000000003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6810.8080799999998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1494.9152542372876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8305.7233342372874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41.528616671186441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8347.2519509084741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8347.2519509084741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Summary!H3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7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12</v>
      </c>
      <c r="I21" s="236">
        <f t="shared" si="7"/>
        <v>871.68000000000006</v>
      </c>
      <c r="J21" s="272">
        <f t="shared" si="1"/>
        <v>69.734400000000008</v>
      </c>
      <c r="K21" s="128">
        <f t="shared" si="1"/>
        <v>30.508800000000004</v>
      </c>
      <c r="L21" s="119">
        <f t="shared" si="1"/>
        <v>0</v>
      </c>
      <c r="M21" s="230">
        <f t="shared" si="2"/>
        <v>771.43680000000006</v>
      </c>
      <c r="N21" s="277">
        <f t="shared" si="3"/>
        <v>164.74576271186442</v>
      </c>
      <c r="O21" s="239">
        <f t="shared" si="4"/>
        <v>4.6809128135593223</v>
      </c>
      <c r="P21" s="311">
        <f t="shared" si="5"/>
        <v>940.86347552542372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12</v>
      </c>
      <c r="I25" s="114">
        <f t="shared" ref="I25:M25" si="10">SUM(I16:I24)</f>
        <v>871.68000000000006</v>
      </c>
      <c r="J25" s="274">
        <f>SUM(J16:J24)</f>
        <v>69.734400000000008</v>
      </c>
      <c r="K25" s="275">
        <f t="shared" si="10"/>
        <v>30.508800000000004</v>
      </c>
      <c r="L25" s="276">
        <f t="shared" si="10"/>
        <v>0</v>
      </c>
      <c r="M25" s="232">
        <f t="shared" si="10"/>
        <v>771.43680000000006</v>
      </c>
      <c r="N25" s="233">
        <f>SUM(N16:N24)</f>
        <v>164.74576271186442</v>
      </c>
      <c r="O25" s="101">
        <f>SUM(O16:O24)</f>
        <v>4.6809128135593223</v>
      </c>
      <c r="P25" s="113">
        <f>SUM(P16:P24)</f>
        <v>940.86347552542372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871.68000000000006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69.734400000000008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30.508800000000004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771.43680000000006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936.18256271186442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73" t="s">
        <v>88</v>
      </c>
      <c r="O35" s="374"/>
      <c r="P35" s="297">
        <f>+P33+P34</f>
        <v>940.86347552542372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470.76000000000005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23.538000000000004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40.485360000000007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406.73664000000002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498.26206372881353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3" t="s">
        <v>88</v>
      </c>
      <c r="O35" s="374"/>
      <c r="P35" s="297">
        <f>+P33+P34</f>
        <v>500.75337404745761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6</v>
      </c>
      <c r="I17" s="236">
        <f t="shared" ref="I17:I23" si="0">(G17*D17)*F17+H17*F17</f>
        <v>314.77499999999998</v>
      </c>
      <c r="J17" s="272">
        <f t="shared" ref="J17:L24" si="1">$I17*S17</f>
        <v>25.181999999999999</v>
      </c>
      <c r="K17" s="128">
        <f>$I17*T17</f>
        <v>11.017125</v>
      </c>
      <c r="L17" s="119">
        <f>$I17*U17</f>
        <v>0</v>
      </c>
      <c r="M17" s="230">
        <f t="shared" ref="M17:M24" si="2">I17-SUM(J17:L17)</f>
        <v>278.575875</v>
      </c>
      <c r="N17" s="277">
        <f t="shared" ref="N17:N24" si="3">+(G17*D17+H17)*V17</f>
        <v>59.491525423728788</v>
      </c>
      <c r="O17" s="239">
        <f t="shared" ref="O17:O24" si="4">(N17+M17)*$O$15</f>
        <v>1.6903370021186439</v>
      </c>
      <c r="P17" s="311">
        <f t="shared" ref="P17:P24" si="5">M17+N17+O17</f>
        <v>339.75773742584744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12</v>
      </c>
      <c r="I18" s="236">
        <f t="shared" si="0"/>
        <v>629.54999999999995</v>
      </c>
      <c r="J18" s="272">
        <f t="shared" si="1"/>
        <v>50.363999999999997</v>
      </c>
      <c r="K18" s="128">
        <f t="shared" si="1"/>
        <v>22.03425</v>
      </c>
      <c r="L18" s="119">
        <f t="shared" si="1"/>
        <v>0</v>
      </c>
      <c r="M18" s="230">
        <f t="shared" si="2"/>
        <v>557.15174999999999</v>
      </c>
      <c r="N18" s="277">
        <f t="shared" si="3"/>
        <v>118.98305084745758</v>
      </c>
      <c r="O18" s="239">
        <f t="shared" si="4"/>
        <v>3.3806740042372878</v>
      </c>
      <c r="P18" s="311">
        <f t="shared" si="5"/>
        <v>679.51547485169488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6</v>
      </c>
      <c r="I21" s="236">
        <f t="shared" si="0"/>
        <v>435.84000000000003</v>
      </c>
      <c r="J21" s="272">
        <f t="shared" si="1"/>
        <v>34.867200000000004</v>
      </c>
      <c r="K21" s="128">
        <f t="shared" si="1"/>
        <v>15.254400000000002</v>
      </c>
      <c r="L21" s="119">
        <f t="shared" si="1"/>
        <v>0</v>
      </c>
      <c r="M21" s="230">
        <f t="shared" si="2"/>
        <v>385.71840000000003</v>
      </c>
      <c r="N21" s="277">
        <f t="shared" si="3"/>
        <v>82.372881355932208</v>
      </c>
      <c r="O21" s="239">
        <f t="shared" si="4"/>
        <v>2.3404564067796612</v>
      </c>
      <c r="P21" s="311">
        <f t="shared" si="5"/>
        <v>470.43173776271186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24</v>
      </c>
      <c r="I25" s="114">
        <f t="shared" si="7"/>
        <v>1380.165</v>
      </c>
      <c r="J25" s="274">
        <f>SUM(J16:J24)</f>
        <v>110.41319999999999</v>
      </c>
      <c r="K25" s="275">
        <f t="shared" si="7"/>
        <v>48.305775000000004</v>
      </c>
      <c r="L25" s="276">
        <f t="shared" si="7"/>
        <v>0</v>
      </c>
      <c r="M25" s="232">
        <f t="shared" si="7"/>
        <v>1221.446025</v>
      </c>
      <c r="N25" s="233">
        <f>SUM(N16:N24)</f>
        <v>260.84745762711862</v>
      </c>
      <c r="O25" s="101">
        <f>SUM(O16:O24)</f>
        <v>7.4114674131355924</v>
      </c>
      <c r="P25" s="113">
        <f>SUM(P16:P24)</f>
        <v>1489.7049500402543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1380.165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110.41319999999999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48.305775000000004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1221.446025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260.84745762711862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1482.2934826271185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7.4114674131355924</v>
      </c>
    </row>
    <row r="35" spans="2:16" ht="15.75" customHeight="1" thickBot="1" x14ac:dyDescent="0.4">
      <c r="N35" s="373" t="s">
        <v>88</v>
      </c>
      <c r="O35" s="374"/>
      <c r="P35" s="297">
        <f>+P33+P34</f>
        <v>1489.7049500402541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470.76000000000005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23.538000000000004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40.485360000000007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406.73664000000002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498.26206372881353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3" t="s">
        <v>88</v>
      </c>
      <c r="O35" s="374"/>
      <c r="P35" s="297">
        <f>+P33+P34</f>
        <v>500.75337404745761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518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</v>
      </c>
      <c r="I17" s="236">
        <f t="shared" ref="I17:I23" si="0">(G17*D17)*F17+H17*F17</f>
        <v>209.85</v>
      </c>
      <c r="J17" s="272">
        <f t="shared" ref="J17:L24" si="1">$I17*S17</f>
        <v>16.788</v>
      </c>
      <c r="K17" s="128">
        <f>$I17*T17</f>
        <v>7.3447500000000003</v>
      </c>
      <c r="L17" s="119">
        <f>$I17*U17</f>
        <v>0</v>
      </c>
      <c r="M17" s="230">
        <f t="shared" ref="M17:M24" si="2">I17-SUM(J17:L17)</f>
        <v>185.71724999999998</v>
      </c>
      <c r="N17" s="277">
        <f t="shared" ref="N17:N24" si="3">+(G17*D17+H17)*V17</f>
        <v>39.661016949152526</v>
      </c>
      <c r="O17" s="239">
        <f t="shared" ref="O17:O24" si="4">(N17+M17)*$O$15</f>
        <v>1.1268913347457625</v>
      </c>
      <c r="P17" s="311">
        <f t="shared" ref="P17:P24" si="5">M17+N17+O17</f>
        <v>226.50515828389825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8</v>
      </c>
      <c r="I22" s="236">
        <f t="shared" si="0"/>
        <v>313.84000000000003</v>
      </c>
      <c r="J22" s="272">
        <f t="shared" si="1"/>
        <v>15.692000000000002</v>
      </c>
      <c r="K22" s="128">
        <f t="shared" si="1"/>
        <v>10.984400000000003</v>
      </c>
      <c r="L22" s="119">
        <f t="shared" si="1"/>
        <v>16.005839999999999</v>
      </c>
      <c r="M22" s="230">
        <f t="shared" si="2"/>
        <v>271.15776000000005</v>
      </c>
      <c r="N22" s="277">
        <f t="shared" si="3"/>
        <v>61.016949152542338</v>
      </c>
      <c r="O22" s="239">
        <f t="shared" si="4"/>
        <v>1.660873545762712</v>
      </c>
      <c r="P22" s="311">
        <f t="shared" si="5"/>
        <v>333.83558269830507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523.69000000000005</v>
      </c>
      <c r="J25" s="274">
        <f>SUM(J16:J24)</f>
        <v>32.480000000000004</v>
      </c>
      <c r="K25" s="275">
        <f t="shared" si="7"/>
        <v>18.329150000000002</v>
      </c>
      <c r="L25" s="276">
        <f t="shared" si="7"/>
        <v>16.005839999999999</v>
      </c>
      <c r="M25" s="232">
        <f t="shared" si="7"/>
        <v>456.87501000000003</v>
      </c>
      <c r="N25" s="233">
        <f>SUM(N16:N24)</f>
        <v>100.67796610169486</v>
      </c>
      <c r="O25" s="101">
        <f>SUM(O16:O24)</f>
        <v>2.7877648805084743</v>
      </c>
      <c r="P25" s="113">
        <f>SUM(P16:P24)</f>
        <v>560.34074098220333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523.69000000000005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32.480000000000004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34.334990000000005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456.87501000000003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100.67796610169486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557.55297610169487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2.7877648805084743</v>
      </c>
    </row>
    <row r="35" spans="2:16" ht="15.75" customHeight="1" thickBot="1" x14ac:dyDescent="0.4">
      <c r="N35" s="373" t="s">
        <v>88</v>
      </c>
      <c r="O35" s="374"/>
      <c r="P35" s="297">
        <f>+P33+P34</f>
        <v>560.34074098220333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522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523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470.76000000000005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23.538000000000004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40.485360000000007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406.73664000000002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498.26206372881353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73" t="s">
        <v>88</v>
      </c>
      <c r="O35" s="374"/>
      <c r="P35" s="297">
        <f>+P33+P34</f>
        <v>500.75337404745761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7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524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525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1569.2000000000003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78.460000000000022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134.95120000000003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1355.7888000000003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1660.873545762712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73" t="s">
        <v>88</v>
      </c>
      <c r="O35" s="374"/>
      <c r="P35" s="297">
        <f>+P33+P34</f>
        <v>1669.1779134915255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526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10</v>
      </c>
      <c r="I17" s="236">
        <f t="shared" ref="I17:I23" si="0">(G17*D17)*F17+H17*F17</f>
        <v>524.625</v>
      </c>
      <c r="J17" s="272">
        <f t="shared" ref="J17:L24" si="1">$I17*S17</f>
        <v>41.97</v>
      </c>
      <c r="K17" s="128">
        <f>$I17*T17</f>
        <v>18.361875000000001</v>
      </c>
      <c r="L17" s="119">
        <f>$I17*U17</f>
        <v>0</v>
      </c>
      <c r="M17" s="230">
        <f t="shared" ref="M17:M24" si="2">I17-SUM(J17:L17)</f>
        <v>464.29312500000003</v>
      </c>
      <c r="N17" s="277">
        <f t="shared" ref="N17:N24" si="3">+(G17*D17+H17)*V17</f>
        <v>99.152542372881314</v>
      </c>
      <c r="O17" s="239">
        <f t="shared" ref="O17:O24" si="4">(N17+M17)*$O$15</f>
        <v>2.8172283368644067</v>
      </c>
      <c r="P17" s="311">
        <f t="shared" ref="P17:P24" si="5">M17+N17+O17</f>
        <v>566.26289570974575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311">
        <f t="shared" si="5"/>
        <v>784.05289627118646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20</v>
      </c>
      <c r="I22" s="236">
        <f t="shared" si="0"/>
        <v>784.60000000000014</v>
      </c>
      <c r="J22" s="272">
        <f t="shared" si="1"/>
        <v>39.230000000000011</v>
      </c>
      <c r="K22" s="128">
        <f t="shared" si="1"/>
        <v>27.461000000000006</v>
      </c>
      <c r="L22" s="119">
        <f t="shared" si="1"/>
        <v>40.014600000000002</v>
      </c>
      <c r="M22" s="230">
        <f t="shared" si="2"/>
        <v>677.89440000000013</v>
      </c>
      <c r="N22" s="277">
        <f t="shared" si="3"/>
        <v>152.54237288135585</v>
      </c>
      <c r="O22" s="239">
        <f t="shared" si="4"/>
        <v>4.1521838644067799</v>
      </c>
      <c r="P22" s="311">
        <f t="shared" si="5"/>
        <v>834.58895674576274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40</v>
      </c>
      <c r="I25" s="114">
        <f t="shared" si="7"/>
        <v>2035.6250000000002</v>
      </c>
      <c r="J25" s="274">
        <f>SUM(J16:J24)</f>
        <v>139.31200000000001</v>
      </c>
      <c r="K25" s="275">
        <f t="shared" si="7"/>
        <v>71.246875000000017</v>
      </c>
      <c r="L25" s="276">
        <f t="shared" si="7"/>
        <v>40.014600000000002</v>
      </c>
      <c r="M25" s="232">
        <f t="shared" si="7"/>
        <v>1785.0515250000003</v>
      </c>
      <c r="N25" s="233">
        <f>SUM(N16:N24)</f>
        <v>388.98305084745749</v>
      </c>
      <c r="O25" s="101">
        <f>SUM(O16:O24)</f>
        <v>10.870172879237288</v>
      </c>
      <c r="P25" s="113">
        <f>SUM(P16:P24)</f>
        <v>2184.9047487266953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2035.6250000000002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139.31200000000001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111.26147500000002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1785.0515250000001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388.98305084745749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2174.0345758474577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10.870172879237289</v>
      </c>
    </row>
    <row r="35" spans="2:16" ht="15.75" customHeight="1" thickBot="1" x14ac:dyDescent="0.4">
      <c r="N35" s="373" t="s">
        <v>88</v>
      </c>
      <c r="O35" s="374"/>
      <c r="P35" s="297">
        <f>+P33+P34</f>
        <v>2184.9047487266948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9" sqref="A9:C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43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f>'1'!N4:P4</f>
        <v>46262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46261</v>
      </c>
      <c r="O5" s="393"/>
      <c r="P5" s="393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94" t="s">
        <v>69</v>
      </c>
      <c r="L6" s="394"/>
      <c r="M6" s="394"/>
      <c r="N6" s="396" t="str">
        <f>Summary!H2</f>
        <v>Furqan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73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514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143" t="s">
        <v>59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46262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46261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2026-08-27T12:23:19Z</dcterms:modified>
</cp:coreProperties>
</file>