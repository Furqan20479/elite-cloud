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30B0D9-E2DD-4D79-98CD-BDFF54B7B1E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<sst xmlns="http://schemas.openxmlformats.org/spreadsheetml/2006/main" count="3948" uniqueCount="519">
  <si>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</si>
  <si>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</si>
  <si>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</si>
  <si>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</si>
  <si>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</si>
  <si>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</si>
  <si>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</si>
  <si>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</si>
  <si>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</si>
  <si>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</si>
  <si>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</si>
  <si>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</si>
  <si>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</si>
  <si>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</si>
  <si>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</si>
  <si>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</si>
  <si>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</si>
  <si>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</si>
  <si>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</si>
  <si>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</si>
  <si>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</si>
  <si>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</si>
  <si>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</si>
  <si>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</si>
  <si>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</si>
  <si>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</si>
  <si>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</si>
  <si>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</si>
  <si>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</si>
  <si>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</si>
  <si>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</si>
  <si>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</si>
  <si>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</si>
  <si>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</si>
  <si>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</si>
  <si>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</si>
  <si>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</si>
  <si>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</si>
  <si>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</si>
  <si>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</si>
  <si>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</si>
  <si>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</si>
  <si>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</si>
  <si>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</si>
  <si>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</si>
  <si>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</si>
  <si>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</si>
  <si>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</si>
  <si>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</si>
  <si>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</si>
  <si>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</si>
  <si>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</si>
  <si>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</si>
  <si>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</si>
  <si>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</si>
  <si>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</si>
  <si>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</si>
  <si>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</si>
  <si>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</si>
  <si>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</si>
  <si>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</si>
  <si>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</si>
  <si>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</si>
  <si>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</si>
  <si>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</si>
  <si>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</si>
  <si>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</si>
  <si>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</si>
  <si>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</si>
  <si>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</si>
  <si>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</si>
  <si>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</si>
  <si>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</si>
  <si>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</si>
  <si>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</si>
  <si>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</si>
  <si>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</si>
  <si>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</si>
  <si>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</si>
  <si>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</si>
  <si>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</si>
  <si>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</si>
  <si>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</si>
  <si>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</si>
  <si>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</si>
  <si>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</si>
  <si>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</si>
  <si>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</si>
  <si>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</si>
  <si>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</si>
  <si>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</si>
  <si>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</si>
  <si>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</si>
  <si>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</si>
  <si>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</si>
  <si>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</si>
  <si>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</si>
  <si>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</si>
  <si>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</si>
  <si>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</si>
  <si>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</si>
  <si>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</si>
  <si>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</si>
  <si>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</si>
  <si>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</si>
  <si>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</si>
  <si>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</si>
  <si>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</si>
  <si>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</si>
  <si>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</si>
  <si>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</si>
  <si>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</si>
  <si>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</si>
  <si>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</si>
  <si>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</si>
  <si>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</si>
  <si>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</si>
  <si>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</si>
  <si>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</si>
  <si>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</si>
  <si>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</si>
  <si>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</si>
  <si>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</si>
  <si>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</si>
  <si>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</si>
  <si>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</si>
  <si>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</si>
  <si>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</si>
  <si>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</si>
  <si>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</si>
  <si>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</si>
  <si>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</si>
  <si>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</si>
  <si>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</si>
  <si>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</si>
  <si>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</si>
  <si>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</si>
  <si>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</si>
  <si>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</si>
  <si>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</si>
  <si>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</si>
  <si>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</si>
  <si>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</si>
  <si>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</si>
  <si>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</si>
  <si>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</si>
  <si>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</si>
  <si>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</si>
  <si>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</si>
  <si>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</si>
  <si>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</si>
  <si>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</si>
  <si>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</si>
  <si>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</si>
  <si>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</si>
  <si>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</si>
  <si>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</si>
  <si>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</si>
  <si>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</si>
  <si>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</si>
  <si>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</si>
  <si>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</si>
  <si>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</si>
  <si>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</si>
  <si>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</si>
  <si>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</si>
  <si>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</si>
  <si>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</si>
  <si>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</si>
  <si>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</si>
  <si>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</si>
  <si>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</si>
  <si>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</si>
  <si>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</si>
  <si>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</si>
  <si>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</si>
  <si>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</si>
  <si>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</si>
  <si>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</si>
  <si>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</si>
  <si>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</si>
  <si>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</si>
  <si>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</si>
  <si>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</si>
  <si>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</si>
  <si>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</si>
  <si>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</si>
  <si>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</si>
  <si>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</si>
  <si>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</si>
  <si>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</si>
  <si>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</si>
  <si>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</si>
  <si>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</si>
  <si>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</si>
  <si>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</si>
  <si>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</si>
  <si>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</si>
  <si>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</si>
  <si>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</si>
  <si>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</si>
  <si>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</si>
  <si>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</si>
  <si>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</si>
  <si>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</si>
  <si>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</si>
  <si>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</si>
  <si>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</si>
  <si>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</si>
  <si>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</si>
  <si>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</si>
  <si>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</si>
  <si>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</si>
  <si>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</si>
  <si>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</si>
  <si>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</si>
  <si>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</si>
  <si>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</si>
  <si>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</si>
  <si>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</si>
  <si>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</si>
  <si>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</si>
  <si>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</si>
  <si>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</si>
  <si>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</si>
  <si>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</si>
  <si>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</si>
  <si>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</si>
  <si>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</si>
  <si>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</si>
  <si>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</si>
  <si>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</si>
  <si>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</si>
  <si>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</si>
  <si>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</si>
  <si>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</si>
  <si>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</si>
  <si>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</si>
  <si>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</si>
  <si>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</si>
  <si>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</si>
  <si>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</si>
  <si>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</si>
  <si>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</si>
  <si>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</si>
  <si>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</si>
  <si>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</si>
  <si>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</si>
  <si>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</si>
  <si>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</si>
  <si>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</si>
  <si>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</si>
  <si>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</si>
  <si>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</si>
  <si>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</si>
  <si>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</si>
  <si>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</si>
  <si>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</si>
  <si>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</si>
  <si>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</si>
  <si>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</si>
  <si>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</si>
  <si>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</si>
  <si>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</si>
  <si>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</si>
  <si>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</si>
  <si>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</si>
  <si>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</si>
  <si>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</si>
  <si>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</si>
  <si>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</si>
  <si>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</si>
  <si>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</si>
  <si>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</si>
  <si>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</si>
  <si>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</si>
  <si>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</si>
  <si>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</si>
  <si>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</si>
  <si>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</si>
  <si>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</si>
  <si>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</si>
  <si>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</si>
  <si>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</si>
  <si>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</si>
  <si>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</si>
  <si>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</si>
  <si>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</si>
  <si>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</si>
  <si>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</si>
  <si>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</si>
  <si>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</si>
  <si>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</si>
  <si>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</si>
  <si>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</si>
  <si>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</si>
  <si>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</si>
  <si>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</si>
  <si>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</si>
  <si>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</si>
  <si>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</si>
  <si>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</si>
  <si>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</si>
  <si>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</si>
  <si>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</si>
  <si>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</si>
  <si>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</si>
  <si>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</si>
  <si>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</si>
  <si>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</si>
  <si>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</si>
  <si>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</si>
  <si>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</si>
  <si>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</si>
  <si>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</si>
  <si>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</si>
  <si>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</si>
  <si>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</si>
  <si>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</si>
  <si>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</si>
  <si>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</si>
  <si>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</si>
  <si>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</si>
  <si>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</si>
  <si>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</si>
  <si>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</si>
  <si>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</si>
  <si>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</si>
  <si>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</si>
  <si>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</si>
  <si>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</si>
  <si>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</si>
  <si>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</si>
  <si>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</si>
  <si>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</si>
  <si>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</si>
  <si>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</si>
  <si>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</si>
  <si>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</si>
  <si>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</si>
  <si>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</si>
  <si>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</si>
  <si>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</si>
  <si>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</si>
  <si>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</si>
  <si>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</si>
  <si>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</si>
  <si>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</si>
  <si>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</si>
  <si>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</si>
  <si>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</si>
  <si>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</si>
  <si>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</si>
  <si>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</si>
  <si>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</si>
  <si>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</si>
  <si>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</si>
  <si>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</si>
  <si>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</si>
  <si>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</si>
  <si>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</si>
  <si>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</si>
  <si>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</si>
  <si>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</si>
  <si>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</si>
  <si>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</si>
  <si>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</si>
  <si>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</si>
  <si>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</si>
  <si>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</si>
  <si>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</si>
  <si>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</si>
  <si>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</si>
  <si>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</si>
  <si>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</si>
  <si>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</si>
  <si>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</si>
  <si>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</si>
  <si>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</si>
  <si>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</si>
  <si>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</si>
  <si>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</si>
  <si>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</si>
  <si>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</si>
  <si>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</si>
  <si>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</si>
  <si>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</si>
  <si>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</si>
  <si>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</si>
  <si>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</si>
  <si>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</si>
  <si>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</si>
  <si>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</si>
  <si>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</si>
  <si>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</si>
  <si>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</si>
  <si>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</si>
  <si>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</si>
  <si>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</si>
  <si>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</si>
  <si>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</si>
  <si>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</si>
  <si>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</si>
  <si>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</si>
  <si>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</si>
  <si>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</si>
  <si>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</si>
  <si>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</si>
  <si>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</si>
  <si>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</si>
  <si>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</si>
  <si>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</si>
  <si>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</si>
  <si>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</si>
  <si>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</si>
  <si>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</si>
  <si>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</si>
  <si>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</si>
  <si>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</si>
  <si>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</si>
  <si>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</si>
  <si>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</si>
  <si>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</si>
  <si>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</si>
  <si>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</si>
  <si>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</si>
  <si>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</si>
  <si>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</si>
  <si>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</si>
  <si>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</si>
  <si>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</si>
  <si>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</si>
  <si>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</si>
  <si>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</si>
  <si>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</si>
  <si>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</si>
  <si>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</si>
  <si>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</si>
  <si>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</si>
  <si>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</si>
  <si>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</si>
  <si>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</si>
  <si>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</si>
  <si>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</si>
  <si>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</si>
  <si>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</si>
  <si>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</si>
  <si>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</si>
  <si>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</si>
  <si>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</si>
  <si>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</si>
  <si>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</si>
  <si>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</si>
  <si>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</si>
  <si>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</si>
  <si>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</si>
  <si>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</si>
  <si>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</si>
  <si>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</si>
  <si>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</si>
  <si>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</si>
  <si>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</si>
  <si>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</si>
  <si>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</si>
  <si>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</si>
  <si>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</si>
  <si>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</si>
  <si>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</si>
  <si>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</si>
  <si>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</si>
  <si>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</si>
  <si>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</si>
  <si>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</si>
  <si>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</si>
  <si>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</si>
  <si>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</si>
  <si>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</si>
  <si>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</si>
  <si>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</si>
  <si>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</si>
  <si>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</si>
  <si>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</si>
  <si>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</si>
  <si>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</si>
  <si>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</si>
  <si>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</si>
  <si>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</si>
  <si>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</si>
  <si>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</si>
  <si>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</si>
  <si>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</si>
  <si>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</si>
  <si>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</si>
  <si>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</si>
  <si>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</si>
  <si>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</si>
  <si>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</si>
  <si>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</si>
  <si>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</si>
  <si>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</si>
  <si>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</si>
  <si>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</si>
  <si>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</si>
  <si>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</si>
  <si>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</si>
  <si>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</si>
  <si>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</si>
  <si>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</si>
  <si>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</si>
  <si>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</si>
  <si>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</si>
  <si>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</si>
  <si>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</si>
  <si>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</si>
  <si>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City Mart </t>
  </si>
  <si>
    <t>Address: Jorry pull</t>
  </si>
  <si>
    <t>Farhan Store</t>
  </si>
  <si>
    <t>Dawood Store</t>
  </si>
  <si>
    <t>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</si>
</sst>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5" sqref="Q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City Mart </v>
      </c>
      <c r="T3" s="301">
        <f>+'1'!P35</f>
        <v>11673.686338093223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Farhan Store</v>
      </c>
      <c r="T4" s="301">
        <f>+'2'!P35</f>
        <v>208.64723918644069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Dawood Store</v>
      </c>
      <c r="T5" s="301">
        <f>+'3'!P35</f>
        <v>208.64723918644069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Sohail Store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</v>
      </c>
      <c r="I13" s="236">
        <f t="shared" si="0"/>
        <v>627.68000000000006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31.384000000000007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21.968800000000005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32.011679999999998</v>
      </c>
      <c r="M13" s="230">
        <f t="shared" si="1"/>
        <v>542.31552000000011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122.03389830508468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3.3217470915254239</v>
      </c>
      <c r="P13" s="311">
        <f t="shared" si="2"/>
        <v>667.67116539661015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4.4000000000000004</v>
      </c>
      <c r="H16" s="113">
        <f t="shared" ref="H16:M16" si="3">SUM(H7:H15)</f>
        <v>176</v>
      </c>
      <c r="I16" s="114">
        <f t="shared" si="3"/>
        <v>11442.980000000001</v>
      </c>
      <c r="J16" s="274">
        <f>SUM(J7:J15)</f>
        <v>896.60799999999995</v>
      </c>
      <c r="K16" s="275">
        <f t="shared" si="3"/>
        <v>400.50430000000006</v>
      </c>
      <c r="L16" s="276">
        <f t="shared" si="3"/>
        <v>32.011679999999998</v>
      </c>
      <c r="M16" s="232">
        <f t="shared" si="3"/>
        <v>10113.856020000001</v>
      </c>
      <c r="N16" s="233">
        <f>SUM(N7:N15)</f>
        <v>2166.101694915254</v>
      </c>
      <c r="O16" s="101">
        <f>SUM(O7:O15)</f>
        <v>61.399788574576277</v>
      </c>
      <c r="P16" s="113">
        <f>SUM(P7:P15)</f>
        <v>12341.357503489831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11442.980000000001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896.60799999999995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432.51598000000007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10113.856020000001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2166.101694915254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12279.957714915256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61.399788574576277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12341.357503489831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12341.357503489833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865.22399999999993</v>
      </c>
      <c r="K25" s="275">
        <f t="shared" si="10"/>
        <v>378.53550000000007</v>
      </c>
      <c r="L25" s="276">
        <f t="shared" si="10"/>
        <v>0</v>
      </c>
      <c r="M25" s="232">
        <f t="shared" si="10"/>
        <v>9571.540500000001</v>
      </c>
      <c r="N25" s="233">
        <f>SUM(N16:N24)</f>
        <v>2044.0677966101694</v>
      </c>
      <c r="O25" s="101">
        <f>SUM(O16:O24)</f>
        <v>58.078041483050853</v>
      </c>
      <c r="P25" s="113">
        <f>SUM(P16:P24)</f>
        <v>11673.686338093221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865.22399999999993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378.53550000000007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9571.540500000001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11615.608296610171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44" t="s">
        <v>88</v>
      </c>
      <c r="O35" s="345"/>
      <c r="P35" s="297">
        <f>+P33+P34</f>
        <v>11673.686338093223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196.15000000000003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9.8075000000000028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16.868900000000004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169.47360000000003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207.60919322033899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4" t="s">
        <v>88</v>
      </c>
      <c r="O35" s="345"/>
      <c r="P35" s="297">
        <f>+P33+P34</f>
        <v>208.64723918644069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235.38000000000002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11.769000000000002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20.242680000000004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203.36832000000001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249.13103186440676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4" t="s">
        <v>88</v>
      </c>
      <c r="O35" s="345"/>
      <c r="P35" s="297">
        <f>+P33+P34</f>
        <v>250.37668702372881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2026-08-29T04:36:27Z</dcterms:modified>
</cp:coreProperties>
</file>