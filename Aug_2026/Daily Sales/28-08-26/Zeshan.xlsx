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0587A4-3F69-4411-ADB0-E65736D9A27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0" l="1"/>
  <c r="J7" i="62"/>
  <c r="M21" i="53"/>
  <c r="O21" i="53" s="1"/>
  <c r="P21" i="53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<sst xmlns="http://schemas.openxmlformats.org/spreadsheetml/2006/main" count="3948" uniqueCount="534">
  <si>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</si>
  <si>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</si>
  <si>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</si>
  <si>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</si>
  <si>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</si>
  <si>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</si>
  <si>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</si>
  <si>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</si>
  <si>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</si>
  <si>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</si>
  <si>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</si>
  <si>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</si>
  <si>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</si>
  <si>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</si>
  <si>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</si>
  <si>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</si>
  <si>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</si>
  <si>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</si>
  <si>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</si>
  <si>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</si>
  <si>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</si>
  <si>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</si>
  <si>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</si>
  <si>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</si>
  <si>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</si>
  <si>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</si>
  <si>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</si>
  <si>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</si>
  <si>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</si>
  <si>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</si>
  <si>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</si>
  <si>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</si>
  <si>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</si>
  <si>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</si>
  <si>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</si>
  <si>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</si>
  <si>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</si>
  <si>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</si>
  <si>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</si>
  <si>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</si>
  <si>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</si>
  <si>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</si>
  <si>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</si>
  <si>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</si>
  <si>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</si>
  <si>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</si>
  <si>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</si>
  <si>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</si>
  <si>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</si>
  <si>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</si>
  <si>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</si>
  <si>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</si>
  <si>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</si>
  <si>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</si>
  <si>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</si>
  <si>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</si>
  <si>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</si>
  <si>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</si>
  <si>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</si>
  <si>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</si>
  <si>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</si>
  <si>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</si>
  <si>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</si>
  <si>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</si>
  <si>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</si>
  <si>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</si>
  <si>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</si>
  <si>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</si>
  <si>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</si>
  <si>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</si>
  <si>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</si>
  <si>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</si>
  <si>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</si>
  <si>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</si>
  <si>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</si>
  <si>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</si>
  <si>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</si>
  <si>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</si>
  <si>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</si>
  <si>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</si>
  <si>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</si>
  <si>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</si>
  <si>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</si>
  <si>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</si>
  <si>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</si>
  <si>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</si>
  <si>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</si>
  <si>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</si>
  <si>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</si>
  <si>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</si>
  <si>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</si>
  <si>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</si>
  <si>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</si>
  <si>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</si>
  <si>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</si>
  <si>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</si>
  <si>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</si>
  <si>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</si>
  <si>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</si>
  <si>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</si>
  <si>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</si>
  <si>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</si>
  <si>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</si>
  <si>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</si>
  <si>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</si>
  <si>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</si>
  <si>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</si>
  <si>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</si>
  <si>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</si>
  <si>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</si>
  <si>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</si>
  <si>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</si>
  <si>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</si>
  <si>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</si>
  <si>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</si>
  <si>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</si>
  <si>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</si>
  <si>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</si>
  <si>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</si>
  <si>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</si>
  <si>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</si>
  <si>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</si>
  <si>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</si>
  <si>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</si>
  <si>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</si>
  <si>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</si>
  <si>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</si>
  <si>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</si>
  <si>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</si>
  <si>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</si>
  <si>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</si>
  <si>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</si>
  <si>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</si>
  <si>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</si>
  <si>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</si>
  <si>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</si>
  <si>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</si>
  <si>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</si>
  <si>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</si>
  <si>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</si>
  <si>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</si>
  <si>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</si>
  <si>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</si>
  <si>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</si>
  <si>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</si>
  <si>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</si>
  <si>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</si>
  <si>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</si>
  <si>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</si>
  <si>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</si>
  <si>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</si>
  <si>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</si>
  <si>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</si>
  <si>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</si>
  <si>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</si>
  <si>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</si>
  <si>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</si>
  <si>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</si>
  <si>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</si>
  <si>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</si>
  <si>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</si>
  <si>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</si>
  <si>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</si>
  <si>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</si>
  <si>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</si>
  <si>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</si>
  <si>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</si>
  <si>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</si>
  <si>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</si>
  <si>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</si>
  <si>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</si>
  <si>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</si>
  <si>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</si>
  <si>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</si>
  <si>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</si>
  <si>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</si>
  <si>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</si>
  <si>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</si>
  <si>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</si>
  <si>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</si>
  <si>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</si>
  <si>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</si>
  <si>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</si>
  <si>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</si>
  <si>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</si>
  <si>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</si>
  <si>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</si>
  <si>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</si>
  <si>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</si>
  <si>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</si>
  <si>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</si>
  <si>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</si>
  <si>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</si>
  <si>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</si>
  <si>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</si>
  <si>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</si>
  <si>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</si>
  <si>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</si>
  <si>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</si>
  <si>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</si>
  <si>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</si>
  <si>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</si>
  <si>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</si>
  <si>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</si>
  <si>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</si>
  <si>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</si>
  <si>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</si>
  <si>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</si>
  <si>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</si>
  <si>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</si>
  <si>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</si>
  <si>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</si>
  <si>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</si>
  <si>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</si>
  <si>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</si>
  <si>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</si>
  <si>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</si>
  <si>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</si>
  <si>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</si>
  <si>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</si>
  <si>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</si>
  <si>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</si>
  <si>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</si>
  <si>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</si>
  <si>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</si>
  <si>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</si>
  <si>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</si>
  <si>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</si>
  <si>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</si>
  <si>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</si>
  <si>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</si>
  <si>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</si>
  <si>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</si>
  <si>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</si>
  <si>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</si>
  <si>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</si>
  <si>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</si>
  <si>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</si>
  <si>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</si>
  <si>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</si>
  <si>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</si>
  <si>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</si>
  <si>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</si>
  <si>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</si>
  <si>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</si>
  <si>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</si>
  <si>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</si>
  <si>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</si>
  <si>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</si>
  <si>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</si>
  <si>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</si>
  <si>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</si>
  <si>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</si>
  <si>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</si>
  <si>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</si>
  <si>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</si>
  <si>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</si>
  <si>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</si>
  <si>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</si>
  <si>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</si>
  <si>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</si>
  <si>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</si>
  <si>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</si>
  <si>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</si>
  <si>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</si>
  <si>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</si>
  <si>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</si>
  <si>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</si>
  <si>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</si>
  <si>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</si>
  <si>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</si>
  <si>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</si>
  <si>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</si>
  <si>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</si>
  <si>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</si>
  <si>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</si>
  <si>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</si>
  <si>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</si>
  <si>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</si>
  <si>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</si>
  <si>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</si>
  <si>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</si>
  <si>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</si>
  <si>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</si>
  <si>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</si>
  <si>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</si>
  <si>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</si>
  <si>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</si>
  <si>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</si>
  <si>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</si>
  <si>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</si>
  <si>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</si>
  <si>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</si>
  <si>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</si>
  <si>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</si>
  <si>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</si>
  <si>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</si>
  <si>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</si>
  <si>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</si>
  <si>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</si>
  <si>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</si>
  <si>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</si>
  <si>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</si>
  <si>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</si>
  <si>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</si>
  <si>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</si>
  <si>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</si>
  <si>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</si>
  <si>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</si>
  <si>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</si>
  <si>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</si>
  <si>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</si>
  <si>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</si>
  <si>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</si>
  <si>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</si>
  <si>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</si>
  <si>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</si>
  <si>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</si>
  <si>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</si>
  <si>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</si>
  <si>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</si>
  <si>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</si>
  <si>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</si>
  <si>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</si>
  <si>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</si>
  <si>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</si>
  <si>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</si>
  <si>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</si>
  <si>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</si>
  <si>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</si>
  <si>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</si>
  <si>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</si>
  <si>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</si>
  <si>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</si>
  <si>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</si>
  <si>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</si>
  <si>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</si>
  <si>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</si>
  <si>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</si>
  <si>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</si>
  <si>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</si>
  <si>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</si>
  <si>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</si>
  <si>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</si>
  <si>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</si>
  <si>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</si>
  <si>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</si>
  <si>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</si>
  <si>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</si>
  <si>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</si>
  <si>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</si>
  <si>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</si>
  <si>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</si>
  <si>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</si>
  <si>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</si>
  <si>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</si>
  <si>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</si>
  <si>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</si>
  <si>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</si>
  <si>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</si>
  <si>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</si>
  <si>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</si>
  <si>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</si>
  <si>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</si>
  <si>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</si>
  <si>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</si>
  <si>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</si>
  <si>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</si>
  <si>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</si>
  <si>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</si>
  <si>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</si>
  <si>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</si>
  <si>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</si>
  <si>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</si>
  <si>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</si>
  <si>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</si>
  <si>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</si>
  <si>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</si>
  <si>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</si>
  <si>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</si>
  <si>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</si>
  <si>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</si>
  <si>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</si>
  <si>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</si>
  <si>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</si>
  <si>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</si>
  <si>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</si>
  <si>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</si>
  <si>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</si>
  <si>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</si>
  <si>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</si>
  <si>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</si>
  <si>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</si>
  <si>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</si>
  <si>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</si>
  <si>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</si>
  <si>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</si>
  <si>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</si>
  <si>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</si>
  <si>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</si>
  <si>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</si>
  <si>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</si>
  <si>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</si>
  <si>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</si>
  <si>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</si>
  <si>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</si>
  <si>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</si>
  <si>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</si>
  <si>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</si>
  <si>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</si>
  <si>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</si>
  <si>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</si>
  <si>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</si>
  <si>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</si>
  <si>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</si>
  <si>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</si>
  <si>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</si>
  <si>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</si>
  <si>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</si>
  <si>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</si>
  <si>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</si>
  <si>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</si>
  <si>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</si>
  <si>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</si>
  <si>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</si>
  <si>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</si>
  <si>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</si>
  <si>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</si>
  <si>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</si>
  <si>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</si>
  <si>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</si>
  <si>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</si>
  <si>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</si>
  <si>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</si>
  <si>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</si>
  <si>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</si>
  <si>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</si>
  <si>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</si>
  <si>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</si>
  <si>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</si>
  <si>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</si>
  <si>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</si>
  <si>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</si>
  <si>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</si>
  <si>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</si>
  <si>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</si>
  <si>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</si>
  <si>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</si>
  <si>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</si>
  <si>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</si>
  <si>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</si>
  <si>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</si>
  <si>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</si>
  <si>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</si>
  <si>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</si>
  <si>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</si>
  <si>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</si>
  <si>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</si>
  <si>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</si>
  <si>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</si>
  <si>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</si>
  <si>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</si>
  <si>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</si>
  <si>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</si>
  <si>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</si>
  <si>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</si>
  <si>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</si>
  <si>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</si>
  <si>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</si>
  <si>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</si>
  <si>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</si>
  <si>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</si>
  <si>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</si>
  <si>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</si>
  <si>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</si>
  <si>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</si>
  <si>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</si>
  <si>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</si>
  <si>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</si>
  <si>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</si>
  <si>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</si>
  <si>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</si>
  <si>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</si>
  <si>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</si>
  <si>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</si>
  <si>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</si>
  <si>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</si>
  <si>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</si>
  <si>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</si>
  <si>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</si>
  <si>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</si>
  <si>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</si>
  <si>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</si>
  <si>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</si>
  <si>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</si>
  <si>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</si>
  <si>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</si>
  <si>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</si>
  <si>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</si>
  <si>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</si>
  <si>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</si>
  <si>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</si>
  <si>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</si>
  <si>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</si>
  <si>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</si>
  <si>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</si>
  <si>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</si>
  <si>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</si>
  <si>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</si>
  <si>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</si>
  <si>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</si>
  <si>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</si>
  <si>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</si>
  <si>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</si>
  <si>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 xml:space="preserve">Address:  Nishat </t>
  </si>
  <si>
    <t>Imran Store</t>
  </si>
  <si>
    <t>Faizan Store</t>
  </si>
  <si>
    <t>Khan Store</t>
  </si>
  <si>
    <t>Ghosia Store</t>
  </si>
  <si>
    <t>Bilal Store</t>
  </si>
  <si>
    <t>Nishat Store</t>
  </si>
  <si>
    <t>Qadri Store</t>
  </si>
  <si>
    <t>Delshia Store</t>
  </si>
  <si>
    <t>Butt Store</t>
  </si>
  <si>
    <t>Rana Store</t>
  </si>
  <si>
    <t>Chorahi Store</t>
  </si>
  <si>
    <t>786 Store</t>
  </si>
  <si>
    <t>Sharif Store</t>
  </si>
  <si>
    <t>Chaudry Store</t>
  </si>
  <si>
    <t>MS Store</t>
  </si>
  <si>
    <t>Hafiz Store</t>
  </si>
  <si>
    <t>Ghani Store</t>
  </si>
  <si>
    <t>Qadir Store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</si>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</sst>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Imran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Faizan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Khan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Ghosia Store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Bilal Store</v>
      </c>
      <c r="T7" s="301">
        <f>+'5'!P35</f>
        <v>25887.710591923729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Nishat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Qadri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193</v>
      </c>
      <c r="I10" s="236">
        <f t="shared" si="0"/>
        <v>14019.52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1121.5616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490.6832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12407.2752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2649.6610169491532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75.28468108474577</v>
      </c>
      <c r="P10" s="311">
        <f t="shared" si="2"/>
        <v>15132.2208980339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Delshia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453.27360000000004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30.425933288135592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Butt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253</v>
      </c>
      <c r="I12" s="236">
        <f t="shared" si="0"/>
        <v>18377.920000000002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1470.2336000000003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643.22720000000004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16264.459200000001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3473.3898305084749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98.68924515254237</v>
      </c>
      <c r="P12" s="311">
        <f t="shared" si="2"/>
        <v>19836.53827566102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Rana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Chorahi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786 Store</v>
      </c>
      <c r="T14" s="301">
        <f>+'12'!P35</f>
        <v>9408.6347552542375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Sharif Store</v>
      </c>
      <c r="T15" s="301">
        <f>+'13'!P35</f>
        <v>283.13144785487287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17.850000000000001</v>
      </c>
      <c r="H16" s="113">
        <f t="shared" ref="H16:M16" si="3">SUM(H7:H15)</f>
        <v>714</v>
      </c>
      <c r="I16" s="114">
        <f t="shared" si="3"/>
        <v>46972.635000000002</v>
      </c>
      <c r="J16" s="274">
        <f>SUM(J7:J15)</f>
        <v>3663.6588000000002</v>
      </c>
      <c r="K16" s="275">
        <f t="shared" si="3"/>
        <v>1644.0422250000001</v>
      </c>
      <c r="L16" s="276">
        <f t="shared" si="3"/>
        <v>160.05840000000001</v>
      </c>
      <c r="M16" s="232">
        <f t="shared" si="3"/>
        <v>41504.875575000013</v>
      </c>
      <c r="N16" s="233">
        <f>SUM(N7:N15)</f>
        <v>8894.7457627118638</v>
      </c>
      <c r="O16" s="101">
        <f>SUM(O7:O15)</f>
        <v>251.99810668855935</v>
      </c>
      <c r="P16" s="113">
        <f>SUM(P7:P15)</f>
        <v>50651.619444400429</v>
      </c>
      <c r="Q16" s="128">
        <f>SUM(Q7:Q15)</f>
        <v>0</v>
      </c>
      <c r="R16" s="314">
        <v>14</v>
      </c>
      <c r="S16" s="318" t="str">
        <f>+'14'!A6:A6</f>
        <v>Chaudry Store</v>
      </c>
      <c r="T16" s="301">
        <f>+'14'!P35</f>
        <v>283.13144785487287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 Store</v>
      </c>
      <c r="T17" s="301">
        <f>+'15'!P35</f>
        <v>283.13144785487287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Khan Store</v>
      </c>
      <c r="T18" s="301">
        <f>+'16'!P35</f>
        <v>283.13144785487287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46972.635000000002</v>
      </c>
      <c r="R19" s="299">
        <v>17</v>
      </c>
      <c r="S19" s="300" t="str">
        <f>+'17'!A6:A6</f>
        <v>Hafiz Store</v>
      </c>
      <c r="T19" s="301">
        <f>+'17'!P35</f>
        <v>784.05289627118646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3663.6588000000002</v>
      </c>
      <c r="R20" s="299">
        <v>18</v>
      </c>
      <c r="S20" s="300" t="str">
        <f>+'18'!A6:A6</f>
        <v>Ghani Store</v>
      </c>
      <c r="T20" s="301">
        <f>+'18'!P35</f>
        <v>784.05289627118646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1804.100625</v>
      </c>
      <c r="R21" s="299">
        <v>19</v>
      </c>
      <c r="S21" s="300" t="str">
        <f>+'19'!A6:A6</f>
        <v>Qadir Store</v>
      </c>
      <c r="T21" s="301">
        <f>+'19'!P35</f>
        <v>1350.3157919809323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41504.875575000005</v>
      </c>
      <c r="R22" s="299">
        <v>20</v>
      </c>
      <c r="S22" s="300" t="str">
        <f>+'20'!A6:A6</f>
        <v>Usman Store</v>
      </c>
      <c r="T22" s="301">
        <f>+'20'!P35</f>
        <v>7070.4410814152552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8894.7457627118638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50399.621337711869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251.99810668855935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50651.619444400429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50651.619444400414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653.76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52.30080000000001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22.881600000000002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578.57759999999996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702.13692203389826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4" t="s">
        <v>88</v>
      </c>
      <c r="O35" s="345"/>
      <c r="P35" s="297">
        <f>+P33+P34</f>
        <v>705.64760664406776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90</v>
      </c>
      <c r="I19" s="236">
        <f t="shared" si="0"/>
        <v>6537.6</v>
      </c>
      <c r="J19" s="272">
        <f t="shared" si="1"/>
        <v>523.00800000000004</v>
      </c>
      <c r="K19" s="128">
        <f t="shared" si="1"/>
        <v>228.81600000000003</v>
      </c>
      <c r="L19" s="119">
        <f t="shared" si="1"/>
        <v>0</v>
      </c>
      <c r="M19" s="230">
        <f t="shared" si="2"/>
        <v>5785.7759999999998</v>
      </c>
      <c r="N19" s="277">
        <f t="shared" si="3"/>
        <v>1235.5932203389832</v>
      </c>
      <c r="O19" s="239">
        <f t="shared" si="4"/>
        <v>35.106846101694913</v>
      </c>
      <c r="P19" s="311">
        <f t="shared" si="5"/>
        <v>7056.4760664406776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180</v>
      </c>
      <c r="I21" s="236">
        <f t="shared" si="0"/>
        <v>13075.2</v>
      </c>
      <c r="J21" s="272">
        <f t="shared" si="1"/>
        <v>1046.0160000000001</v>
      </c>
      <c r="K21" s="128">
        <f t="shared" si="1"/>
        <v>457.63200000000006</v>
      </c>
      <c r="L21" s="119">
        <f t="shared" si="1"/>
        <v>0</v>
      </c>
      <c r="M21" s="230">
        <f t="shared" si="2"/>
        <v>11571.552</v>
      </c>
      <c r="N21" s="277">
        <f t="shared" si="3"/>
        <v>2471.1864406779664</v>
      </c>
      <c r="O21" s="239">
        <f t="shared" si="4"/>
        <v>70.213692203389826</v>
      </c>
      <c r="P21" s="311">
        <f t="shared" si="5"/>
        <v>14112.952132881355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360</v>
      </c>
      <c r="I25" s="114">
        <f t="shared" si="7"/>
        <v>24006.9</v>
      </c>
      <c r="J25" s="274">
        <f>SUM(J16:J24)</f>
        <v>1873.4760000000001</v>
      </c>
      <c r="K25" s="275">
        <f t="shared" si="7"/>
        <v>840.24150000000009</v>
      </c>
      <c r="L25" s="276">
        <f t="shared" si="7"/>
        <v>80.029200000000003</v>
      </c>
      <c r="M25" s="232">
        <f t="shared" si="7"/>
        <v>21213.153299999998</v>
      </c>
      <c r="N25" s="233">
        <f>SUM(N16:N24)</f>
        <v>4545.7627118644068</v>
      </c>
      <c r="O25" s="101">
        <f>SUM(O16:O24)</f>
        <v>128.79458005932202</v>
      </c>
      <c r="P25" s="113">
        <f>SUM(P16:P24)</f>
        <v>25887.710591923729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24006.9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1873.4760000000001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920.27070000000003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21213.153300000002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4545.7627118644068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25758.916011864407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128.79458005932204</v>
      </c>
    </row>
    <row r="35" spans="2:16" ht="15.75" customHeight="1" thickBot="1" x14ac:dyDescent="0.4">
      <c r="N35" s="344" t="s">
        <v>88</v>
      </c>
      <c r="O35" s="345"/>
      <c r="P35" s="297">
        <f>+P33+P34</f>
        <v>25887.710591923729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262.3125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20.984999999999999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9.1809375000000006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232.14656249999999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281.72283368644065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4" t="s">
        <v>88</v>
      </c>
      <c r="O35" s="345"/>
      <c r="P35" s="297">
        <f>+P33+P34</f>
        <v>283.13144785487287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113">
        <f>SUM(P16:P24)</f>
        <v>1350.3157919809323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1251.0250000000001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100.08199999999999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43.785875000000004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1107.1571250000002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1343.5978029661019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4" t="s">
        <v>88</v>
      </c>
      <c r="O35" s="345"/>
      <c r="P35" s="297">
        <f>+P33+P34</f>
        <v>1350.3157919809323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6573.3000000000011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478.78800000000007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310.09470000000005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5784.417300000001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7035.2647576271193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4" t="s">
        <v>88</v>
      </c>
      <c r="O35" s="345"/>
      <c r="P35" s="297">
        <f>+P33+P34</f>
        <v>7070.4410814152552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46262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46261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2026-08-27T12:00:11Z</dcterms:modified>
</cp:coreProperties>
</file>