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06D2A1E-1A8B-456E-892C-968ED8483CB1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60" l="1"/>
  <c r="J7" i="62"/>
  <c r="M21" i="53"/>
  <c r="O21" i="53" s="1"/>
  <c r="P21" i="53" s="1"/>
  <c r="K12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O25" i="5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<sst xmlns="http://schemas.openxmlformats.org/spreadsheetml/2006/main" count="3948" uniqueCount="534">
  <si>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</si>
  <si>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</si>
  <si>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</si>
  <si>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</si>
  <si>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</si>
  <si>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</si>
  <si>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</si>
  <si>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</si>
  <si>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</si>
  <si>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</si>
  <si>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</si>
  <si>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</si>
  <si>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</si>
  <si>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</si>
  <si>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</si>
  <si>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</si>
  <si>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</si>
  <si>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</si>
  <si>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</si>
  <si>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</si>
  <si>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</si>
  <si>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</si>
  <si>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</si>
  <si>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</si>
  <si>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</si>
  <si>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</si>
  <si>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</si>
  <si>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</si>
  <si>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</si>
  <si>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</si>
  <si>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</si>
  <si>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</si>
  <si>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</si>
  <si>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</si>
  <si>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</si>
  <si>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</si>
  <si>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</si>
  <si>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</si>
  <si>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</si>
  <si>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</si>
  <si>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</si>
  <si>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</si>
  <si>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</si>
  <si>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</si>
  <si>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</si>
  <si>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</si>
  <si>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</si>
  <si>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</si>
  <si>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</si>
  <si>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</si>
  <si>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</si>
  <si>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</si>
  <si>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</si>
  <si>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</si>
  <si>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</si>
  <si>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</si>
  <si>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</si>
  <si>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</si>
  <si>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</si>
  <si>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</si>
  <si>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</si>
  <si>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</si>
  <si>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</si>
  <si>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</si>
  <si>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</si>
  <si>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</si>
  <si>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</si>
  <si>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</si>
  <si>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</si>
  <si>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</si>
  <si>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</si>
  <si>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</si>
  <si>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</si>
  <si>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</si>
  <si>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</si>
  <si>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</si>
  <si>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</si>
  <si>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</si>
  <si>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</si>
  <si>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</si>
  <si>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</si>
  <si>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</si>
  <si>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</si>
  <si>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</si>
  <si>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</si>
  <si>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</si>
  <si>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</si>
  <si>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</si>
  <si>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</si>
  <si>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</si>
  <si>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</si>
  <si>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</si>
  <si>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</si>
  <si>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</si>
  <si>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</si>
  <si>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</si>
  <si>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</si>
  <si>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</si>
  <si>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</si>
  <si>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</si>
  <si>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</si>
  <si>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</si>
  <si>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</si>
  <si>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</si>
  <si>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</si>
  <si>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</si>
  <si>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</si>
  <si>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</si>
  <si>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</si>
  <si>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</si>
  <si>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</si>
  <si>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</si>
  <si>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</si>
  <si>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</si>
  <si>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</si>
  <si>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</si>
  <si>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</si>
  <si>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</si>
  <si>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</si>
  <si>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</si>
  <si>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</si>
  <si>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</si>
  <si>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</si>
  <si>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</si>
  <si>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</si>
  <si>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</si>
  <si>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</si>
  <si>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</si>
  <si>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</si>
  <si>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</si>
  <si>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</si>
  <si>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</si>
  <si>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</si>
  <si>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</si>
  <si>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</si>
  <si>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</si>
  <si>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</si>
  <si>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</si>
  <si>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</si>
  <si>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</si>
  <si>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</si>
  <si>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</si>
  <si>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</si>
  <si>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</si>
  <si>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</si>
  <si>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</si>
  <si>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</si>
  <si>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</si>
  <si>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</si>
  <si>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</si>
  <si>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</si>
  <si>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</si>
  <si>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</si>
  <si>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</si>
  <si>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</si>
  <si>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</si>
  <si>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</si>
  <si>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</si>
  <si>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</si>
  <si>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</si>
  <si>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</si>
  <si>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</si>
  <si>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</si>
  <si>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</si>
  <si>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</si>
  <si>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</si>
  <si>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</si>
  <si>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</si>
  <si>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</si>
  <si>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</si>
  <si>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</si>
  <si>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</si>
  <si>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</si>
  <si>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</si>
  <si>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</si>
  <si>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</si>
  <si>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</si>
  <si>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</si>
  <si>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</si>
  <si>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</si>
  <si>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</si>
  <si>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</si>
  <si>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</si>
  <si>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</si>
  <si>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</si>
  <si>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</si>
  <si>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</si>
  <si>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</si>
  <si>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</si>
  <si>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</si>
  <si>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</si>
  <si>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</si>
  <si>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</si>
  <si>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</si>
  <si>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</si>
  <si>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</si>
  <si>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</si>
  <si>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</si>
  <si>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</si>
  <si>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</si>
  <si>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</si>
  <si>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</si>
  <si>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</si>
  <si>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</si>
  <si>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</si>
  <si>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</si>
  <si>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</si>
  <si>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</si>
  <si>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</si>
  <si>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</si>
  <si>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</si>
  <si>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</si>
  <si>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</si>
  <si>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</si>
  <si>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</si>
  <si>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</si>
  <si>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</si>
  <si>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</si>
  <si>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</si>
  <si>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</si>
  <si>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</si>
  <si>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</si>
  <si>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</si>
  <si>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</si>
  <si>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</si>
  <si>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</si>
  <si>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</si>
  <si>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</si>
  <si>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</si>
  <si>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</si>
  <si>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</si>
  <si>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</si>
  <si>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</si>
  <si>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</si>
  <si>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</si>
  <si>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</si>
  <si>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</si>
  <si>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</si>
  <si>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</si>
  <si>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</si>
  <si>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</si>
  <si>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</si>
  <si>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</si>
  <si>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</si>
  <si>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</si>
  <si>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</si>
  <si>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</si>
  <si>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</si>
  <si>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</si>
  <si>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</si>
  <si>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</si>
  <si>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</si>
  <si>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</si>
  <si>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</si>
  <si>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</si>
  <si>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</si>
  <si>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</si>
  <si>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</si>
  <si>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</si>
  <si>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</si>
  <si>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</si>
  <si>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</si>
  <si>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</si>
  <si>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</si>
  <si>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</si>
  <si>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</si>
  <si>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</si>
  <si>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</si>
  <si>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</si>
  <si>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</si>
  <si>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</si>
  <si>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</si>
  <si>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</si>
  <si>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</si>
  <si>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</si>
  <si>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</si>
  <si>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</si>
  <si>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</si>
  <si>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</si>
  <si>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</si>
  <si>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</si>
  <si>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</si>
  <si>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</si>
  <si>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</si>
  <si>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</si>
  <si>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</si>
  <si>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</si>
  <si>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</si>
  <si>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</si>
  <si>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</si>
  <si>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</si>
  <si>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</si>
  <si>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</si>
  <si>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</si>
  <si>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</si>
  <si>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</si>
  <si>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</si>
  <si>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</si>
  <si>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</si>
  <si>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</si>
  <si>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</si>
  <si>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</si>
  <si>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</si>
  <si>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</si>
  <si>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</si>
  <si>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</si>
  <si>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</si>
  <si>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</si>
  <si>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</si>
  <si>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</si>
  <si>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</si>
  <si>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</si>
  <si>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</si>
  <si>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</si>
  <si>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</si>
  <si>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</si>
  <si>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</si>
  <si>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</si>
  <si>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</si>
  <si>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</si>
  <si>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</si>
  <si>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</si>
  <si>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</si>
  <si>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</si>
  <si>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</si>
  <si>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</si>
  <si>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</si>
  <si>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</si>
  <si>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</si>
  <si>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</si>
  <si>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</si>
  <si>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</si>
  <si>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</si>
  <si>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</si>
  <si>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</si>
  <si>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</si>
  <si>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</si>
  <si>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</si>
  <si>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</si>
  <si>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</si>
  <si>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</si>
  <si>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</si>
  <si>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</si>
  <si>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</si>
  <si>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</si>
  <si>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</si>
  <si>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</si>
  <si>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</si>
  <si>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</si>
  <si>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</si>
  <si>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</si>
  <si>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</si>
  <si>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</si>
  <si>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</si>
  <si>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</si>
  <si>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</si>
  <si>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</si>
  <si>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</si>
  <si>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</si>
  <si>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</si>
  <si>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</si>
  <si>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</si>
  <si>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</si>
  <si>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</si>
  <si>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</si>
  <si>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</si>
  <si>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</si>
  <si>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</si>
  <si>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</si>
  <si>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</si>
  <si>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</si>
  <si>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</si>
  <si>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</si>
  <si>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</si>
  <si>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</si>
  <si>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</si>
  <si>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</si>
  <si>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</si>
  <si>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</si>
  <si>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</si>
  <si>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</si>
  <si>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</si>
  <si>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</si>
  <si>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</si>
  <si>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</si>
  <si>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</si>
  <si>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</si>
  <si>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</si>
  <si>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</si>
  <si>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</si>
  <si>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</si>
  <si>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</si>
  <si>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</si>
  <si>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</si>
  <si>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</si>
  <si>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</si>
  <si>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</si>
  <si>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</si>
  <si>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</si>
  <si>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</si>
  <si>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</si>
  <si>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</si>
  <si>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</si>
  <si>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</si>
  <si>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</si>
  <si>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</si>
  <si>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</si>
  <si>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</si>
  <si>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</si>
  <si>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</si>
  <si>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</si>
  <si>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</si>
  <si>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</si>
  <si>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</si>
  <si>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</si>
  <si>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</si>
  <si>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</si>
  <si>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</si>
  <si>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</si>
  <si>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</si>
  <si>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</si>
  <si>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</si>
  <si>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</si>
  <si>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</si>
  <si>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</si>
  <si>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</si>
  <si>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</si>
  <si>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</si>
  <si>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</si>
  <si>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</si>
  <si>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</si>
  <si>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</si>
  <si>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</si>
  <si>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</si>
  <si>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</si>
  <si>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</si>
  <si>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</si>
  <si>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</si>
  <si>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</si>
  <si>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</si>
  <si>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</si>
  <si>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</si>
  <si>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</si>
  <si>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</si>
  <si>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</si>
  <si>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</si>
  <si>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</si>
  <si>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</si>
  <si>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</si>
  <si>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</si>
  <si>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</si>
  <si>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</si>
  <si>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</si>
  <si>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</si>
  <si>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</si>
  <si>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</si>
  <si>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</si>
  <si>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</si>
  <si>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</si>
  <si>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</si>
  <si>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</si>
  <si>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</si>
  <si>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</si>
  <si>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</si>
  <si>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</si>
  <si>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</si>
  <si>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</si>
  <si>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</si>
  <si>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</si>
  <si>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</si>
  <si>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</si>
  <si>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</si>
  <si>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</si>
  <si>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</si>
  <si>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</si>
  <si>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</si>
  <si>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</si>
  <si>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</si>
  <si>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</si>
  <si>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</si>
  <si>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</si>
  <si>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</si>
  <si>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</si>
  <si>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</si>
  <si>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</si>
  <si>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</si>
  <si>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</si>
  <si>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</si>
  <si>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</si>
  <si>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</si>
  <si>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</si>
  <si>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</si>
  <si>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</si>
  <si>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</si>
  <si>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</si>
  <si>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</si>
  <si>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</si>
  <si>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</si>
  <si>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</si>
  <si>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</si>
  <si>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</si>
  <si>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</si>
  <si>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</si>
  <si>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</si>
  <si>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</si>
  <si>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</si>
  <si>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</si>
  <si>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</si>
  <si>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</si>
  <si>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</si>
  <si>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</si>
  <si>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</si>
  <si>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</si>
  <si>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Zeshan </t>
  </si>
  <si>
    <t xml:space="preserve">Address:  Nishat </t>
  </si>
  <si>
    <t>Imran Store</t>
  </si>
  <si>
    <t>Faizan Store</t>
  </si>
  <si>
    <t>Khan Store</t>
  </si>
  <si>
    <t>Ghosia Store</t>
  </si>
  <si>
    <t>Bilal Store</t>
  </si>
  <si>
    <t>Nishat Store</t>
  </si>
  <si>
    <t>Qadri Store</t>
  </si>
  <si>
    <t>Delshia Store</t>
  </si>
  <si>
    <t>Butt Store</t>
  </si>
  <si>
    <t>Rana Store</t>
  </si>
  <si>
    <t>Chorahi Store</t>
  </si>
  <si>
    <t>786 Store</t>
  </si>
  <si>
    <t>Sharif Store</t>
  </si>
  <si>
    <t>Chaudry Store</t>
  </si>
  <si>
    <t>MS Store</t>
  </si>
  <si>
    <t>Hafiz Store</t>
  </si>
  <si>
    <t>Ghani Store</t>
  </si>
  <si>
    <t>Qadir Store</t>
  </si>
  <si>
    <t>Usman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</si>
</sst>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7" workbookViewId="0">
      <selection activeCell="G31" sqref="G3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513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46262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Imran Store</v>
      </c>
      <c r="T3" s="301">
        <f>+'1'!P35</f>
        <v>392.02644813559323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Faizan Store</v>
      </c>
      <c r="T4" s="301">
        <f>+'2'!P35</f>
        <v>392.02644813559323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Khan Store</v>
      </c>
      <c r="T5" s="301">
        <f>+'3'!P35</f>
        <v>392.02644813559323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Ghosia Store</v>
      </c>
      <c r="T6" s="301">
        <f>+'4'!P35</f>
        <v>705.64760664406776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60</v>
      </c>
      <c r="I7" s="235">
        <f>(G7*D7)*F7+H7*F7</f>
        <v>3147.75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251.82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110.17125000000001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2785.75875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594.91525423728785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16.90337002118644</v>
      </c>
      <c r="P7" s="310">
        <f>M7+N7+O7</f>
        <v>3397.5773742584738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Bilal Store</v>
      </c>
      <c r="T7" s="301">
        <f>+'5'!P35</f>
        <v>25887.710591923729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50</v>
      </c>
      <c r="I8" s="236">
        <f t="shared" ref="I8:I14" si="0">(G8*D8)*F8+H8*F8</f>
        <v>2623.125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209.85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91.809375000000003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2321.4656249999998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495.76271186440658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14.086141684322033</v>
      </c>
      <c r="P8" s="311">
        <f t="shared" ref="P8:P15" si="2">M8+N8+O8</f>
        <v>2831.3144785487289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Nishat Store</v>
      </c>
      <c r="T8" s="301">
        <f>+'6'!P35</f>
        <v>392.02644813559323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Qadri Store</v>
      </c>
      <c r="T9" s="301">
        <f>+'7'!P35</f>
        <v>392.02644813559323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153</v>
      </c>
      <c r="I10" s="236">
        <f t="shared" si="0"/>
        <v>11113.92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889.11360000000002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388.98719999999997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9835.8191999999999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2100.508474576272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59.681638372881359</v>
      </c>
      <c r="P10" s="311">
        <f t="shared" si="2"/>
        <v>11996.009312949154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40</v>
      </c>
      <c r="R10" s="314">
        <v>8</v>
      </c>
      <c r="S10" s="300" t="str">
        <f>+'8'!A6:A6</f>
        <v>Delshia Store</v>
      </c>
      <c r="T10" s="301">
        <f>+'8'!P35</f>
        <v>392.02644813559323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38</v>
      </c>
      <c r="I11" s="236">
        <f t="shared" si="0"/>
        <v>2760.32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220.82560000000001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96.611200000000011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2442.8832000000002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521.69491525423734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14.822890576271188</v>
      </c>
      <c r="P11" s="311">
        <f t="shared" si="2"/>
        <v>2979.4010058305089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40</v>
      </c>
      <c r="R11" s="314">
        <v>9</v>
      </c>
      <c r="S11" s="300" t="str">
        <f>+'9'!A6:A6</f>
        <v>Butt Store</v>
      </c>
      <c r="T11" s="301">
        <f>+'9'!P35</f>
        <v>392.02644813559323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213</v>
      </c>
      <c r="I12" s="236">
        <f t="shared" si="0"/>
        <v>15472.32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1237.7856000000002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541.53120000000001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13693.003199999999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2924.2372881355936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83.086202440677965</v>
      </c>
      <c r="P12" s="311">
        <f t="shared" si="2"/>
        <v>16700.326690576272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40</v>
      </c>
      <c r="R12" s="314">
        <v>10</v>
      </c>
      <c r="S12" s="300" t="str">
        <f>+'10'!A6:A6</f>
        <v>Rana Store</v>
      </c>
      <c r="T12" s="301">
        <f>+'10'!P35</f>
        <v>392.02644813559323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80</v>
      </c>
      <c r="I13" s="236">
        <f t="shared" si="0"/>
        <v>3138.4000000000005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156.92000000000004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109.84400000000002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160.05840000000001</v>
      </c>
      <c r="M13" s="230">
        <f t="shared" si="1"/>
        <v>2711.5776000000005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610.16949152542338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16.60873545762712</v>
      </c>
      <c r="P13" s="311">
        <f t="shared" si="2"/>
        <v>3338.355826983051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Chorahi Store</v>
      </c>
      <c r="T13" s="301">
        <f>+'11'!P35</f>
        <v>392.02644813559323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786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Sharif Store</v>
      </c>
      <c r="T15" s="301">
        <f>+'13'!P35</f>
        <v>283.13144785487287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14.85</v>
      </c>
      <c r="H16" s="113">
        <f t="shared" ref="H16:M16" si="3">SUM(H7:H15)</f>
        <v>594</v>
      </c>
      <c r="I16" s="114">
        <f t="shared" si="3"/>
        <v>38255.834999999999</v>
      </c>
      <c r="J16" s="274">
        <f>SUM(J7:J15)</f>
        <v>2966.3148000000001</v>
      </c>
      <c r="K16" s="275">
        <f t="shared" si="3"/>
        <v>1338.954225</v>
      </c>
      <c r="L16" s="276">
        <f t="shared" si="3"/>
        <v>160.05840000000001</v>
      </c>
      <c r="M16" s="232">
        <f t="shared" si="3"/>
        <v>33790.507574999996</v>
      </c>
      <c r="N16" s="233">
        <f>SUM(N7:N15)</f>
        <v>7247.2881355932204</v>
      </c>
      <c r="O16" s="101">
        <f>SUM(O7:O15)</f>
        <v>205.18897855296609</v>
      </c>
      <c r="P16" s="113">
        <f>SUM(P7:P15)</f>
        <v>41242.984689146193</v>
      </c>
      <c r="Q16" s="128">
        <f>SUM(Q7:Q15)</f>
        <v>120</v>
      </c>
      <c r="R16" s="314">
        <v>14</v>
      </c>
      <c r="S16" s="318" t="str">
        <f>+'14'!A6:A6</f>
        <v>Chaudry Store</v>
      </c>
      <c r="T16" s="301">
        <f>+'14'!P35</f>
        <v>283.13144785487287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MS Store</v>
      </c>
      <c r="T17" s="301">
        <f>+'15'!P35</f>
        <v>283.13144785487287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Khan Store</v>
      </c>
      <c r="T18" s="301">
        <f>+'16'!P35</f>
        <v>283.13144785487287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38255.834999999999</v>
      </c>
      <c r="R19" s="299">
        <v>17</v>
      </c>
      <c r="S19" s="300" t="str">
        <f>+'17'!A6:A6</f>
        <v>Hafiz Store</v>
      </c>
      <c r="T19" s="301">
        <f>+'17'!P35</f>
        <v>784.05289627118646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2966.3148000000001</v>
      </c>
      <c r="R20" s="299">
        <v>18</v>
      </c>
      <c r="S20" s="300" t="str">
        <f>+'18'!A6:A6</f>
        <v>Ghani Store</v>
      </c>
      <c r="T20" s="301">
        <f>+'18'!P35</f>
        <v>784.05289627118646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1499.0126249999998</v>
      </c>
      <c r="R21" s="299">
        <v>19</v>
      </c>
      <c r="S21" s="300" t="str">
        <f>+'19'!A6:A6</f>
        <v>Qadir Store</v>
      </c>
      <c r="T21" s="301">
        <f>+'19'!P35</f>
        <v>1350.3157919809323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33790.507574999996</v>
      </c>
      <c r="R22" s="299">
        <v>20</v>
      </c>
      <c r="S22" s="300" t="str">
        <f>+'20'!A6:A6</f>
        <v>Usman Store</v>
      </c>
      <c r="T22" s="301">
        <f>+'20'!P35</f>
        <v>7070.4410814152552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7247.2881355932204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41037.795710593215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205.18897855296609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41242.984689146178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41242.984689146186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7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5</v>
      </c>
      <c r="I25" s="114">
        <f t="shared" ref="I25:M25" si="10">SUM(I16:I24)</f>
        <v>363.2</v>
      </c>
      <c r="J25" s="274">
        <f>SUM(J16:J24)</f>
        <v>29.056000000000001</v>
      </c>
      <c r="K25" s="275">
        <f t="shared" si="10"/>
        <v>12.712000000000002</v>
      </c>
      <c r="L25" s="276">
        <f t="shared" si="10"/>
        <v>0</v>
      </c>
      <c r="M25" s="232">
        <f t="shared" si="10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363.2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29.056000000000001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12.712000000000002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321.43200000000002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390.07606779661018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3" t="s">
        <v>88</v>
      </c>
      <c r="O35" s="374"/>
      <c r="P35" s="297">
        <f>+P33+P34</f>
        <v>392.02644813559323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311">
        <f t="shared" si="5"/>
        <v>392.02644813559323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363.2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29.056000000000001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12.712000000000002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321.43200000000002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390.07606779661018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3" t="s">
        <v>88</v>
      </c>
      <c r="O35" s="374"/>
      <c r="P35" s="297">
        <f>+P33+P34</f>
        <v>392.02644813559323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311">
        <f t="shared" si="5"/>
        <v>392.02644813559323</v>
      </c>
      <c r="Q20" s="156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363.2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29.056000000000001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12.712000000000002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321.43200000000002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390.07606779661018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3" t="s">
        <v>88</v>
      </c>
      <c r="O35" s="374"/>
      <c r="P35" s="297">
        <f>+P33+P34</f>
        <v>392.02644813559323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311">
        <f t="shared" si="5"/>
        <v>235.21586888135593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9</v>
      </c>
      <c r="I25" s="114">
        <f t="shared" si="7"/>
        <v>653.76</v>
      </c>
      <c r="J25" s="274">
        <f>SUM(J16:J24)</f>
        <v>52.30080000000001</v>
      </c>
      <c r="K25" s="275">
        <f t="shared" si="7"/>
        <v>22.881600000000002</v>
      </c>
      <c r="L25" s="276">
        <f t="shared" si="7"/>
        <v>0</v>
      </c>
      <c r="M25" s="232">
        <f t="shared" si="7"/>
        <v>578.57760000000007</v>
      </c>
      <c r="N25" s="233">
        <f>SUM(N16:N24)</f>
        <v>123.55932203389831</v>
      </c>
      <c r="O25" s="101">
        <f>SUM(O16:O24)</f>
        <v>3.5106846101694917</v>
      </c>
      <c r="P25" s="113">
        <f>SUM(P16:P24)</f>
        <v>705.64760664406776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653.76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52.30080000000001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22.881600000000002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578.57759999999996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123.55932203389831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702.13692203389826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3.5106846101694913</v>
      </c>
    </row>
    <row r="35" spans="2:16" ht="15.75" customHeight="1" thickBot="1" x14ac:dyDescent="0.4">
      <c r="N35" s="373" t="s">
        <v>88</v>
      </c>
      <c r="O35" s="374"/>
      <c r="P35" s="297">
        <f>+P33+P34</f>
        <v>705.64760664406776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90</v>
      </c>
      <c r="I19" s="236">
        <f t="shared" si="0"/>
        <v>6537.6</v>
      </c>
      <c r="J19" s="272">
        <f t="shared" si="1"/>
        <v>523.00800000000004</v>
      </c>
      <c r="K19" s="128">
        <f t="shared" si="1"/>
        <v>228.81600000000003</v>
      </c>
      <c r="L19" s="119">
        <f t="shared" si="1"/>
        <v>0</v>
      </c>
      <c r="M19" s="230">
        <f t="shared" si="2"/>
        <v>5785.7759999999998</v>
      </c>
      <c r="N19" s="277">
        <f t="shared" si="3"/>
        <v>1235.5932203389832</v>
      </c>
      <c r="O19" s="239">
        <f t="shared" si="4"/>
        <v>35.106846101694913</v>
      </c>
      <c r="P19" s="311">
        <f t="shared" si="5"/>
        <v>7056.4760664406776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180</v>
      </c>
      <c r="I21" s="236">
        <f t="shared" si="0"/>
        <v>13075.2</v>
      </c>
      <c r="J21" s="272">
        <f t="shared" si="1"/>
        <v>1046.0160000000001</v>
      </c>
      <c r="K21" s="128">
        <f t="shared" si="1"/>
        <v>457.63200000000006</v>
      </c>
      <c r="L21" s="119">
        <f t="shared" si="1"/>
        <v>0</v>
      </c>
      <c r="M21" s="230">
        <f t="shared" si="2"/>
        <v>11571.552</v>
      </c>
      <c r="N21" s="277">
        <f t="shared" si="3"/>
        <v>2471.1864406779664</v>
      </c>
      <c r="O21" s="239">
        <f t="shared" si="4"/>
        <v>70.213692203389826</v>
      </c>
      <c r="P21" s="311">
        <f t="shared" si="5"/>
        <v>14112.952132881355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360</v>
      </c>
      <c r="I25" s="114">
        <f t="shared" si="7"/>
        <v>24006.9</v>
      </c>
      <c r="J25" s="274">
        <f>SUM(J16:J24)</f>
        <v>1873.4760000000001</v>
      </c>
      <c r="K25" s="275">
        <f t="shared" si="7"/>
        <v>840.24150000000009</v>
      </c>
      <c r="L25" s="276">
        <f t="shared" si="7"/>
        <v>80.029200000000003</v>
      </c>
      <c r="M25" s="232">
        <f t="shared" si="7"/>
        <v>21213.153299999998</v>
      </c>
      <c r="N25" s="233">
        <f>SUM(N16:N24)</f>
        <v>4545.7627118644068</v>
      </c>
      <c r="O25" s="101">
        <f>SUM(O16:O24)</f>
        <v>128.79458005932202</v>
      </c>
      <c r="P25" s="113">
        <f>SUM(P16:P24)</f>
        <v>25887.710591923729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24006.9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1873.4760000000001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920.27070000000003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21213.153300000002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4545.7627118644068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25758.916011864407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128.79458005932204</v>
      </c>
    </row>
    <row r="35" spans="2:16" ht="15.75" customHeight="1" thickBot="1" x14ac:dyDescent="0.4">
      <c r="N35" s="373" t="s">
        <v>88</v>
      </c>
      <c r="O35" s="374"/>
      <c r="P35" s="297">
        <f>+P33+P34</f>
        <v>25887.710591923729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363.2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29.056000000000001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12.712000000000002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321.43200000000002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390.07606779661018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3" t="s">
        <v>88</v>
      </c>
      <c r="O35" s="374"/>
      <c r="P35" s="297">
        <f>+P33+P34</f>
        <v>392.02644813559323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363.2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29.056000000000001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12.712000000000002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321.43200000000002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390.07606779661018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3" t="s">
        <v>88</v>
      </c>
      <c r="O35" s="374"/>
      <c r="P35" s="297">
        <f>+P33+P34</f>
        <v>392.02644813559323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311">
        <f t="shared" si="5"/>
        <v>392.02644813559323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363.2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29.056000000000001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12.712000000000002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321.43200000000002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390.07606779661018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3" t="s">
        <v>88</v>
      </c>
      <c r="O35" s="374"/>
      <c r="P35" s="297">
        <f>+P33+P34</f>
        <v>392.02644813559323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311">
        <f t="shared" si="5"/>
        <v>392.02644813559323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363.2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29.056000000000001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12.712000000000002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321.43200000000002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390.07606779661018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3" t="s">
        <v>88</v>
      </c>
      <c r="O35" s="374"/>
      <c r="P35" s="297">
        <f>+P33+P34</f>
        <v>392.02644813559323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311">
        <f t="shared" si="5"/>
        <v>392.02644813559323</v>
      </c>
      <c r="Q20" s="156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363.2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29.056000000000001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12.712000000000002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321.43200000000002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390.07606779661018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3" t="s">
        <v>88</v>
      </c>
      <c r="O35" s="374"/>
      <c r="P35" s="297">
        <f>+P33+P34</f>
        <v>392.02644813559323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311">
        <f t="shared" si="5"/>
        <v>392.02644813559323</v>
      </c>
      <c r="Q20" s="156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363.2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29.056000000000001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12.712000000000002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321.43200000000002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390.07606779661018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3" t="s">
        <v>88</v>
      </c>
      <c r="O35" s="374"/>
      <c r="P35" s="297">
        <f>+P33+P34</f>
        <v>392.02644813559323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9" workbookViewId="0">
      <selection activeCell="H21" sqref="H18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40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40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40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310">
        <f>M16+N16+O16</f>
        <v>283.13144785487287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113">
        <f>SUM(P16:P24)</f>
        <v>283.13144785487287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262.3125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20.984999999999999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9.1809375000000006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232.14656249999999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281.72283368644065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73" t="s">
        <v>88</v>
      </c>
      <c r="O35" s="374"/>
      <c r="P35" s="297">
        <f>+P33+P34</f>
        <v>283.13144785487287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310">
        <f>M16+N16+O16</f>
        <v>283.13144785487287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113">
        <f>SUM(P16:P24)</f>
        <v>283.13144785487287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262.3125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20.984999999999999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9.1809375000000006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232.14656249999999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281.72283368644065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73" t="s">
        <v>88</v>
      </c>
      <c r="O35" s="374"/>
      <c r="P35" s="297">
        <f>+P33+P34</f>
        <v>283.13144785487287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311">
        <f t="shared" ref="P17:P24" si="5">M17+N17+O17</f>
        <v>283.13144785487287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113">
        <f>SUM(P16:P24)</f>
        <v>283.13144785487287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262.3125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20.984999999999999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9.1809375000000006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232.14656249999999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281.72283368644065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73" t="s">
        <v>88</v>
      </c>
      <c r="O35" s="374"/>
      <c r="P35" s="297">
        <f>+P33+P34</f>
        <v>283.13144785487287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311">
        <f t="shared" ref="P17:P24" si="5">M17+N17+O17</f>
        <v>283.13144785487287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113">
        <f>SUM(P16:P24)</f>
        <v>283.13144785487287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262.3125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20.984999999999999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9.1809375000000006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232.14656249999999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281.72283368644065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73" t="s">
        <v>88</v>
      </c>
      <c r="O35" s="374"/>
      <c r="P35" s="297">
        <f>+P33+P34</f>
        <v>283.13144785487287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726.4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58.112000000000002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25.424000000000003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642.86400000000003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780.15213559322035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3" t="s">
        <v>88</v>
      </c>
      <c r="O35" s="374"/>
      <c r="P35" s="297">
        <f>+P33+P34</f>
        <v>784.05289627118646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726.4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58.112000000000002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25.424000000000003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642.86400000000003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780.15213559322035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3" t="s">
        <v>88</v>
      </c>
      <c r="O35" s="374"/>
      <c r="P35" s="297">
        <f>+P33+P34</f>
        <v>784.05289627118646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532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20</v>
      </c>
      <c r="I25" s="114">
        <f t="shared" si="7"/>
        <v>1251.0250000000001</v>
      </c>
      <c r="J25" s="274">
        <f>SUM(J16:J24)</f>
        <v>100.08199999999999</v>
      </c>
      <c r="K25" s="275">
        <f t="shared" si="7"/>
        <v>43.785875000000004</v>
      </c>
      <c r="L25" s="276">
        <f t="shared" si="7"/>
        <v>0</v>
      </c>
      <c r="M25" s="232">
        <f t="shared" si="7"/>
        <v>1107.1571250000002</v>
      </c>
      <c r="N25" s="233">
        <f>SUM(N16:N24)</f>
        <v>236.44067796610165</v>
      </c>
      <c r="O25" s="101">
        <f>SUM(O16:O24)</f>
        <v>6.7179890148305086</v>
      </c>
      <c r="P25" s="113">
        <f>SUM(P16:P24)</f>
        <v>1350.3157919809323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1251.0250000000001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100.08199999999999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43.785875000000004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1107.1571250000002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236.44067796610165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1343.5978029661019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6.7179890148305095</v>
      </c>
    </row>
    <row r="35" spans="2:16" ht="15.75" customHeight="1" thickBot="1" x14ac:dyDescent="0.4">
      <c r="N35" s="373" t="s">
        <v>88</v>
      </c>
      <c r="O35" s="374"/>
      <c r="P35" s="297">
        <f>+P33+P34</f>
        <v>1350.3157919809323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8.75" customHeight="1" x14ac:dyDescent="0.4">
      <c r="A6" s="399" t="s">
        <v>533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120</v>
      </c>
      <c r="I25" s="114">
        <f t="shared" si="7"/>
        <v>6573.3000000000011</v>
      </c>
      <c r="J25" s="274">
        <f>SUM(J16:J24)</f>
        <v>478.78800000000007</v>
      </c>
      <c r="K25" s="275">
        <f t="shared" si="7"/>
        <v>230.06550000000004</v>
      </c>
      <c r="L25" s="276">
        <f t="shared" si="7"/>
        <v>80.029200000000003</v>
      </c>
      <c r="M25" s="232">
        <f t="shared" si="7"/>
        <v>5784.4173000000001</v>
      </c>
      <c r="N25" s="233">
        <f>SUM(N16:N24)</f>
        <v>1250.8474576271183</v>
      </c>
      <c r="O25" s="101">
        <f>SUM(O16:O24)</f>
        <v>35.176323788135591</v>
      </c>
      <c r="P25" s="113">
        <f>SUM(P16:P24)</f>
        <v>7070.4410814152543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6573.3000000000011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478.78800000000007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310.09470000000005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5784.417300000001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1250.8474576271183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7035.2647576271193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35.176323788135598</v>
      </c>
    </row>
    <row r="35" spans="2:16" ht="15.75" customHeight="1" thickBot="1" x14ac:dyDescent="0.4">
      <c r="N35" s="373" t="s">
        <v>88</v>
      </c>
      <c r="O35" s="374"/>
      <c r="P35" s="297">
        <f>+P33+P34</f>
        <v>7070.4410814152552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46264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46263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2026-08-29T04:31:30Z</dcterms:modified>
</cp:coreProperties>
</file>