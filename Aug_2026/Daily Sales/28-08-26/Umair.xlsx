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A1165B-04B1-45E0-B5CF-4B423CEF5E7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<sst xmlns="http://schemas.openxmlformats.org/spreadsheetml/2006/main" count="3948" uniqueCount="523">
  <si>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</si>
  <si>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</si>
  <si>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</si>
  <si>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</si>
  <si>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</si>
  <si>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</si>
  <si>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</si>
  <si>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</si>
  <si>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</si>
  <si>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</si>
  <si>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</si>
  <si>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</si>
  <si>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</si>
  <si>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</si>
  <si>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</si>
  <si>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</si>
  <si>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</si>
  <si>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</si>
  <si>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</si>
  <si>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</si>
  <si>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</si>
  <si>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</si>
  <si>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</si>
  <si>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</si>
  <si>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</si>
  <si>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</si>
  <si>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</si>
  <si>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</si>
  <si>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</si>
  <si>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</si>
  <si>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</si>
  <si>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</si>
  <si>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</si>
  <si>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</si>
  <si>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</si>
  <si>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</si>
  <si>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</si>
  <si>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</si>
  <si>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</si>
  <si>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</si>
  <si>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</si>
  <si>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</si>
  <si>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</si>
  <si>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</si>
  <si>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</si>
  <si>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</si>
  <si>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</si>
  <si>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</si>
  <si>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</si>
  <si>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</si>
  <si>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</si>
  <si>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</si>
  <si>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</si>
  <si>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</si>
  <si>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</si>
  <si>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</si>
  <si>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</si>
  <si>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</si>
  <si>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</si>
  <si>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</si>
  <si>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</si>
  <si>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</si>
  <si>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</si>
  <si>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</si>
  <si>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</si>
  <si>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</si>
  <si>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</si>
  <si>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</si>
  <si>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</si>
  <si>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</si>
  <si>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</si>
  <si>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</si>
  <si>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</si>
  <si>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</si>
  <si>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</si>
  <si>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</si>
  <si>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</si>
  <si>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</si>
  <si>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</si>
  <si>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</si>
  <si>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</si>
  <si>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</si>
  <si>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</si>
  <si>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</si>
  <si>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</si>
  <si>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</si>
  <si>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</si>
  <si>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</si>
  <si>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</si>
  <si>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</si>
  <si>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</si>
  <si>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</si>
  <si>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</si>
  <si>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</si>
  <si>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</si>
  <si>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</si>
  <si>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</si>
  <si>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</si>
  <si>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</si>
  <si>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</si>
  <si>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</si>
  <si>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</si>
  <si>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</si>
  <si>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</si>
  <si>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</si>
  <si>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</si>
  <si>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</si>
  <si>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</si>
  <si>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</si>
  <si>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</si>
  <si>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</si>
  <si>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</si>
  <si>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</si>
  <si>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</si>
  <si>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</si>
  <si>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</si>
  <si>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</si>
  <si>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</si>
  <si>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</si>
  <si>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</si>
  <si>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</si>
  <si>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</si>
  <si>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</si>
  <si>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</si>
  <si>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</si>
  <si>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</si>
  <si>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</si>
  <si>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</si>
  <si>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</si>
  <si>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</si>
  <si>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</si>
  <si>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</si>
  <si>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</si>
  <si>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</si>
  <si>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</si>
  <si>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</si>
  <si>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</si>
  <si>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</si>
  <si>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</si>
  <si>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</si>
  <si>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</si>
  <si>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</si>
  <si>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</si>
  <si>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</si>
  <si>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</si>
  <si>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</si>
  <si>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</si>
  <si>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</si>
  <si>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</si>
  <si>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</si>
  <si>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</si>
  <si>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</si>
  <si>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</si>
  <si>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</si>
  <si>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</si>
  <si>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</si>
  <si>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</si>
  <si>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</si>
  <si>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</si>
  <si>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</si>
  <si>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</si>
  <si>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</si>
  <si>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</si>
  <si>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</si>
  <si>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</si>
  <si>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</si>
  <si>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</si>
  <si>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</si>
  <si>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</si>
  <si>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</si>
  <si>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</si>
  <si>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</si>
  <si>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</si>
  <si>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</si>
  <si>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</si>
  <si>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</si>
  <si>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</si>
  <si>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</si>
  <si>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</si>
  <si>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</si>
  <si>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</si>
  <si>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</si>
  <si>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</si>
  <si>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</si>
  <si>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</si>
  <si>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</si>
  <si>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</si>
  <si>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</si>
  <si>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</si>
  <si>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</si>
  <si>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</si>
  <si>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</si>
  <si>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</si>
  <si>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</si>
  <si>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</si>
  <si>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</si>
  <si>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</si>
  <si>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</si>
  <si>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</si>
  <si>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</si>
  <si>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</si>
  <si>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</si>
  <si>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</si>
  <si>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</si>
  <si>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</si>
  <si>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</si>
  <si>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</si>
  <si>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</si>
  <si>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</si>
  <si>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</si>
  <si>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</si>
  <si>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</si>
  <si>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</si>
  <si>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</si>
  <si>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</si>
  <si>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</si>
  <si>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</si>
  <si>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</si>
  <si>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</si>
  <si>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</si>
  <si>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</si>
  <si>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</si>
  <si>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</si>
  <si>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</si>
  <si>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</si>
  <si>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</si>
  <si>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</si>
  <si>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</si>
  <si>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</si>
  <si>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</si>
  <si>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</si>
  <si>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</si>
  <si>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</si>
  <si>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</si>
  <si>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</si>
  <si>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</si>
  <si>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</si>
  <si>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</si>
  <si>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</si>
  <si>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</si>
  <si>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</si>
  <si>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</si>
  <si>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</si>
  <si>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</si>
  <si>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</si>
  <si>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</si>
  <si>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</si>
  <si>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</si>
  <si>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</si>
  <si>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</si>
  <si>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</si>
  <si>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</si>
  <si>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</si>
  <si>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</si>
  <si>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</si>
  <si>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</si>
  <si>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</si>
  <si>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</si>
  <si>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</si>
  <si>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</si>
  <si>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</si>
  <si>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</si>
  <si>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</si>
  <si>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</si>
  <si>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</si>
  <si>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</si>
  <si>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</si>
  <si>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</si>
  <si>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</si>
  <si>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</si>
  <si>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</si>
  <si>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</si>
  <si>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</si>
  <si>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</si>
  <si>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</si>
  <si>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</si>
  <si>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</si>
  <si>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</si>
  <si>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</si>
  <si>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</si>
  <si>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</si>
  <si>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</si>
  <si>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</si>
  <si>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</si>
  <si>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</si>
  <si>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</si>
  <si>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</si>
  <si>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</si>
  <si>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</si>
  <si>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</si>
  <si>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</si>
  <si>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</si>
  <si>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</si>
  <si>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</si>
  <si>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</si>
  <si>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</si>
  <si>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</si>
  <si>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</si>
  <si>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</si>
  <si>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</si>
  <si>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</si>
  <si>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</si>
  <si>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</si>
  <si>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</si>
  <si>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</si>
  <si>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</si>
  <si>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</si>
  <si>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</si>
  <si>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</si>
  <si>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</si>
  <si>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</si>
  <si>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</si>
  <si>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</si>
  <si>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</si>
  <si>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</si>
  <si>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</si>
  <si>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</si>
  <si>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</si>
  <si>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</si>
  <si>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</si>
  <si>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</si>
  <si>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</si>
  <si>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</si>
  <si>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</si>
  <si>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</si>
  <si>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</si>
  <si>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</si>
  <si>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</si>
  <si>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</si>
  <si>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</si>
  <si>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</si>
  <si>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</si>
  <si>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</si>
  <si>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</si>
  <si>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</si>
  <si>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</si>
  <si>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</si>
  <si>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</si>
  <si>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</si>
  <si>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</si>
  <si>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</si>
  <si>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</si>
  <si>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</si>
  <si>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</si>
  <si>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</si>
  <si>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</si>
  <si>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</si>
  <si>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</si>
  <si>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</si>
  <si>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</si>
  <si>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</si>
  <si>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</si>
  <si>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</si>
  <si>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</si>
  <si>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</si>
  <si>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</si>
  <si>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</si>
  <si>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</si>
  <si>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</si>
  <si>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</si>
  <si>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</si>
  <si>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</si>
  <si>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</si>
  <si>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</si>
  <si>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</si>
  <si>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</si>
  <si>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</si>
  <si>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</si>
  <si>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</si>
  <si>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</si>
  <si>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</si>
  <si>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</si>
  <si>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</si>
  <si>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</si>
  <si>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</si>
  <si>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</si>
  <si>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</si>
  <si>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</si>
  <si>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</si>
  <si>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</si>
  <si>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</si>
  <si>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</si>
  <si>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</si>
  <si>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</si>
  <si>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</si>
  <si>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</si>
  <si>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</si>
  <si>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</si>
  <si>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</si>
  <si>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</si>
  <si>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</si>
  <si>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</si>
  <si>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</si>
  <si>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</si>
  <si>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</si>
  <si>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</si>
  <si>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</si>
  <si>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</si>
  <si>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</si>
  <si>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</si>
  <si>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</si>
  <si>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</si>
  <si>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</si>
  <si>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</si>
  <si>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</si>
  <si>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</si>
  <si>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</si>
  <si>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</si>
  <si>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</si>
  <si>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</si>
  <si>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</si>
  <si>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</si>
  <si>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</si>
  <si>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</si>
  <si>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</si>
  <si>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</si>
  <si>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</si>
  <si>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</si>
  <si>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</si>
  <si>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</si>
  <si>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</si>
  <si>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</si>
  <si>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</si>
  <si>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</si>
  <si>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</si>
  <si>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</si>
  <si>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</si>
  <si>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</si>
  <si>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</si>
  <si>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</si>
  <si>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</si>
  <si>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</si>
  <si>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</si>
  <si>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</si>
  <si>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</si>
  <si>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</si>
  <si>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</si>
  <si>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</si>
  <si>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</si>
  <si>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</si>
  <si>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</si>
  <si>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</si>
  <si>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</si>
  <si>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</si>
  <si>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</si>
  <si>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</si>
  <si>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</si>
  <si>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</si>
  <si>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</si>
  <si>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</si>
  <si>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</si>
  <si>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</si>
  <si>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</si>
  <si>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</si>
  <si>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</si>
  <si>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</si>
  <si>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</si>
  <si>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</si>
  <si>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</si>
  <si>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</si>
  <si>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</si>
  <si>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</si>
  <si>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</si>
  <si>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</si>
  <si>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</si>
  <si>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</si>
  <si>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</si>
  <si>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</si>
  <si>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</si>
  <si>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</si>
  <si>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</si>
  <si>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</si>
  <si>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</si>
  <si>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</si>
  <si>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</si>
  <si>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</si>
  <si>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</si>
  <si>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</si>
  <si>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</si>
  <si>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</si>
  <si>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</si>
  <si>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</si>
  <si>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</si>
  <si>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</si>
  <si>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</si>
  <si>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</si>
  <si>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</si>
  <si>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</si>
  <si>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</si>
  <si>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</si>
  <si>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</si>
  <si>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</si>
  <si>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</si>
  <si>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</si>
  <si>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</si>
  <si>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</si>
  <si>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</si>
  <si>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</si>
  <si>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</si>
  <si>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</si>
  <si>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</si>
  <si>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</si>
  <si>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</si>
  <si>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</si>
  <si>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</si>
  <si>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</si>
  <si>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</si>
  <si>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</si>
  <si>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</si>
  <si>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</si>
  <si>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</si>
  <si>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</si>
  <si>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</si>
  <si>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</si>
  <si>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Tayayb Khan  GS</t>
  </si>
  <si>
    <t>Address: Youna Abad</t>
  </si>
  <si>
    <t>Khatak Pishawar Store</t>
  </si>
  <si>
    <t xml:space="preserve">Grace Land Mart </t>
  </si>
  <si>
    <t>Alaudein Khan GS</t>
  </si>
  <si>
    <t xml:space="preserve">K Kz Bakers </t>
  </si>
  <si>
    <t>B I B Store</t>
  </si>
  <si>
    <t>Malik Ijaz Kareyana Store</t>
  </si>
  <si>
    <t>Moazam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</si>
</sst>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2" workbookViewId="0">
      <selection activeCell="J17" sqref="J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Tayayb Khan  GS</v>
      </c>
      <c r="T3" s="301">
        <f>+'1'!P35</f>
        <v>4470.8816184025418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Khatak Pishawar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Grace Land Mart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Alaudein Khan GS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 Kz Bakers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 I B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Ijaz Kareyana Store</v>
      </c>
      <c r="T9" s="301">
        <f>+'7'!P35</f>
        <v>3338.355826983051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112</v>
      </c>
      <c r="I10" s="236">
        <f t="shared" si="0"/>
        <v>8135.68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650.85440000000006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284.74880000000002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7200.0768000000007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1537.6271186440677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43.688519593220335</v>
      </c>
      <c r="P10" s="311">
        <f t="shared" si="2"/>
        <v>8781.3924382372898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Moazam Store</v>
      </c>
      <c r="T10" s="301">
        <f>+'8'!P35</f>
        <v>12746.990582237289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39.007606779661018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252</v>
      </c>
      <c r="I13" s="236">
        <f t="shared" si="0"/>
        <v>9885.9600000000009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494.29800000000012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346.00860000000011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504.18396000000001</v>
      </c>
      <c r="M13" s="230">
        <f t="shared" si="1"/>
        <v>8541.4694400000008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1922.0338983050838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52.317516691525427</v>
      </c>
      <c r="P13" s="311">
        <f t="shared" si="2"/>
        <v>10515.820854996611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13.6</v>
      </c>
      <c r="H16" s="113">
        <f t="shared" ref="H16:M16" si="3">SUM(H7:H15)</f>
        <v>544</v>
      </c>
      <c r="I16" s="114">
        <f t="shared" si="3"/>
        <v>30693.29</v>
      </c>
      <c r="J16" s="274">
        <f>SUM(J7:J15)</f>
        <v>2158.8844000000004</v>
      </c>
      <c r="K16" s="275">
        <f t="shared" si="3"/>
        <v>1074.2651500000002</v>
      </c>
      <c r="L16" s="276">
        <f t="shared" si="3"/>
        <v>504.18396000000001</v>
      </c>
      <c r="M16" s="232">
        <f t="shared" si="3"/>
        <v>26955.956490000004</v>
      </c>
      <c r="N16" s="233">
        <f>SUM(N7:N15)</f>
        <v>5854.576271186439</v>
      </c>
      <c r="O16" s="101">
        <f>SUM(O7:O15)</f>
        <v>164.05266380593221</v>
      </c>
      <c r="P16" s="113">
        <f>SUM(P7:P15)</f>
        <v>32974.585424992372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30693.29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2158.8844000000004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1578.4491100000002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26955.95649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5854.576271186439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32810.532761186441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164.05266380593221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32974.585424992372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32974.585424992372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4187.6500000000005</v>
      </c>
      <c r="J25" s="274">
        <f>SUM(J16:J24)</f>
        <v>240.86000000000004</v>
      </c>
      <c r="K25" s="275">
        <f t="shared" si="10"/>
        <v>146.56775000000002</v>
      </c>
      <c r="L25" s="276">
        <f t="shared" si="10"/>
        <v>160.05840000000001</v>
      </c>
      <c r="M25" s="232">
        <f t="shared" si="10"/>
        <v>3640.1638500000008</v>
      </c>
      <c r="N25" s="233">
        <f>SUM(N16:N24)</f>
        <v>808.47457627118604</v>
      </c>
      <c r="O25" s="101">
        <f>SUM(O16:O24)</f>
        <v>22.243192131355933</v>
      </c>
      <c r="P25" s="113">
        <f>SUM(P16:P24)</f>
        <v>4470.8816184025427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4187.6500000000005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240.86000000000004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306.62615000000005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3640.1638500000004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808.47457627118604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4448.6384262711863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22.243192131355933</v>
      </c>
    </row>
    <row r="35" spans="2:16" ht="15.75" customHeight="1" thickBot="1" x14ac:dyDescent="0.4">
      <c r="N35" s="344" t="s">
        <v>88</v>
      </c>
      <c r="O35" s="345"/>
      <c r="P35" s="297">
        <f>+P33+P34</f>
        <v>4470.8816184025418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464.89600000000002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203.39200000000002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5142.9120000000003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6241.2170847457628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4" t="s">
        <v>88</v>
      </c>
      <c r="O35" s="345"/>
      <c r="P35" s="297">
        <f>+P33+P34</f>
        <v>6272.4231701694916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3138.4000000000005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156.92000000000004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269.90240000000006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2711.5776000000005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3321.7470915254239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4" t="s">
        <v>88</v>
      </c>
      <c r="O35" s="345"/>
      <c r="P35" s="297">
        <f>+P33+P34</f>
        <v>3338.355826983051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113">
        <f>SUM(P16:P24)</f>
        <v>12746.990582237289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11855.2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854.26400000000012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574.99040000000002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10425.945600000001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12683.572718644069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44" t="s">
        <v>88</v>
      </c>
      <c r="O35" s="345"/>
      <c r="P35" s="297">
        <f>+P33+P34</f>
        <v>12746.990582237289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2026-08-27T11:56:05Z</dcterms:modified>
</cp:coreProperties>
</file>