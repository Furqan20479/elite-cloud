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3BE2DF0-3B96-4D1F-8053-3C3A0F69FD2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<sst xmlns="http://schemas.openxmlformats.org/spreadsheetml/2006/main" count="3975" uniqueCount="524">
  <si>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</si>
  <si>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</si>
  <si>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</si>
  <si>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</si>
  <si>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</si>
  <si>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</si>
  <si>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</si>
  <si>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</si>
  <si>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</si>
  <si>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</si>
  <si>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</si>
  <si>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</si>
  <si>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</si>
  <si>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</si>
  <si>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</si>
  <si>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</si>
  <si>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</si>
  <si>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</si>
  <si>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</si>
  <si>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</si>
  <si>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</si>
  <si>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</si>
  <si>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</si>
  <si>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</si>
  <si>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</si>
  <si>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</si>
  <si>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</si>
  <si>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</si>
  <si>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</si>
  <si>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</si>
  <si>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</si>
  <si>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</si>
  <si>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</si>
  <si>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</si>
  <si>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</si>
  <si>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</si>
  <si>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</si>
  <si>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</si>
  <si>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</si>
  <si>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</si>
  <si>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</si>
  <si>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</si>
  <si>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</si>
  <si>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</si>
  <si>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</si>
  <si>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</si>
  <si>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</si>
  <si>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</si>
  <si>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</si>
  <si>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</si>
  <si>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</si>
  <si>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</si>
  <si>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</si>
  <si>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</si>
  <si>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</si>
  <si>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</si>
  <si>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</si>
  <si>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</si>
  <si>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</si>
  <si>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</si>
  <si>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</si>
  <si>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</si>
  <si>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</si>
  <si>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</si>
  <si>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</si>
  <si>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</si>
  <si>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</si>
  <si>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</si>
  <si>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</si>
  <si>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</si>
  <si>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</si>
  <si>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</si>
  <si>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</si>
  <si>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</si>
  <si>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</si>
  <si>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</si>
  <si>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</si>
  <si>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</si>
  <si>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</si>
  <si>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</si>
  <si>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</si>
  <si>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</si>
  <si>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</si>
  <si>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</si>
  <si>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</si>
  <si>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</si>
  <si>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</si>
  <si>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</si>
  <si>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</si>
  <si>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</si>
  <si>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</si>
  <si>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</si>
  <si>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</si>
  <si>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</si>
  <si>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</si>
  <si>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</si>
  <si>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</si>
  <si>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</si>
  <si>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</si>
  <si>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</si>
  <si>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</si>
  <si>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</si>
  <si>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</si>
  <si>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</si>
  <si>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</si>
  <si>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</si>
  <si>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</si>
  <si>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</si>
  <si>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</si>
  <si>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</si>
  <si>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</si>
  <si>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</si>
  <si>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</si>
  <si>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</si>
  <si>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</si>
  <si>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</si>
  <si>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</si>
  <si>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</si>
  <si>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</si>
  <si>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</si>
  <si>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</si>
  <si>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</si>
  <si>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</si>
  <si>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</si>
  <si>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</si>
  <si>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</si>
  <si>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</si>
  <si>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</si>
  <si>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</si>
  <si>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</si>
  <si>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</si>
  <si>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</si>
  <si>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</si>
  <si>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</si>
  <si>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</si>
  <si>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</si>
  <si>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</si>
  <si>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</si>
  <si>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</si>
  <si>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</si>
  <si>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</si>
  <si>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</si>
  <si>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</si>
  <si>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</si>
  <si>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</si>
  <si>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</si>
  <si>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</si>
  <si>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</si>
  <si>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</si>
  <si>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</si>
  <si>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</si>
  <si>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</si>
  <si>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</si>
  <si>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</si>
  <si>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</si>
  <si>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</si>
  <si>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</si>
  <si>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</si>
  <si>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</si>
  <si>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</si>
  <si>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</si>
  <si>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</si>
  <si>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</si>
  <si>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</si>
  <si>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</si>
  <si>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</si>
  <si>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</si>
  <si>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</si>
  <si>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</si>
  <si>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</si>
  <si>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</si>
  <si>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</si>
  <si>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</si>
  <si>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</si>
  <si>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</si>
  <si>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</si>
  <si>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</si>
  <si>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</si>
  <si>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</si>
  <si>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</si>
  <si>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</si>
  <si>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</si>
  <si>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</si>
  <si>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</si>
  <si>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</si>
  <si>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</si>
  <si>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</si>
  <si>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</si>
  <si>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</si>
  <si>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</si>
  <si>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</si>
  <si>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</si>
  <si>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</si>
  <si>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</si>
  <si>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</si>
  <si>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</si>
  <si>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</si>
  <si>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</si>
  <si>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</si>
  <si>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</si>
  <si>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</si>
  <si>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</si>
  <si>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</si>
  <si>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</si>
  <si>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</si>
  <si>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</si>
  <si>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</si>
  <si>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</si>
  <si>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</si>
  <si>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</si>
  <si>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</si>
  <si>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</si>
  <si>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</si>
  <si>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</si>
  <si>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</si>
  <si>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</si>
  <si>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</si>
  <si>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</si>
  <si>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</si>
  <si>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</si>
  <si>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</si>
  <si>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</si>
  <si>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</si>
  <si>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</si>
  <si>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</si>
  <si>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</si>
  <si>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</si>
  <si>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</si>
  <si>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</si>
  <si>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</si>
  <si>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</si>
  <si>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</si>
  <si>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</si>
  <si>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</si>
  <si>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</si>
  <si>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</si>
  <si>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</si>
  <si>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</si>
  <si>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</si>
  <si>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</si>
  <si>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</si>
  <si>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</si>
  <si>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</si>
  <si>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</si>
  <si>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</si>
  <si>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</si>
  <si>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</si>
  <si>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</si>
  <si>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</si>
  <si>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</si>
  <si>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</si>
  <si>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</si>
  <si>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</si>
  <si>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</si>
  <si>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</si>
  <si>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</si>
  <si>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</si>
  <si>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</si>
  <si>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</si>
  <si>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</si>
  <si>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</si>
  <si>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</si>
  <si>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</si>
  <si>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</si>
  <si>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</si>
  <si>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</si>
  <si>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</si>
  <si>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</si>
  <si>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</si>
  <si>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</si>
  <si>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</si>
  <si>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</si>
  <si>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</si>
  <si>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</si>
  <si>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</si>
  <si>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</si>
  <si>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</si>
  <si>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</si>
  <si>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</si>
  <si>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</si>
  <si>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</si>
  <si>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</si>
  <si>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</si>
  <si>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</si>
  <si>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</si>
  <si>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</si>
  <si>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</si>
  <si>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</si>
  <si>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</si>
  <si>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</si>
  <si>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</si>
  <si>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</si>
  <si>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</si>
  <si>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</si>
  <si>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</si>
  <si>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</si>
  <si>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</si>
  <si>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</si>
  <si>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</si>
  <si>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</si>
  <si>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</si>
  <si>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</si>
  <si>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</si>
  <si>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</si>
  <si>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</si>
  <si>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</si>
  <si>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</si>
  <si>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</si>
  <si>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</si>
  <si>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</si>
  <si>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</si>
  <si>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</si>
  <si>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</si>
  <si>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</si>
  <si>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</si>
  <si>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</si>
  <si>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</si>
  <si>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</si>
  <si>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</si>
  <si>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</si>
  <si>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</si>
  <si>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</si>
  <si>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</si>
  <si>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</si>
  <si>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</si>
  <si>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</si>
  <si>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</si>
  <si>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</si>
  <si>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</si>
  <si>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</si>
  <si>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</si>
  <si>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</si>
  <si>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</si>
  <si>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</si>
  <si>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</si>
  <si>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</si>
  <si>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</si>
  <si>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</si>
  <si>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</si>
  <si>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</si>
  <si>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</si>
  <si>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</si>
  <si>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</si>
  <si>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</si>
  <si>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</si>
  <si>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</si>
  <si>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</si>
  <si>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</si>
  <si>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</si>
  <si>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</si>
  <si>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</si>
  <si>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</si>
  <si>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</si>
  <si>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</si>
  <si>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</si>
  <si>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</si>
  <si>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</si>
  <si>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</si>
  <si>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</si>
  <si>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</si>
  <si>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</si>
  <si>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</si>
  <si>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</si>
  <si>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</si>
  <si>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</si>
  <si>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</si>
  <si>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</si>
  <si>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</si>
  <si>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</si>
  <si>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</si>
  <si>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</si>
  <si>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</si>
  <si>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</si>
  <si>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</si>
  <si>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</si>
  <si>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</si>
  <si>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</si>
  <si>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</si>
  <si>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</si>
  <si>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</si>
  <si>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</si>
  <si>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</si>
  <si>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</si>
  <si>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</si>
  <si>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</si>
  <si>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</si>
  <si>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</si>
  <si>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</si>
  <si>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</si>
  <si>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</si>
  <si>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</si>
  <si>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</si>
  <si>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</si>
  <si>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</si>
  <si>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</si>
  <si>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</si>
  <si>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</si>
  <si>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</si>
  <si>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</si>
  <si>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</si>
  <si>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</si>
  <si>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</si>
  <si>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</si>
  <si>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</si>
  <si>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</si>
  <si>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</si>
  <si>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</si>
  <si>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</si>
  <si>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</si>
  <si>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</si>
  <si>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</si>
  <si>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</si>
  <si>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</si>
  <si>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</si>
  <si>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</si>
  <si>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</si>
  <si>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</si>
  <si>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</si>
  <si>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</si>
  <si>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</si>
  <si>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</si>
  <si>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</si>
  <si>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</si>
  <si>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</si>
  <si>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</si>
  <si>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</si>
  <si>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</si>
  <si>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</si>
  <si>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</si>
  <si>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</si>
  <si>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</si>
  <si>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</si>
  <si>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</si>
  <si>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</si>
  <si>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</si>
  <si>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</si>
  <si>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</si>
  <si>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</si>
  <si>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</si>
  <si>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</si>
  <si>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</si>
  <si>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</si>
  <si>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</si>
  <si>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</si>
  <si>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</si>
  <si>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</si>
  <si>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</si>
  <si>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</si>
  <si>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</si>
  <si>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</si>
  <si>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</si>
  <si>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</si>
  <si>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</si>
  <si>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</si>
  <si>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</si>
  <si>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</si>
  <si>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</si>
  <si>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</si>
  <si>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</si>
  <si>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</si>
  <si>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</si>
  <si>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</si>
  <si>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</si>
  <si>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</si>
  <si>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</si>
  <si>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</si>
  <si>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</si>
  <si>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</si>
  <si>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</si>
  <si>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</si>
  <si>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</si>
  <si>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</si>
  <si>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</si>
  <si>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</si>
  <si>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</si>
  <si>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</si>
  <si>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</si>
  <si>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</si>
  <si>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</si>
  <si>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</si>
  <si>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</si>
  <si>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</si>
  <si>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</si>
  <si>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</si>
  <si>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</si>
  <si>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</si>
  <si>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</si>
  <si>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</si>
  <si>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</si>
  <si>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</si>
  <si>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</si>
  <si>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</si>
  <si>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</si>
  <si>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</si>
  <si>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</si>
  <si>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</si>
  <si>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</si>
  <si>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</si>
  <si>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</si>
  <si>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</si>
  <si>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</si>
  <si>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</si>
  <si>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</si>
  <si>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</si>
  <si>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</si>
  <si>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</si>
  <si>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</si>
  <si>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</si>
  <si>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</si>
  <si>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</si>
  <si>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</si>
  <si>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</si>
  <si>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</si>
  <si>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Zeshan </t>
  </si>
  <si>
    <t>Paradise Store</t>
  </si>
  <si>
    <t>Address:DHA</t>
  </si>
  <si>
    <t>Bravo Store</t>
  </si>
  <si>
    <t xml:space="preserve">Smart </t>
  </si>
  <si>
    <t>24 Store</t>
  </si>
  <si>
    <t xml:space="preserve">Groccer </t>
  </si>
  <si>
    <t>Rehman Store</t>
  </si>
  <si>
    <t>Address:Dha</t>
  </si>
  <si>
    <t>Sohail Store</t>
  </si>
  <si>
    <t>Karam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</si>
</sst>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Paradise Store</v>
      </c>
      <c r="T3" s="301">
        <f>+'1'!P35</f>
        <v>7941.6010836610158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Bravo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Smart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24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 xml:space="preserve">Groccer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Rehman Store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Sohail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30</v>
      </c>
      <c r="R10" s="314">
        <v>8</v>
      </c>
      <c r="S10" s="300" t="str">
        <f>+'8'!A6:A6</f>
        <v>Karam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92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5</v>
      </c>
      <c r="H16" s="113">
        <f t="shared" ref="H16:M16" si="3">SUM(H7:H15)</f>
        <v>200</v>
      </c>
      <c r="I16" s="114">
        <f t="shared" si="3"/>
        <v>13191.6</v>
      </c>
      <c r="J16" s="274">
        <f>SUM(J7:J15)</f>
        <v>1008.2520000000001</v>
      </c>
      <c r="K16" s="275">
        <f t="shared" si="3"/>
        <v>461.70600000000007</v>
      </c>
      <c r="L16" s="276">
        <f t="shared" si="3"/>
        <v>80.029200000000003</v>
      </c>
      <c r="M16" s="232">
        <f t="shared" si="3"/>
        <v>11641.612800000001</v>
      </c>
      <c r="N16" s="233">
        <f>SUM(N7:N15)</f>
        <v>2501.6949152542375</v>
      </c>
      <c r="O16" s="101">
        <f>SUM(O7:O15)</f>
        <v>70.716538576271191</v>
      </c>
      <c r="P16" s="113">
        <f>SUM(P7:P15)</f>
        <v>14214.024253830508</v>
      </c>
      <c r="Q16" s="128">
        <f>SUM(Q7:Q15)</f>
        <v>196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13191.6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1008.2520000000001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541.73520000000008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11641.612799999999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2501.6949152542375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14143.307715254236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70.716538576271191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14214.024253830506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14214.024253830506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7380.4</v>
      </c>
      <c r="J25" s="274">
        <f>SUM(J16:J24)</f>
        <v>543.35599999999999</v>
      </c>
      <c r="K25" s="275">
        <f t="shared" si="10"/>
        <v>258.31400000000002</v>
      </c>
      <c r="L25" s="276">
        <f t="shared" si="10"/>
        <v>80.029200000000003</v>
      </c>
      <c r="M25" s="232">
        <f t="shared" si="10"/>
        <v>6498.7008000000005</v>
      </c>
      <c r="N25" s="233">
        <f>SUM(N16:N24)</f>
        <v>1403.3898305084745</v>
      </c>
      <c r="O25" s="101">
        <f>SUM(O16:O24)</f>
        <v>39.510453152542375</v>
      </c>
      <c r="P25" s="113">
        <f>SUM(P16:P24)</f>
        <v>7941.6010836610167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7380.4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543.35599999999999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338.34320000000002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6498.7007999999996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7902.0906305084736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42" t="s">
        <v>88</v>
      </c>
      <c r="O35" s="343"/>
      <c r="P35" s="297">
        <f>+P33+P34</f>
        <v>7941.6010836610158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I22" sqref="I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2026-08-03T04:32:24Z</dcterms:modified>
</cp:coreProperties>
</file>