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ADF61B7-F08C-4AF6-B18F-65250569A6E4}" xr6:coauthVersionLast="47" xr6:coauthVersionMax="47" xr10:uidLastSave="{00000000-0000-0000-0000-000000000000}"/>
  <bookViews>
    <workbookView xWindow="-110" yWindow="-110" windowWidth="19420" windowHeight="10420" tabRatio="594" firstSheet="3" activeTab="9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Q8" i="62" l="1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N4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<sst xmlns="http://schemas.openxmlformats.org/spreadsheetml/2006/main" count="3975" uniqueCount="524">
  <si>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</si>
  <si>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</si>
  <si>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</si>
  <si>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</si>
  <si>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</si>
  <si>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</si>
  <si>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</si>
  <si>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</si>
  <si>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</si>
  <si>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</si>
  <si>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</si>
  <si>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</si>
  <si>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</si>
  <si>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</si>
  <si>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</si>
  <si>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</si>
  <si>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</si>
  <si>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</si>
  <si>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</si>
  <si>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</si>
  <si>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</si>
  <si>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</si>
  <si>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</si>
  <si>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</si>
  <si>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</si>
  <si>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</si>
  <si>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</si>
  <si>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</si>
  <si>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</si>
  <si>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</si>
  <si>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</si>
  <si>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</si>
  <si>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</si>
  <si>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</si>
  <si>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</si>
  <si>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</si>
  <si>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</si>
  <si>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</si>
  <si>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</si>
  <si>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</si>
  <si>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</si>
  <si>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</si>
  <si>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</si>
  <si>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</si>
  <si>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</si>
  <si>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</si>
  <si>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</si>
  <si>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</si>
  <si>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</si>
  <si>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</si>
  <si>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</si>
  <si>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</si>
  <si>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</si>
  <si>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</si>
  <si>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</si>
  <si>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</si>
  <si>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</si>
  <si>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</si>
  <si>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</si>
  <si>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</si>
  <si>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</si>
  <si>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</si>
  <si>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</si>
  <si>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</si>
  <si>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</si>
  <si>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</si>
  <si>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</si>
  <si>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</si>
  <si>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</si>
  <si>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</si>
  <si>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</si>
  <si>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</si>
  <si>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</si>
  <si>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</si>
  <si>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</si>
  <si>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</si>
  <si>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</si>
  <si>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</si>
  <si>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</si>
  <si>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</si>
  <si>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</si>
  <si>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</si>
  <si>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</si>
  <si>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</si>
  <si>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</si>
  <si>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</si>
  <si>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</si>
  <si>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</si>
  <si>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</si>
  <si>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</si>
  <si>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</si>
  <si>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</si>
  <si>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</si>
  <si>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</si>
  <si>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</si>
  <si>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</si>
  <si>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</si>
  <si>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</si>
  <si>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</si>
  <si>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</si>
  <si>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</si>
  <si>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</si>
  <si>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</si>
  <si>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</si>
  <si>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</si>
  <si>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</si>
  <si>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</si>
  <si>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</si>
  <si>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</si>
  <si>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</si>
  <si>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</si>
  <si>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</si>
  <si>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</si>
  <si>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</si>
  <si>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</si>
  <si>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</si>
  <si>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</si>
  <si>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</si>
  <si>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</si>
  <si>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</si>
  <si>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</si>
  <si>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</si>
  <si>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</si>
  <si>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</si>
  <si>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</si>
  <si>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</si>
  <si>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</si>
  <si>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</si>
  <si>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</si>
  <si>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</si>
  <si>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</si>
  <si>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</si>
  <si>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</si>
  <si>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</si>
  <si>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</si>
  <si>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</si>
  <si>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</si>
  <si>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</si>
  <si>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</si>
  <si>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</si>
  <si>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</si>
  <si>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</si>
  <si>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</si>
  <si>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</si>
  <si>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</si>
  <si>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</si>
  <si>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</si>
  <si>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</si>
  <si>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</si>
  <si>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</si>
  <si>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</si>
  <si>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</si>
  <si>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</si>
  <si>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</si>
  <si>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</si>
  <si>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</si>
  <si>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</si>
  <si>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</si>
  <si>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</si>
  <si>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</si>
  <si>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</si>
  <si>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</si>
  <si>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</si>
  <si>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</si>
  <si>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</si>
  <si>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</si>
  <si>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</si>
  <si>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</si>
  <si>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</si>
  <si>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</si>
  <si>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</si>
  <si>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</si>
  <si>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</si>
  <si>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</si>
  <si>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</si>
  <si>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</si>
  <si>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</si>
  <si>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</si>
  <si>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</si>
  <si>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</si>
  <si>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</si>
  <si>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</si>
  <si>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</si>
  <si>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</si>
  <si>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</si>
  <si>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</si>
  <si>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</si>
  <si>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</si>
  <si>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</si>
  <si>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</si>
  <si>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</si>
  <si>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</si>
  <si>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</si>
  <si>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</si>
  <si>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</si>
  <si>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</si>
  <si>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</si>
  <si>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</si>
  <si>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</si>
  <si>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</si>
  <si>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</si>
  <si>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</si>
  <si>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</si>
  <si>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</si>
  <si>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</si>
  <si>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</si>
  <si>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</si>
  <si>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</si>
  <si>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</si>
  <si>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</si>
  <si>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</si>
  <si>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</si>
  <si>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</si>
  <si>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</si>
  <si>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</si>
  <si>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</si>
  <si>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</si>
  <si>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</si>
  <si>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</si>
  <si>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</si>
  <si>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</si>
  <si>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</si>
  <si>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</si>
  <si>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</si>
  <si>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</si>
  <si>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</si>
  <si>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</si>
  <si>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</si>
  <si>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</si>
  <si>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</si>
  <si>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</si>
  <si>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</si>
  <si>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</si>
  <si>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</si>
  <si>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</si>
  <si>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</si>
  <si>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</si>
  <si>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</si>
  <si>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</si>
  <si>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</si>
  <si>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</si>
  <si>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</si>
  <si>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</si>
  <si>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</si>
  <si>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</si>
  <si>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</si>
  <si>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</si>
  <si>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</si>
  <si>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</si>
  <si>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</si>
  <si>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</si>
  <si>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</si>
  <si>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</si>
  <si>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</si>
  <si>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</si>
  <si>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</si>
  <si>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</si>
  <si>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</si>
  <si>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</si>
  <si>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</si>
  <si>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</si>
  <si>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</si>
  <si>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</si>
  <si>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</si>
  <si>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</si>
  <si>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</si>
  <si>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</si>
  <si>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</si>
  <si>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</si>
  <si>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</si>
  <si>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</si>
  <si>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</si>
  <si>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</si>
  <si>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</si>
  <si>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</si>
  <si>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</si>
  <si>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</si>
  <si>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</si>
  <si>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</si>
  <si>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</si>
  <si>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</si>
  <si>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</si>
  <si>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</si>
  <si>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</si>
  <si>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</si>
  <si>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</si>
  <si>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</si>
  <si>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</si>
  <si>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</si>
  <si>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</si>
  <si>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</si>
  <si>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</si>
  <si>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</si>
  <si>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</si>
  <si>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</si>
  <si>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</si>
  <si>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</si>
  <si>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</si>
  <si>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</si>
  <si>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</si>
  <si>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</si>
  <si>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</si>
  <si>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</si>
  <si>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</si>
  <si>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</si>
  <si>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</si>
  <si>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</si>
  <si>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</si>
  <si>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</si>
  <si>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</si>
  <si>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</si>
  <si>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</si>
  <si>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</si>
  <si>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</si>
  <si>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</si>
  <si>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</si>
  <si>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</si>
  <si>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</si>
  <si>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</si>
  <si>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</si>
  <si>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</si>
  <si>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</si>
  <si>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</si>
  <si>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</si>
  <si>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</si>
  <si>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</si>
  <si>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</si>
  <si>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</si>
  <si>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</si>
  <si>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</si>
  <si>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</si>
  <si>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</si>
  <si>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</si>
  <si>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</si>
  <si>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</si>
  <si>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</si>
  <si>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</si>
  <si>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</si>
  <si>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</si>
  <si>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</si>
  <si>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</si>
  <si>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</si>
  <si>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</si>
  <si>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</si>
  <si>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</si>
  <si>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</si>
  <si>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</si>
  <si>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</si>
  <si>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</si>
  <si>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</si>
  <si>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</si>
  <si>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</si>
  <si>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</si>
  <si>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</si>
  <si>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</si>
  <si>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</si>
  <si>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</si>
  <si>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</si>
  <si>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</si>
  <si>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</si>
  <si>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</si>
  <si>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</si>
  <si>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</si>
  <si>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</si>
  <si>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</si>
  <si>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</si>
  <si>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</si>
  <si>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</si>
  <si>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</si>
  <si>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</si>
  <si>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</si>
  <si>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</si>
  <si>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</si>
  <si>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</si>
  <si>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</si>
  <si>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</si>
  <si>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</si>
  <si>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</si>
  <si>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</si>
  <si>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</si>
  <si>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</si>
  <si>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</si>
  <si>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</si>
  <si>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</si>
  <si>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</si>
  <si>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</si>
  <si>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</si>
  <si>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</si>
  <si>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</si>
  <si>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</si>
  <si>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</si>
  <si>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</si>
  <si>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</si>
  <si>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</si>
  <si>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</si>
  <si>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</si>
  <si>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</si>
  <si>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</si>
  <si>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</si>
  <si>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</si>
  <si>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</si>
  <si>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</si>
  <si>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</si>
  <si>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</si>
  <si>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</si>
  <si>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</si>
  <si>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</si>
  <si>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</si>
  <si>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</si>
  <si>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</si>
  <si>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</si>
  <si>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</si>
  <si>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</si>
  <si>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</si>
  <si>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</si>
  <si>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</si>
  <si>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</si>
  <si>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</si>
  <si>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</si>
  <si>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</si>
  <si>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</si>
  <si>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</si>
  <si>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</si>
  <si>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</si>
  <si>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</si>
  <si>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</si>
  <si>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</si>
  <si>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</si>
  <si>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</si>
  <si>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</si>
  <si>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</si>
  <si>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</si>
  <si>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</si>
  <si>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</si>
  <si>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</si>
  <si>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</si>
  <si>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</si>
  <si>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</si>
  <si>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</si>
  <si>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</si>
  <si>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</si>
  <si>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</si>
  <si>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</si>
  <si>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</si>
  <si>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</si>
  <si>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</si>
  <si>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</si>
  <si>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</si>
  <si>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</si>
  <si>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</si>
  <si>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</si>
  <si>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</si>
  <si>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</si>
  <si>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</si>
  <si>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</si>
  <si>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</si>
  <si>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</si>
  <si>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</si>
  <si>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</si>
  <si>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</si>
  <si>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</si>
  <si>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</si>
  <si>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</si>
  <si>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</si>
  <si>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</si>
  <si>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</si>
  <si>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</si>
  <si>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</si>
  <si>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</si>
  <si>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</si>
  <si>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</si>
  <si>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</si>
  <si>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</si>
  <si>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</si>
  <si>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</si>
  <si>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</si>
  <si>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</si>
  <si>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</si>
  <si>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</si>
  <si>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</si>
  <si>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</si>
  <si>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</si>
  <si>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</si>
  <si>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</si>
  <si>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</si>
  <si>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</si>
  <si>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</si>
  <si>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</si>
  <si>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</si>
  <si>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</si>
  <si>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</si>
  <si>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</si>
  <si>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</si>
  <si>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</si>
  <si>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</si>
  <si>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</si>
  <si>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</si>
  <si>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</si>
  <si>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</si>
  <si>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</si>
  <si>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</si>
  <si>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</si>
  <si>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</si>
  <si>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</si>
  <si>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</si>
  <si>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</si>
  <si>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</si>
  <si>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</si>
  <si>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</si>
  <si>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</si>
  <si>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</si>
  <si>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</si>
  <si>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</si>
  <si>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 xml:space="preserve">Zeshan </t>
  </si>
  <si>
    <t>Paradise Store</t>
  </si>
  <si>
    <t>Address:DHA</t>
  </si>
  <si>
    <t>Bravo Store</t>
  </si>
  <si>
    <t xml:space="preserve">Smart </t>
  </si>
  <si>
    <t>24 Store</t>
  </si>
  <si>
    <t xml:space="preserve">Groccer </t>
  </si>
  <si>
    <t>Rehman Store</t>
  </si>
  <si>
    <t>Address:Dha</t>
  </si>
  <si>
    <t>Sohail Store</t>
  </si>
  <si>
    <t>Karam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</si>
</sst>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48"/>
  <sheetViews>
    <sheetView workbookViewId="0">
      <selection activeCell="U6" sqref="U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 t="s">
        <v>513</v>
      </c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500</v>
      </c>
      <c r="F3" s="387"/>
      <c r="G3" s="387"/>
      <c r="H3" s="384">
        <f ca="1">+'1'!N4:N4</f>
        <v>46245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Paradise Store</v>
      </c>
      <c r="T3" s="301">
        <f>+'1'!P35</f>
        <v>7941.6010836610158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Bravo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512</v>
      </c>
      <c r="R5" s="314">
        <v>3</v>
      </c>
      <c r="S5" s="300" t="str">
        <f>+'3'!A6:A6</f>
        <v xml:space="preserve">Smart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511</v>
      </c>
      <c r="R6" s="314">
        <v>4</v>
      </c>
      <c r="S6" s="300" t="str">
        <f>+'4'!A6:A6</f>
        <v>24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12</v>
      </c>
      <c r="R7" s="314">
        <v>5</v>
      </c>
      <c r="S7" s="300" t="str">
        <f>+'5'!A6:A6</f>
        <v xml:space="preserve">Groccer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12</v>
      </c>
      <c r="R8" s="314">
        <v>6</v>
      </c>
      <c r="S8" s="300" t="str">
        <f>+'6'!A6:A6</f>
        <v>Rehman Store</v>
      </c>
      <c r="T8" s="301">
        <f>+'6'!P35</f>
        <v>6272.4231701694916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Sohail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232.44800000000001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2571.4560000000001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15.603042711864408</v>
      </c>
      <c r="P10" s="311">
        <f t="shared" si="2"/>
        <v>3136.2115850847458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30</v>
      </c>
      <c r="R10" s="314">
        <v>8</v>
      </c>
      <c r="S10" s="300" t="str">
        <f>+'8'!A6:A6</f>
        <v>Karam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464.89600000000002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5142.9120000000003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31.206085423728815</v>
      </c>
      <c r="P11" s="311">
        <f t="shared" si="2"/>
        <v>6272.4231701694916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232.44800000000001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101.69600000000001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2571.4560000000001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15.603042711864408</v>
      </c>
      <c r="P12" s="311">
        <f t="shared" si="2"/>
        <v>3136.2115850847458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50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40</v>
      </c>
      <c r="I13" s="236">
        <f t="shared" si="0"/>
        <v>1569.2000000000003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78.460000000000022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54.922000000000011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80.029200000000003</v>
      </c>
      <c r="M13" s="230">
        <f t="shared" si="1"/>
        <v>1355.7888000000003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305.08474576271169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8.3043677288135598</v>
      </c>
      <c r="P13" s="311">
        <f t="shared" si="2"/>
        <v>1669.1779134915255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92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5</v>
      </c>
      <c r="H16" s="113">
        <f t="shared" ref="H16:M16" si="3">SUM(H7:H15)</f>
        <v>200</v>
      </c>
      <c r="I16" s="114">
        <f t="shared" si="3"/>
        <v>13191.6</v>
      </c>
      <c r="J16" s="274">
        <f>SUM(J7:J15)</f>
        <v>1008.2520000000001</v>
      </c>
      <c r="K16" s="275">
        <f t="shared" si="3"/>
        <v>461.70600000000007</v>
      </c>
      <c r="L16" s="276">
        <f t="shared" si="3"/>
        <v>80.029200000000003</v>
      </c>
      <c r="M16" s="232">
        <f t="shared" si="3"/>
        <v>11641.612800000001</v>
      </c>
      <c r="N16" s="233">
        <f>SUM(N7:N15)</f>
        <v>2501.6949152542375</v>
      </c>
      <c r="O16" s="101">
        <f>SUM(O7:O15)</f>
        <v>70.716538576271191</v>
      </c>
      <c r="P16" s="113">
        <f>SUM(P7:P15)</f>
        <v>14214.024253830508</v>
      </c>
      <c r="Q16" s="128">
        <f>SUM(Q7:Q15)</f>
        <v>196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13191.6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1008.2520000000001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541.73520000000008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11641.612799999999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2501.6949152542375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14143.307715254236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70.716538576271191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14214.024253830506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14214.024253830506</v>
      </c>
    </row>
    <row r="44" spans="2:20" x14ac:dyDescent="0.35">
      <c r="B44" t="s">
        <v>505</v>
      </c>
    </row>
    <row r="45" spans="2:20" x14ac:dyDescent="0.35">
      <c r="B45" t="s">
        <v>506</v>
      </c>
    </row>
    <row r="46" spans="2:20" x14ac:dyDescent="0.35">
      <c r="B46" t="s">
        <v>507</v>
      </c>
    </row>
    <row r="47" spans="2:20" x14ac:dyDescent="0.35">
      <c r="B47" t="s">
        <v>508</v>
      </c>
    </row>
    <row r="48" spans="2:20" x14ac:dyDescent="0.35">
      <c r="B48" t="s">
        <v>509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2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7.25" customHeight="1" x14ac:dyDescent="0.4">
      <c r="A6" s="397" t="s">
        <v>514</v>
      </c>
      <c r="B6" s="397"/>
      <c r="C6" s="397"/>
      <c r="F6" s="85"/>
      <c r="G6" s="86"/>
      <c r="K6" s="392" t="s">
        <v>69</v>
      </c>
      <c r="L6" s="392"/>
      <c r="M6" s="392"/>
      <c r="N6" s="394" t="s">
        <v>506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7380.4</v>
      </c>
      <c r="J25" s="274">
        <f>SUM(J16:J24)</f>
        <v>543.35599999999999</v>
      </c>
      <c r="K25" s="275">
        <f t="shared" si="10"/>
        <v>258.31400000000002</v>
      </c>
      <c r="L25" s="276">
        <f t="shared" si="10"/>
        <v>80.029200000000003</v>
      </c>
      <c r="M25" s="232">
        <f t="shared" si="10"/>
        <v>6498.7008000000005</v>
      </c>
      <c r="N25" s="233">
        <f>SUM(N16:N24)</f>
        <v>1403.3898305084745</v>
      </c>
      <c r="O25" s="101">
        <f>SUM(O16:O24)</f>
        <v>39.510453152542375</v>
      </c>
      <c r="P25" s="113">
        <f>SUM(P16:P24)</f>
        <v>7941.6010836610167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7380.4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543.35599999999999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338.34320000000002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6498.7007999999996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1403.3898305084745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7902.0906305084736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39.510453152542368</v>
      </c>
    </row>
    <row r="35" spans="2:16" ht="15.75" customHeight="1" thickBot="1" x14ac:dyDescent="0.4">
      <c r="N35" s="371" t="s">
        <v>88</v>
      </c>
      <c r="O35" s="372"/>
      <c r="P35" s="297">
        <f>+P33+P34</f>
        <v>7941.6010836610158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3" workbookViewId="0">
      <selection activeCell="I22" sqref="I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516</v>
      </c>
      <c r="B6" s="397"/>
      <c r="C6" s="397"/>
      <c r="F6" s="85"/>
      <c r="G6" s="86"/>
      <c r="K6" s="392" t="s">
        <v>69</v>
      </c>
      <c r="L6" s="392"/>
      <c r="M6" s="392"/>
      <c r="N6" s="394" t="s">
        <v>506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8.75" customHeight="1" x14ac:dyDescent="0.4">
      <c r="A6" s="397" t="s">
        <v>517</v>
      </c>
      <c r="B6" s="397"/>
      <c r="C6" s="397"/>
      <c r="F6" s="85"/>
      <c r="G6" s="86"/>
      <c r="K6" s="392" t="s">
        <v>69</v>
      </c>
      <c r="L6" s="392"/>
      <c r="M6" s="392"/>
      <c r="N6" s="394" t="s">
        <v>506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activeCell="Q17" sqref="Q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518</v>
      </c>
      <c r="B6" s="397"/>
      <c r="C6" s="397"/>
      <c r="F6" s="85"/>
      <c r="G6" s="86"/>
      <c r="K6" s="392" t="s">
        <v>69</v>
      </c>
      <c r="L6" s="392"/>
      <c r="M6" s="392"/>
      <c r="N6" s="394" t="s">
        <v>506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12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activeCell="Q18" sqref="Q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519</v>
      </c>
      <c r="B6" s="397"/>
      <c r="C6" s="397"/>
      <c r="F6" s="85"/>
      <c r="G6" s="86"/>
      <c r="K6" s="392" t="s">
        <v>69</v>
      </c>
      <c r="L6" s="392"/>
      <c r="M6" s="392"/>
      <c r="N6" s="394" t="s">
        <v>506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12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abSelected="1" topLeftCell="A10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520</v>
      </c>
      <c r="B6" s="397"/>
      <c r="C6" s="397"/>
      <c r="F6" s="85"/>
      <c r="G6" s="86"/>
      <c r="K6" s="392" t="s">
        <v>69</v>
      </c>
      <c r="L6" s="392"/>
      <c r="M6" s="392"/>
      <c r="N6" s="394" t="s">
        <v>506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521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464.89600000000002</v>
      </c>
      <c r="K25" s="275">
        <f t="shared" si="7"/>
        <v>203.39200000000002</v>
      </c>
      <c r="L25" s="276">
        <f t="shared" si="7"/>
        <v>0</v>
      </c>
      <c r="M25" s="232">
        <f t="shared" si="7"/>
        <v>5142.9120000000003</v>
      </c>
      <c r="N25" s="233">
        <f>SUM(N16:N24)</f>
        <v>1098.3050847457628</v>
      </c>
      <c r="O25" s="101">
        <f>SUM(O16:O24)</f>
        <v>31.206085423728815</v>
      </c>
      <c r="P25" s="113">
        <f>SUM(P16:P24)</f>
        <v>6272.4231701694916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5811.2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464.89600000000002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203.39200000000002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5142.9120000000003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6241.2170847457628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71" t="s">
        <v>88</v>
      </c>
      <c r="O35" s="372"/>
      <c r="P35" s="297">
        <f>+P33+P34</f>
        <v>6272.4231701694916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6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522</v>
      </c>
      <c r="B6" s="397"/>
      <c r="C6" s="397"/>
      <c r="F6" s="85"/>
      <c r="G6" s="86"/>
      <c r="K6" s="392" t="s">
        <v>69</v>
      </c>
      <c r="L6" s="392"/>
      <c r="M6" s="392"/>
      <c r="N6" s="394" t="s">
        <v>506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30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10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8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523</v>
      </c>
      <c r="B6" s="397"/>
      <c r="C6" s="397"/>
      <c r="F6" s="85"/>
      <c r="G6" s="86"/>
      <c r="K6" s="392" t="s">
        <v>69</v>
      </c>
      <c r="L6" s="392"/>
      <c r="M6" s="392"/>
      <c r="N6" s="394" t="s">
        <v>506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40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topLeftCell="A7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topLeftCell="A13" workbookViewId="0">
      <selection activeCell="Q22" sqref="Q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topLeftCell="A10"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8.75" customHeight="1" x14ac:dyDescent="0.4">
      <c r="A6" s="397" t="s">
        <v>503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46245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46244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46245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46244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2026-08-10T10:01:44Z</dcterms:modified>
</cp:coreProperties>
</file>