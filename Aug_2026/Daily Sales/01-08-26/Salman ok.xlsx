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5AB53C2-2E40-46DF-B655-A8F78BBBD07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1" i="44"/>
  <c r="O21" i="44" s="1"/>
  <c r="P21" i="44" s="1"/>
  <c r="J7" i="62"/>
  <c r="M16" i="44"/>
  <c r="M21" i="43"/>
  <c r="O21" i="43" s="1"/>
  <c r="P21" i="43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<sst xmlns="http://schemas.openxmlformats.org/spreadsheetml/2006/main" count="3975" uniqueCount="522">
  <si>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</si>
  <si>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</si>
  <si>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</si>
  <si>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</si>
  <si>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</si>
  <si>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</si>
  <si>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</si>
  <si>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</si>
  <si>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</si>
  <si>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</si>
  <si>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</si>
  <si>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</si>
  <si>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</si>
  <si>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</si>
  <si>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</si>
  <si>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</si>
  <si>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</si>
  <si>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</si>
  <si>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</si>
  <si>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</si>
  <si>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</si>
  <si>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</si>
  <si>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</si>
  <si>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</si>
  <si>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</si>
  <si>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</si>
  <si>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</si>
  <si>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</si>
  <si>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</si>
  <si>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</si>
  <si>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</si>
  <si>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</si>
  <si>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</si>
  <si>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</si>
  <si>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</si>
  <si>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</si>
  <si>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</si>
  <si>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</si>
  <si>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</si>
  <si>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</si>
  <si>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</si>
  <si>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</si>
  <si>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</si>
  <si>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</si>
  <si>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</si>
  <si>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</si>
  <si>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</si>
  <si>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</si>
  <si>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</si>
  <si>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</si>
  <si>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</si>
  <si>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</si>
  <si>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</si>
  <si>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</si>
  <si>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</si>
  <si>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</si>
  <si>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</si>
  <si>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</si>
  <si>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</si>
  <si>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</si>
  <si>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</si>
  <si>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</si>
  <si>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</si>
  <si>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</si>
  <si>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</si>
  <si>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</si>
  <si>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</si>
  <si>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</si>
  <si>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</si>
  <si>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</si>
  <si>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</si>
  <si>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</si>
  <si>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</si>
  <si>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</si>
  <si>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</si>
  <si>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</si>
  <si>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</si>
  <si>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</si>
  <si>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</si>
  <si>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</si>
  <si>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</si>
  <si>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</si>
  <si>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</si>
  <si>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</si>
  <si>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</si>
  <si>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</si>
  <si>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</si>
  <si>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</si>
  <si>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</si>
  <si>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</si>
  <si>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</si>
  <si>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</si>
  <si>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</si>
  <si>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</si>
  <si>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</si>
  <si>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</si>
  <si>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</si>
  <si>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</si>
  <si>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</si>
  <si>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</si>
  <si>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</si>
  <si>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</si>
  <si>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</si>
  <si>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</si>
  <si>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</si>
  <si>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</si>
  <si>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</si>
  <si>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</si>
  <si>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</si>
  <si>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</si>
  <si>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</si>
  <si>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</si>
  <si>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</si>
  <si>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</si>
  <si>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</si>
  <si>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</si>
  <si>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</si>
  <si>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</si>
  <si>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</si>
  <si>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</si>
  <si>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</si>
  <si>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</si>
  <si>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</si>
  <si>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</si>
  <si>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</si>
  <si>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</si>
  <si>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</si>
  <si>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</si>
  <si>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</si>
  <si>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</si>
  <si>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</si>
  <si>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</si>
  <si>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</si>
  <si>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</si>
  <si>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</si>
  <si>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</si>
  <si>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</si>
  <si>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</si>
  <si>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</si>
  <si>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</si>
  <si>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</si>
  <si>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</si>
  <si>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</si>
  <si>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</si>
  <si>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</si>
  <si>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</si>
  <si>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</si>
  <si>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</si>
  <si>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</si>
  <si>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</si>
  <si>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</si>
  <si>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</si>
  <si>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</si>
  <si>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</si>
  <si>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</si>
  <si>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</si>
  <si>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</si>
  <si>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</si>
  <si>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</si>
  <si>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</si>
  <si>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</si>
  <si>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</si>
  <si>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</si>
  <si>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</si>
  <si>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</si>
  <si>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</si>
  <si>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</si>
  <si>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</si>
  <si>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</si>
  <si>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</si>
  <si>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</si>
  <si>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</si>
  <si>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</si>
  <si>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</si>
  <si>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</si>
  <si>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</si>
  <si>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</si>
  <si>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</si>
  <si>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</si>
  <si>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</si>
  <si>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</si>
  <si>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</si>
  <si>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</si>
  <si>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</si>
  <si>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</si>
  <si>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</si>
  <si>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</si>
  <si>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</si>
  <si>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</si>
  <si>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</si>
  <si>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</si>
  <si>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</si>
  <si>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</si>
  <si>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</si>
  <si>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</si>
  <si>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</si>
  <si>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</si>
  <si>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</si>
  <si>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</si>
  <si>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</si>
  <si>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</si>
  <si>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</si>
  <si>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</si>
  <si>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</si>
  <si>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</si>
  <si>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</si>
  <si>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</si>
  <si>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</si>
  <si>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</si>
  <si>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</si>
  <si>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</si>
  <si>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</si>
  <si>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</si>
  <si>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</si>
  <si>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</si>
  <si>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</si>
  <si>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</si>
  <si>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</si>
  <si>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</si>
  <si>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</si>
  <si>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</si>
  <si>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</si>
  <si>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</si>
  <si>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</si>
  <si>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</si>
  <si>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</si>
  <si>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</si>
  <si>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</si>
  <si>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</si>
  <si>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</si>
  <si>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</si>
  <si>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</si>
  <si>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</si>
  <si>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</si>
  <si>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</si>
  <si>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</si>
  <si>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</si>
  <si>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</si>
  <si>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</si>
  <si>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</si>
  <si>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</si>
  <si>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</si>
  <si>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</si>
  <si>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</si>
  <si>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</si>
  <si>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</si>
  <si>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</si>
  <si>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</si>
  <si>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</si>
  <si>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</si>
  <si>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</si>
  <si>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</si>
  <si>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</si>
  <si>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</si>
  <si>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</si>
  <si>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</si>
  <si>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</si>
  <si>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</si>
  <si>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</si>
  <si>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</si>
  <si>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</si>
  <si>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</si>
  <si>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</si>
  <si>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</si>
  <si>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</si>
  <si>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</si>
  <si>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</si>
  <si>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</si>
  <si>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</si>
  <si>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</si>
  <si>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</si>
  <si>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</si>
  <si>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</si>
  <si>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</si>
  <si>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</si>
  <si>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</si>
  <si>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</si>
  <si>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</si>
  <si>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</si>
  <si>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</si>
  <si>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</si>
  <si>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</si>
  <si>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</si>
  <si>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</si>
  <si>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</si>
  <si>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</si>
  <si>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</si>
  <si>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</si>
  <si>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</si>
  <si>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</si>
  <si>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</si>
  <si>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</si>
  <si>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</si>
  <si>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</si>
  <si>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</si>
  <si>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</si>
  <si>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</si>
  <si>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</si>
  <si>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</si>
  <si>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</si>
  <si>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</si>
  <si>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</si>
  <si>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</si>
  <si>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</si>
  <si>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</si>
  <si>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</si>
  <si>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</si>
  <si>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</si>
  <si>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</si>
  <si>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</si>
  <si>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</si>
  <si>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</si>
  <si>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</si>
  <si>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</si>
  <si>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</si>
  <si>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</si>
  <si>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</si>
  <si>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</si>
  <si>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</si>
  <si>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</si>
  <si>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</si>
  <si>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</si>
  <si>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</si>
  <si>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</si>
  <si>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</si>
  <si>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</si>
  <si>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</si>
  <si>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</si>
  <si>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</si>
  <si>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</si>
  <si>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</si>
  <si>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</si>
  <si>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</si>
  <si>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</si>
  <si>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</si>
  <si>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</si>
  <si>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</si>
  <si>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</si>
  <si>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</si>
  <si>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</si>
  <si>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</si>
  <si>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</si>
  <si>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</si>
  <si>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</si>
  <si>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</si>
  <si>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</si>
  <si>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</si>
  <si>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</si>
  <si>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</si>
  <si>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</si>
  <si>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</si>
  <si>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</si>
  <si>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</si>
  <si>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</si>
  <si>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</si>
  <si>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</si>
  <si>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</si>
  <si>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</si>
  <si>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</si>
  <si>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</si>
  <si>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</si>
  <si>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</si>
  <si>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</si>
  <si>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</si>
  <si>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</si>
  <si>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</si>
  <si>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</si>
  <si>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</si>
  <si>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</si>
  <si>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</si>
  <si>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</si>
  <si>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</si>
  <si>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</si>
  <si>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</si>
  <si>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</si>
  <si>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</si>
  <si>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</si>
  <si>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</si>
  <si>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</si>
  <si>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</si>
  <si>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</si>
  <si>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</si>
  <si>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</si>
  <si>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</si>
  <si>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</si>
  <si>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</si>
  <si>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</si>
  <si>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</si>
  <si>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</si>
  <si>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</si>
  <si>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</si>
  <si>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</si>
  <si>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</si>
  <si>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</si>
  <si>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</si>
  <si>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</si>
  <si>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</si>
  <si>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</si>
  <si>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</si>
  <si>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</si>
  <si>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</si>
  <si>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</si>
  <si>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</si>
  <si>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</si>
  <si>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</si>
  <si>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</si>
  <si>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</si>
  <si>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</si>
  <si>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</si>
  <si>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</si>
  <si>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</si>
  <si>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</si>
  <si>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</si>
  <si>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</si>
  <si>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</si>
  <si>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</si>
  <si>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</si>
  <si>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</si>
  <si>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</si>
  <si>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</si>
  <si>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</si>
  <si>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</si>
  <si>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</si>
  <si>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</si>
  <si>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</si>
  <si>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</si>
  <si>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</si>
  <si>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</si>
  <si>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</si>
  <si>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</si>
  <si>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</si>
  <si>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</si>
  <si>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</si>
  <si>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</si>
  <si>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</si>
  <si>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</si>
  <si>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</si>
  <si>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</si>
  <si>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</si>
  <si>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</si>
  <si>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</si>
  <si>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</si>
  <si>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</si>
  <si>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</si>
  <si>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</si>
  <si>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</si>
  <si>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</si>
  <si>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</si>
  <si>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</si>
  <si>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</si>
  <si>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</si>
  <si>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</si>
  <si>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</si>
  <si>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</si>
  <si>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</si>
  <si>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</si>
  <si>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</si>
  <si>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</si>
  <si>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</si>
  <si>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</si>
  <si>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</si>
  <si>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</si>
  <si>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</si>
  <si>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</si>
  <si>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</si>
  <si>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</si>
  <si>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</si>
  <si>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</si>
  <si>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</si>
  <si>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</si>
  <si>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</si>
  <si>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</si>
  <si>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</si>
  <si>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</si>
  <si>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</si>
  <si>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</si>
  <si>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</si>
  <si>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</si>
  <si>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</si>
  <si>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</si>
  <si>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</si>
  <si>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</si>
  <si>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</si>
  <si>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</si>
  <si>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</si>
  <si>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</si>
  <si>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</si>
  <si>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</si>
  <si>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</si>
  <si>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</si>
  <si>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</si>
  <si>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</si>
  <si>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</si>
  <si>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</si>
  <si>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</si>
  <si>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</si>
  <si>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</si>
  <si>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</si>
  <si>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</si>
  <si>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</si>
  <si>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</si>
  <si>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</si>
  <si>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</si>
  <si>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</si>
  <si>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</si>
  <si>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</si>
  <si>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</si>
  <si>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</si>
  <si>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</si>
  <si>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</si>
  <si>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</si>
  <si>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</si>
  <si>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</si>
  <si>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Salman </t>
  </si>
  <si>
    <t>My Store</t>
  </si>
  <si>
    <t xml:space="preserve">Address:Falcon Society </t>
  </si>
  <si>
    <t>Lala Gee Super Store</t>
  </si>
  <si>
    <t>Shaheen Store</t>
  </si>
  <si>
    <t>M Sadiq Store</t>
  </si>
  <si>
    <t xml:space="preserve">Shera Mart </t>
  </si>
  <si>
    <t>Murad General Store</t>
  </si>
  <si>
    <t>Chishtiya Sabriya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</si>
</sst>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4" sqref="U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513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v>46235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My Store</v>
      </c>
      <c r="T3" s="301">
        <f>+'1'!P35</f>
        <v>11077.812668745764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Lala Gee Super Store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Shaheen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M Sadiq Store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35</v>
      </c>
      <c r="I7" s="235">
        <f>(G7*D7)*F7+H7*F7</f>
        <v>1836.1875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146.89499999999998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64.266562500000006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1625.0259375000001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347.03389830508456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9.8602991790254233</v>
      </c>
      <c r="P7" s="310">
        <f>M7+N7+O7</f>
        <v>1981.9201349841101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</v>
      </c>
      <c r="R7" s="314">
        <v>5</v>
      </c>
      <c r="S7" s="300" t="str">
        <f>+'5'!A6:A6</f>
        <v xml:space="preserve">Shera Mart </v>
      </c>
      <c r="T7" s="301">
        <f>+'5'!P35</f>
        <v>3099.640539584746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4">
        <v>6</v>
      </c>
      <c r="S8" s="300" t="str">
        <f>+'6'!A6:A6</f>
        <v>Murad General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Chishtiya Sabriya Store</v>
      </c>
      <c r="T9" s="301">
        <f>+'7'!P35</f>
        <v>1790.2578190900424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64</v>
      </c>
      <c r="I10" s="236">
        <f t="shared" si="0"/>
        <v>4648.96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371.91680000000002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162.71360000000001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4114.3296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878.64406779661022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24.964868338983052</v>
      </c>
      <c r="P10" s="311">
        <f t="shared" si="2"/>
        <v>5017.9385361355935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20.674031593220342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319.61599999999999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21.454183728813561</v>
      </c>
      <c r="P12" s="311">
        <f t="shared" si="2"/>
        <v>4312.2909294915253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132</v>
      </c>
      <c r="I13" s="236">
        <f t="shared" si="0"/>
        <v>5178.3600000000006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258.91800000000006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181.24260000000004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264.09636</v>
      </c>
      <c r="M13" s="230">
        <f t="shared" si="1"/>
        <v>4474.10304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1006.7796610169486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27.404413505084747</v>
      </c>
      <c r="P13" s="311">
        <f t="shared" si="2"/>
        <v>5508.2871145220333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8.9749999999999996</v>
      </c>
      <c r="H16" s="113">
        <f t="shared" ref="H16:M16" si="3">SUM(H7:H15)</f>
        <v>359</v>
      </c>
      <c r="I16" s="114">
        <f t="shared" si="3"/>
        <v>20557.877500000002</v>
      </c>
      <c r="J16" s="274">
        <f>SUM(J7:J15)</f>
        <v>1489.2794000000001</v>
      </c>
      <c r="K16" s="275">
        <f t="shared" si="3"/>
        <v>719.52571250000005</v>
      </c>
      <c r="L16" s="276">
        <f t="shared" si="3"/>
        <v>264.09636</v>
      </c>
      <c r="M16" s="232">
        <f t="shared" si="3"/>
        <v>18084.976027500001</v>
      </c>
      <c r="N16" s="233">
        <f>SUM(N7:N15)</f>
        <v>3913.4745762711855</v>
      </c>
      <c r="O16" s="101">
        <f>SUM(O7:O15)</f>
        <v>109.99225301885595</v>
      </c>
      <c r="P16" s="113">
        <f>SUM(P7:P15)</f>
        <v>22108.442856790043</v>
      </c>
      <c r="Q16" s="128">
        <f>SUM(Q7:Q15)</f>
        <v>43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20557.877500000002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1489.2794000000001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983.62207250000006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18084.976027500004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3913.4745762711855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21998.450603771191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109.99225301885595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22108.442856790047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22108.442856790043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10286</v>
      </c>
      <c r="J25" s="274">
        <f>SUM(J16:J24)</f>
        <v>775.80400000000009</v>
      </c>
      <c r="K25" s="275">
        <f t="shared" si="10"/>
        <v>360.01000000000005</v>
      </c>
      <c r="L25" s="276">
        <f t="shared" si="10"/>
        <v>80.029200000000003</v>
      </c>
      <c r="M25" s="232">
        <f t="shared" si="10"/>
        <v>9070.1568000000007</v>
      </c>
      <c r="N25" s="233">
        <f>SUM(N16:N24)</f>
        <v>1952.542372881356</v>
      </c>
      <c r="O25" s="101">
        <f>SUM(O16:O24)</f>
        <v>55.113495864406786</v>
      </c>
      <c r="P25" s="113">
        <f>SUM(P16:P24)</f>
        <v>11077.812668745762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10286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775.80400000000009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440.03920000000005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9070.1568000000007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11022.699172881357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42" t="s">
        <v>88</v>
      </c>
      <c r="O35" s="343"/>
      <c r="P35" s="297">
        <f>+P33+P34</f>
        <v>11077.812668745764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311">
        <f t="shared" si="5"/>
        <v>1019.2687651525424</v>
      </c>
      <c r="Q20" s="156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310.90800000000007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8.7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2883.1000000000004</v>
      </c>
      <c r="J25" s="274">
        <f>SUM(J16:J24)</f>
        <v>207.11</v>
      </c>
      <c r="K25" s="275">
        <f t="shared" si="7"/>
        <v>100.9085</v>
      </c>
      <c r="L25" s="276">
        <f t="shared" si="7"/>
        <v>40.014600000000002</v>
      </c>
      <c r="M25" s="232">
        <f t="shared" si="7"/>
        <v>2535.0669000000003</v>
      </c>
      <c r="N25" s="233">
        <f>SUM(N16:N24)</f>
        <v>549.15254237288104</v>
      </c>
      <c r="O25" s="101">
        <f>SUM(O16:O24)</f>
        <v>15.421097211864407</v>
      </c>
      <c r="P25" s="113">
        <f>SUM(P16:P24)</f>
        <v>3099.640539584746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2883.1000000000004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207.11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140.92310000000001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2535.0669000000003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3084.2194423728815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42" t="s">
        <v>88</v>
      </c>
      <c r="O35" s="343"/>
      <c r="P35" s="297">
        <f>+P33+P34</f>
        <v>3099.640539584746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11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27</v>
      </c>
      <c r="I25" s="114">
        <f t="shared" si="7"/>
        <v>1658.6175000000001</v>
      </c>
      <c r="J25" s="274">
        <f>SUM(J16:J24)</f>
        <v>132.68940000000001</v>
      </c>
      <c r="K25" s="275">
        <f t="shared" si="7"/>
        <v>58.051612500000005</v>
      </c>
      <c r="L25" s="276">
        <f t="shared" si="7"/>
        <v>0</v>
      </c>
      <c r="M25" s="232">
        <f t="shared" si="7"/>
        <v>1467.8764875000002</v>
      </c>
      <c r="N25" s="233">
        <f>SUM(N16:N24)</f>
        <v>313.47457627118638</v>
      </c>
      <c r="O25" s="101">
        <f>SUM(O16:O24)</f>
        <v>8.9067553188559323</v>
      </c>
      <c r="P25" s="113">
        <f>SUM(P16:P24)</f>
        <v>1790.2578190900422</v>
      </c>
      <c r="Q25" s="128">
        <f>SUM(Q16:Q24)</f>
        <v>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1658.6175000000001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132.68940000000001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58.051612500000005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1467.8764875000002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313.47457627118638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1781.3510637711865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8.9067553188559323</v>
      </c>
    </row>
    <row r="35" spans="2:16" ht="15.75" customHeight="1" thickBot="1" x14ac:dyDescent="0.4">
      <c r="N35" s="342" t="s">
        <v>88</v>
      </c>
      <c r="O35" s="343"/>
      <c r="P35" s="297">
        <f>+P33+P34</f>
        <v>1790.2578190900424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2026-08-01T10:23:04Z</dcterms:modified>
</cp:coreProperties>
</file>