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D454165-6E73-44B3-86FF-B30997EE82DF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N4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16" i="44"/>
  <c r="M21" i="43"/>
  <c r="O21" i="43" s="1"/>
  <c r="P21" i="43" s="1"/>
  <c r="K12" i="62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<sst xmlns="http://schemas.openxmlformats.org/spreadsheetml/2006/main" count="3975" uniqueCount="522">
  <si>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</si>
  <si>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</si>
  <si>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</si>
  <si>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</si>
  <si>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</si>
  <si>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</si>
  <si>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</si>
  <si>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</si>
  <si>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</si>
  <si>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</si>
  <si>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</si>
  <si>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</si>
  <si>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</si>
  <si>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</si>
  <si>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</si>
  <si>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</si>
  <si>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</si>
  <si>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</si>
  <si>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</si>
  <si>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</si>
  <si>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</si>
  <si>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</si>
  <si>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</si>
  <si>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</si>
  <si>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</si>
  <si>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</si>
  <si>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</si>
  <si>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</si>
  <si>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</si>
  <si>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</si>
  <si>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</si>
  <si>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</si>
  <si>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</si>
  <si>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</si>
  <si>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</si>
  <si>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</si>
  <si>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</si>
  <si>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</si>
  <si>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</si>
  <si>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</si>
  <si>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</si>
  <si>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</si>
  <si>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</si>
  <si>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</si>
  <si>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</si>
  <si>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</si>
  <si>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</si>
  <si>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</si>
  <si>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</si>
  <si>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</si>
  <si>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</si>
  <si>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</si>
  <si>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</si>
  <si>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</si>
  <si>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</si>
  <si>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</si>
  <si>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</si>
  <si>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</si>
  <si>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</si>
  <si>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</si>
  <si>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</si>
  <si>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</si>
  <si>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</si>
  <si>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</si>
  <si>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</si>
  <si>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</si>
  <si>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</si>
  <si>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</si>
  <si>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</si>
  <si>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</si>
  <si>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</si>
  <si>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</si>
  <si>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</si>
  <si>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</si>
  <si>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</si>
  <si>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</si>
  <si>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</si>
  <si>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</si>
  <si>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</si>
  <si>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</si>
  <si>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</si>
  <si>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</si>
  <si>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</si>
  <si>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</si>
  <si>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</si>
  <si>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</si>
  <si>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</si>
  <si>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</si>
  <si>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</si>
  <si>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</si>
  <si>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</si>
  <si>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</si>
  <si>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</si>
  <si>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</si>
  <si>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</si>
  <si>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</si>
  <si>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</si>
  <si>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</si>
  <si>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</si>
  <si>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</si>
  <si>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</si>
  <si>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</si>
  <si>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</si>
  <si>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</si>
  <si>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</si>
  <si>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</si>
  <si>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</si>
  <si>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</si>
  <si>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</si>
  <si>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</si>
  <si>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</si>
  <si>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</si>
  <si>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</si>
  <si>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</si>
  <si>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</si>
  <si>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</si>
  <si>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</si>
  <si>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</si>
  <si>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</si>
  <si>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</si>
  <si>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</si>
  <si>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</si>
  <si>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</si>
  <si>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</si>
  <si>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</si>
  <si>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</si>
  <si>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</si>
  <si>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</si>
  <si>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</si>
  <si>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</si>
  <si>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</si>
  <si>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</si>
  <si>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</si>
  <si>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</si>
  <si>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</si>
  <si>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</si>
  <si>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</si>
  <si>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</si>
  <si>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</si>
  <si>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</si>
  <si>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</si>
  <si>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</si>
  <si>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</si>
  <si>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</si>
  <si>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</si>
  <si>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</si>
  <si>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</si>
  <si>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</si>
  <si>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</si>
  <si>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</si>
  <si>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</si>
  <si>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</si>
  <si>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</si>
  <si>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</si>
  <si>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</si>
  <si>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</si>
  <si>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</si>
  <si>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</si>
  <si>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</si>
  <si>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</si>
  <si>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</si>
  <si>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</si>
  <si>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</si>
  <si>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</si>
  <si>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</si>
  <si>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</si>
  <si>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</si>
  <si>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</si>
  <si>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</si>
  <si>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</si>
  <si>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</si>
  <si>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</si>
  <si>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</si>
  <si>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</si>
  <si>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</si>
  <si>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</si>
  <si>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</si>
  <si>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</si>
  <si>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</si>
  <si>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</si>
  <si>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</si>
  <si>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</si>
  <si>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</si>
  <si>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</si>
  <si>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</si>
  <si>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</si>
  <si>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</si>
  <si>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</si>
  <si>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</si>
  <si>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</si>
  <si>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</si>
  <si>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</si>
  <si>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</si>
  <si>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</si>
  <si>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</si>
  <si>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</si>
  <si>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</si>
  <si>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</si>
  <si>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</si>
  <si>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</si>
  <si>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</si>
  <si>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</si>
  <si>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</si>
  <si>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</si>
  <si>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</si>
  <si>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</si>
  <si>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</si>
  <si>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</si>
  <si>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</si>
  <si>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</si>
  <si>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</si>
  <si>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</si>
  <si>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</si>
  <si>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</si>
  <si>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</si>
  <si>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</si>
  <si>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</si>
  <si>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</si>
  <si>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</si>
  <si>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</si>
  <si>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</si>
  <si>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</si>
  <si>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</si>
  <si>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</si>
  <si>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</si>
  <si>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</si>
  <si>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</si>
  <si>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</si>
  <si>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</si>
  <si>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</si>
  <si>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</si>
  <si>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</si>
  <si>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</si>
  <si>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</si>
  <si>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</si>
  <si>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</si>
  <si>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</si>
  <si>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</si>
  <si>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</si>
  <si>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</si>
  <si>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</si>
  <si>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</si>
  <si>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</si>
  <si>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</si>
  <si>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</si>
  <si>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</si>
  <si>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</si>
  <si>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</si>
  <si>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</si>
  <si>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</si>
  <si>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</si>
  <si>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</si>
  <si>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</si>
  <si>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</si>
  <si>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</si>
  <si>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</si>
  <si>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</si>
  <si>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</si>
  <si>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</si>
  <si>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</si>
  <si>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</si>
  <si>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</si>
  <si>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</si>
  <si>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</si>
  <si>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</si>
  <si>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</si>
  <si>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</si>
  <si>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</si>
  <si>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</si>
  <si>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</si>
  <si>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</si>
  <si>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</si>
  <si>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</si>
  <si>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</si>
  <si>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</si>
  <si>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</si>
  <si>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</si>
  <si>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</si>
  <si>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</si>
  <si>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</si>
  <si>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</si>
  <si>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</si>
  <si>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</si>
  <si>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</si>
  <si>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</si>
  <si>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</si>
  <si>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</si>
  <si>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</si>
  <si>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</si>
  <si>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</si>
  <si>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</si>
  <si>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</si>
  <si>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</si>
  <si>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</si>
  <si>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</si>
  <si>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</si>
  <si>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</si>
  <si>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</si>
  <si>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</si>
  <si>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</si>
  <si>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</si>
  <si>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</si>
  <si>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</si>
  <si>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</si>
  <si>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</si>
  <si>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</si>
  <si>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</si>
  <si>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</si>
  <si>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</si>
  <si>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</si>
  <si>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</si>
  <si>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</si>
  <si>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</si>
  <si>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</si>
  <si>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</si>
  <si>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</si>
  <si>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</si>
  <si>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</si>
  <si>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</si>
  <si>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</si>
  <si>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</si>
  <si>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</si>
  <si>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</si>
  <si>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</si>
  <si>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</si>
  <si>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</si>
  <si>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</si>
  <si>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</si>
  <si>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</si>
  <si>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</si>
  <si>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</si>
  <si>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</si>
  <si>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</si>
  <si>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</si>
  <si>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</si>
  <si>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</si>
  <si>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</si>
  <si>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</si>
  <si>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</si>
  <si>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</si>
  <si>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</si>
  <si>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</si>
  <si>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</si>
  <si>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</si>
  <si>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</si>
  <si>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</si>
  <si>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</si>
  <si>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</si>
  <si>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</si>
  <si>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</si>
  <si>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</si>
  <si>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</si>
  <si>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</si>
  <si>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</si>
  <si>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</si>
  <si>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</si>
  <si>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</si>
  <si>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</si>
  <si>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</si>
  <si>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</si>
  <si>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</si>
  <si>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</si>
  <si>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</si>
  <si>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</si>
  <si>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</si>
  <si>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</si>
  <si>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</si>
  <si>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</si>
  <si>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</si>
  <si>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</si>
  <si>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</si>
  <si>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</si>
  <si>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</si>
  <si>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</si>
  <si>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</si>
  <si>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</si>
  <si>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</si>
  <si>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</si>
  <si>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</si>
  <si>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</si>
  <si>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</si>
  <si>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</si>
  <si>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</si>
  <si>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</si>
  <si>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</si>
  <si>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</si>
  <si>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</si>
  <si>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</si>
  <si>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</si>
  <si>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</si>
  <si>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</si>
  <si>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</si>
  <si>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</si>
  <si>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</si>
  <si>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</si>
  <si>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</si>
  <si>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</si>
  <si>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</si>
  <si>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</si>
  <si>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</si>
  <si>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</si>
  <si>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</si>
  <si>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</si>
  <si>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</si>
  <si>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</si>
  <si>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</si>
  <si>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</si>
  <si>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</si>
  <si>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</si>
  <si>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</si>
  <si>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</si>
  <si>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</si>
  <si>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</si>
  <si>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</si>
  <si>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</si>
  <si>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</si>
  <si>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</si>
  <si>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</si>
  <si>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</si>
  <si>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</si>
  <si>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</si>
  <si>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</si>
  <si>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</si>
  <si>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</si>
  <si>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</si>
  <si>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</si>
  <si>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</si>
  <si>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</si>
  <si>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</si>
  <si>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</si>
  <si>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</si>
  <si>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</si>
  <si>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</si>
  <si>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</si>
  <si>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</si>
  <si>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</si>
  <si>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</si>
  <si>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</si>
  <si>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</si>
  <si>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</si>
  <si>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</si>
  <si>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</si>
  <si>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</si>
  <si>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</si>
  <si>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</si>
  <si>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</si>
  <si>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</si>
  <si>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</si>
  <si>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</si>
  <si>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</si>
  <si>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</si>
  <si>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</si>
  <si>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</si>
  <si>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</si>
  <si>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</si>
  <si>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</si>
  <si>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</si>
  <si>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</si>
  <si>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</si>
  <si>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</si>
  <si>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</si>
  <si>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</si>
  <si>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</si>
  <si>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</si>
  <si>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</si>
  <si>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</si>
  <si>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</si>
  <si>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</si>
  <si>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</si>
  <si>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</si>
  <si>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</si>
  <si>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</si>
  <si>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</si>
  <si>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</si>
  <si>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</si>
  <si>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</si>
  <si>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</si>
  <si>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</si>
  <si>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</si>
  <si>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</si>
  <si>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</si>
  <si>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</si>
  <si>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</si>
  <si>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</si>
  <si>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</si>
  <si>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</si>
  <si>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</si>
  <si>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</si>
  <si>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</si>
  <si>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</si>
  <si>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</si>
  <si>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</si>
  <si>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</si>
  <si>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</si>
  <si>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</si>
  <si>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</si>
  <si>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</si>
  <si>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</si>
  <si>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</si>
  <si>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</si>
  <si>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</si>
  <si>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</si>
  <si>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</si>
  <si>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</si>
  <si>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</si>
  <si>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</si>
  <si>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</si>
  <si>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</si>
  <si>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</si>
  <si>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</si>
  <si>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</si>
  <si>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</si>
  <si>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</si>
  <si>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Salman </t>
  </si>
  <si>
    <t>My Store</t>
  </si>
  <si>
    <t xml:space="preserve">Address:Falcon Society </t>
  </si>
  <si>
    <t>Lala Gee Super Store</t>
  </si>
  <si>
    <t>Shaheen Store</t>
  </si>
  <si>
    <t>M Sadiq Store</t>
  </si>
  <si>
    <t xml:space="preserve">Shera Mart </t>
  </si>
  <si>
    <t>Murad General Store</t>
  </si>
  <si>
    <t>Chishtiya Sabriya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</si>
</sst>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U5" sqref="U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513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500</v>
      </c>
      <c r="F3" s="387"/>
      <c r="G3" s="387"/>
      <c r="H3" s="384">
        <f ca="1">+'1'!N4:N4</f>
        <v>46236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My Store</v>
      </c>
      <c r="T3" s="301">
        <f>+'1'!P35</f>
        <v>11077.812668745764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Lala Gee Super Store</v>
      </c>
      <c r="T4" s="301">
        <f>+'2'!P35</f>
        <v>4805.3894985762709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512</v>
      </c>
      <c r="R5" s="314">
        <v>3</v>
      </c>
      <c r="S5" s="300" t="str">
        <f>+'3'!A6:A6</f>
        <v>Shaheen Store</v>
      </c>
      <c r="T5" s="301">
        <f>+'3'!P35</f>
        <v>1967.114748165254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511</v>
      </c>
      <c r="R6" s="314">
        <v>4</v>
      </c>
      <c r="S6" s="300" t="str">
        <f>+'4'!A6:A6</f>
        <v>M Sadiq Store</v>
      </c>
      <c r="T6" s="301">
        <f>+'4'!P35</f>
        <v>834.58895674576274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45</v>
      </c>
      <c r="I7" s="235">
        <f>(G7*D7)*F7+H7*F7</f>
        <v>2360.8125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188.86500000000001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82.628437500000018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2089.3190624999997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446.18644067796589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12.67752751588983</v>
      </c>
      <c r="P7" s="310">
        <f>M7+N7+O7</f>
        <v>2548.1830306938555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Shera Mart </v>
      </c>
      <c r="T7" s="301">
        <f>+'5'!P35</f>
        <v>3099.640539584746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30</v>
      </c>
      <c r="I8" s="236">
        <f t="shared" ref="I8:I14" si="0">(G8*D8)*F8+H8*F8</f>
        <v>1573.875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125.91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55.085625000000007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1392.879375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297.45762711864393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8.45168501059322</v>
      </c>
      <c r="P8" s="311">
        <f t="shared" ref="P8:P15" si="2">M8+N8+O8</f>
        <v>1698.7886871292369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Murad General Store</v>
      </c>
      <c r="T8" s="301">
        <f>+'6'!P35</f>
        <v>500.75337404745761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Chishtiya Sabriya Store</v>
      </c>
      <c r="T9" s="301">
        <f>+'7'!P35</f>
        <v>2025.473687971398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67</v>
      </c>
      <c r="I10" s="236">
        <f t="shared" si="0"/>
        <v>4866.88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389.35040000000004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170.3408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4307.1887999999999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919.83050847457628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26.135096542372882</v>
      </c>
      <c r="P10" s="311">
        <f t="shared" si="2"/>
        <v>5253.1544050169487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53</v>
      </c>
      <c r="I11" s="236">
        <f t="shared" si="0"/>
        <v>3849.92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307.99360000000001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134.74720000000002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3407.1792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727.62711864406788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20.674031593220342</v>
      </c>
      <c r="P11" s="311">
        <f t="shared" si="2"/>
        <v>4155.4803502372879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55</v>
      </c>
      <c r="I12" s="236">
        <f t="shared" si="0"/>
        <v>3995.2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319.61599999999999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139.83200000000002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3535.752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755.08474576271192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21.454183728813561</v>
      </c>
      <c r="P12" s="311">
        <f t="shared" si="2"/>
        <v>4312.2909294915253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152</v>
      </c>
      <c r="I13" s="236">
        <f t="shared" si="0"/>
        <v>5962.9600000000009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298.14800000000008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208.70360000000005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304.11096000000003</v>
      </c>
      <c r="M13" s="230">
        <f t="shared" si="1"/>
        <v>5151.997440000001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1159.3220338983047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31.556597369491527</v>
      </c>
      <c r="P13" s="311">
        <f t="shared" si="2"/>
        <v>6342.8760712677968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10.050000000000001</v>
      </c>
      <c r="H16" s="113">
        <f t="shared" ref="H16:M16" si="3">SUM(H7:H15)</f>
        <v>402</v>
      </c>
      <c r="I16" s="114">
        <f t="shared" si="3"/>
        <v>22609.647499999999</v>
      </c>
      <c r="J16" s="274">
        <f>SUM(J7:J15)</f>
        <v>1629.8830000000003</v>
      </c>
      <c r="K16" s="275">
        <f t="shared" si="3"/>
        <v>791.33766250000008</v>
      </c>
      <c r="L16" s="276">
        <f t="shared" si="3"/>
        <v>304.11096000000003</v>
      </c>
      <c r="M16" s="232">
        <f t="shared" si="3"/>
        <v>19884.315877500001</v>
      </c>
      <c r="N16" s="233">
        <f>SUM(N7:N15)</f>
        <v>4305.5084745762706</v>
      </c>
      <c r="O16" s="101">
        <f>SUM(O7:O15)</f>
        <v>120.94912176038137</v>
      </c>
      <c r="P16" s="113">
        <f>SUM(P7:P15)</f>
        <v>24310.773473836653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22609.647499999999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1629.8830000000003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1095.4486225000001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19884.315877499997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4305.5084745762706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24189.82435207627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120.94912176038137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24310.773473836653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24310.773473836653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7.25" customHeight="1" x14ac:dyDescent="0.4">
      <c r="A6" s="397" t="s">
        <v>514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10286</v>
      </c>
      <c r="J25" s="274">
        <f>SUM(J16:J24)</f>
        <v>775.80400000000009</v>
      </c>
      <c r="K25" s="275">
        <f t="shared" si="10"/>
        <v>360.01000000000005</v>
      </c>
      <c r="L25" s="276">
        <f t="shared" si="10"/>
        <v>80.029200000000003</v>
      </c>
      <c r="M25" s="232">
        <f t="shared" si="10"/>
        <v>9070.1568000000007</v>
      </c>
      <c r="N25" s="233">
        <f>SUM(N16:N24)</f>
        <v>1952.542372881356</v>
      </c>
      <c r="O25" s="101">
        <f>SUM(O16:O24)</f>
        <v>55.113495864406786</v>
      </c>
      <c r="P25" s="113">
        <f>SUM(P16:P24)</f>
        <v>11077.812668745762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10286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775.80400000000009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440.03920000000005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9070.1568000000007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1952.542372881356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11022.699172881357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55.113495864406786</v>
      </c>
    </row>
    <row r="35" spans="2:16" ht="15.75" customHeight="1" thickBot="1" x14ac:dyDescent="0.4">
      <c r="N35" s="371" t="s">
        <v>88</v>
      </c>
      <c r="O35" s="372"/>
      <c r="P35" s="297">
        <f>+P33+P34</f>
        <v>11077.812668745764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311">
        <f t="shared" si="5"/>
        <v>1019.2687651525424</v>
      </c>
      <c r="Q20" s="156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310.90800000000007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4805.3894985762709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8.7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1833.8500000000001</v>
      </c>
      <c r="J25" s="274">
        <f>SUM(J16:J24)</f>
        <v>123.17000000000002</v>
      </c>
      <c r="K25" s="275">
        <f t="shared" si="7"/>
        <v>64.184750000000008</v>
      </c>
      <c r="L25" s="276">
        <f t="shared" si="7"/>
        <v>40.014600000000002</v>
      </c>
      <c r="M25" s="232">
        <f t="shared" si="7"/>
        <v>1606.4806500000002</v>
      </c>
      <c r="N25" s="233">
        <f>SUM(N16:N24)</f>
        <v>350.8474576271185</v>
      </c>
      <c r="O25" s="101">
        <f>SUM(O16:O24)</f>
        <v>9.7866405381355932</v>
      </c>
      <c r="P25" s="113">
        <f>SUM(P16:P24)</f>
        <v>1967.1147481652542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1833.8500000000001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123.17000000000002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104.19935000000001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1606.48065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350.8474576271185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1957.3281076271185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9.7866405381355932</v>
      </c>
    </row>
    <row r="35" spans="2:16" ht="15.75" customHeight="1" thickBot="1" x14ac:dyDescent="0.4">
      <c r="N35" s="371" t="s">
        <v>88</v>
      </c>
      <c r="O35" s="372"/>
      <c r="P35" s="297">
        <f>+P33+P34</f>
        <v>1967.114748165254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784.60000000000014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39.230000000000011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67.475600000000014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677.89440000000013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830.43677288135598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71" t="s">
        <v>88</v>
      </c>
      <c r="O35" s="372"/>
      <c r="P35" s="297">
        <f>+P33+P34</f>
        <v>834.58895674576274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60</v>
      </c>
      <c r="I25" s="114">
        <f t="shared" si="7"/>
        <v>2883.1000000000004</v>
      </c>
      <c r="J25" s="274">
        <f>SUM(J16:J24)</f>
        <v>207.11</v>
      </c>
      <c r="K25" s="275">
        <f t="shared" si="7"/>
        <v>100.9085</v>
      </c>
      <c r="L25" s="276">
        <f t="shared" si="7"/>
        <v>40.014600000000002</v>
      </c>
      <c r="M25" s="232">
        <f t="shared" si="7"/>
        <v>2535.0669000000003</v>
      </c>
      <c r="N25" s="233">
        <f>SUM(N16:N24)</f>
        <v>549.15254237288104</v>
      </c>
      <c r="O25" s="101">
        <f>SUM(O16:O24)</f>
        <v>15.421097211864407</v>
      </c>
      <c r="P25" s="113">
        <f>SUM(P16:P24)</f>
        <v>3099.640539584746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2883.1000000000004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207.11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140.92310000000001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2535.0669000000003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549.15254237288104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3084.2194423728815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15.421097211864408</v>
      </c>
    </row>
    <row r="35" spans="2:16" ht="15.75" customHeight="1" thickBot="1" x14ac:dyDescent="0.4">
      <c r="N35" s="371" t="s">
        <v>88</v>
      </c>
      <c r="O35" s="372"/>
      <c r="P35" s="297">
        <f>+P33+P34</f>
        <v>3099.640539584746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470.76000000000005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23.538000000000004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40.485360000000007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406.73664000000002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498.26206372881353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1" t="s">
        <v>88</v>
      </c>
      <c r="O35" s="372"/>
      <c r="P35" s="297">
        <f>+P33+P34</f>
        <v>500.75337404745761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30</v>
      </c>
      <c r="I25" s="114">
        <f t="shared" si="7"/>
        <v>1876.5374999999999</v>
      </c>
      <c r="J25" s="274">
        <f>SUM(J16:J24)</f>
        <v>150.12299999999999</v>
      </c>
      <c r="K25" s="275">
        <f t="shared" si="7"/>
        <v>65.678812500000006</v>
      </c>
      <c r="L25" s="276">
        <f t="shared" si="7"/>
        <v>0</v>
      </c>
      <c r="M25" s="232">
        <f t="shared" si="7"/>
        <v>1660.7356875</v>
      </c>
      <c r="N25" s="233">
        <f>SUM(N16:N24)</f>
        <v>354.6610169491525</v>
      </c>
      <c r="O25" s="101">
        <f>SUM(O16:O24)</f>
        <v>10.076983522245762</v>
      </c>
      <c r="P25" s="113">
        <f>SUM(P16:P24)</f>
        <v>2025.4736879713982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1876.5374999999999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150.12299999999999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65.678812500000006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1660.7356874999998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354.6610169491525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2015.3967044491524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10.076983522245762</v>
      </c>
    </row>
    <row r="35" spans="2:16" ht="15.75" customHeight="1" thickBot="1" x14ac:dyDescent="0.4">
      <c r="N35" s="371" t="s">
        <v>88</v>
      </c>
      <c r="O35" s="372"/>
      <c r="P35" s="297">
        <f>+P33+P34</f>
        <v>2025.473687971398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8.7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46236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46235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2026-08-01T05:18:20Z</dcterms:modified>
</cp:coreProperties>
</file>