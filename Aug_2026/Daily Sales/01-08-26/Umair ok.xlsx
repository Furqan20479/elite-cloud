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BFF1E5F-B8B7-4E50-8B5F-0DF06358F476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<sst xmlns="http://schemas.openxmlformats.org/spreadsheetml/2006/main" count="3975" uniqueCount="524">
  <si>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</si>
  <si>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</si>
  <si>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</si>
  <si>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</si>
  <si>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</si>
  <si>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</si>
  <si>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</si>
  <si>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</si>
  <si>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</si>
  <si>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</si>
  <si>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</si>
  <si>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</si>
  <si>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</si>
  <si>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</si>
  <si>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</si>
  <si>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</si>
  <si>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</si>
  <si>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</si>
  <si>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</si>
  <si>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</si>
  <si>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</si>
  <si>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</si>
  <si>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</si>
  <si>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</si>
  <si>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</si>
  <si>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</si>
  <si>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</si>
  <si>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</si>
  <si>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</si>
  <si>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</si>
  <si>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</si>
  <si>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</si>
  <si>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</si>
  <si>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</si>
  <si>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</si>
  <si>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</si>
  <si>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</si>
  <si>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</si>
  <si>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</si>
  <si>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</si>
  <si>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</si>
  <si>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</si>
  <si>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</si>
  <si>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</si>
  <si>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</si>
  <si>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</si>
  <si>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</si>
  <si>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</si>
  <si>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</si>
  <si>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</si>
  <si>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</si>
  <si>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</si>
  <si>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</si>
  <si>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</si>
  <si>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</si>
  <si>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</si>
  <si>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</si>
  <si>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</si>
  <si>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</si>
  <si>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</si>
  <si>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</si>
  <si>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</si>
  <si>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</si>
  <si>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</si>
  <si>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</si>
  <si>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</si>
  <si>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</si>
  <si>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</si>
  <si>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</si>
  <si>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</si>
  <si>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</si>
  <si>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</si>
  <si>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</si>
  <si>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</si>
  <si>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</si>
  <si>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</si>
  <si>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</si>
  <si>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</si>
  <si>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</si>
  <si>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</si>
  <si>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</si>
  <si>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</si>
  <si>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</si>
  <si>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</si>
  <si>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</si>
  <si>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</si>
  <si>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</si>
  <si>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</si>
  <si>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</si>
  <si>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</si>
  <si>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</si>
  <si>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</si>
  <si>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</si>
  <si>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</si>
  <si>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</si>
  <si>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</si>
  <si>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</si>
  <si>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</si>
  <si>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</si>
  <si>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</si>
  <si>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</si>
  <si>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</si>
  <si>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</si>
  <si>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</si>
  <si>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</si>
  <si>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</si>
  <si>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</si>
  <si>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</si>
  <si>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</si>
  <si>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</si>
  <si>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</si>
  <si>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</si>
  <si>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</si>
  <si>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</si>
  <si>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</si>
  <si>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</si>
  <si>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</si>
  <si>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</si>
  <si>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</si>
  <si>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</si>
  <si>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</si>
  <si>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</si>
  <si>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</si>
  <si>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</si>
  <si>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</si>
  <si>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</si>
  <si>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</si>
  <si>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</si>
  <si>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</si>
  <si>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</si>
  <si>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</si>
  <si>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</si>
  <si>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</si>
  <si>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</si>
  <si>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</si>
  <si>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</si>
  <si>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</si>
  <si>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</si>
  <si>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</si>
  <si>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</si>
  <si>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</si>
  <si>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</si>
  <si>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</si>
  <si>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</si>
  <si>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</si>
  <si>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</si>
  <si>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</si>
  <si>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</si>
  <si>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</si>
  <si>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</si>
  <si>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</si>
  <si>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</si>
  <si>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</si>
  <si>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</si>
  <si>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</si>
  <si>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</si>
  <si>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</si>
  <si>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</si>
  <si>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</si>
  <si>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</si>
  <si>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</si>
  <si>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</si>
  <si>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</si>
  <si>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</si>
  <si>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</si>
  <si>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</si>
  <si>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</si>
  <si>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</si>
  <si>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</si>
  <si>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</si>
  <si>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</si>
  <si>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</si>
  <si>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</si>
  <si>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</si>
  <si>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</si>
  <si>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</si>
  <si>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</si>
  <si>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</si>
  <si>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</si>
  <si>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</si>
  <si>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</si>
  <si>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</si>
  <si>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</si>
  <si>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</si>
  <si>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</si>
  <si>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</si>
  <si>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</si>
  <si>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</si>
  <si>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</si>
  <si>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</si>
  <si>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</si>
  <si>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</si>
  <si>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</si>
  <si>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</si>
  <si>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</si>
  <si>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</si>
  <si>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</si>
  <si>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</si>
  <si>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</si>
  <si>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</si>
  <si>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</si>
  <si>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</si>
  <si>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</si>
  <si>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</si>
  <si>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</si>
  <si>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</si>
  <si>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</si>
  <si>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</si>
  <si>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</si>
  <si>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</si>
  <si>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</si>
  <si>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</si>
  <si>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</si>
  <si>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</si>
  <si>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</si>
  <si>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</si>
  <si>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</si>
  <si>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</si>
  <si>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</si>
  <si>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</si>
  <si>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</si>
  <si>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</si>
  <si>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</si>
  <si>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</si>
  <si>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</si>
  <si>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</si>
  <si>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</si>
  <si>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</si>
  <si>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</si>
  <si>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</si>
  <si>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</si>
  <si>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</si>
  <si>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</si>
  <si>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</si>
  <si>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</si>
  <si>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</si>
  <si>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</si>
  <si>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</si>
  <si>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</si>
  <si>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</si>
  <si>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</si>
  <si>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</si>
  <si>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</si>
  <si>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</si>
  <si>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</si>
  <si>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</si>
  <si>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</si>
  <si>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</si>
  <si>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</si>
  <si>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</si>
  <si>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</si>
  <si>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</si>
  <si>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</si>
  <si>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</si>
  <si>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</si>
  <si>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</si>
  <si>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</si>
  <si>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</si>
  <si>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</si>
  <si>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</si>
  <si>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</si>
  <si>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</si>
  <si>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</si>
  <si>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</si>
  <si>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</si>
  <si>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</si>
  <si>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</si>
  <si>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</si>
  <si>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</si>
  <si>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</si>
  <si>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</si>
  <si>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</si>
  <si>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</si>
  <si>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</si>
  <si>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</si>
  <si>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</si>
  <si>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</si>
  <si>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</si>
  <si>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</si>
  <si>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</si>
  <si>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</si>
  <si>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</si>
  <si>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</si>
  <si>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</si>
  <si>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</si>
  <si>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</si>
  <si>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</si>
  <si>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</si>
  <si>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</si>
  <si>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</si>
  <si>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</si>
  <si>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</si>
  <si>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</si>
  <si>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</si>
  <si>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</si>
  <si>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</si>
  <si>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</si>
  <si>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</si>
  <si>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</si>
  <si>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</si>
  <si>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</si>
  <si>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</si>
  <si>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</si>
  <si>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</si>
  <si>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</si>
  <si>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</si>
  <si>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</si>
  <si>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</si>
  <si>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</si>
  <si>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</si>
  <si>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</si>
  <si>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</si>
  <si>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</si>
  <si>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</si>
  <si>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</si>
  <si>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</si>
  <si>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</si>
  <si>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</si>
  <si>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</si>
  <si>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</si>
  <si>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</si>
  <si>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</si>
  <si>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</si>
  <si>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</si>
  <si>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</si>
  <si>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</si>
  <si>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</si>
  <si>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</si>
  <si>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</si>
  <si>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</si>
  <si>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</si>
  <si>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</si>
  <si>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</si>
  <si>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</si>
  <si>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</si>
  <si>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</si>
  <si>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</si>
  <si>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</si>
  <si>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</si>
  <si>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</si>
  <si>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</si>
  <si>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</si>
  <si>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</si>
  <si>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</si>
  <si>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</si>
  <si>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</si>
  <si>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</si>
  <si>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</si>
  <si>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</si>
  <si>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</si>
  <si>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</si>
  <si>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</si>
  <si>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</si>
  <si>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</si>
  <si>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</si>
  <si>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</si>
  <si>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</si>
  <si>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</si>
  <si>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</si>
  <si>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</si>
  <si>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</si>
  <si>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</si>
  <si>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</si>
  <si>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</si>
  <si>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</si>
  <si>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</si>
  <si>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</si>
  <si>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</si>
  <si>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</si>
  <si>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</si>
  <si>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</si>
  <si>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</si>
  <si>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</si>
  <si>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</si>
  <si>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</si>
  <si>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</si>
  <si>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</si>
  <si>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</si>
  <si>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</si>
  <si>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</si>
  <si>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</si>
  <si>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</si>
  <si>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</si>
  <si>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</si>
  <si>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</si>
  <si>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</si>
  <si>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</si>
  <si>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</si>
  <si>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</si>
  <si>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</si>
  <si>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</si>
  <si>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</si>
  <si>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</si>
  <si>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</si>
  <si>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</si>
  <si>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</si>
  <si>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</si>
  <si>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</si>
  <si>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</si>
  <si>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</si>
  <si>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</si>
  <si>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</si>
  <si>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</si>
  <si>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</si>
  <si>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</si>
  <si>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</si>
  <si>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</si>
  <si>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</si>
  <si>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</si>
  <si>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</si>
  <si>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</si>
  <si>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</si>
  <si>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</si>
  <si>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</si>
  <si>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</si>
  <si>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</si>
  <si>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</si>
  <si>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</si>
  <si>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</si>
  <si>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</si>
  <si>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</si>
  <si>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</si>
  <si>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</si>
  <si>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</si>
  <si>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</si>
  <si>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</si>
  <si>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</si>
  <si>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</si>
  <si>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</si>
  <si>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</si>
  <si>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</si>
  <si>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</si>
  <si>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</si>
  <si>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</si>
  <si>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</si>
  <si>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</si>
  <si>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</si>
  <si>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</si>
  <si>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</si>
  <si>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</si>
  <si>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</si>
  <si>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</si>
  <si>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</si>
  <si>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</si>
  <si>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</si>
  <si>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</si>
  <si>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</si>
  <si>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</si>
  <si>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</si>
  <si>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</si>
  <si>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</si>
  <si>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</si>
  <si>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</si>
  <si>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</si>
  <si>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</si>
  <si>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</si>
  <si>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</si>
  <si>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</si>
  <si>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</si>
  <si>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</si>
  <si>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</si>
  <si>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</si>
  <si>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</si>
  <si>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</si>
  <si>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</si>
  <si>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</si>
  <si>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</si>
  <si>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</si>
  <si>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</si>
  <si>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</si>
  <si>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</si>
  <si>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</si>
  <si>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</si>
  <si>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</si>
  <si>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</si>
  <si>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</si>
  <si>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</si>
  <si>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</si>
  <si>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</si>
  <si>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</si>
  <si>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</si>
  <si>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</si>
  <si>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</si>
  <si>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</si>
  <si>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</si>
  <si>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</si>
  <si>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</si>
  <si>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</si>
  <si>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</si>
  <si>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</si>
  <si>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</si>
  <si>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</si>
  <si>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</si>
  <si>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</si>
  <si>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</si>
  <si>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</si>
  <si>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</si>
  <si>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</si>
  <si>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</si>
  <si>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</si>
  <si>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</si>
  <si>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</si>
  <si>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</si>
  <si>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</si>
  <si>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</si>
  <si>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</si>
  <si>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</si>
  <si>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</si>
  <si>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</si>
  <si>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</si>
  <si>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</si>
  <si>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</si>
  <si>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</si>
  <si>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</si>
  <si>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Panda Mart </t>
  </si>
  <si>
    <t xml:space="preserve">Address:Pak Arab </t>
  </si>
  <si>
    <t>Awan Super Store</t>
  </si>
  <si>
    <t>Chuhan Super Store</t>
  </si>
  <si>
    <t xml:space="preserve">Address: Pak Arab </t>
  </si>
  <si>
    <t>Roshan Store</t>
  </si>
  <si>
    <t>Al Noor Store</t>
  </si>
  <si>
    <t>Zam Zam Store</t>
  </si>
  <si>
    <t>Waleed Super Store</t>
  </si>
  <si>
    <t xml:space="preserve">Premier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</si>
</sst>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U7" sqref="U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504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500</v>
      </c>
      <c r="F3" s="358"/>
      <c r="G3" s="358"/>
      <c r="H3" s="355">
        <f ca="1">+'1'!N4:N4</f>
        <v>46238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Panda Mart 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Awan Super Store</v>
      </c>
      <c r="T4" s="301">
        <f>+'2'!P35</f>
        <v>9408.6347552542375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>Chuhan Super Store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Roshan Store</v>
      </c>
      <c r="T6" s="301">
        <f>+'4'!P35</f>
        <v>4805.3894985762718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Al Noor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Zam Zam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Waleed Super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124</v>
      </c>
      <c r="I10" s="236">
        <f t="shared" si="0"/>
        <v>9007.36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720.58879999999999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315.25760000000002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7971.5136000000002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1702.3728813559323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48.369432406779666</v>
      </c>
      <c r="P10" s="311">
        <f t="shared" si="2"/>
        <v>9722.2559137627122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 xml:space="preserve">Premier Mart </v>
      </c>
      <c r="T10" s="301">
        <f>+'8'!P35</f>
        <v>7506.0210825381355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124</v>
      </c>
      <c r="I11" s="236">
        <f t="shared" si="0"/>
        <v>9007.36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720.58879999999999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315.25760000000002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7971.5136000000002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1702.3728813559323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48.369432406779666</v>
      </c>
      <c r="P11" s="311">
        <f t="shared" si="2"/>
        <v>9722.2559137627122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92</v>
      </c>
      <c r="I12" s="236">
        <f t="shared" si="0"/>
        <v>6682.88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534.63040000000001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233.90080000000003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5914.3487999999998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1263.0508474576272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35.88699823728814</v>
      </c>
      <c r="P12" s="311">
        <f t="shared" si="2"/>
        <v>7213.286645694915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52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12</v>
      </c>
      <c r="H16" s="113">
        <f t="shared" ref="H16:M16" si="3">SUM(H7:H15)</f>
        <v>480</v>
      </c>
      <c r="I16" s="114">
        <f t="shared" si="3"/>
        <v>30983.750000000004</v>
      </c>
      <c r="J16" s="274">
        <f>SUM(J7:J15)</f>
        <v>2384.5479999999998</v>
      </c>
      <c r="K16" s="275">
        <f t="shared" si="3"/>
        <v>1084.4312500000001</v>
      </c>
      <c r="L16" s="276">
        <f t="shared" si="3"/>
        <v>160.05840000000001</v>
      </c>
      <c r="M16" s="232">
        <f t="shared" si="3"/>
        <v>27354.712349999998</v>
      </c>
      <c r="N16" s="233">
        <f>SUM(N7:N15)</f>
        <v>5872.8813559322025</v>
      </c>
      <c r="O16" s="101">
        <f>SUM(O7:O15)</f>
        <v>166.13796852966101</v>
      </c>
      <c r="P16" s="113">
        <f>SUM(P7:P15)</f>
        <v>33393.731674461866</v>
      </c>
      <c r="Q16" s="128">
        <f>SUM(Q7:Q15)</f>
        <v>152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30983.750000000004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2384.5479999999998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1244.48965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27354.712350000005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5872.8813559322025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33227.59370593221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166.13796852966101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33393.731674461873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33393.731674461866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7.2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8716.7999999999993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697.34400000000005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305.08800000000002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7714.3679999999995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9361.8256271186438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2" t="s">
        <v>88</v>
      </c>
      <c r="O35" s="343"/>
      <c r="P35" s="297">
        <f>+P33+P34</f>
        <v>9408.6347552542375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8716.7999999999993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697.34400000000005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305.08800000000002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7714.3679999999995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9361.8256271186438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2" t="s">
        <v>88</v>
      </c>
      <c r="O35" s="343"/>
      <c r="P35" s="297">
        <f>+P33+P34</f>
        <v>9408.6347552542375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311">
        <f t="shared" si="5"/>
        <v>1097.6740547796612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14</v>
      </c>
      <c r="I20" s="236">
        <f t="shared" si="0"/>
        <v>1016.96</v>
      </c>
      <c r="J20" s="272">
        <f t="shared" si="1"/>
        <v>81.356800000000007</v>
      </c>
      <c r="K20" s="128">
        <f t="shared" si="1"/>
        <v>35.593600000000002</v>
      </c>
      <c r="L20" s="119">
        <f t="shared" si="1"/>
        <v>0</v>
      </c>
      <c r="M20" s="230">
        <f t="shared" si="2"/>
        <v>900.00960000000009</v>
      </c>
      <c r="N20" s="277">
        <f t="shared" si="3"/>
        <v>192.20338983050848</v>
      </c>
      <c r="O20" s="239">
        <f t="shared" si="4"/>
        <v>5.4610649491525427</v>
      </c>
      <c r="P20" s="311">
        <f t="shared" si="5"/>
        <v>1097.6740547796612</v>
      </c>
      <c r="Q20" s="156"/>
      <c r="R20">
        <f>P20/21</f>
        <v>52.27019308474577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4474.8000000000011</v>
      </c>
      <c r="J25" s="274">
        <f>SUM(J16:J24)</f>
        <v>310.90800000000007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4805.3894985762718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4474.8000000000011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3927.2448000000009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4781.4820881355936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23.907410440677968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4805.3894985762718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40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I22" sqref="I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9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311">
        <f t="shared" si="5"/>
        <v>2352.1586888135594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30</v>
      </c>
      <c r="I20" s="236">
        <f t="shared" si="0"/>
        <v>2179.1999999999998</v>
      </c>
      <c r="J20" s="272">
        <f t="shared" si="1"/>
        <v>174.33599999999998</v>
      </c>
      <c r="K20" s="128">
        <f t="shared" si="1"/>
        <v>76.272000000000006</v>
      </c>
      <c r="L20" s="119">
        <f t="shared" si="1"/>
        <v>0</v>
      </c>
      <c r="M20" s="230">
        <f t="shared" si="2"/>
        <v>1928.5919999999999</v>
      </c>
      <c r="N20" s="277">
        <f t="shared" si="3"/>
        <v>411.86440677966107</v>
      </c>
      <c r="O20" s="239">
        <f t="shared" si="4"/>
        <v>11.702282033898305</v>
      </c>
      <c r="P20" s="311">
        <f t="shared" si="5"/>
        <v>2352.1586888135594</v>
      </c>
      <c r="Q20" s="156"/>
      <c r="R20">
        <f>P20/21</f>
        <v>112.00755661016949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6976.85</v>
      </c>
      <c r="J25" s="274">
        <f>SUM(J16:J24)</f>
        <v>511.072</v>
      </c>
      <c r="K25" s="275">
        <f t="shared" si="7"/>
        <v>244.18975000000006</v>
      </c>
      <c r="L25" s="276">
        <f t="shared" si="7"/>
        <v>80.029200000000003</v>
      </c>
      <c r="M25" s="232">
        <f t="shared" si="7"/>
        <v>6141.5590499999998</v>
      </c>
      <c r="N25" s="233">
        <f>SUM(N16:N24)</f>
        <v>1327.1186440677966</v>
      </c>
      <c r="O25" s="101">
        <f>SUM(O16:O24)</f>
        <v>37.343388470338986</v>
      </c>
      <c r="P25" s="113">
        <f>SUM(P16:P24)</f>
        <v>7506.0210825381346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6976.85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511.072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324.21895000000006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6141.5590499999998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1327.1186440677966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7468.6776940677964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37.343388470338986</v>
      </c>
    </row>
    <row r="35" spans="2:16" ht="15.75" customHeight="1" thickBot="1" x14ac:dyDescent="0.4">
      <c r="N35" s="342" t="s">
        <v>88</v>
      </c>
      <c r="O35" s="343"/>
      <c r="P35" s="297">
        <f>+P33+P34</f>
        <v>7506.0210825381355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46237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2026-08-03T04:30:28Z</dcterms:modified>
</cp:coreProperties>
</file>