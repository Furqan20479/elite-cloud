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9EBBE2A-8715-4515-95A6-2B977320963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<sst xmlns="http://schemas.openxmlformats.org/spreadsheetml/2006/main" count="3975" uniqueCount="524">
  <si>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</si>
  <si>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</si>
  <si>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</si>
  <si>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</si>
  <si>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</si>
  <si>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</si>
  <si>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</si>
  <si>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</si>
  <si>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</si>
  <si>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</si>
  <si>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</si>
  <si>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</si>
  <si>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</si>
  <si>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</si>
  <si>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</si>
  <si>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</si>
  <si>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</si>
  <si>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</si>
  <si>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</si>
  <si>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</si>
  <si>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</si>
  <si>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</si>
  <si>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</si>
  <si>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</si>
  <si>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</si>
  <si>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</si>
  <si>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</si>
  <si>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</si>
  <si>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</si>
  <si>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</si>
  <si>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</si>
  <si>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</si>
  <si>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</si>
  <si>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</si>
  <si>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</si>
  <si>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</si>
  <si>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</si>
  <si>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</si>
  <si>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</si>
  <si>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</si>
  <si>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</si>
  <si>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</si>
  <si>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</si>
  <si>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</si>
  <si>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</si>
  <si>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</si>
  <si>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</si>
  <si>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</si>
  <si>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</si>
  <si>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</si>
  <si>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</si>
  <si>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</si>
  <si>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</si>
  <si>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</si>
  <si>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</si>
  <si>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</si>
  <si>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</si>
  <si>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</si>
  <si>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</si>
  <si>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</si>
  <si>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</si>
  <si>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</si>
  <si>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</si>
  <si>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</si>
  <si>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</si>
  <si>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</si>
  <si>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</si>
  <si>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</si>
  <si>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</si>
  <si>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</si>
  <si>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</si>
  <si>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</si>
  <si>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</si>
  <si>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</si>
  <si>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</si>
  <si>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</si>
  <si>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</si>
  <si>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</si>
  <si>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</si>
  <si>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</si>
  <si>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</si>
  <si>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</si>
  <si>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</si>
  <si>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</si>
  <si>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</si>
  <si>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</si>
  <si>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</si>
  <si>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</si>
  <si>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</si>
  <si>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</si>
  <si>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</si>
  <si>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</si>
  <si>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</si>
  <si>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</si>
  <si>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</si>
  <si>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</si>
  <si>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</si>
  <si>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</si>
  <si>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</si>
  <si>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</si>
  <si>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</si>
  <si>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</si>
  <si>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</si>
  <si>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</si>
  <si>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</si>
  <si>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</si>
  <si>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</si>
  <si>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</si>
  <si>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</si>
  <si>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</si>
  <si>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</si>
  <si>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</si>
  <si>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</si>
  <si>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</si>
  <si>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</si>
  <si>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</si>
  <si>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</si>
  <si>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</si>
  <si>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</si>
  <si>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</si>
  <si>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</si>
  <si>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</si>
  <si>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</si>
  <si>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</si>
  <si>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</si>
  <si>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</si>
  <si>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</si>
  <si>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</si>
  <si>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</si>
  <si>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</si>
  <si>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</si>
  <si>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</si>
  <si>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</si>
  <si>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</si>
  <si>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</si>
  <si>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</si>
  <si>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</si>
  <si>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</si>
  <si>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</si>
  <si>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</si>
  <si>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</si>
  <si>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</si>
  <si>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</si>
  <si>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</si>
  <si>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</si>
  <si>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</si>
  <si>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</si>
  <si>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</si>
  <si>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</si>
  <si>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</si>
  <si>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</si>
  <si>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</si>
  <si>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</si>
  <si>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</si>
  <si>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</si>
  <si>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</si>
  <si>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</si>
  <si>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</si>
  <si>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</si>
  <si>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</si>
  <si>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</si>
  <si>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</si>
  <si>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</si>
  <si>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</si>
  <si>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</si>
  <si>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</si>
  <si>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</si>
  <si>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</si>
  <si>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</si>
  <si>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</si>
  <si>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</si>
  <si>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</si>
  <si>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</si>
  <si>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</si>
  <si>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</si>
  <si>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</si>
  <si>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</si>
  <si>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</si>
  <si>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</si>
  <si>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</si>
  <si>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</si>
  <si>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</si>
  <si>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</si>
  <si>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</si>
  <si>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</si>
  <si>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</si>
  <si>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</si>
  <si>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</si>
  <si>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</si>
  <si>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</si>
  <si>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</si>
  <si>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</si>
  <si>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</si>
  <si>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</si>
  <si>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</si>
  <si>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</si>
  <si>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</si>
  <si>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</si>
  <si>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</si>
  <si>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</si>
  <si>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</si>
  <si>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</si>
  <si>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</si>
  <si>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</si>
  <si>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</si>
  <si>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</si>
  <si>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</si>
  <si>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</si>
  <si>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</si>
  <si>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</si>
  <si>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</si>
  <si>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</si>
  <si>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</si>
  <si>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</si>
  <si>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</si>
  <si>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</si>
  <si>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</si>
  <si>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</si>
  <si>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</si>
  <si>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</si>
  <si>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</si>
  <si>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</si>
  <si>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</si>
  <si>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</si>
  <si>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</si>
  <si>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</si>
  <si>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</si>
  <si>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</si>
  <si>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</si>
  <si>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</si>
  <si>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</si>
  <si>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</si>
  <si>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</si>
  <si>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</si>
  <si>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</si>
  <si>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</si>
  <si>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</si>
  <si>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</si>
  <si>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</si>
  <si>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</si>
  <si>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</si>
  <si>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</si>
  <si>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</si>
  <si>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</si>
  <si>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</si>
  <si>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</si>
  <si>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</si>
  <si>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</si>
  <si>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</si>
  <si>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</si>
  <si>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</si>
  <si>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</si>
  <si>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</si>
  <si>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</si>
  <si>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</si>
  <si>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</si>
  <si>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</si>
  <si>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</si>
  <si>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</si>
  <si>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</si>
  <si>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</si>
  <si>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</si>
  <si>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</si>
  <si>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</si>
  <si>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</si>
  <si>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</si>
  <si>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</si>
  <si>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</si>
  <si>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</si>
  <si>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</si>
  <si>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</si>
  <si>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</si>
  <si>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</si>
  <si>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</si>
  <si>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</si>
  <si>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</si>
  <si>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</si>
  <si>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</si>
  <si>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</si>
  <si>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</si>
  <si>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</si>
  <si>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</si>
  <si>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</si>
  <si>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</si>
  <si>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</si>
  <si>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</si>
  <si>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</si>
  <si>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</si>
  <si>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</si>
  <si>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</si>
  <si>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</si>
  <si>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</si>
  <si>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</si>
  <si>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</si>
  <si>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</si>
  <si>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</si>
  <si>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</si>
  <si>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</si>
  <si>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</si>
  <si>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</si>
  <si>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</si>
  <si>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</si>
  <si>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</si>
  <si>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</si>
  <si>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</si>
  <si>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</si>
  <si>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</si>
  <si>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</si>
  <si>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</si>
  <si>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</si>
  <si>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</si>
  <si>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</si>
  <si>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</si>
  <si>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</si>
  <si>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</si>
  <si>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</si>
  <si>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</si>
  <si>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</si>
  <si>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</si>
  <si>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</si>
  <si>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</si>
  <si>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</si>
  <si>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</si>
  <si>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</si>
  <si>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</si>
  <si>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</si>
  <si>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</si>
  <si>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</si>
  <si>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</si>
  <si>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</si>
  <si>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</si>
  <si>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</si>
  <si>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</si>
  <si>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</si>
  <si>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</si>
  <si>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</si>
  <si>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</si>
  <si>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</si>
  <si>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</si>
  <si>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</si>
  <si>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</si>
  <si>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</si>
  <si>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</si>
  <si>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</si>
  <si>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</si>
  <si>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</si>
  <si>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</si>
  <si>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</si>
  <si>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</si>
  <si>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</si>
  <si>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</si>
  <si>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</si>
  <si>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</si>
  <si>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</si>
  <si>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</si>
  <si>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</si>
  <si>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</si>
  <si>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</si>
  <si>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</si>
  <si>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</si>
  <si>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</si>
  <si>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</si>
  <si>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</si>
  <si>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</si>
  <si>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</si>
  <si>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</si>
  <si>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</si>
  <si>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</si>
  <si>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</si>
  <si>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</si>
  <si>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</si>
  <si>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</si>
  <si>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</si>
  <si>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</si>
  <si>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</si>
  <si>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</si>
  <si>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</si>
  <si>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</si>
  <si>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</si>
  <si>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</si>
  <si>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</si>
  <si>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</si>
  <si>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</si>
  <si>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</si>
  <si>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</si>
  <si>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</si>
  <si>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</si>
  <si>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</si>
  <si>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</si>
  <si>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</si>
  <si>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</si>
  <si>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</si>
  <si>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</si>
  <si>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</si>
  <si>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</si>
  <si>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</si>
  <si>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</si>
  <si>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</si>
  <si>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</si>
  <si>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</si>
  <si>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</si>
  <si>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</si>
  <si>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</si>
  <si>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</si>
  <si>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</si>
  <si>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</si>
  <si>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</si>
  <si>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</si>
  <si>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</si>
  <si>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</si>
  <si>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</si>
  <si>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</si>
  <si>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</si>
  <si>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</si>
  <si>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</si>
  <si>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</si>
  <si>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</si>
  <si>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</si>
  <si>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</si>
  <si>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</si>
  <si>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</si>
  <si>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</si>
  <si>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</si>
  <si>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</si>
  <si>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</si>
  <si>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</si>
  <si>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</si>
  <si>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</si>
  <si>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</si>
  <si>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</si>
  <si>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</si>
  <si>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</si>
  <si>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</si>
  <si>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</si>
  <si>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</si>
  <si>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</si>
  <si>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</si>
  <si>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</si>
  <si>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</si>
  <si>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</si>
  <si>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</si>
  <si>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</si>
  <si>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</si>
  <si>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</si>
  <si>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</si>
  <si>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</si>
  <si>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</si>
  <si>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</si>
  <si>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</si>
  <si>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</si>
  <si>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</si>
  <si>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</si>
  <si>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</si>
  <si>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</si>
  <si>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</si>
  <si>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</si>
  <si>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</si>
  <si>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</si>
  <si>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</si>
  <si>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</si>
  <si>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</si>
  <si>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</si>
  <si>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</si>
  <si>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</si>
  <si>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</si>
  <si>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</si>
  <si>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</si>
  <si>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</si>
  <si>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</si>
  <si>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</si>
  <si>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</si>
  <si>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</si>
  <si>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</si>
  <si>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</si>
  <si>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</si>
  <si>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</si>
  <si>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</si>
  <si>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</si>
  <si>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</si>
  <si>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</si>
  <si>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</si>
  <si>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</si>
  <si>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</si>
  <si>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</si>
  <si>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</si>
  <si>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</si>
  <si>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</si>
  <si>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</si>
  <si>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</si>
  <si>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</si>
  <si>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</si>
  <si>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</si>
  <si>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</si>
  <si>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</si>
  <si>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</si>
  <si>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</si>
  <si>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</si>
  <si>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</si>
  <si>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</si>
  <si>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</si>
  <si>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</si>
  <si>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</si>
  <si>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</si>
  <si>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</si>
  <si>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</si>
  <si>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</si>
  <si>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</si>
  <si>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</si>
  <si>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</si>
  <si>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</si>
  <si>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</si>
  <si>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</si>
  <si>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</si>
  <si>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Zeshan </t>
  </si>
  <si>
    <t>Paradise Store</t>
  </si>
  <si>
    <t>Address:DHA</t>
  </si>
  <si>
    <t>Bravo Store</t>
  </si>
  <si>
    <t xml:space="preserve">Smart </t>
  </si>
  <si>
    <t>24 Store</t>
  </si>
  <si>
    <t xml:space="preserve">Groccer </t>
  </si>
  <si>
    <t>Rehman Store</t>
  </si>
  <si>
    <t>Address:Dha</t>
  </si>
  <si>
    <t>Sohail Store</t>
  </si>
  <si>
    <t>Karam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</si>
</sst>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3" workbookViewId="0">
      <selection activeCell="F30" sqref="F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Paradise Store</v>
      </c>
      <c r="T3" s="301">
        <f>+'1'!P35</f>
        <v>7941.6010836610158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Bravo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Smart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24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Groccer 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Rehman Store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Sohail Store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27.305324745762711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Karam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90</v>
      </c>
      <c r="I12" s="236">
        <f t="shared" si="0"/>
        <v>6537.6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228.81600000000003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5785.7759999999998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1235.593220338983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35.106846101694913</v>
      </c>
      <c r="P12" s="311">
        <f t="shared" si="2"/>
        <v>7056.4760664406776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9.9</v>
      </c>
      <c r="H16" s="113">
        <f t="shared" ref="H16:M16" si="3">SUM(H7:H15)</f>
        <v>396</v>
      </c>
      <c r="I16" s="114">
        <f t="shared" si="3"/>
        <v>23871.059999999998</v>
      </c>
      <c r="J16" s="274">
        <f>SUM(J7:J15)</f>
        <v>1754.3340000000003</v>
      </c>
      <c r="K16" s="275">
        <f t="shared" si="3"/>
        <v>835.48710000000005</v>
      </c>
      <c r="L16" s="276">
        <f t="shared" si="3"/>
        <v>264.09636</v>
      </c>
      <c r="M16" s="232">
        <f t="shared" si="3"/>
        <v>21017.142540000001</v>
      </c>
      <c r="N16" s="233">
        <f>SUM(N7:N15)</f>
        <v>4539.6610169491523</v>
      </c>
      <c r="O16" s="101">
        <f>SUM(O7:O15)</f>
        <v>127.78401778474576</v>
      </c>
      <c r="P16" s="113">
        <f>SUM(P7:P15)</f>
        <v>25684.587574733898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23871.059999999998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1754.3340000000003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1099.5834600000001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21017.142539999997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4539.6610169491523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25556.803556949148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127.78401778474576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25684.587574733894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25684.587574733894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7380.4</v>
      </c>
      <c r="J25" s="274">
        <f>SUM(J16:J24)</f>
        <v>543.35599999999999</v>
      </c>
      <c r="K25" s="275">
        <f t="shared" si="10"/>
        <v>258.31400000000002</v>
      </c>
      <c r="L25" s="276">
        <f t="shared" si="10"/>
        <v>80.029200000000003</v>
      </c>
      <c r="M25" s="232">
        <f t="shared" si="10"/>
        <v>6498.7008000000005</v>
      </c>
      <c r="N25" s="233">
        <f>SUM(N16:N24)</f>
        <v>1403.3898305084745</v>
      </c>
      <c r="O25" s="101">
        <f>SUM(O16:O24)</f>
        <v>39.510453152542375</v>
      </c>
      <c r="P25" s="113">
        <f>SUM(P16:P24)</f>
        <v>7941.6010836610167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7380.4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543.35599999999999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338.34320000000002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6498.7007999999996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1403.3898305084745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7902.0906305084736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39.510453152542368</v>
      </c>
    </row>
    <row r="35" spans="2:16" ht="15.75" customHeight="1" thickBot="1" x14ac:dyDescent="0.4">
      <c r="N35" s="371" t="s">
        <v>88</v>
      </c>
      <c r="O35" s="372"/>
      <c r="P35" s="297">
        <f>+P33+P34</f>
        <v>7941.6010836610158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629.54999999999995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50.363999999999997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22.03425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557.15174999999988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676.13480084745743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1" t="s">
        <v>88</v>
      </c>
      <c r="O35" s="372"/>
      <c r="P35" s="297">
        <f>+P33+P34</f>
        <v>679.51547485169476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629.54999999999995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50.363999999999997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22.03425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557.15174999999988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676.13480084745743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1" t="s">
        <v>88</v>
      </c>
      <c r="O35" s="372"/>
      <c r="P35" s="297">
        <f>+P33+P34</f>
        <v>679.51547485169476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2026-08-01T05:23:32Z</dcterms:modified>
</cp:coreProperties>
</file>