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FD49091-78C4-4D9B-940E-FD2B527F5E15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Q8" i="62" l="1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N4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16" i="44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<sst xmlns="http://schemas.openxmlformats.org/spreadsheetml/2006/main" count="3975" uniqueCount="524">
  <si>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</si>
  <si>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</si>
  <si>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</si>
  <si>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</si>
  <si>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</si>
  <si>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</si>
  <si>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</si>
  <si>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</si>
  <si>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</si>
  <si>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</si>
  <si>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</si>
  <si>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</si>
  <si>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</si>
  <si>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</si>
  <si>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</si>
  <si>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</si>
  <si>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</si>
  <si>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</si>
  <si>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</si>
  <si>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</si>
  <si>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</si>
  <si>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</si>
  <si>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</si>
  <si>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</si>
  <si>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</si>
  <si>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</si>
  <si>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</si>
  <si>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</si>
  <si>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</si>
  <si>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</si>
  <si>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</si>
  <si>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</si>
  <si>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</si>
  <si>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</si>
  <si>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</si>
  <si>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</si>
  <si>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</si>
  <si>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</si>
  <si>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</si>
  <si>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</si>
  <si>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</si>
  <si>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</si>
  <si>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</si>
  <si>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</si>
  <si>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</si>
  <si>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</si>
  <si>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</si>
  <si>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</si>
  <si>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</si>
  <si>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</si>
  <si>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</si>
  <si>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</si>
  <si>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</si>
  <si>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</si>
  <si>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</si>
  <si>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</si>
  <si>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</si>
  <si>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</si>
  <si>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</si>
  <si>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</si>
  <si>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</si>
  <si>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</si>
  <si>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</si>
  <si>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</si>
  <si>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</si>
  <si>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</si>
  <si>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</si>
  <si>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</si>
  <si>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</si>
  <si>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</si>
  <si>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</si>
  <si>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</si>
  <si>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</si>
  <si>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</si>
  <si>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</si>
  <si>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</si>
  <si>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</si>
  <si>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</si>
  <si>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</si>
  <si>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</si>
  <si>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</si>
  <si>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</si>
  <si>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</si>
  <si>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</si>
  <si>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</si>
  <si>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</si>
  <si>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</si>
  <si>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</si>
  <si>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</si>
  <si>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</si>
  <si>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</si>
  <si>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</si>
  <si>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</si>
  <si>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</si>
  <si>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</si>
  <si>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</si>
  <si>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</si>
  <si>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</si>
  <si>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</si>
  <si>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</si>
  <si>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</si>
  <si>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</si>
  <si>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</si>
  <si>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</si>
  <si>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</si>
  <si>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</si>
  <si>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</si>
  <si>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</si>
  <si>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</si>
  <si>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</si>
  <si>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</si>
  <si>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</si>
  <si>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</si>
  <si>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</si>
  <si>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</si>
  <si>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</si>
  <si>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</si>
  <si>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</si>
  <si>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</si>
  <si>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</si>
  <si>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</si>
  <si>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</si>
  <si>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</si>
  <si>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</si>
  <si>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</si>
  <si>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</si>
  <si>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</si>
  <si>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</si>
  <si>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</si>
  <si>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</si>
  <si>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</si>
  <si>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</si>
  <si>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</si>
  <si>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</si>
  <si>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</si>
  <si>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</si>
  <si>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</si>
  <si>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</si>
  <si>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</si>
  <si>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</si>
  <si>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</si>
  <si>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</si>
  <si>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</si>
  <si>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</si>
  <si>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</si>
  <si>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</si>
  <si>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</si>
  <si>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</si>
  <si>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</si>
  <si>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</si>
  <si>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</si>
  <si>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</si>
  <si>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</si>
  <si>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</si>
  <si>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</si>
  <si>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</si>
  <si>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</si>
  <si>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</si>
  <si>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</si>
  <si>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</si>
  <si>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</si>
  <si>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</si>
  <si>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</si>
  <si>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</si>
  <si>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</si>
  <si>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</si>
  <si>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</si>
  <si>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</si>
  <si>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</si>
  <si>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</si>
  <si>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</si>
  <si>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</si>
  <si>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</si>
  <si>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</si>
  <si>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</si>
  <si>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</si>
  <si>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</si>
  <si>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</si>
  <si>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</si>
  <si>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</si>
  <si>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</si>
  <si>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</si>
  <si>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</si>
  <si>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</si>
  <si>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</si>
  <si>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</si>
  <si>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</si>
  <si>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</si>
  <si>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</si>
  <si>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</si>
  <si>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</si>
  <si>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</si>
  <si>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</si>
  <si>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</si>
  <si>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</si>
  <si>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</si>
  <si>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</si>
  <si>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</si>
  <si>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</si>
  <si>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</si>
  <si>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</si>
  <si>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</si>
  <si>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</si>
  <si>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</si>
  <si>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</si>
  <si>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</si>
  <si>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</si>
  <si>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</si>
  <si>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</si>
  <si>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</si>
  <si>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</si>
  <si>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</si>
  <si>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</si>
  <si>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</si>
  <si>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</si>
  <si>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</si>
  <si>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</si>
  <si>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</si>
  <si>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</si>
  <si>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</si>
  <si>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</si>
  <si>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</si>
  <si>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</si>
  <si>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</si>
  <si>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</si>
  <si>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</si>
  <si>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</si>
  <si>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</si>
  <si>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</si>
  <si>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</si>
  <si>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</si>
  <si>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</si>
  <si>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</si>
  <si>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</si>
  <si>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</si>
  <si>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</si>
  <si>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</si>
  <si>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</si>
  <si>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</si>
  <si>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</si>
  <si>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</si>
  <si>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</si>
  <si>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</si>
  <si>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</si>
  <si>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</si>
  <si>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</si>
  <si>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</si>
  <si>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</si>
  <si>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</si>
  <si>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</si>
  <si>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</si>
  <si>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</si>
  <si>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</si>
  <si>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</si>
  <si>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</si>
  <si>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</si>
  <si>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</si>
  <si>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</si>
  <si>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</si>
  <si>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</si>
  <si>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</si>
  <si>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</si>
  <si>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</si>
  <si>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</si>
  <si>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</si>
  <si>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</si>
  <si>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</si>
  <si>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</si>
  <si>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</si>
  <si>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</si>
  <si>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</si>
  <si>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</si>
  <si>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</si>
  <si>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</si>
  <si>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</si>
  <si>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</si>
  <si>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</si>
  <si>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</si>
  <si>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</si>
  <si>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</si>
  <si>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</si>
  <si>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</si>
  <si>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</si>
  <si>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</si>
  <si>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</si>
  <si>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</si>
  <si>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</si>
  <si>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</si>
  <si>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</si>
  <si>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</si>
  <si>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</si>
  <si>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</si>
  <si>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</si>
  <si>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</si>
  <si>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</si>
  <si>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</si>
  <si>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</si>
  <si>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</si>
  <si>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</si>
  <si>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</si>
  <si>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</si>
  <si>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</si>
  <si>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</si>
  <si>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</si>
  <si>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</si>
  <si>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</si>
  <si>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</si>
  <si>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</si>
  <si>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</si>
  <si>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</si>
  <si>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</si>
  <si>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</si>
  <si>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</si>
  <si>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</si>
  <si>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</si>
  <si>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</si>
  <si>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</si>
  <si>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</si>
  <si>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</si>
  <si>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</si>
  <si>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</si>
  <si>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</si>
  <si>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</si>
  <si>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</si>
  <si>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</si>
  <si>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</si>
  <si>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</si>
  <si>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</si>
  <si>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</si>
  <si>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</si>
  <si>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</si>
  <si>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</si>
  <si>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</si>
  <si>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</si>
  <si>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</si>
  <si>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</si>
  <si>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</si>
  <si>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</si>
  <si>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</si>
  <si>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</si>
  <si>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</si>
  <si>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</si>
  <si>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</si>
  <si>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</si>
  <si>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</si>
  <si>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</si>
  <si>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</si>
  <si>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</si>
  <si>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</si>
  <si>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</si>
  <si>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</si>
  <si>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</si>
  <si>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</si>
  <si>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</si>
  <si>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</si>
  <si>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</si>
  <si>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</si>
  <si>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</si>
  <si>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</si>
  <si>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</si>
  <si>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</si>
  <si>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</si>
  <si>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</si>
  <si>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</si>
  <si>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</si>
  <si>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</si>
  <si>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</si>
  <si>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</si>
  <si>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</si>
  <si>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</si>
  <si>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</si>
  <si>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</si>
  <si>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</si>
  <si>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</si>
  <si>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</si>
  <si>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</si>
  <si>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</si>
  <si>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</si>
  <si>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</si>
  <si>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</si>
  <si>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</si>
  <si>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</si>
  <si>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</si>
  <si>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</si>
  <si>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</si>
  <si>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</si>
  <si>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</si>
  <si>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</si>
  <si>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</si>
  <si>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</si>
  <si>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</si>
  <si>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</si>
  <si>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</si>
  <si>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</si>
  <si>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</si>
  <si>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</si>
  <si>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</si>
  <si>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</si>
  <si>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</si>
  <si>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</si>
  <si>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</si>
  <si>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</si>
  <si>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</si>
  <si>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</si>
  <si>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</si>
  <si>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</si>
  <si>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</si>
  <si>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</si>
  <si>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</si>
  <si>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</si>
  <si>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</si>
  <si>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</si>
  <si>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</si>
  <si>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</si>
  <si>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</si>
  <si>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</si>
  <si>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</si>
  <si>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</si>
  <si>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</si>
  <si>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</si>
  <si>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</si>
  <si>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</si>
  <si>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</si>
  <si>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</si>
  <si>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</si>
  <si>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</si>
  <si>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</si>
  <si>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</si>
  <si>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</si>
  <si>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</si>
  <si>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</si>
  <si>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</si>
  <si>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</si>
  <si>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</si>
  <si>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</si>
  <si>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</si>
  <si>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</si>
  <si>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</si>
  <si>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</si>
  <si>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</si>
  <si>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</si>
  <si>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</si>
  <si>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</si>
  <si>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</si>
  <si>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</si>
  <si>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</si>
  <si>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</si>
  <si>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</si>
  <si>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</si>
  <si>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</si>
  <si>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</si>
  <si>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</si>
  <si>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</si>
  <si>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</si>
  <si>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</si>
  <si>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</si>
  <si>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</si>
  <si>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</si>
  <si>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</si>
  <si>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</si>
  <si>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</si>
  <si>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</si>
  <si>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</si>
  <si>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</si>
  <si>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</si>
  <si>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</si>
  <si>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</si>
  <si>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</si>
  <si>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</si>
  <si>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</si>
  <si>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</si>
  <si>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</si>
  <si>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</si>
  <si>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</si>
  <si>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</si>
  <si>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</si>
  <si>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</si>
  <si>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</si>
  <si>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</si>
  <si>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</si>
  <si>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</si>
  <si>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</si>
  <si>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</si>
  <si>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</si>
  <si>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</si>
  <si>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</si>
  <si>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</si>
  <si>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</si>
  <si>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</si>
  <si>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</si>
  <si>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</si>
  <si>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</si>
  <si>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</si>
  <si>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</si>
  <si>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</si>
  <si>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</si>
  <si>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</si>
  <si>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</si>
  <si>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</si>
  <si>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</si>
  <si>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</si>
  <si>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</si>
  <si>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</si>
  <si>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</si>
  <si>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</si>
  <si>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</si>
  <si>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</si>
  <si>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</si>
  <si>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</si>
  <si>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</si>
  <si>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</si>
  <si>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</si>
  <si>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</si>
  <si>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</si>
  <si>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 xml:space="preserve">Panda Mart </t>
  </si>
  <si>
    <t xml:space="preserve">Address:Pak Arab </t>
  </si>
  <si>
    <t>Awan Super Store</t>
  </si>
  <si>
    <t>Chuhan Super Store</t>
  </si>
  <si>
    <t xml:space="preserve">Address: Pak Arab </t>
  </si>
  <si>
    <t>Roshan Store</t>
  </si>
  <si>
    <t>Al Noor Store</t>
  </si>
  <si>
    <t>Zam Zam Store</t>
  </si>
  <si>
    <t>Waleed Super Store</t>
  </si>
  <si>
    <t xml:space="preserve">Premier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</si>
</sst>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topLeftCell="A22" workbookViewId="0">
      <selection activeCell="J30" sqref="J3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504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500</v>
      </c>
      <c r="F3" s="387"/>
      <c r="G3" s="387"/>
      <c r="H3" s="384">
        <f ca="1">+'1'!N4:N4</f>
        <v>46236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Panda Mart </v>
      </c>
      <c r="T3" s="301">
        <f>+'1'!P35</f>
        <v>9408.6347552542375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Awan Super Store</v>
      </c>
      <c r="T4" s="301">
        <f>+'2'!P35</f>
        <v>9408.6347552542375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>Chuhan Super Store</v>
      </c>
      <c r="T5" s="301">
        <f>+'3'!P35</f>
        <v>2265.051582838983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Roshan Store</v>
      </c>
      <c r="T6" s="301">
        <f>+'4'!P35</f>
        <v>4805.3894985762718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Al Noor Store</v>
      </c>
      <c r="T7" s="301">
        <f>+'5'!P35</f>
        <v>9408.6347552542375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Zam Zam Store</v>
      </c>
      <c r="T8" s="301">
        <f>+'6'!P35</f>
        <v>834.58895674576274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Waleed Super Store</v>
      </c>
      <c r="T9" s="301">
        <f>+'7'!P35</f>
        <v>940.86347552542372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164</v>
      </c>
      <c r="I10" s="236">
        <f t="shared" si="0"/>
        <v>11912.960000000001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953.03679999999997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416.95360000000005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10542.9696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2251.5254237288136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63.972475118644077</v>
      </c>
      <c r="P10" s="311">
        <f t="shared" si="2"/>
        <v>12858.467498847458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Premier Mart </v>
      </c>
      <c r="T10" s="301">
        <f>+'8'!P35</f>
        <v>7506.0210825381355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164</v>
      </c>
      <c r="I11" s="236">
        <f t="shared" si="0"/>
        <v>11912.960000000001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953.03679999999997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416.95360000000005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10542.9696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2251.5254237288136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63.972475118644077</v>
      </c>
      <c r="P11" s="311">
        <f t="shared" si="2"/>
        <v>12858.467498847458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144</v>
      </c>
      <c r="I12" s="236">
        <f t="shared" si="0"/>
        <v>10460.16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836.81280000000004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366.10560000000004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9257.2415999999994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1976.949152542373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56.170953762711868</v>
      </c>
      <c r="P12" s="311">
        <f t="shared" si="2"/>
        <v>11290.361706305084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100</v>
      </c>
      <c r="I13" s="236">
        <f t="shared" si="0"/>
        <v>3923.0000000000005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196.15000000000003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137.30500000000001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200.07300000000001</v>
      </c>
      <c r="M13" s="230">
        <f t="shared" si="1"/>
        <v>3389.4720000000007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762.71186440677923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20.760919322033899</v>
      </c>
      <c r="P13" s="311">
        <f t="shared" si="2"/>
        <v>4172.9447837288144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15.8</v>
      </c>
      <c r="H16" s="113">
        <f t="shared" ref="H16:M16" si="3">SUM(H7:H15)</f>
        <v>632</v>
      </c>
      <c r="I16" s="114">
        <f t="shared" si="3"/>
        <v>41356.83</v>
      </c>
      <c r="J16" s="274">
        <f>SUM(J7:J15)</f>
        <v>3190.8564000000001</v>
      </c>
      <c r="K16" s="275">
        <f t="shared" si="3"/>
        <v>1447.4890500000001</v>
      </c>
      <c r="L16" s="276">
        <f t="shared" si="3"/>
        <v>200.07300000000001</v>
      </c>
      <c r="M16" s="232">
        <f t="shared" si="3"/>
        <v>36518.411550000004</v>
      </c>
      <c r="N16" s="233">
        <f>SUM(N7:N15)</f>
        <v>7837.6271186440672</v>
      </c>
      <c r="O16" s="101">
        <f>SUM(O7:O15)</f>
        <v>221.78019334322033</v>
      </c>
      <c r="P16" s="113">
        <f>SUM(P7:P15)</f>
        <v>44577.818861987296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41356.83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3190.8564000000001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1647.5620500000002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36518.411550000004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7837.6271186440672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44356.038668644069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221.78019334322033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44577.818861987289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44577.818861987289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7.25" customHeight="1" x14ac:dyDescent="0.4">
      <c r="A6" s="397" t="s">
        <v>514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8716.7999999999993</v>
      </c>
      <c r="J25" s="274">
        <f>SUM(J16:J24)</f>
        <v>697.34400000000005</v>
      </c>
      <c r="K25" s="275">
        <f t="shared" si="10"/>
        <v>305.08800000000002</v>
      </c>
      <c r="L25" s="276">
        <f t="shared" si="10"/>
        <v>0</v>
      </c>
      <c r="M25" s="232">
        <f t="shared" si="10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8716.7999999999993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697.34400000000005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305.08800000000002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7714.3679999999995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9361.8256271186438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1" t="s">
        <v>88</v>
      </c>
      <c r="O35" s="372"/>
      <c r="P35" s="297">
        <f>+P33+P34</f>
        <v>9408.6347552542375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516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8716.7999999999993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697.34400000000005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305.08800000000002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7714.3679999999995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9361.8256271186438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1" t="s">
        <v>88</v>
      </c>
      <c r="O35" s="372"/>
      <c r="P35" s="297">
        <f>+P33+P34</f>
        <v>9408.6347552542375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8.7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2098.5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167.88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73.447500000000005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1857.1724999999999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2253.7826694915252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1" t="s">
        <v>88</v>
      </c>
      <c r="O35" s="372"/>
      <c r="P35" s="297">
        <f>+P33+P34</f>
        <v>2265.051582838983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14</v>
      </c>
      <c r="I19" s="236">
        <f t="shared" si="0"/>
        <v>1016.96</v>
      </c>
      <c r="J19" s="272">
        <f t="shared" si="1"/>
        <v>81.356800000000007</v>
      </c>
      <c r="K19" s="128">
        <f t="shared" si="1"/>
        <v>35.593600000000002</v>
      </c>
      <c r="L19" s="119">
        <f t="shared" si="1"/>
        <v>0</v>
      </c>
      <c r="M19" s="230">
        <f t="shared" si="2"/>
        <v>900.00960000000009</v>
      </c>
      <c r="N19" s="277">
        <f t="shared" si="3"/>
        <v>192.20338983050848</v>
      </c>
      <c r="O19" s="239">
        <f t="shared" si="4"/>
        <v>5.4610649491525427</v>
      </c>
      <c r="P19" s="311">
        <f t="shared" si="5"/>
        <v>1097.6740547796612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14</v>
      </c>
      <c r="I20" s="236">
        <f t="shared" si="0"/>
        <v>1016.96</v>
      </c>
      <c r="J20" s="272">
        <f t="shared" si="1"/>
        <v>81.356800000000007</v>
      </c>
      <c r="K20" s="128">
        <f t="shared" si="1"/>
        <v>35.593600000000002</v>
      </c>
      <c r="L20" s="119">
        <f t="shared" si="1"/>
        <v>0</v>
      </c>
      <c r="M20" s="230">
        <f t="shared" si="2"/>
        <v>900.00960000000009</v>
      </c>
      <c r="N20" s="277">
        <f t="shared" si="3"/>
        <v>192.20338983050848</v>
      </c>
      <c r="O20" s="239">
        <f t="shared" si="4"/>
        <v>5.4610649491525427</v>
      </c>
      <c r="P20" s="311">
        <f t="shared" si="5"/>
        <v>1097.6740547796612</v>
      </c>
      <c r="Q20" s="156"/>
      <c r="R20">
        <f>P20/21</f>
        <v>52.27019308474577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4474.8000000000011</v>
      </c>
      <c r="J25" s="274">
        <f>SUM(J16:J24)</f>
        <v>310.90800000000007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4805.3894985762718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4474.8000000000011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310.90800000000007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236.64720000000003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3927.2448000000009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4781.4820881355936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23.907410440677968</v>
      </c>
    </row>
    <row r="35" spans="2:16" ht="15.75" customHeight="1" thickBot="1" x14ac:dyDescent="0.4">
      <c r="N35" s="371" t="s">
        <v>88</v>
      </c>
      <c r="O35" s="372"/>
      <c r="P35" s="297">
        <f>+P33+P34</f>
        <v>4805.3894985762718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8716.7999999999993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697.34400000000005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305.08800000000002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7714.3679999999995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9361.8256271186438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1" t="s">
        <v>88</v>
      </c>
      <c r="O35" s="372"/>
      <c r="P35" s="297">
        <f>+P33+P34</f>
        <v>9408.6347552542375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113">
        <f>SUM(P16:P24)</f>
        <v>834.58895674576274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784.60000000000014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39.230000000000011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67.475600000000014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677.89440000000013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830.43677288135598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71" t="s">
        <v>88</v>
      </c>
      <c r="O35" s="372"/>
      <c r="P35" s="297">
        <f>+P33+P34</f>
        <v>834.58895674576274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871.68000000000006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69.734400000000008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30.508800000000004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771.43680000000006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936.18256271186442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1" t="s">
        <v>88</v>
      </c>
      <c r="O35" s="372"/>
      <c r="P35" s="297">
        <f>+P33+P34</f>
        <v>940.86347552542372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30</v>
      </c>
      <c r="I19" s="236">
        <f t="shared" si="0"/>
        <v>2179.1999999999998</v>
      </c>
      <c r="J19" s="272">
        <f t="shared" si="1"/>
        <v>174.33599999999998</v>
      </c>
      <c r="K19" s="128">
        <f t="shared" si="1"/>
        <v>76.272000000000006</v>
      </c>
      <c r="L19" s="119">
        <f t="shared" si="1"/>
        <v>0</v>
      </c>
      <c r="M19" s="230">
        <f t="shared" si="2"/>
        <v>1928.5919999999999</v>
      </c>
      <c r="N19" s="277">
        <f t="shared" si="3"/>
        <v>411.86440677966107</v>
      </c>
      <c r="O19" s="239">
        <f t="shared" si="4"/>
        <v>11.702282033898305</v>
      </c>
      <c r="P19" s="311">
        <f t="shared" si="5"/>
        <v>2352.1586888135594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30</v>
      </c>
      <c r="I20" s="236">
        <f t="shared" si="0"/>
        <v>2179.1999999999998</v>
      </c>
      <c r="J20" s="272">
        <f t="shared" si="1"/>
        <v>174.33599999999998</v>
      </c>
      <c r="K20" s="128">
        <f t="shared" si="1"/>
        <v>76.272000000000006</v>
      </c>
      <c r="L20" s="119">
        <f t="shared" si="1"/>
        <v>0</v>
      </c>
      <c r="M20" s="230">
        <f t="shared" si="2"/>
        <v>1928.5919999999999</v>
      </c>
      <c r="N20" s="277">
        <f t="shared" si="3"/>
        <v>411.86440677966107</v>
      </c>
      <c r="O20" s="239">
        <f t="shared" si="4"/>
        <v>11.702282033898305</v>
      </c>
      <c r="P20" s="311">
        <f t="shared" si="5"/>
        <v>2352.1586888135594</v>
      </c>
      <c r="Q20" s="156"/>
      <c r="R20">
        <f>P20/21</f>
        <v>112.00755661016949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120</v>
      </c>
      <c r="I25" s="114">
        <f t="shared" si="7"/>
        <v>6976.85</v>
      </c>
      <c r="J25" s="274">
        <f>SUM(J16:J24)</f>
        <v>511.072</v>
      </c>
      <c r="K25" s="275">
        <f t="shared" si="7"/>
        <v>244.18975000000006</v>
      </c>
      <c r="L25" s="276">
        <f t="shared" si="7"/>
        <v>80.029200000000003</v>
      </c>
      <c r="M25" s="232">
        <f t="shared" si="7"/>
        <v>6141.5590499999998</v>
      </c>
      <c r="N25" s="233">
        <f>SUM(N16:N24)</f>
        <v>1327.1186440677966</v>
      </c>
      <c r="O25" s="101">
        <f>SUM(O16:O24)</f>
        <v>37.343388470338986</v>
      </c>
      <c r="P25" s="113">
        <f>SUM(P16:P24)</f>
        <v>7506.0210825381346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6976.85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511.072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324.21895000000006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6141.5590499999998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1327.1186440677966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7468.6776940677964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37.343388470338986</v>
      </c>
    </row>
    <row r="35" spans="2:16" ht="15.75" customHeight="1" thickBot="1" x14ac:dyDescent="0.4">
      <c r="N35" s="371" t="s">
        <v>88</v>
      </c>
      <c r="O35" s="372"/>
      <c r="P35" s="297">
        <f>+P33+P34</f>
        <v>7506.0210825381355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8.7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46236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46235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2026-08-01T05:20:45Z</dcterms:modified>
</cp:coreProperties>
</file>