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5E88B49-B687-442E-B044-A147CEAF608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J22" i="11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13" i="62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<sst xmlns="http://schemas.openxmlformats.org/spreadsheetml/2006/main" count="3975" uniqueCount="519">
  <si>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</si>
  <si>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</si>
  <si>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</si>
  <si>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</si>
  <si>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</si>
  <si>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</si>
  <si>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</si>
  <si>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</si>
  <si>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</si>
  <si>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</si>
  <si>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</si>
  <si>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</si>
  <si>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</si>
  <si>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</si>
  <si>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</si>
  <si>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</si>
  <si>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</si>
  <si>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</si>
  <si>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</si>
  <si>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</si>
  <si>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</si>
  <si>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</si>
  <si>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</si>
  <si>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</si>
  <si>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</si>
  <si>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</si>
  <si>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</si>
  <si>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</si>
  <si>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</si>
  <si>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</si>
  <si>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</si>
  <si>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</si>
  <si>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</si>
  <si>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</si>
  <si>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</si>
  <si>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</si>
  <si>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</si>
  <si>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</si>
  <si>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</si>
  <si>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</si>
  <si>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</si>
  <si>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</si>
  <si>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</si>
  <si>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</si>
  <si>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</si>
  <si>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</si>
  <si>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</si>
  <si>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</si>
  <si>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</si>
  <si>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</si>
  <si>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</si>
  <si>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</si>
  <si>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</si>
  <si>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</si>
  <si>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</si>
  <si>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</si>
  <si>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</si>
  <si>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</si>
  <si>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</si>
  <si>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</si>
  <si>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</si>
  <si>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</si>
  <si>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</si>
  <si>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</si>
  <si>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</si>
  <si>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</si>
  <si>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</si>
  <si>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</si>
  <si>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</si>
  <si>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</si>
  <si>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</si>
  <si>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</si>
  <si>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</si>
  <si>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</si>
  <si>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</si>
  <si>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</si>
  <si>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</si>
  <si>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</si>
  <si>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</si>
  <si>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</si>
  <si>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</si>
  <si>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</si>
  <si>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</si>
  <si>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</si>
  <si>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</si>
  <si>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</si>
  <si>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</si>
  <si>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</si>
  <si>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</si>
  <si>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</si>
  <si>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</si>
  <si>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</si>
  <si>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</si>
  <si>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</si>
  <si>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</si>
  <si>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</si>
  <si>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</si>
  <si>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</si>
  <si>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</si>
  <si>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</si>
  <si>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</si>
  <si>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</si>
  <si>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</si>
  <si>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</si>
  <si>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</si>
  <si>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</si>
  <si>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</si>
  <si>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</si>
  <si>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</si>
  <si>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</si>
  <si>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</si>
  <si>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</si>
  <si>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</si>
  <si>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</si>
  <si>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</si>
  <si>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</si>
  <si>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</si>
  <si>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</si>
  <si>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</si>
  <si>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</si>
  <si>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</si>
  <si>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</si>
  <si>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</si>
  <si>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</si>
  <si>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</si>
  <si>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</si>
  <si>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</si>
  <si>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</si>
  <si>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</si>
  <si>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</si>
  <si>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</si>
  <si>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</si>
  <si>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</si>
  <si>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</si>
  <si>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</si>
  <si>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</si>
  <si>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</si>
  <si>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</si>
  <si>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</si>
  <si>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</si>
  <si>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</si>
  <si>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</si>
  <si>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</si>
  <si>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</si>
  <si>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</si>
  <si>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</si>
  <si>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</si>
  <si>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</si>
  <si>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</si>
  <si>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</si>
  <si>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</si>
  <si>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</si>
  <si>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</si>
  <si>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</si>
  <si>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</si>
  <si>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</si>
  <si>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</si>
  <si>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</si>
  <si>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</si>
  <si>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</si>
  <si>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</si>
  <si>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</si>
  <si>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</si>
  <si>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</si>
  <si>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</si>
  <si>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</si>
  <si>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</si>
  <si>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</si>
  <si>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</si>
  <si>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</si>
  <si>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</si>
  <si>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</si>
  <si>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</si>
  <si>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</si>
  <si>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</si>
  <si>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</si>
  <si>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</si>
  <si>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</si>
  <si>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</si>
  <si>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</si>
  <si>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</si>
  <si>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</si>
  <si>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</si>
  <si>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</si>
  <si>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</si>
  <si>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</si>
  <si>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</si>
  <si>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</si>
  <si>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</si>
  <si>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</si>
  <si>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</si>
  <si>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</si>
  <si>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</si>
  <si>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</si>
  <si>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</si>
  <si>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</si>
  <si>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</si>
  <si>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</si>
  <si>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</si>
  <si>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</si>
  <si>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</si>
  <si>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</si>
  <si>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</si>
  <si>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</si>
  <si>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</si>
  <si>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</si>
  <si>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</si>
  <si>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</si>
  <si>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</si>
  <si>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</si>
  <si>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</si>
  <si>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</si>
  <si>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</si>
  <si>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</si>
  <si>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</si>
  <si>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</si>
  <si>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</si>
  <si>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</si>
  <si>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</si>
  <si>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</si>
  <si>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</si>
  <si>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</si>
  <si>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</si>
  <si>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</si>
  <si>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</si>
  <si>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</si>
  <si>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</si>
  <si>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</si>
  <si>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</si>
  <si>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</si>
  <si>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</si>
  <si>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</si>
  <si>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</si>
  <si>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</si>
  <si>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</si>
  <si>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</si>
  <si>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</si>
  <si>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</si>
  <si>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</si>
  <si>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</si>
  <si>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</si>
  <si>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</si>
  <si>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</si>
  <si>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</si>
  <si>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</si>
  <si>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</si>
  <si>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</si>
  <si>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</si>
  <si>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</si>
  <si>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</si>
  <si>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</si>
  <si>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</si>
  <si>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</si>
  <si>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</si>
  <si>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</si>
  <si>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</si>
  <si>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</si>
  <si>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</si>
  <si>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</si>
  <si>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</si>
  <si>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</si>
  <si>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</si>
  <si>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</si>
  <si>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</si>
  <si>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</si>
  <si>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</si>
  <si>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</si>
  <si>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</si>
  <si>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</si>
  <si>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</si>
  <si>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</si>
  <si>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</si>
  <si>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</si>
  <si>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</si>
  <si>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</si>
  <si>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</si>
  <si>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</si>
  <si>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</si>
  <si>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</si>
  <si>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</si>
  <si>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</si>
  <si>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</si>
  <si>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</si>
  <si>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</si>
  <si>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</si>
  <si>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</si>
  <si>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</si>
  <si>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</si>
  <si>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</si>
  <si>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</si>
  <si>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</si>
  <si>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</si>
  <si>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</si>
  <si>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</si>
  <si>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</si>
  <si>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</si>
  <si>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</si>
  <si>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</si>
  <si>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</si>
  <si>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</si>
  <si>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</si>
  <si>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</si>
  <si>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</si>
  <si>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</si>
  <si>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</si>
  <si>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</si>
  <si>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</si>
  <si>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</si>
  <si>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</si>
  <si>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</si>
  <si>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</si>
  <si>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</si>
  <si>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</si>
  <si>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</si>
  <si>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</si>
  <si>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</si>
  <si>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</si>
  <si>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</si>
  <si>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</si>
  <si>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</si>
  <si>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</si>
  <si>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</si>
  <si>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</si>
  <si>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</si>
  <si>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</si>
  <si>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</si>
  <si>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</si>
  <si>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</si>
  <si>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</si>
  <si>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</si>
  <si>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</si>
  <si>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</si>
  <si>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</si>
  <si>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</si>
  <si>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</si>
  <si>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</si>
  <si>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</si>
  <si>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</si>
  <si>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</si>
  <si>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</si>
  <si>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</si>
  <si>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</si>
  <si>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</si>
  <si>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</si>
  <si>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</si>
  <si>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</si>
  <si>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</si>
  <si>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</si>
  <si>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</si>
  <si>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</si>
  <si>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</si>
  <si>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</si>
  <si>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</si>
  <si>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</si>
  <si>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</si>
  <si>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</si>
  <si>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</si>
  <si>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</si>
  <si>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</si>
  <si>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</si>
  <si>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</si>
  <si>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</si>
  <si>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</si>
  <si>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</si>
  <si>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</si>
  <si>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</si>
  <si>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</si>
  <si>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</si>
  <si>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</si>
  <si>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</si>
  <si>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</si>
  <si>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</si>
  <si>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</si>
  <si>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</si>
  <si>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</si>
  <si>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</si>
  <si>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</si>
  <si>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</si>
  <si>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</si>
  <si>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</si>
  <si>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</si>
  <si>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</si>
  <si>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</si>
  <si>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</si>
  <si>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</si>
  <si>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</si>
  <si>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</si>
  <si>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</si>
  <si>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</si>
  <si>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</si>
  <si>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</si>
  <si>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</si>
  <si>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</si>
  <si>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</si>
  <si>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</si>
  <si>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</si>
  <si>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</si>
  <si>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</si>
  <si>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</si>
  <si>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</si>
  <si>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</si>
  <si>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</si>
  <si>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</si>
  <si>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</si>
  <si>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</si>
  <si>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</si>
  <si>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</si>
  <si>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</si>
  <si>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</si>
  <si>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</si>
  <si>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</si>
  <si>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</si>
  <si>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</si>
  <si>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</si>
  <si>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</si>
  <si>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</si>
  <si>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</si>
  <si>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</si>
  <si>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</si>
  <si>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</si>
  <si>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</si>
  <si>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</si>
  <si>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</si>
  <si>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</si>
  <si>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</si>
  <si>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</si>
  <si>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</si>
  <si>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</si>
  <si>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</si>
  <si>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</si>
  <si>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</si>
  <si>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</si>
  <si>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</si>
  <si>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</si>
  <si>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</si>
  <si>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</si>
  <si>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</si>
  <si>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</si>
  <si>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</si>
  <si>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</si>
  <si>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</si>
  <si>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</si>
  <si>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</si>
  <si>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</si>
  <si>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</si>
  <si>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</si>
  <si>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</si>
  <si>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</si>
  <si>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</si>
  <si>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</si>
  <si>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</si>
  <si>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</si>
  <si>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</si>
  <si>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</si>
  <si>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</si>
  <si>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</si>
  <si>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</si>
  <si>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</si>
  <si>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</si>
  <si>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</si>
  <si>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</si>
  <si>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</si>
  <si>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</si>
  <si>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</si>
  <si>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</si>
  <si>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</si>
  <si>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</si>
  <si>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</si>
  <si>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</si>
  <si>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</si>
  <si>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</si>
  <si>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</si>
  <si>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</si>
  <si>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</si>
  <si>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</si>
  <si>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</si>
  <si>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</si>
  <si>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</si>
  <si>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</si>
  <si>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</si>
  <si>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</si>
  <si>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</si>
  <si>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</si>
  <si>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</si>
  <si>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</si>
  <si>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</si>
  <si>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</si>
  <si>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</si>
  <si>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</si>
  <si>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</si>
  <si>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</si>
  <si>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</si>
  <si>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</si>
  <si>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</si>
  <si>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</si>
  <si>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</si>
  <si>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</si>
  <si>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</si>
  <si>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</si>
  <si>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</si>
  <si>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</si>
  <si>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</si>
  <si>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</si>
  <si>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</si>
  <si>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</si>
  <si>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</si>
  <si>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</si>
  <si>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</si>
  <si>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</si>
  <si>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</si>
  <si>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</si>
  <si>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</si>
  <si>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</si>
  <si>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</si>
  <si>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</si>
  <si>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Asif SB</t>
  </si>
  <si>
    <t>NAGINA Food Store</t>
  </si>
  <si>
    <t>Address: AL Noor Town</t>
  </si>
  <si>
    <t>NTN/ 7919235-0 : STRN/ 3520101378507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</si>
</sst>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165" fontId="0" fillId="0" borderId="0" xfId="2" applyNumberFormat="1" applyFon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515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500</v>
      </c>
      <c r="F3" s="359"/>
      <c r="G3" s="359"/>
      <c r="H3" s="356">
        <f>+'1'!N4:N4</f>
        <v>46235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NAGINA Food Store</v>
      </c>
      <c r="T3" s="301">
        <f>+'1'!P35</f>
        <v>82354.963474576274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514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513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50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78460.000000000015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5021.4400000000014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2746.1000000000008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4001.4600000000005</v>
      </c>
      <c r="M13" s="230">
        <f t="shared" si="1"/>
        <v>66691.000000000015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15254.237288135584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409.72618644067802</v>
      </c>
      <c r="P13" s="311">
        <f t="shared" si="2"/>
        <v>82354.963474576274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0</v>
      </c>
      <c r="H16" s="113">
        <f t="shared" ref="H16:M16" si="3">SUM(H7:H15)</f>
        <v>0</v>
      </c>
      <c r="I16" s="114">
        <f t="shared" si="3"/>
        <v>78460.000000000015</v>
      </c>
      <c r="J16" s="274">
        <f>SUM(J7:J15)</f>
        <v>5021.4400000000014</v>
      </c>
      <c r="K16" s="275">
        <f t="shared" si="3"/>
        <v>2746.1000000000008</v>
      </c>
      <c r="L16" s="276">
        <f t="shared" si="3"/>
        <v>4001.4600000000005</v>
      </c>
      <c r="M16" s="232">
        <f t="shared" si="3"/>
        <v>66691.000000000015</v>
      </c>
      <c r="N16" s="233">
        <f>SUM(N7:N15)</f>
        <v>15254.237288135584</v>
      </c>
      <c r="O16" s="101">
        <f>SUM(O7:O15)</f>
        <v>409.72618644067802</v>
      </c>
      <c r="P16" s="113">
        <f>SUM(P7:P15)</f>
        <v>82354.963474576274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78460.000000000015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5021.4400000000014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6747.5600000000013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66691.000000000015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15254.237288135584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81945.237288135599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409.72618644067802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82354.963474576274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82354.963474576274</v>
      </c>
    </row>
    <row r="44" spans="2:20" x14ac:dyDescent="0.35">
      <c r="B44" t="s">
        <v>507</v>
      </c>
    </row>
    <row r="45" spans="2:20" x14ac:dyDescent="0.35">
      <c r="B45" t="s">
        <v>508</v>
      </c>
    </row>
    <row r="46" spans="2:20" x14ac:dyDescent="0.35">
      <c r="B46" t="s">
        <v>509</v>
      </c>
    </row>
    <row r="47" spans="2:20" x14ac:dyDescent="0.35">
      <c r="B47" t="s">
        <v>510</v>
      </c>
    </row>
    <row r="48" spans="2:20" x14ac:dyDescent="0.35">
      <c r="B48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R24" sqref="R24"/>
    </sheetView>
  </sheetViews>
  <sheetFormatPr defaultColWidth="29.81640625" defaultRowHeight="14.5" x14ac:dyDescent="0.35"/>
  <cols>
    <col min="1" max="1" width="11.36328125" bestFit="1" customWidth="1"/>
    <col min="2" max="2" width="23.81640625" bestFit="1" customWidth="1"/>
    <col min="3" max="3" width="4.453125" bestFit="1" customWidth="1"/>
    <col min="4" max="5" width="4.1796875" bestFit="1" customWidth="1"/>
    <col min="6" max="6" width="6.26953125" bestFit="1" customWidth="1"/>
    <col min="7" max="7" width="3.90625" bestFit="1" customWidth="1"/>
    <col min="8" max="8" width="4.36328125" bestFit="1" customWidth="1"/>
    <col min="9" max="9" width="11.6328125" bestFit="1" customWidth="1"/>
    <col min="10" max="11" width="7.36328125" bestFit="1" customWidth="1"/>
    <col min="12" max="12" width="8.26953125" bestFit="1" customWidth="1"/>
    <col min="13" max="13" width="11.90625" bestFit="1" customWidth="1"/>
    <col min="14" max="14" width="8.7265625" style="61" bestFit="1" customWidth="1"/>
    <col min="15" max="15" width="7.81640625" bestFit="1" customWidth="1"/>
    <col min="16" max="16" width="8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v>46235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46234</v>
      </c>
      <c r="O5" s="368"/>
      <c r="P5" s="368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507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518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517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50</v>
      </c>
      <c r="H22" s="96"/>
      <c r="I22" s="236">
        <f t="shared" si="0"/>
        <v>78460.000000000015</v>
      </c>
      <c r="J22" s="272">
        <f t="shared" si="1"/>
        <v>5021.4400000000014</v>
      </c>
      <c r="K22" s="128">
        <f t="shared" si="1"/>
        <v>2746.1000000000008</v>
      </c>
      <c r="L22" s="119">
        <f t="shared" si="1"/>
        <v>4001.4600000000005</v>
      </c>
      <c r="M22" s="230">
        <f t="shared" si="2"/>
        <v>66691.000000000015</v>
      </c>
      <c r="N22" s="277">
        <f t="shared" si="3"/>
        <v>15254.237288135584</v>
      </c>
      <c r="O22" s="239">
        <f t="shared" si="4"/>
        <v>409.72618644067802</v>
      </c>
      <c r="P22" s="311">
        <f t="shared" si="5"/>
        <v>82354.963474576274</v>
      </c>
      <c r="Q22" s="156"/>
      <c r="S22" s="318">
        <v>6.4000000000000001E-2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318">
        <v>6.4000000000000001E-2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318">
        <v>6.4000000000000001E-2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50</v>
      </c>
      <c r="H25" s="113">
        <f t="shared" ref="H25" si="9">SUM(H16:H24)</f>
        <v>0</v>
      </c>
      <c r="I25" s="114">
        <f t="shared" ref="I25:M25" si="10">SUM(I16:I24)</f>
        <v>78460.000000000015</v>
      </c>
      <c r="J25" s="274">
        <f>SUM(J16:J24)</f>
        <v>5021.4400000000014</v>
      </c>
      <c r="K25" s="275">
        <f t="shared" si="10"/>
        <v>2746.1000000000008</v>
      </c>
      <c r="L25" s="276">
        <f t="shared" si="10"/>
        <v>4001.4600000000005</v>
      </c>
      <c r="M25" s="232">
        <f t="shared" si="10"/>
        <v>66691.000000000015</v>
      </c>
      <c r="N25" s="233">
        <f>SUM(N16:N24)</f>
        <v>15254.237288135584</v>
      </c>
      <c r="O25" s="101">
        <f>SUM(O16:O24)</f>
        <v>409.72618644067802</v>
      </c>
      <c r="P25" s="113">
        <f>SUM(P16:P24)</f>
        <v>82354.963474576274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  <c r="T26" s="61">
        <v>8.6</v>
      </c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T27" s="61">
        <v>6.4</v>
      </c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78460.000000000015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5021.4400000000014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6747.5600000000013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66691.000000000015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15254.237288135584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81945.237288135599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409.72618644067802</v>
      </c>
    </row>
    <row r="35" spans="2:16" ht="15.75" customHeight="1" thickBot="1" x14ac:dyDescent="0.4">
      <c r="N35" s="343" t="s">
        <v>88</v>
      </c>
      <c r="O35" s="344"/>
      <c r="P35" s="297">
        <f>+P33+P34</f>
        <v>82354.963474576274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509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topLeftCell="A13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504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8.75" customHeight="1" x14ac:dyDescent="0.4">
      <c r="A6" s="397" t="s">
        <v>505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506</v>
      </c>
      <c r="B4" s="368"/>
      <c r="C4" s="368"/>
      <c r="F4" s="85"/>
      <c r="G4" s="1"/>
      <c r="K4" s="369" t="s">
        <v>44</v>
      </c>
      <c r="L4" s="369"/>
      <c r="M4" s="369"/>
      <c r="N4" s="399">
        <f ca="1">TODAY()+1</f>
        <v>46236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 ca="1">N4-1</f>
        <v>46235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512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512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46236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46235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2026-08-01T10:22:23Z</dcterms:modified>
</cp:coreProperties>
</file>