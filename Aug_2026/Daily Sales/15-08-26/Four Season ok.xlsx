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9E4A28-A318-4BFD-9403-D511C2ECB40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0" i="46"/>
  <c r="O20" i="46" s="1"/>
  <c r="P20" i="46" s="1"/>
  <c r="R20" i="46" s="1"/>
  <c r="M21" i="53"/>
  <c r="O21" i="53" s="1"/>
  <c r="P21" i="53" s="1"/>
  <c r="J7" i="62"/>
  <c r="J25" i="61"/>
  <c r="P29" i="61" s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<sst xmlns="http://schemas.openxmlformats.org/spreadsheetml/2006/main" count="3977" uniqueCount="516">
  <si>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</si>
  <si>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</si>
  <si>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</si>
  <si>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</si>
  <si>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</si>
  <si>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</si>
  <si>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</si>
  <si>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</si>
  <si>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</si>
  <si>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</si>
  <si>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</si>
  <si>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</si>
  <si>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</si>
  <si>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</si>
  <si>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</si>
  <si>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</si>
  <si>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</si>
  <si>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</si>
  <si>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</si>
  <si>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</si>
  <si>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</si>
  <si>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</si>
  <si>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</si>
  <si>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</si>
  <si>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</si>
  <si>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</si>
  <si>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</si>
  <si>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</si>
  <si>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</si>
  <si>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</si>
  <si>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</si>
  <si>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</si>
  <si>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</si>
  <si>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</si>
  <si>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</si>
  <si>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</si>
  <si>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</si>
  <si>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</si>
  <si>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</si>
  <si>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</si>
  <si>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</si>
  <si>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</si>
  <si>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</si>
  <si>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</si>
  <si>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</si>
  <si>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</si>
  <si>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</si>
  <si>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</si>
  <si>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</si>
  <si>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</si>
  <si>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</si>
  <si>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</si>
  <si>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</si>
  <si>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</si>
  <si>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</si>
  <si>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</si>
  <si>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</si>
  <si>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</si>
  <si>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</si>
  <si>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</si>
  <si>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</si>
  <si>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</si>
  <si>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</si>
  <si>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</si>
  <si>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</si>
  <si>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</si>
  <si>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</si>
  <si>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</si>
  <si>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</si>
  <si>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</si>
  <si>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</si>
  <si>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</si>
  <si>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</si>
  <si>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</si>
  <si>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</si>
  <si>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</si>
  <si>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</si>
  <si>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</si>
  <si>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</si>
  <si>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</si>
  <si>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</si>
  <si>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</si>
  <si>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</si>
  <si>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</si>
  <si>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</si>
  <si>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</si>
  <si>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</si>
  <si>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</si>
  <si>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</si>
  <si>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</si>
  <si>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</si>
  <si>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</si>
  <si>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</si>
  <si>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</si>
  <si>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</si>
  <si>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</si>
  <si>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</si>
  <si>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</si>
  <si>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</si>
  <si>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</si>
  <si>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</si>
  <si>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</si>
  <si>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</si>
  <si>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</si>
  <si>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</si>
  <si>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</si>
  <si>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</si>
  <si>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</si>
  <si>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</si>
  <si>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</si>
  <si>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</si>
  <si>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</si>
  <si>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</si>
  <si>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</si>
  <si>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</si>
  <si>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</si>
  <si>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</si>
  <si>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</si>
  <si>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</si>
  <si>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</si>
  <si>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</si>
  <si>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</si>
  <si>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</si>
  <si>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</si>
  <si>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</si>
  <si>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</si>
  <si>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</si>
  <si>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</si>
  <si>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</si>
  <si>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</si>
  <si>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</si>
  <si>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</si>
  <si>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</si>
  <si>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</si>
  <si>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</si>
  <si>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</si>
  <si>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</si>
  <si>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</si>
  <si>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</si>
  <si>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</si>
  <si>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</si>
  <si>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</si>
  <si>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</si>
  <si>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</si>
  <si>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</si>
  <si>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</si>
  <si>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</si>
  <si>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</si>
  <si>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</si>
  <si>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</si>
  <si>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</si>
  <si>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</si>
  <si>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</si>
  <si>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</si>
  <si>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</si>
  <si>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</si>
  <si>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</si>
  <si>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</si>
  <si>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</si>
  <si>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</si>
  <si>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</si>
  <si>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</si>
  <si>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</si>
  <si>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</si>
  <si>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</si>
  <si>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</si>
  <si>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</si>
  <si>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</si>
  <si>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</si>
  <si>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</si>
  <si>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</si>
  <si>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</si>
  <si>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</si>
  <si>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</si>
  <si>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</si>
  <si>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</si>
  <si>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</si>
  <si>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</si>
  <si>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</si>
  <si>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</si>
  <si>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</si>
  <si>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</si>
  <si>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</si>
  <si>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</si>
  <si>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</si>
  <si>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</si>
  <si>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</si>
  <si>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</si>
  <si>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</si>
  <si>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</si>
  <si>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</si>
  <si>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</si>
  <si>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</si>
  <si>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</si>
  <si>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</si>
  <si>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</si>
  <si>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</si>
  <si>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</si>
  <si>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</si>
  <si>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</si>
  <si>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</si>
  <si>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</si>
  <si>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</si>
  <si>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</si>
  <si>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</si>
  <si>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</si>
  <si>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</si>
  <si>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</si>
  <si>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</si>
  <si>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</si>
  <si>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</si>
  <si>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</si>
  <si>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</si>
  <si>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</si>
  <si>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</si>
  <si>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</si>
  <si>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</si>
  <si>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</si>
  <si>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</si>
  <si>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</si>
  <si>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</si>
  <si>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</si>
  <si>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</si>
  <si>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</si>
  <si>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</si>
  <si>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</si>
  <si>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</si>
  <si>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</si>
  <si>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</si>
  <si>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</si>
  <si>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</si>
  <si>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</si>
  <si>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</si>
  <si>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</si>
  <si>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</si>
  <si>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</si>
  <si>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</si>
  <si>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</si>
  <si>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</si>
  <si>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</si>
  <si>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</si>
  <si>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</si>
  <si>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</si>
  <si>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</si>
  <si>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</si>
  <si>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</si>
  <si>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</si>
  <si>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</si>
  <si>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</si>
  <si>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</si>
  <si>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</si>
  <si>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</si>
  <si>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</si>
  <si>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</si>
  <si>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</si>
  <si>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</si>
  <si>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</si>
  <si>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</si>
  <si>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</si>
  <si>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</si>
  <si>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</si>
  <si>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</si>
  <si>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</si>
  <si>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</si>
  <si>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</si>
  <si>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</si>
  <si>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</si>
  <si>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</si>
  <si>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</si>
  <si>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</si>
  <si>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</si>
  <si>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</si>
  <si>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</si>
  <si>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</si>
  <si>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</si>
  <si>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</si>
  <si>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</si>
  <si>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</si>
  <si>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</si>
  <si>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</si>
  <si>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</si>
  <si>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</si>
  <si>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</si>
  <si>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</si>
  <si>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</si>
  <si>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</si>
  <si>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</si>
  <si>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</si>
  <si>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</si>
  <si>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</si>
  <si>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</si>
  <si>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</si>
  <si>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</si>
  <si>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</si>
  <si>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</si>
  <si>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</si>
  <si>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</si>
  <si>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</si>
  <si>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</si>
  <si>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</si>
  <si>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</si>
  <si>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</si>
  <si>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</si>
  <si>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</si>
  <si>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</si>
  <si>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</si>
  <si>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</si>
  <si>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</si>
  <si>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</si>
  <si>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</si>
  <si>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</si>
  <si>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</si>
  <si>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</si>
  <si>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</si>
  <si>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</si>
  <si>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</si>
  <si>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</si>
  <si>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</si>
  <si>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</si>
  <si>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</si>
  <si>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</si>
  <si>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</si>
  <si>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</si>
  <si>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</si>
  <si>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</si>
  <si>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</si>
  <si>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</si>
  <si>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</si>
  <si>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</si>
  <si>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</si>
  <si>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</si>
  <si>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</si>
  <si>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</si>
  <si>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</si>
  <si>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</si>
  <si>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</si>
  <si>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</si>
  <si>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</si>
  <si>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</si>
  <si>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</si>
  <si>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</si>
  <si>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</si>
  <si>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</si>
  <si>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</si>
  <si>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</si>
  <si>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</si>
  <si>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</si>
  <si>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</si>
  <si>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</si>
  <si>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</si>
  <si>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</si>
  <si>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</si>
  <si>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</si>
  <si>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</si>
  <si>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</si>
  <si>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</si>
  <si>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</si>
  <si>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</si>
  <si>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</si>
  <si>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</si>
  <si>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</si>
  <si>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</si>
  <si>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</si>
  <si>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</si>
  <si>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</si>
  <si>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</si>
  <si>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</si>
  <si>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</si>
  <si>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</si>
  <si>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</si>
  <si>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</si>
  <si>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</si>
  <si>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</si>
  <si>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</si>
  <si>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</si>
  <si>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</si>
  <si>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</si>
  <si>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</si>
  <si>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</si>
  <si>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</si>
  <si>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</si>
  <si>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</si>
  <si>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</si>
  <si>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</si>
  <si>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</si>
  <si>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</si>
  <si>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</si>
  <si>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</si>
  <si>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</si>
  <si>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</si>
  <si>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</si>
  <si>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</si>
  <si>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</si>
  <si>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</si>
  <si>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</si>
  <si>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</si>
  <si>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</si>
  <si>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</si>
  <si>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</si>
  <si>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</si>
  <si>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</si>
  <si>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</si>
  <si>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</si>
  <si>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</si>
  <si>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</si>
  <si>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</si>
  <si>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</si>
  <si>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</si>
  <si>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</si>
  <si>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</si>
  <si>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</si>
  <si>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</si>
  <si>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</si>
  <si>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</si>
  <si>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</si>
  <si>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</si>
  <si>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</si>
  <si>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</si>
  <si>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</si>
  <si>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</si>
  <si>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</si>
  <si>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</si>
  <si>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</si>
  <si>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</si>
  <si>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</si>
  <si>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</si>
  <si>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</si>
  <si>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</si>
  <si>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</si>
  <si>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</si>
  <si>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</si>
  <si>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</si>
  <si>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</si>
  <si>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</si>
  <si>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</si>
  <si>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</si>
  <si>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</si>
  <si>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</si>
  <si>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</si>
  <si>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</si>
  <si>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</si>
  <si>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</si>
  <si>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</si>
  <si>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</si>
  <si>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</si>
  <si>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</si>
  <si>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</si>
  <si>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</si>
  <si>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</si>
  <si>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</si>
  <si>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</si>
  <si>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</si>
  <si>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</si>
  <si>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</si>
  <si>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</si>
  <si>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</si>
  <si>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</si>
  <si>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</si>
  <si>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</si>
  <si>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</si>
  <si>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</si>
  <si>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</si>
  <si>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</si>
  <si>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</si>
  <si>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</si>
  <si>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</si>
  <si>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</si>
  <si>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</si>
  <si>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</si>
  <si>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</si>
  <si>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</si>
  <si>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</si>
  <si>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</si>
  <si>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</si>
  <si>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</si>
  <si>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</si>
  <si>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</si>
  <si>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</si>
  <si>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</si>
  <si>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</si>
  <si>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</si>
  <si>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</si>
  <si>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</si>
  <si>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</si>
  <si>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</si>
  <si>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</si>
  <si>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</si>
  <si>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</si>
  <si>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</si>
  <si>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</si>
  <si>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</si>
  <si>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</si>
  <si>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</si>
  <si>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</si>
  <si>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</si>
  <si>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</si>
  <si>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</si>
  <si>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</si>
  <si>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</si>
  <si>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</si>
  <si>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</si>
  <si>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</si>
  <si>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</si>
  <si>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</si>
  <si>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</si>
  <si>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</si>
  <si>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</si>
  <si>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</si>
  <si>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</si>
  <si>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</si>
  <si>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</si>
  <si>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</si>
  <si>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4 Seasons</t>
  </si>
  <si>
    <t>NTN #: 8074586-2</t>
  </si>
  <si>
    <t>Address: Riwand Road Adda Plote</t>
  </si>
  <si>
    <t>4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</si>
</sst>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  <numFmt numFmtId="171" formatCode="0.00000000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171" fontId="0" fillId="0" borderId="0" xfId="0" applyNumberFormat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14" sqref="N14:N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515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46251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4 Seasons</v>
      </c>
      <c r="T3" s="301">
        <f>+'1'!P35</f>
        <v>56844.513652754227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4 Seasons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4 Seasons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4 Seasons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944.32499999999993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5130.8325000000004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31.603315042372881</v>
      </c>
      <c r="P7" s="310">
        <f>M7+N7+O7</f>
        <v>6352.2663235169484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4 Seasons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1573.875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8551.3875000000007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52.672191737288138</v>
      </c>
      <c r="P8" s="311">
        <f t="shared" ref="P8:P15" si="2">M8+N8+O8</f>
        <v>10587.110539194917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4 Seasons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1573.875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8551.3875000000007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52.672191737288138</v>
      </c>
      <c r="P9" s="311">
        <f t="shared" si="2"/>
        <v>10587.110539194917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4 Seasons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4 Seasons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2179.1999999999998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11840.32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72.930413559322034</v>
      </c>
      <c r="P11" s="311">
        <f t="shared" si="2"/>
        <v>14659.013125423729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4 Seasons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2179.1999999999998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11840.32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72.930413559322034</v>
      </c>
      <c r="P12" s="311">
        <f t="shared" si="2"/>
        <v>14659.013125423729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4 Seasons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4 Seasons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4 Seasons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4 Seasons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23</v>
      </c>
      <c r="H16" s="113">
        <f t="shared" ref="H16:M16" si="3">SUM(H7:H15)</f>
        <v>920</v>
      </c>
      <c r="I16" s="114">
        <f t="shared" si="3"/>
        <v>56336.5</v>
      </c>
      <c r="J16" s="274">
        <f>SUM(J7:J15)</f>
        <v>8450.4749999999985</v>
      </c>
      <c r="K16" s="275">
        <f t="shared" si="3"/>
        <v>1971.7775000000001</v>
      </c>
      <c r="L16" s="276">
        <f t="shared" si="3"/>
        <v>0</v>
      </c>
      <c r="M16" s="232">
        <f t="shared" si="3"/>
        <v>45914.247500000005</v>
      </c>
      <c r="N16" s="233">
        <f>SUM(N7:N15)</f>
        <v>10647.457627118642</v>
      </c>
      <c r="O16" s="101">
        <f>SUM(O7:O15)</f>
        <v>282.80852563559324</v>
      </c>
      <c r="P16" s="113">
        <f>SUM(P7:P15)</f>
        <v>56844.513652754242</v>
      </c>
      <c r="Q16" s="128">
        <f>SUM(Q7:Q15)</f>
        <v>0</v>
      </c>
      <c r="R16" s="314">
        <v>14</v>
      </c>
      <c r="S16" s="300" t="str">
        <f>+'14'!A6:A6</f>
        <v>4 Seasons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4 Seasons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4 Seasons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56336.5</v>
      </c>
      <c r="R19" s="299">
        <v>17</v>
      </c>
      <c r="S19" s="300" t="str">
        <f>+'17'!A6:A6</f>
        <v>4 Seasons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8450.4749999999985</v>
      </c>
      <c r="R20" s="299">
        <v>18</v>
      </c>
      <c r="S20" s="300" t="str">
        <f>+'18'!A6:A6</f>
        <v>4 Seasons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1971.7775000000001</v>
      </c>
      <c r="R21" s="299">
        <v>19</v>
      </c>
      <c r="S21" s="300" t="str">
        <f>+'19'!A6:A6</f>
        <v>4 Seasons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45914.247499999998</v>
      </c>
      <c r="R22" s="299">
        <v>20</v>
      </c>
      <c r="S22" s="300" t="str">
        <f>+'20'!A6:A6</f>
        <v>4 Seasons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10647.457627118642</v>
      </c>
      <c r="R23" s="299">
        <v>21</v>
      </c>
      <c r="S23" s="300" t="str">
        <f>+'21'!A6:A6</f>
        <v>4 Seasons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56561.705127118636</v>
      </c>
      <c r="R24" s="299">
        <v>22</v>
      </c>
      <c r="S24" s="300" t="str">
        <f>+'22'!A6:A6</f>
        <v>4 Seasons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282.80852563559324</v>
      </c>
      <c r="R25" s="299">
        <v>23</v>
      </c>
      <c r="S25" s="300" t="str">
        <f>+'23'!A6:A6</f>
        <v>4 Seasons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56844.513652754227</v>
      </c>
      <c r="R26" s="299">
        <v>24</v>
      </c>
      <c r="S26" s="300" t="str">
        <f>+'24'!A6:A6</f>
        <v>4 Seasons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4 Seasons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4 Seasons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4 Seasons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4 Seasons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4 Seasons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4 Seasons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56844.513652754227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P19" workbookViewId="0">
      <selection sqref="A1:V4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8.726562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Q13" s="14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0.15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944.32499999999993</v>
      </c>
      <c r="K16" s="127">
        <f>$I16*T16</f>
        <v>220.34250000000003</v>
      </c>
      <c r="L16" s="118">
        <f>$I16*U16</f>
        <v>0</v>
      </c>
      <c r="M16" s="229">
        <f>I16-SUM(J16:L16)</f>
        <v>5130.8325000000004</v>
      </c>
      <c r="N16" s="248">
        <f>+(G16*D16+H16)*V16</f>
        <v>1189.8305084745757</v>
      </c>
      <c r="O16" s="238">
        <f>(N16+M16)*$O$15</f>
        <v>31.603315042372881</v>
      </c>
      <c r="P16" s="310">
        <f>M16+N16+O16</f>
        <v>6352.2663235169484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1573.875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8551.3875000000007</v>
      </c>
      <c r="N17" s="277">
        <f t="shared" ref="N17:N24" si="3">+(G17*D17+H17)*V17</f>
        <v>1983.0508474576263</v>
      </c>
      <c r="O17" s="239">
        <f t="shared" ref="O17:O24" si="4">(N17+M17)*$O$15</f>
        <v>52.672191737288138</v>
      </c>
      <c r="P17" s="311">
        <f t="shared" ref="P17:P24" si="5">M17+N17+O17</f>
        <v>10587.110539194917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1573.875</v>
      </c>
      <c r="K18" s="128">
        <f t="shared" si="1"/>
        <v>367.23750000000001</v>
      </c>
      <c r="L18" s="119">
        <f t="shared" si="1"/>
        <v>0</v>
      </c>
      <c r="M18" s="230">
        <f t="shared" si="2"/>
        <v>8551.3875000000007</v>
      </c>
      <c r="N18" s="277">
        <f t="shared" si="3"/>
        <v>1983.0508474576263</v>
      </c>
      <c r="O18" s="239">
        <f t="shared" si="4"/>
        <v>52.672191737288138</v>
      </c>
      <c r="P18" s="311">
        <f t="shared" si="5"/>
        <v>10587.110539194917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2179.1999999999998</v>
      </c>
      <c r="K20" s="128">
        <f t="shared" si="1"/>
        <v>508.48000000000008</v>
      </c>
      <c r="L20" s="119">
        <f t="shared" si="1"/>
        <v>0</v>
      </c>
      <c r="M20" s="230">
        <f t="shared" si="2"/>
        <v>11840.32</v>
      </c>
      <c r="N20" s="277">
        <f t="shared" si="3"/>
        <v>2745.7627118644068</v>
      </c>
      <c r="O20" s="239">
        <f t="shared" si="4"/>
        <v>72.930413559322034</v>
      </c>
      <c r="P20" s="311">
        <f t="shared" si="5"/>
        <v>14659.013125423729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2179.1999999999998</v>
      </c>
      <c r="K21" s="128">
        <f t="shared" si="1"/>
        <v>508.48000000000008</v>
      </c>
      <c r="L21" s="119">
        <f t="shared" si="1"/>
        <v>0</v>
      </c>
      <c r="M21" s="230">
        <f t="shared" si="2"/>
        <v>11840.32</v>
      </c>
      <c r="N21" s="277">
        <f t="shared" si="3"/>
        <v>2745.7627118644068</v>
      </c>
      <c r="O21" s="239">
        <f t="shared" si="4"/>
        <v>72.930413559322034</v>
      </c>
      <c r="P21" s="311">
        <f t="shared" si="5"/>
        <v>14659.013125423729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56336.5</v>
      </c>
      <c r="J25" s="274">
        <f>SUM(J16:J24)</f>
        <v>8450.4749999999985</v>
      </c>
      <c r="K25" s="275">
        <f t="shared" si="10"/>
        <v>1971.7775000000001</v>
      </c>
      <c r="L25" s="276">
        <f t="shared" si="10"/>
        <v>0</v>
      </c>
      <c r="M25" s="232">
        <f t="shared" si="10"/>
        <v>45914.247500000005</v>
      </c>
      <c r="N25" s="233">
        <f>SUM(N16:N24)</f>
        <v>10647.457627118642</v>
      </c>
      <c r="O25" s="101">
        <f>SUM(O16:O24)</f>
        <v>282.80852563559324</v>
      </c>
      <c r="P25" s="113">
        <f>SUM(P16:P24)</f>
        <v>56844.513652754242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N27" s="413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56336.5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8450.4749999999985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1971.7775000000001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45914.247499999998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10647.457627118642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56561.705127118636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282.80852563559318</v>
      </c>
    </row>
    <row r="35" spans="2:16" ht="15.75" customHeight="1" thickBot="1" x14ac:dyDescent="0.4">
      <c r="N35" s="372" t="s">
        <v>88</v>
      </c>
      <c r="O35" s="373"/>
      <c r="P35" s="297">
        <f>+P33+P34</f>
        <v>56844.513652754227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46251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46250</v>
      </c>
      <c r="O5" s="392"/>
      <c r="P5" s="392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514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46252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46251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2026-08-17T13:10:08Z</dcterms:modified>
</cp:coreProperties>
</file>