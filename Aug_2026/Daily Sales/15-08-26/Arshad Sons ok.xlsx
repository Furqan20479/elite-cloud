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0B7530F-6FC7-4289-BA6B-0003540D490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<sst xmlns="http://schemas.openxmlformats.org/spreadsheetml/2006/main" count="3978" uniqueCount="516">
  <si>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</si>
  <si>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</si>
  <si>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</si>
  <si>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</si>
  <si>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</si>
  <si>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</si>
  <si>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</si>
  <si>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</si>
  <si>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</si>
  <si>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</si>
  <si>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</si>
  <si>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</si>
  <si>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</si>
  <si>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</si>
  <si>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</si>
  <si>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</si>
  <si>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</si>
  <si>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</si>
  <si>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</si>
  <si>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</si>
  <si>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</si>
  <si>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</si>
  <si>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</si>
  <si>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</si>
  <si>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</si>
  <si>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</si>
  <si>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</si>
  <si>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</si>
  <si>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</si>
  <si>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</si>
  <si>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</si>
  <si>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</si>
  <si>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</si>
  <si>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</si>
  <si>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</si>
  <si>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</si>
  <si>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</si>
  <si>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</si>
  <si>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</si>
  <si>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</si>
  <si>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</si>
  <si>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</si>
  <si>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</si>
  <si>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</si>
  <si>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</si>
  <si>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</si>
  <si>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</si>
  <si>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</si>
  <si>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</si>
  <si>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</si>
  <si>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</si>
  <si>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</si>
  <si>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</si>
  <si>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</si>
  <si>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</si>
  <si>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</si>
  <si>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</si>
  <si>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</si>
  <si>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</si>
  <si>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</si>
  <si>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</si>
  <si>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</si>
  <si>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</si>
  <si>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</si>
  <si>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</si>
  <si>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</si>
  <si>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</si>
  <si>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</si>
  <si>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</si>
  <si>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</si>
  <si>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</si>
  <si>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</si>
  <si>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</si>
  <si>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</si>
  <si>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</si>
  <si>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</si>
  <si>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</si>
  <si>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</si>
  <si>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</si>
  <si>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</si>
  <si>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</si>
  <si>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</si>
  <si>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</si>
  <si>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</si>
  <si>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</si>
  <si>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</si>
  <si>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</si>
  <si>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</si>
  <si>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</si>
  <si>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</si>
  <si>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</si>
  <si>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</si>
  <si>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</si>
  <si>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</si>
  <si>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</si>
  <si>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</si>
  <si>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</si>
  <si>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</si>
  <si>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</si>
  <si>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</si>
  <si>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</si>
  <si>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</si>
  <si>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</si>
  <si>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</si>
  <si>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</si>
  <si>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</si>
  <si>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</si>
  <si>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</si>
  <si>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</si>
  <si>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</si>
  <si>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</si>
  <si>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</si>
  <si>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</si>
  <si>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</si>
  <si>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</si>
  <si>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</si>
  <si>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</si>
  <si>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</si>
  <si>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</si>
  <si>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</si>
  <si>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</si>
  <si>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</si>
  <si>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</si>
  <si>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</si>
  <si>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</si>
  <si>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</si>
  <si>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</si>
  <si>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</si>
  <si>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</si>
  <si>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</si>
  <si>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</si>
  <si>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</si>
  <si>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</si>
  <si>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</si>
  <si>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</si>
  <si>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</si>
  <si>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</si>
  <si>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</si>
  <si>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</si>
  <si>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</si>
  <si>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</si>
  <si>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</si>
  <si>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</si>
  <si>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</si>
  <si>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</si>
  <si>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</si>
  <si>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</si>
  <si>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</si>
  <si>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</si>
  <si>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</si>
  <si>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</si>
  <si>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</si>
  <si>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</si>
  <si>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</si>
  <si>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</si>
  <si>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</si>
  <si>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</si>
  <si>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</si>
  <si>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</si>
  <si>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</si>
  <si>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</si>
  <si>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</si>
  <si>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</si>
  <si>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</si>
  <si>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</si>
  <si>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</si>
  <si>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</si>
  <si>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</si>
  <si>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</si>
  <si>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</si>
  <si>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</si>
  <si>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</si>
  <si>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</si>
  <si>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</si>
  <si>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</si>
  <si>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</si>
  <si>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</si>
  <si>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</si>
  <si>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</si>
  <si>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</si>
  <si>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</si>
  <si>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</si>
  <si>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</si>
  <si>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</si>
  <si>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</si>
  <si>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</si>
  <si>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</si>
  <si>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</si>
  <si>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</si>
  <si>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</si>
  <si>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</si>
  <si>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</si>
  <si>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</si>
  <si>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</si>
  <si>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</si>
  <si>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</si>
  <si>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</si>
  <si>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</si>
  <si>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</si>
  <si>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</si>
  <si>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</si>
  <si>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</si>
  <si>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</si>
  <si>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</si>
  <si>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</si>
  <si>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</si>
  <si>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</si>
  <si>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</si>
  <si>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</si>
  <si>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</si>
  <si>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</si>
  <si>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</si>
  <si>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</si>
  <si>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</si>
  <si>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</si>
  <si>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</si>
  <si>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</si>
  <si>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</si>
  <si>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</si>
  <si>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</si>
  <si>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</si>
  <si>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</si>
  <si>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</si>
  <si>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</si>
  <si>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</si>
  <si>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</si>
  <si>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</si>
  <si>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</si>
  <si>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</si>
  <si>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</si>
  <si>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</si>
  <si>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</si>
  <si>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</si>
  <si>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</si>
  <si>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</si>
  <si>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</si>
  <si>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</si>
  <si>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</si>
  <si>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</si>
  <si>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</si>
  <si>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</si>
  <si>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</si>
  <si>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</si>
  <si>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</si>
  <si>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</si>
  <si>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</si>
  <si>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</si>
  <si>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</si>
  <si>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</si>
  <si>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</si>
  <si>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</si>
  <si>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</si>
  <si>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</si>
  <si>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</si>
  <si>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</si>
  <si>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</si>
  <si>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</si>
  <si>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</si>
  <si>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</si>
  <si>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</si>
  <si>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</si>
  <si>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</si>
  <si>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</si>
  <si>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</si>
  <si>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</si>
  <si>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</si>
  <si>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</si>
  <si>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</si>
  <si>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</si>
  <si>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</si>
  <si>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</si>
  <si>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</si>
  <si>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</si>
  <si>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</si>
  <si>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</si>
  <si>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</si>
  <si>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</si>
  <si>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</si>
  <si>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</si>
  <si>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</si>
  <si>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</si>
  <si>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</si>
  <si>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</si>
  <si>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</si>
  <si>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</si>
  <si>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</si>
  <si>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</si>
  <si>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</si>
  <si>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</si>
  <si>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</si>
  <si>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</si>
  <si>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</si>
  <si>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</si>
  <si>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</si>
  <si>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</si>
  <si>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</si>
  <si>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</si>
  <si>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</si>
  <si>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</si>
  <si>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</si>
  <si>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</si>
  <si>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</si>
  <si>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</si>
  <si>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</si>
  <si>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</si>
  <si>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</si>
  <si>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</si>
  <si>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</si>
  <si>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</si>
  <si>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</si>
  <si>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</si>
  <si>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</si>
  <si>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</si>
  <si>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</si>
  <si>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</si>
  <si>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</si>
  <si>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</si>
  <si>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</si>
  <si>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</si>
  <si>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</si>
  <si>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</si>
  <si>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</si>
  <si>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</si>
  <si>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</si>
  <si>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</si>
  <si>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</si>
  <si>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</si>
  <si>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</si>
  <si>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</si>
  <si>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</si>
  <si>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</si>
  <si>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</si>
  <si>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</si>
  <si>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</si>
  <si>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</si>
  <si>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</si>
  <si>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</si>
  <si>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</si>
  <si>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</si>
  <si>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</si>
  <si>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</si>
  <si>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</si>
  <si>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</si>
  <si>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</si>
  <si>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</si>
  <si>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</si>
  <si>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</si>
  <si>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</si>
  <si>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</si>
  <si>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</si>
  <si>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</si>
  <si>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</si>
  <si>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</si>
  <si>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</si>
  <si>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</si>
  <si>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</si>
  <si>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</si>
  <si>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</si>
  <si>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</si>
  <si>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</si>
  <si>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</si>
  <si>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</si>
  <si>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</si>
  <si>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</si>
  <si>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</si>
  <si>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</si>
  <si>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</si>
  <si>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</si>
  <si>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</si>
  <si>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</si>
  <si>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</si>
  <si>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</si>
  <si>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</si>
  <si>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</si>
  <si>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</si>
  <si>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</si>
  <si>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</si>
  <si>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</si>
  <si>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</si>
  <si>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</si>
  <si>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</si>
  <si>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</si>
  <si>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</si>
  <si>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</si>
  <si>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</si>
  <si>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</si>
  <si>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</si>
  <si>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</si>
  <si>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</si>
  <si>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</si>
  <si>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</si>
  <si>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</si>
  <si>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</si>
  <si>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</si>
  <si>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</si>
  <si>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</si>
  <si>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</si>
  <si>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</si>
  <si>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</si>
  <si>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</si>
  <si>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</si>
  <si>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</si>
  <si>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</si>
  <si>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</si>
  <si>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</si>
  <si>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</si>
  <si>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</si>
  <si>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</si>
  <si>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</si>
  <si>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</si>
  <si>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</si>
  <si>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</si>
  <si>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</si>
  <si>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</si>
  <si>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</si>
  <si>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</si>
  <si>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</si>
  <si>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</si>
  <si>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</si>
  <si>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</si>
  <si>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</si>
  <si>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</si>
  <si>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</si>
  <si>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</si>
  <si>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</si>
  <si>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</si>
  <si>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</si>
  <si>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</si>
  <si>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</si>
  <si>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</si>
  <si>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</si>
  <si>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</si>
  <si>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</si>
  <si>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</si>
  <si>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</si>
  <si>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</si>
  <si>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</si>
  <si>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</si>
  <si>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</si>
  <si>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</si>
  <si>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</si>
  <si>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</si>
  <si>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</si>
  <si>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</si>
  <si>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</si>
  <si>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</si>
  <si>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</si>
  <si>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</si>
  <si>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</si>
  <si>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</si>
  <si>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</si>
  <si>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</si>
  <si>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</si>
  <si>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</si>
  <si>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</si>
  <si>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</si>
  <si>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</si>
  <si>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</si>
  <si>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</si>
  <si>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</si>
  <si>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</si>
  <si>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</si>
  <si>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</si>
  <si>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</si>
  <si>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</si>
  <si>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</si>
  <si>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</si>
  <si>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</si>
  <si>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</si>
  <si>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</si>
  <si>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</si>
  <si>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</si>
  <si>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</si>
  <si>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</si>
  <si>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</si>
  <si>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</si>
  <si>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</si>
  <si>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</si>
  <si>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</si>
  <si>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</si>
  <si>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</si>
  <si>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</si>
  <si>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</si>
  <si>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</si>
  <si>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</si>
  <si>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</si>
  <si>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</si>
  <si>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</si>
  <si>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</si>
  <si>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</si>
  <si>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</si>
  <si>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</si>
  <si>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</si>
  <si>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</si>
  <si>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</si>
  <si>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</si>
  <si>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</si>
  <si>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</si>
  <si>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</si>
  <si>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</si>
  <si>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</si>
  <si>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</si>
  <si>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</si>
  <si>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</si>
  <si>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</si>
  <si>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</si>
  <si>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</si>
  <si>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</si>
  <si>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</si>
  <si>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</si>
  <si>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</si>
  <si>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</si>
  <si>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 1731727-0</t>
  </si>
  <si>
    <t>Arshad Sons</t>
  </si>
  <si>
    <t xml:space="preserve">Address: Engineer Society </t>
  </si>
  <si>
    <t>Invoice No # : 6531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</si>
</sst>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513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Arshad Sons</v>
      </c>
      <c r="T3" s="301">
        <f>+'1'!P35</f>
        <v>12471.704249338982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Arshad Sons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Arshad Sons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Arshad Sons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Arshad Sons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Arshad Sons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Arshad Sons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Arshad Sons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Arshad Sons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Arshad Sons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Arshad Sons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Arshad Sons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Arshad Sons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</v>
      </c>
      <c r="H16" s="113">
        <f t="shared" ref="H16:M16" si="3">SUM(H7:H15)</f>
        <v>200</v>
      </c>
      <c r="I16" s="114">
        <f t="shared" si="3"/>
        <v>11577.4</v>
      </c>
      <c r="J16" s="274">
        <f>SUM(J7:J15)</f>
        <v>879.1160000000001</v>
      </c>
      <c r="K16" s="275">
        <f t="shared" si="3"/>
        <v>405.20900000000006</v>
      </c>
      <c r="L16" s="276">
        <f t="shared" si="3"/>
        <v>80.029200000000003</v>
      </c>
      <c r="M16" s="232">
        <f t="shared" si="3"/>
        <v>10213.045800000002</v>
      </c>
      <c r="N16" s="233">
        <f>SUM(N7:N15)</f>
        <v>2196.6101694915251</v>
      </c>
      <c r="O16" s="101">
        <f>SUM(O7:O15)</f>
        <v>62.048279847457621</v>
      </c>
      <c r="P16" s="113">
        <f>SUM(P7:P15)</f>
        <v>12471.704249338984</v>
      </c>
      <c r="Q16" s="128">
        <f>SUM(Q7:Q15)</f>
        <v>0</v>
      </c>
      <c r="R16" s="314">
        <v>14</v>
      </c>
      <c r="S16" s="300" t="str">
        <f>+'14'!A6:A6</f>
        <v>Arshad Sons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Arshad Sons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Arshad Sons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11577.4</v>
      </c>
      <c r="R19" s="299">
        <v>17</v>
      </c>
      <c r="S19" s="300" t="str">
        <f>+'17'!A6:A6</f>
        <v>Arshad Sons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879.1160000000001</v>
      </c>
      <c r="R20" s="299">
        <v>18</v>
      </c>
      <c r="S20" s="300" t="str">
        <f>+'18'!A6:A6</f>
        <v>Arshad Sons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485.23820000000006</v>
      </c>
      <c r="R21" s="299">
        <v>19</v>
      </c>
      <c r="S21" s="300" t="str">
        <f>+'19'!A6:A6</f>
        <v>Arshad Sons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10213.0458</v>
      </c>
      <c r="R22" s="299">
        <v>20</v>
      </c>
      <c r="S22" s="300" t="str">
        <f>+'20'!A6:A6</f>
        <v>Arshad Sons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2196.6101694915251</v>
      </c>
      <c r="R23" s="299">
        <v>21</v>
      </c>
      <c r="S23" s="300" t="str">
        <f>+'21'!A6:A6</f>
        <v>Arshad Sons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12409.655969491525</v>
      </c>
      <c r="R24" s="299">
        <v>22</v>
      </c>
      <c r="S24" s="300" t="str">
        <f>+'22'!A6:A6</f>
        <v>Arshad Sons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62.048279847457621</v>
      </c>
      <c r="R25" s="299">
        <v>23</v>
      </c>
      <c r="S25" s="300" t="str">
        <f>+'23'!A6:A6</f>
        <v>Arshad Sons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12471.704249338982</v>
      </c>
      <c r="R26" s="299">
        <v>24</v>
      </c>
      <c r="S26" s="300" t="str">
        <f>+'24'!A6:A6</f>
        <v>Arshad Sons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Arshad Sons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Arshad Sons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Arshad Sons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Arshad Sons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Arshad Sons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Arshad Sons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12471.704249338982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11577.4</v>
      </c>
      <c r="J25" s="274">
        <f>SUM(J16:J24)</f>
        <v>879.1160000000001</v>
      </c>
      <c r="K25" s="275">
        <f t="shared" si="10"/>
        <v>405.20900000000006</v>
      </c>
      <c r="L25" s="276">
        <f t="shared" si="10"/>
        <v>80.029200000000003</v>
      </c>
      <c r="M25" s="232">
        <f t="shared" si="10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11577.4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879.1160000000001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485.23820000000006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10213.0458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12409.655969491525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62.048279847457628</v>
      </c>
    </row>
    <row r="35" spans="2:16" ht="15.75" customHeight="1" thickBot="1" x14ac:dyDescent="0.4">
      <c r="N35" s="371" t="s">
        <v>88</v>
      </c>
      <c r="O35" s="372"/>
      <c r="P35" s="297">
        <f>+P33+P34</f>
        <v>12471.704249338982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2026-08-17T12:43:58Z</dcterms:modified>
</cp:coreProperties>
</file>