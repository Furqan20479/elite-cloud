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9C84F6-3AAC-427C-9CF4-0368FB2E377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<sst xmlns="http://schemas.openxmlformats.org/spreadsheetml/2006/main" count="3978" uniqueCount="530">
  <si>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</si>
  <si>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</si>
  <si>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</si>
  <si>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</si>
  <si>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</si>
  <si>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</si>
  <si>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</si>
  <si>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</si>
  <si>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</si>
  <si>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</si>
  <si>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</si>
  <si>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</si>
  <si>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</si>
  <si>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</si>
  <si>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</si>
  <si>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</si>
  <si>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</si>
  <si>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</si>
  <si>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</si>
  <si>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</si>
  <si>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</si>
  <si>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</si>
  <si>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</si>
  <si>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</si>
  <si>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</si>
  <si>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</si>
  <si>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</si>
  <si>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</si>
  <si>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</si>
  <si>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</si>
  <si>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</si>
  <si>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</si>
  <si>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</si>
  <si>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</si>
  <si>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</si>
  <si>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</si>
  <si>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</si>
  <si>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</si>
  <si>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</si>
  <si>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</si>
  <si>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</si>
  <si>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</si>
  <si>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</si>
  <si>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</si>
  <si>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</si>
  <si>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</si>
  <si>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</si>
  <si>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</si>
  <si>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</si>
  <si>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</si>
  <si>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</si>
  <si>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</si>
  <si>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</si>
  <si>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</si>
  <si>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</si>
  <si>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</si>
  <si>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</si>
  <si>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</si>
  <si>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</si>
  <si>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</si>
  <si>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</si>
  <si>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</si>
  <si>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</si>
  <si>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</si>
  <si>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</si>
  <si>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</si>
  <si>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</si>
  <si>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</si>
  <si>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</si>
  <si>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</si>
  <si>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</si>
  <si>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</si>
  <si>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</si>
  <si>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</si>
  <si>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</si>
  <si>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</si>
  <si>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</si>
  <si>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</si>
  <si>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</si>
  <si>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</si>
  <si>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</si>
  <si>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</si>
  <si>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</si>
  <si>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</si>
  <si>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</si>
  <si>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</si>
  <si>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</si>
  <si>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</si>
  <si>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</si>
  <si>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</si>
  <si>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</si>
  <si>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</si>
  <si>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</si>
  <si>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</si>
  <si>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</si>
  <si>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</si>
  <si>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</si>
  <si>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</si>
  <si>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</si>
  <si>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</si>
  <si>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</si>
  <si>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</si>
  <si>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</si>
  <si>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</si>
  <si>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</si>
  <si>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</si>
  <si>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</si>
  <si>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</si>
  <si>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</si>
  <si>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</si>
  <si>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</si>
  <si>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</si>
  <si>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</si>
  <si>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</si>
  <si>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</si>
  <si>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</si>
  <si>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</si>
  <si>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</si>
  <si>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</si>
  <si>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</si>
  <si>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</si>
  <si>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</si>
  <si>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</si>
  <si>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</si>
  <si>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</si>
  <si>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</si>
  <si>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</si>
  <si>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</si>
  <si>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</si>
  <si>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</si>
  <si>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</si>
  <si>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</si>
  <si>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</si>
  <si>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</si>
  <si>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</si>
  <si>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</si>
  <si>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</si>
  <si>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</si>
  <si>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</si>
  <si>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</si>
  <si>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</si>
  <si>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</si>
  <si>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</si>
  <si>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</si>
  <si>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</si>
  <si>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</si>
  <si>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</si>
  <si>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</si>
  <si>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</si>
  <si>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</si>
  <si>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</si>
  <si>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</si>
  <si>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</si>
  <si>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</si>
  <si>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</si>
  <si>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</si>
  <si>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</si>
  <si>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</si>
  <si>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</si>
  <si>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</si>
  <si>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</si>
  <si>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</si>
  <si>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</si>
  <si>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</si>
  <si>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</si>
  <si>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</si>
  <si>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</si>
  <si>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</si>
  <si>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</si>
  <si>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</si>
  <si>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</si>
  <si>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</si>
  <si>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</si>
  <si>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</si>
  <si>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</si>
  <si>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</si>
  <si>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</si>
  <si>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</si>
  <si>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</si>
  <si>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</si>
  <si>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</si>
  <si>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</si>
  <si>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</si>
  <si>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</si>
  <si>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</si>
  <si>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</si>
  <si>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</si>
  <si>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</si>
  <si>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</si>
  <si>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</si>
  <si>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</si>
  <si>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</si>
  <si>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</si>
  <si>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</si>
  <si>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</si>
  <si>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</si>
  <si>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</si>
  <si>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</si>
  <si>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</si>
  <si>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</si>
  <si>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</si>
  <si>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</si>
  <si>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</si>
  <si>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</si>
  <si>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</si>
  <si>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</si>
  <si>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</si>
  <si>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</si>
  <si>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</si>
  <si>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</si>
  <si>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</si>
  <si>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</si>
  <si>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</si>
  <si>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</si>
  <si>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</si>
  <si>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</si>
  <si>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</si>
  <si>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</si>
  <si>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</si>
  <si>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</si>
  <si>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</si>
  <si>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</si>
  <si>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</si>
  <si>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</si>
  <si>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</si>
  <si>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</si>
  <si>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</si>
  <si>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</si>
  <si>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</si>
  <si>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</si>
  <si>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</si>
  <si>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</si>
  <si>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</si>
  <si>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</si>
  <si>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</si>
  <si>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</si>
  <si>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</si>
  <si>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</si>
  <si>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</si>
  <si>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</si>
  <si>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</si>
  <si>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</si>
  <si>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</si>
  <si>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</si>
  <si>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</si>
  <si>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</si>
  <si>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</si>
  <si>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</si>
  <si>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</si>
  <si>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</si>
  <si>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</si>
  <si>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</si>
  <si>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</si>
  <si>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</si>
  <si>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</si>
  <si>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</si>
  <si>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</si>
  <si>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</si>
  <si>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</si>
  <si>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</si>
  <si>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</si>
  <si>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</si>
  <si>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</si>
  <si>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</si>
  <si>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</si>
  <si>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</si>
  <si>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</si>
  <si>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</si>
  <si>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</si>
  <si>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</si>
  <si>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</si>
  <si>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</si>
  <si>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</si>
  <si>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</si>
  <si>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</si>
  <si>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</si>
  <si>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</si>
  <si>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</si>
  <si>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</si>
  <si>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</si>
  <si>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</si>
  <si>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</si>
  <si>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</si>
  <si>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</si>
  <si>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</si>
  <si>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</si>
  <si>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</si>
  <si>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</si>
  <si>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</si>
  <si>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</si>
  <si>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</si>
  <si>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</si>
  <si>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</si>
  <si>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</si>
  <si>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</si>
  <si>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</si>
  <si>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</si>
  <si>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</si>
  <si>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</si>
  <si>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</si>
  <si>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</si>
  <si>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</si>
  <si>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</si>
  <si>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</si>
  <si>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</si>
  <si>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</si>
  <si>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</si>
  <si>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</si>
  <si>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</si>
  <si>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</si>
  <si>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</si>
  <si>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</si>
  <si>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</si>
  <si>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</si>
  <si>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</si>
  <si>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</si>
  <si>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</si>
  <si>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</si>
  <si>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</si>
  <si>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</si>
  <si>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</si>
  <si>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</si>
  <si>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</si>
  <si>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</si>
  <si>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</si>
  <si>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</si>
  <si>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</si>
  <si>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</si>
  <si>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</si>
  <si>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</si>
  <si>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</si>
  <si>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</si>
  <si>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</si>
  <si>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</si>
  <si>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</si>
  <si>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</si>
  <si>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</si>
  <si>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</si>
  <si>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</si>
  <si>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</si>
  <si>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</si>
  <si>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</si>
  <si>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</si>
  <si>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</si>
  <si>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</si>
  <si>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</si>
  <si>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</si>
  <si>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</si>
  <si>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</si>
  <si>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</si>
  <si>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</si>
  <si>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</si>
  <si>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</si>
  <si>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</si>
  <si>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</si>
  <si>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</si>
  <si>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</si>
  <si>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</si>
  <si>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</si>
  <si>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</si>
  <si>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</si>
  <si>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</si>
  <si>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</si>
  <si>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</si>
  <si>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</si>
  <si>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</si>
  <si>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</si>
  <si>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</si>
  <si>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</si>
  <si>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</si>
  <si>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</si>
  <si>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</si>
  <si>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</si>
  <si>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</si>
  <si>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</si>
  <si>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</si>
  <si>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</si>
  <si>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</si>
  <si>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</si>
  <si>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</si>
  <si>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</si>
  <si>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</si>
  <si>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</si>
  <si>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</si>
  <si>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</si>
  <si>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</si>
  <si>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</si>
  <si>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</si>
  <si>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</si>
  <si>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</si>
  <si>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</si>
  <si>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</si>
  <si>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</si>
  <si>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</si>
  <si>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</si>
  <si>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</si>
  <si>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</si>
  <si>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</si>
  <si>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</si>
  <si>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</si>
  <si>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</si>
  <si>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</si>
  <si>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</si>
  <si>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</si>
  <si>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</si>
  <si>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</si>
  <si>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</si>
  <si>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</si>
  <si>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</si>
  <si>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</si>
  <si>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</si>
  <si>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</si>
  <si>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</si>
  <si>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</si>
  <si>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</si>
  <si>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</si>
  <si>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</si>
  <si>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</si>
  <si>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</si>
  <si>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</si>
  <si>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</si>
  <si>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</si>
  <si>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</si>
  <si>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</si>
  <si>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</si>
  <si>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</si>
  <si>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</si>
  <si>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</si>
  <si>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</si>
  <si>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</si>
  <si>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</si>
  <si>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</si>
  <si>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</si>
  <si>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</si>
  <si>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</si>
  <si>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</si>
  <si>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</si>
  <si>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</si>
  <si>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</si>
  <si>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</si>
  <si>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</si>
  <si>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</si>
  <si>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</si>
  <si>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</si>
  <si>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</si>
  <si>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</si>
  <si>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</si>
  <si>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</si>
  <si>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</si>
  <si>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</si>
  <si>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</si>
  <si>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</si>
  <si>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</si>
  <si>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</si>
  <si>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</si>
  <si>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</si>
  <si>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</si>
  <si>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</si>
  <si>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</si>
  <si>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</si>
  <si>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</si>
  <si>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</si>
  <si>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</si>
  <si>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</si>
  <si>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</si>
  <si>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</si>
  <si>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</si>
  <si>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</si>
  <si>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</si>
  <si>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</si>
  <si>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</si>
  <si>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</si>
  <si>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</si>
  <si>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</si>
  <si>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</si>
  <si>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</si>
  <si>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</si>
  <si>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</si>
  <si>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</si>
  <si>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</si>
  <si>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</si>
  <si>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</si>
  <si>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</si>
  <si>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</si>
  <si>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</si>
  <si>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</si>
  <si>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</si>
  <si>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</si>
  <si>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</si>
  <si>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</si>
  <si>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</si>
  <si>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</si>
  <si>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</si>
  <si>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</si>
  <si>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</si>
  <si>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</si>
  <si>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</si>
  <si>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</si>
  <si>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</si>
  <si>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</si>
  <si>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</si>
  <si>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</si>
  <si>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</si>
  <si>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</si>
  <si>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</si>
  <si>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</si>
  <si>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</si>
  <si>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</si>
  <si>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</si>
  <si>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</si>
  <si>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</si>
  <si>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</si>
  <si>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</si>
  <si>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</si>
  <si>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</si>
  <si>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</si>
  <si>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</si>
  <si>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Premier Mart </t>
  </si>
  <si>
    <t>Address: Pak Arab</t>
  </si>
  <si>
    <t xml:space="preserve">Panda Mart </t>
  </si>
  <si>
    <t xml:space="preserve">Address: Pak Arab </t>
  </si>
  <si>
    <t>Al yousaf Super Store</t>
  </si>
  <si>
    <t xml:space="preserve">Address: Pak arab </t>
  </si>
  <si>
    <t>Awan Super Store</t>
  </si>
  <si>
    <t>Chauhan Store</t>
  </si>
  <si>
    <t>Address: Pak Arab Store</t>
  </si>
  <si>
    <t>Roshan Store</t>
  </si>
  <si>
    <t xml:space="preserve">Al noor Cash N carry </t>
  </si>
  <si>
    <t>Bismillah Super Store</t>
  </si>
  <si>
    <t>Zam Zam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</si>
</sst>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46249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Premier Mart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Panda Mart 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Al yousaf Super Store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Awan Super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Chauhan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Roshan Store</v>
      </c>
      <c r="T8" s="301">
        <f>+'6'!P35</f>
        <v>4805.3894985762709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Al noor Cash N carry </v>
      </c>
      <c r="T9" s="301">
        <f>+'7'!P35</f>
        <v>6272.4231701694916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117</v>
      </c>
      <c r="I10" s="236">
        <f t="shared" si="0"/>
        <v>8498.8799999999992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679.91039999999998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297.46080000000001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7521.5087999999996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1606.2711864406781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45.638899932203394</v>
      </c>
      <c r="P10" s="311">
        <f t="shared" si="2"/>
        <v>9173.4188863728796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Bismillah Super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135</v>
      </c>
      <c r="I11" s="236">
        <f t="shared" si="0"/>
        <v>9806.4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784.51200000000006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343.22400000000005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8678.6639999999989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1853.3898305084747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52.660269152542377</v>
      </c>
      <c r="P11" s="311">
        <f t="shared" si="2"/>
        <v>10584.714099661016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Awan Super Store</v>
      </c>
      <c r="T11" s="301">
        <f>+'9'!P35</f>
        <v>1568.1057925423729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152</v>
      </c>
      <c r="I12" s="236">
        <f t="shared" si="0"/>
        <v>11041.28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883.30240000000015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386.44480000000004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9771.5328000000009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2086.7796610169489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59.291562305084746</v>
      </c>
      <c r="P12" s="311">
        <f t="shared" si="2"/>
        <v>11917.604023322036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Zam Zam Store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132</v>
      </c>
      <c r="I13" s="236">
        <f t="shared" si="0"/>
        <v>5178.3600000000006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258.91800000000006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181.24260000000004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264.09636</v>
      </c>
      <c r="M13" s="230">
        <f t="shared" si="1"/>
        <v>4474.10304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1006.7796610169486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27.404413505084747</v>
      </c>
      <c r="P13" s="311">
        <f t="shared" si="2"/>
        <v>5508.2871145220333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13.4</v>
      </c>
      <c r="H16" s="113">
        <f t="shared" ref="H16:M16" si="3">SUM(H7:H15)</f>
        <v>536</v>
      </c>
      <c r="I16" s="114">
        <f t="shared" si="3"/>
        <v>34524.92</v>
      </c>
      <c r="J16" s="274">
        <f>SUM(J7:J15)</f>
        <v>2606.6428000000001</v>
      </c>
      <c r="K16" s="275">
        <f t="shared" si="3"/>
        <v>1208.3722</v>
      </c>
      <c r="L16" s="276">
        <f t="shared" si="3"/>
        <v>264.09636</v>
      </c>
      <c r="M16" s="232">
        <f t="shared" si="3"/>
        <v>30445.808640000003</v>
      </c>
      <c r="N16" s="233">
        <f>SUM(N7:N15)</f>
        <v>6553.2203389830511</v>
      </c>
      <c r="O16" s="101">
        <f>SUM(O7:O15)</f>
        <v>184.99514489491526</v>
      </c>
      <c r="P16" s="113">
        <f>SUM(P7:P15)</f>
        <v>37184.024123877964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34524.92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2606.6428000000001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1472.46856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30445.808639999996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6553.2203389830511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36999.028978983049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184.99514489491526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37184.024123877964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37184.024123877971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1743.3600000000001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139.46880000000002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61.017600000000009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1542.8736000000001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1872.3651254237288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1" t="s">
        <v>88</v>
      </c>
      <c r="O35" s="372"/>
      <c r="P35" s="297">
        <f>+P33+P34</f>
        <v>1881.7269510508474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116.224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50.848000000000006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1285.7280000000001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1560.3042711864407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1" t="s">
        <v>88</v>
      </c>
      <c r="O35" s="372"/>
      <c r="P35" s="297">
        <f>+P33+P34</f>
        <v>1568.1057925423729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46250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46249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2026-08-15T04:24:31Z</dcterms:modified>
</cp:coreProperties>
</file>