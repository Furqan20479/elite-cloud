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6979098-C28E-44CD-B9EC-16CBE39C789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<sst xmlns="http://schemas.openxmlformats.org/spreadsheetml/2006/main" count="3978" uniqueCount="529">
  <si>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</si>
  <si>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</si>
  <si>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</si>
  <si>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</si>
  <si>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</si>
  <si>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</si>
  <si>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</si>
  <si>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</si>
  <si>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</si>
  <si>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</si>
  <si>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</si>
  <si>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</si>
  <si>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</si>
  <si>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</si>
  <si>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</si>
  <si>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</si>
  <si>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</si>
  <si>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</si>
  <si>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</si>
  <si>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</si>
  <si>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</si>
  <si>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</si>
  <si>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</si>
  <si>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</si>
  <si>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</si>
  <si>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</si>
  <si>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</si>
  <si>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</si>
  <si>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</si>
  <si>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</si>
  <si>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</si>
  <si>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</si>
  <si>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</si>
  <si>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</si>
  <si>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</si>
  <si>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</si>
  <si>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</si>
  <si>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</si>
  <si>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</si>
  <si>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</si>
  <si>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</si>
  <si>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</si>
  <si>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</si>
  <si>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</si>
  <si>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</si>
  <si>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</si>
  <si>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</si>
  <si>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</si>
  <si>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</si>
  <si>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</si>
  <si>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</si>
  <si>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</si>
  <si>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</si>
  <si>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</si>
  <si>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</si>
  <si>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</si>
  <si>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</si>
  <si>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</si>
  <si>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</si>
  <si>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</si>
  <si>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</si>
  <si>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</si>
  <si>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</si>
  <si>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</si>
  <si>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</si>
  <si>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</si>
  <si>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</si>
  <si>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</si>
  <si>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</si>
  <si>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</si>
  <si>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</si>
  <si>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</si>
  <si>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</si>
  <si>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</si>
  <si>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</si>
  <si>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</si>
  <si>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</si>
  <si>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</si>
  <si>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</si>
  <si>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</si>
  <si>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</si>
  <si>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</si>
  <si>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</si>
  <si>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</si>
  <si>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</si>
  <si>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</si>
  <si>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</si>
  <si>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</si>
  <si>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</si>
  <si>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</si>
  <si>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</si>
  <si>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</si>
  <si>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</si>
  <si>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</si>
  <si>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</si>
  <si>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</si>
  <si>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</si>
  <si>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</si>
  <si>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</si>
  <si>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</si>
  <si>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</si>
  <si>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</si>
  <si>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</si>
  <si>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</si>
  <si>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</si>
  <si>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</si>
  <si>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</si>
  <si>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</si>
  <si>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</si>
  <si>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</si>
  <si>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</si>
  <si>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</si>
  <si>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</si>
  <si>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</si>
  <si>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</si>
  <si>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</si>
  <si>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</si>
  <si>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</si>
  <si>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</si>
  <si>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</si>
  <si>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</si>
  <si>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</si>
  <si>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</si>
  <si>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</si>
  <si>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</si>
  <si>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</si>
  <si>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</si>
  <si>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</si>
  <si>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</si>
  <si>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</si>
  <si>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</si>
  <si>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</si>
  <si>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</si>
  <si>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</si>
  <si>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</si>
  <si>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</si>
  <si>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</si>
  <si>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</si>
  <si>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</si>
  <si>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</si>
  <si>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</si>
  <si>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</si>
  <si>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</si>
  <si>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</si>
  <si>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</si>
  <si>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</si>
  <si>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</si>
  <si>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</si>
  <si>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</si>
  <si>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</si>
  <si>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</si>
  <si>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</si>
  <si>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</si>
  <si>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</si>
  <si>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</si>
  <si>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</si>
  <si>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</si>
  <si>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</si>
  <si>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</si>
  <si>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</si>
  <si>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</si>
  <si>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</si>
  <si>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</si>
  <si>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</si>
  <si>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</si>
  <si>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</si>
  <si>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</si>
  <si>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</si>
  <si>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</si>
  <si>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</si>
  <si>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</si>
  <si>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</si>
  <si>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</si>
  <si>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</si>
  <si>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</si>
  <si>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</si>
  <si>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</si>
  <si>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</si>
  <si>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</si>
  <si>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</si>
  <si>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</si>
  <si>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</si>
  <si>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</si>
  <si>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</si>
  <si>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</si>
  <si>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</si>
  <si>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</si>
  <si>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</si>
  <si>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</si>
  <si>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</si>
  <si>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</si>
  <si>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</si>
  <si>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</si>
  <si>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</si>
  <si>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</si>
  <si>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</si>
  <si>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</si>
  <si>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</si>
  <si>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</si>
  <si>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</si>
  <si>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</si>
  <si>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</si>
  <si>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</si>
  <si>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</si>
  <si>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</si>
  <si>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</si>
  <si>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</si>
  <si>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</si>
  <si>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</si>
  <si>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</si>
  <si>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</si>
  <si>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</si>
  <si>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</si>
  <si>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</si>
  <si>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</si>
  <si>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</si>
  <si>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</si>
  <si>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</si>
  <si>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</si>
  <si>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</si>
  <si>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</si>
  <si>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</si>
  <si>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</si>
  <si>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</si>
  <si>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</si>
  <si>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</si>
  <si>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</si>
  <si>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</si>
  <si>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</si>
  <si>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</si>
  <si>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</si>
  <si>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</si>
  <si>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</si>
  <si>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</si>
  <si>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</si>
  <si>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</si>
  <si>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</si>
  <si>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</si>
  <si>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</si>
  <si>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</si>
  <si>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</si>
  <si>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</si>
  <si>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</si>
  <si>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</si>
  <si>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</si>
  <si>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</si>
  <si>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</si>
  <si>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</si>
  <si>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</si>
  <si>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</si>
  <si>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</si>
  <si>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</si>
  <si>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</si>
  <si>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</si>
  <si>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</si>
  <si>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</si>
  <si>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</si>
  <si>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</si>
  <si>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</si>
  <si>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</si>
  <si>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</si>
  <si>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</si>
  <si>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</si>
  <si>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</si>
  <si>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</si>
  <si>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</si>
  <si>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</si>
  <si>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</si>
  <si>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</si>
  <si>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</si>
  <si>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</si>
  <si>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</si>
  <si>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</si>
  <si>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</si>
  <si>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</si>
  <si>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</si>
  <si>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</si>
  <si>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</si>
  <si>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</si>
  <si>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</si>
  <si>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</si>
  <si>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</si>
  <si>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</si>
  <si>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</si>
  <si>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</si>
  <si>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</si>
  <si>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</si>
  <si>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</si>
  <si>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</si>
  <si>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</si>
  <si>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</si>
  <si>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</si>
  <si>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</si>
  <si>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</si>
  <si>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</si>
  <si>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</si>
  <si>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</si>
  <si>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</si>
  <si>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</si>
  <si>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</si>
  <si>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</si>
  <si>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</si>
  <si>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</si>
  <si>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</si>
  <si>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</si>
  <si>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</si>
  <si>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</si>
  <si>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</si>
  <si>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</si>
  <si>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</si>
  <si>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</si>
  <si>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</si>
  <si>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</si>
  <si>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</si>
  <si>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</si>
  <si>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</si>
  <si>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</si>
  <si>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</si>
  <si>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</si>
  <si>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</si>
  <si>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</si>
  <si>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</si>
  <si>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</si>
  <si>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</si>
  <si>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</si>
  <si>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</si>
  <si>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</si>
  <si>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</si>
  <si>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</si>
  <si>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</si>
  <si>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</si>
  <si>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</si>
  <si>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</si>
  <si>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</si>
  <si>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</si>
  <si>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</si>
  <si>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</si>
  <si>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</si>
  <si>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</si>
  <si>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</si>
  <si>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</si>
  <si>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</si>
  <si>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</si>
  <si>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</si>
  <si>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</si>
  <si>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</si>
  <si>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</si>
  <si>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</si>
  <si>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</si>
  <si>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</si>
  <si>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</si>
  <si>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</si>
  <si>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</si>
  <si>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</si>
  <si>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</si>
  <si>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</si>
  <si>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</si>
  <si>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</si>
  <si>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</si>
  <si>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</si>
  <si>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</si>
  <si>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</si>
  <si>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</si>
  <si>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</si>
  <si>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</si>
  <si>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</si>
  <si>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</si>
  <si>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</si>
  <si>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</si>
  <si>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</si>
  <si>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</si>
  <si>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</si>
  <si>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</si>
  <si>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</si>
  <si>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</si>
  <si>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</si>
  <si>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</si>
  <si>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</si>
  <si>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</si>
  <si>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</si>
  <si>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</si>
  <si>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</si>
  <si>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</si>
  <si>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</si>
  <si>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</si>
  <si>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</si>
  <si>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</si>
  <si>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</si>
  <si>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</si>
  <si>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</si>
  <si>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</si>
  <si>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</si>
  <si>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</si>
  <si>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</si>
  <si>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</si>
  <si>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</si>
  <si>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</si>
  <si>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</si>
  <si>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</si>
  <si>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</si>
  <si>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</si>
  <si>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</si>
  <si>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</si>
  <si>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</si>
  <si>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</si>
  <si>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</si>
  <si>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</si>
  <si>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</si>
  <si>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</si>
  <si>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</si>
  <si>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</si>
  <si>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</si>
  <si>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</si>
  <si>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</si>
  <si>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</si>
  <si>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</si>
  <si>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</si>
  <si>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</si>
  <si>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</si>
  <si>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</si>
  <si>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</si>
  <si>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</si>
  <si>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</si>
  <si>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</si>
  <si>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</si>
  <si>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</si>
  <si>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</si>
  <si>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</si>
  <si>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</si>
  <si>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</si>
  <si>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</si>
  <si>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</si>
  <si>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</si>
  <si>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</si>
  <si>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</si>
  <si>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</si>
  <si>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</si>
  <si>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</si>
  <si>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</si>
  <si>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</si>
  <si>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</si>
  <si>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</si>
  <si>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</si>
  <si>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</si>
  <si>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</si>
  <si>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</si>
  <si>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</si>
  <si>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</si>
  <si>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</si>
  <si>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</si>
  <si>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</si>
  <si>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</si>
  <si>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</si>
  <si>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</si>
  <si>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</si>
  <si>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</si>
  <si>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</si>
  <si>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</si>
  <si>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</si>
  <si>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</si>
  <si>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</si>
  <si>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</si>
  <si>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</si>
  <si>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</si>
  <si>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</si>
  <si>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</si>
  <si>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</si>
  <si>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</si>
  <si>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</si>
  <si>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</si>
  <si>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</si>
  <si>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</si>
  <si>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</si>
  <si>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</si>
  <si>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</si>
  <si>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</si>
  <si>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</si>
  <si>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</si>
  <si>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</si>
  <si>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</si>
  <si>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</si>
  <si>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</si>
  <si>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</si>
  <si>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</si>
  <si>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</si>
  <si>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</si>
  <si>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</si>
  <si>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</si>
  <si>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</si>
  <si>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</si>
  <si>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</si>
  <si>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</si>
  <si>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</si>
  <si>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</si>
  <si>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</si>
  <si>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</si>
  <si>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</si>
  <si>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</si>
  <si>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</si>
  <si>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</si>
  <si>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</si>
  <si>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</si>
  <si>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</si>
  <si>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</si>
  <si>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</si>
  <si>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</si>
  <si>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</si>
  <si>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</si>
  <si>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</si>
  <si>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</si>
  <si>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</si>
  <si>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</si>
  <si>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</si>
  <si>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</si>
  <si>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</si>
  <si>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</si>
  <si>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Zesahn</t>
  </si>
  <si>
    <t xml:space="preserve">Besta Mart </t>
  </si>
  <si>
    <t>Address: DHA</t>
  </si>
  <si>
    <t>Fakhir Store</t>
  </si>
  <si>
    <t>Malik Store</t>
  </si>
  <si>
    <t>Saleem store</t>
  </si>
  <si>
    <t>Hafiz Store</t>
  </si>
  <si>
    <t>MHT Store</t>
  </si>
  <si>
    <t xml:space="preserve">Bravo Mart </t>
  </si>
  <si>
    <t>Rana Store</t>
  </si>
  <si>
    <t>Khan Store</t>
  </si>
  <si>
    <t>Allys Store</t>
  </si>
  <si>
    <t xml:space="preserve">Kashmir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</si>
</sst>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J38" sqref="J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46249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Besta Mart 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Fakhir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Malik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Saleem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Hafiz Store</v>
      </c>
      <c r="T7" s="301">
        <f>+'5'!P35</f>
        <v>9060.206331355932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MHT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Bravo Mart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Rana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Khan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Allys Store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280</v>
      </c>
      <c r="I13" s="236">
        <f t="shared" si="0"/>
        <v>10984.400000000001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549.22000000000014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384.45400000000006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560.20440000000008</v>
      </c>
      <c r="M13" s="230">
        <f t="shared" si="1"/>
        <v>9490.5216000000019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2135.5932203389821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58.130574101694918</v>
      </c>
      <c r="P13" s="311">
        <f t="shared" si="2"/>
        <v>11684.245394440679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Kashmir Bakers </v>
      </c>
      <c r="T13" s="301">
        <f>+'11'!P35</f>
        <v>3338.355826983051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12</v>
      </c>
      <c r="H16" s="113">
        <f t="shared" ref="H16:M16" si="3">SUM(H7:H15)</f>
        <v>480</v>
      </c>
      <c r="I16" s="114">
        <f t="shared" si="3"/>
        <v>22284</v>
      </c>
      <c r="J16" s="274">
        <f>SUM(J7:J15)</f>
        <v>1453.1880000000001</v>
      </c>
      <c r="K16" s="275">
        <f t="shared" si="3"/>
        <v>779.94</v>
      </c>
      <c r="L16" s="276">
        <f t="shared" si="3"/>
        <v>560.20440000000008</v>
      </c>
      <c r="M16" s="232">
        <f t="shared" si="3"/>
        <v>19490.667600000001</v>
      </c>
      <c r="N16" s="233">
        <f>SUM(N7:N15)</f>
        <v>4271.1864406779641</v>
      </c>
      <c r="O16" s="101">
        <f>SUM(O7:O15)</f>
        <v>118.80927020338983</v>
      </c>
      <c r="P16" s="113">
        <f>SUM(P7:P15)</f>
        <v>23880.663310881358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22284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1453.1880000000001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1340.1444000000001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19490.667599999997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4271.1864406779641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23761.854040677961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118.80927020338983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23880.663310881351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23880.663310881358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310">
        <f>M16+N16+O16</f>
        <v>4530.103165677966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311">
        <f t="shared" ref="P17:P24" si="5">M17+N17+O17</f>
        <v>4530.103165677966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160</v>
      </c>
      <c r="I25" s="114">
        <f t="shared" si="7"/>
        <v>8394</v>
      </c>
      <c r="J25" s="274">
        <f>SUM(J16:J24)</f>
        <v>671.52</v>
      </c>
      <c r="K25" s="275">
        <f t="shared" si="7"/>
        <v>293.79000000000002</v>
      </c>
      <c r="L25" s="276">
        <f t="shared" si="7"/>
        <v>0</v>
      </c>
      <c r="M25" s="232">
        <f t="shared" si="7"/>
        <v>7428.6900000000005</v>
      </c>
      <c r="N25" s="233">
        <f>SUM(N16:N24)</f>
        <v>1586.440677966101</v>
      </c>
      <c r="O25" s="101">
        <f>SUM(O16:O24)</f>
        <v>45.075653389830507</v>
      </c>
      <c r="P25" s="113">
        <f>SUM(P16:P24)</f>
        <v>9060.206331355932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8394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671.52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293.79000000000002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7428.69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1586.440677966101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9015.1306779661008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45.075653389830507</v>
      </c>
    </row>
    <row r="35" spans="2:16" ht="15.75" customHeight="1" thickBot="1" x14ac:dyDescent="0.4">
      <c r="N35" s="371" t="s">
        <v>88</v>
      </c>
      <c r="O35" s="372"/>
      <c r="P35" s="297">
        <f>+P33+P34</f>
        <v>9060.206331355932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3138.4000000000005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156.92000000000004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269.90240000000006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2711.5776000000005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3321.7470915254239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1" t="s">
        <v>88</v>
      </c>
      <c r="O35" s="372"/>
      <c r="P35" s="297">
        <f>+P33+P34</f>
        <v>3338.355826983051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46250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46249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2026-08-15T04:12:23Z</dcterms:modified>
</cp:coreProperties>
</file>