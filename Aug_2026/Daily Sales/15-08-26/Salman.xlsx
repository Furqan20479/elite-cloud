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DC736D1-7A17-4EA5-BE16-1CEDC9A798B9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2" i="5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<sst xmlns="http://schemas.openxmlformats.org/spreadsheetml/2006/main" count="3978" uniqueCount="530">
  <si>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</si>
  <si>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</si>
  <si>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</si>
  <si>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</si>
  <si>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</si>
  <si>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</si>
  <si>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</si>
  <si>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</si>
  <si>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</si>
  <si>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</si>
  <si>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</si>
  <si>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</si>
  <si>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</si>
  <si>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</si>
  <si>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</si>
  <si>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</si>
  <si>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</si>
  <si>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</si>
  <si>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</si>
  <si>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</si>
  <si>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</si>
  <si>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</si>
  <si>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</si>
  <si>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</si>
  <si>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</si>
  <si>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</si>
  <si>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</si>
  <si>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</si>
  <si>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</si>
  <si>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</si>
  <si>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</si>
  <si>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</si>
  <si>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</si>
  <si>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</si>
  <si>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</si>
  <si>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</si>
  <si>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</si>
  <si>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</si>
  <si>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</si>
  <si>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</si>
  <si>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</si>
  <si>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</si>
  <si>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</si>
  <si>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</si>
  <si>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</si>
  <si>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</si>
  <si>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</si>
  <si>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</si>
  <si>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</si>
  <si>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</si>
  <si>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</si>
  <si>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</si>
  <si>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</si>
  <si>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</si>
  <si>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</si>
  <si>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</si>
  <si>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</si>
  <si>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</si>
  <si>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</si>
  <si>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</si>
  <si>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</si>
  <si>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</si>
  <si>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</si>
  <si>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</si>
  <si>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</si>
  <si>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</si>
  <si>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</si>
  <si>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</si>
  <si>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</si>
  <si>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</si>
  <si>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</si>
  <si>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</si>
  <si>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</si>
  <si>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</si>
  <si>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</si>
  <si>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</si>
  <si>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</si>
  <si>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</si>
  <si>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</si>
  <si>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</si>
  <si>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</si>
  <si>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</si>
  <si>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</si>
  <si>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</si>
  <si>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</si>
  <si>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</si>
  <si>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</si>
  <si>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</si>
  <si>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</si>
  <si>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</si>
  <si>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</si>
  <si>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</si>
  <si>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</si>
  <si>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</si>
  <si>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</si>
  <si>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</si>
  <si>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</si>
  <si>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</si>
  <si>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</si>
  <si>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</si>
  <si>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</si>
  <si>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</si>
  <si>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</si>
  <si>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</si>
  <si>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</si>
  <si>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</si>
  <si>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</si>
  <si>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</si>
  <si>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</si>
  <si>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</si>
  <si>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</si>
  <si>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</si>
  <si>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</si>
  <si>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</si>
  <si>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</si>
  <si>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</si>
  <si>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</si>
  <si>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</si>
  <si>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</si>
  <si>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</si>
  <si>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</si>
  <si>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</si>
  <si>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</si>
  <si>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</si>
  <si>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</si>
  <si>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</si>
  <si>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</si>
  <si>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</si>
  <si>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</si>
  <si>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</si>
  <si>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</si>
  <si>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</si>
  <si>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</si>
  <si>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</si>
  <si>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</si>
  <si>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</si>
  <si>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</si>
  <si>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</si>
  <si>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</si>
  <si>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</si>
  <si>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</si>
  <si>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</si>
  <si>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</si>
  <si>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</si>
  <si>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</si>
  <si>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</si>
  <si>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</si>
  <si>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</si>
  <si>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</si>
  <si>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</si>
  <si>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</si>
  <si>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</si>
  <si>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</si>
  <si>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</si>
  <si>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</si>
  <si>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</si>
  <si>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</si>
  <si>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</si>
  <si>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</si>
  <si>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</si>
  <si>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</si>
  <si>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</si>
  <si>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</si>
  <si>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</si>
  <si>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</si>
  <si>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</si>
  <si>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</si>
  <si>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</si>
  <si>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</si>
  <si>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</si>
  <si>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</si>
  <si>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</si>
  <si>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</si>
  <si>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</si>
  <si>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</si>
  <si>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</si>
  <si>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</si>
  <si>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</si>
  <si>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</si>
  <si>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</si>
  <si>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</si>
  <si>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</si>
  <si>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</si>
  <si>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</si>
  <si>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</si>
  <si>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</si>
  <si>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</si>
  <si>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</si>
  <si>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</si>
  <si>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</si>
  <si>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</si>
  <si>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</si>
  <si>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</si>
  <si>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</si>
  <si>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</si>
  <si>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</si>
  <si>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</si>
  <si>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</si>
  <si>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</si>
  <si>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</si>
  <si>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</si>
  <si>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</si>
  <si>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</si>
  <si>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</si>
  <si>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</si>
  <si>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</si>
  <si>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</si>
  <si>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</si>
  <si>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</si>
  <si>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</si>
  <si>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</si>
  <si>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</si>
  <si>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</si>
  <si>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</si>
  <si>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</si>
  <si>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</si>
  <si>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</si>
  <si>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</si>
  <si>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</si>
  <si>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</si>
  <si>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</si>
  <si>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</si>
  <si>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</si>
  <si>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</si>
  <si>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</si>
  <si>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</si>
  <si>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</si>
  <si>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</si>
  <si>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</si>
  <si>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</si>
  <si>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</si>
  <si>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</si>
  <si>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</si>
  <si>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</si>
  <si>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</si>
  <si>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</si>
  <si>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</si>
  <si>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</si>
  <si>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</si>
  <si>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</si>
  <si>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</si>
  <si>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</si>
  <si>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</si>
  <si>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</si>
  <si>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</si>
  <si>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</si>
  <si>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</si>
  <si>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</si>
  <si>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</si>
  <si>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</si>
  <si>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</si>
  <si>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</si>
  <si>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</si>
  <si>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</si>
  <si>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</si>
  <si>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</si>
  <si>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</si>
  <si>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</si>
  <si>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</si>
  <si>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</si>
  <si>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</si>
  <si>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</si>
  <si>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</si>
  <si>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</si>
  <si>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</si>
  <si>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</si>
  <si>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</si>
  <si>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</si>
  <si>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</si>
  <si>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</si>
  <si>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</si>
  <si>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</si>
  <si>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</si>
  <si>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</si>
  <si>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</si>
  <si>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</si>
  <si>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</si>
  <si>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</si>
  <si>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</si>
  <si>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</si>
  <si>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</si>
  <si>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</si>
  <si>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</si>
  <si>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</si>
  <si>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</si>
  <si>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</si>
  <si>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</si>
  <si>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</si>
  <si>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</si>
  <si>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</si>
  <si>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</si>
  <si>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</si>
  <si>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</si>
  <si>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</si>
  <si>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</si>
  <si>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</si>
  <si>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</si>
  <si>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</si>
  <si>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</si>
  <si>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</si>
  <si>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</si>
  <si>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</si>
  <si>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</si>
  <si>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</si>
  <si>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</si>
  <si>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</si>
  <si>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</si>
  <si>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</si>
  <si>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</si>
  <si>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</si>
  <si>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</si>
  <si>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</si>
  <si>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</si>
  <si>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</si>
  <si>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</si>
  <si>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</si>
  <si>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</si>
  <si>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</si>
  <si>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</si>
  <si>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</si>
  <si>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</si>
  <si>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</si>
  <si>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</si>
  <si>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</si>
  <si>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</si>
  <si>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</si>
  <si>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</si>
  <si>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</si>
  <si>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</si>
  <si>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</si>
  <si>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</si>
  <si>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</si>
  <si>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</si>
  <si>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</si>
  <si>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</si>
  <si>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</si>
  <si>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</si>
  <si>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</si>
  <si>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</si>
  <si>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</si>
  <si>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</si>
  <si>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</si>
  <si>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</si>
  <si>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</si>
  <si>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</si>
  <si>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</si>
  <si>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</si>
  <si>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</si>
  <si>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</si>
  <si>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</si>
  <si>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</si>
  <si>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</si>
  <si>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</si>
  <si>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</si>
  <si>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</si>
  <si>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</si>
  <si>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</si>
  <si>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</si>
  <si>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</si>
  <si>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</si>
  <si>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</si>
  <si>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</si>
  <si>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</si>
  <si>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</si>
  <si>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</si>
  <si>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</si>
  <si>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</si>
  <si>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</si>
  <si>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</si>
  <si>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</si>
  <si>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</si>
  <si>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</si>
  <si>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</si>
  <si>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</si>
  <si>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</si>
  <si>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</si>
  <si>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</si>
  <si>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</si>
  <si>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</si>
  <si>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</si>
  <si>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</si>
  <si>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</si>
  <si>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</si>
  <si>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</si>
  <si>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</si>
  <si>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</si>
  <si>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</si>
  <si>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</si>
  <si>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</si>
  <si>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</si>
  <si>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</si>
  <si>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</si>
  <si>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</si>
  <si>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</si>
  <si>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</si>
  <si>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</si>
  <si>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</si>
  <si>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</si>
  <si>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</si>
  <si>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</si>
  <si>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</si>
  <si>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</si>
  <si>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</si>
  <si>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</si>
  <si>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</si>
  <si>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</si>
  <si>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</si>
  <si>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</si>
  <si>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</si>
  <si>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</si>
  <si>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</si>
  <si>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</si>
  <si>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</si>
  <si>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</si>
  <si>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</si>
  <si>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</si>
  <si>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</si>
  <si>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</si>
  <si>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</si>
  <si>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</si>
  <si>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</si>
  <si>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</si>
  <si>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</si>
  <si>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</si>
  <si>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</si>
  <si>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</si>
  <si>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</si>
  <si>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</si>
  <si>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</si>
  <si>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</si>
  <si>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</si>
  <si>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</si>
  <si>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</si>
  <si>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</si>
  <si>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</si>
  <si>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</si>
  <si>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</si>
  <si>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</si>
  <si>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</si>
  <si>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</si>
  <si>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</si>
  <si>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</si>
  <si>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</si>
  <si>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</si>
  <si>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</si>
  <si>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</si>
  <si>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</si>
  <si>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</si>
  <si>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</si>
  <si>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</si>
  <si>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</si>
  <si>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</si>
  <si>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</si>
  <si>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</si>
  <si>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</si>
  <si>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</si>
  <si>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</si>
  <si>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</si>
  <si>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</si>
  <si>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</si>
  <si>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</si>
  <si>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</si>
  <si>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</si>
  <si>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</si>
  <si>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</si>
  <si>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</si>
  <si>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</si>
  <si>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</si>
  <si>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</si>
  <si>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</si>
  <si>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</si>
  <si>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</si>
  <si>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</si>
  <si>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</si>
  <si>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</si>
  <si>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</si>
  <si>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</si>
  <si>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</si>
  <si>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</si>
  <si>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</si>
  <si>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</si>
  <si>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</si>
  <si>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</si>
  <si>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</si>
  <si>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</si>
  <si>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</si>
  <si>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</si>
  <si>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</si>
  <si>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</si>
  <si>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</si>
  <si>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</si>
  <si>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</si>
  <si>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</si>
  <si>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</si>
  <si>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</si>
  <si>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</si>
  <si>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</si>
  <si>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</si>
  <si>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</si>
  <si>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</si>
  <si>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</si>
  <si>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</si>
  <si>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</si>
  <si>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</si>
  <si>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</si>
  <si>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</si>
  <si>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</si>
  <si>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</si>
  <si>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</si>
  <si>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</si>
  <si>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</si>
  <si>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</si>
  <si>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</si>
  <si>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</si>
  <si>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</si>
  <si>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</si>
  <si>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Khan Super Store</t>
  </si>
  <si>
    <t>Address: Tajbagh</t>
  </si>
  <si>
    <t>Zarar Khan Super Store</t>
  </si>
  <si>
    <t>Marwa Mart 1</t>
  </si>
  <si>
    <t>Ayan Khan Store</t>
  </si>
  <si>
    <t xml:space="preserve">Ideal Cash &amp; Carry </t>
  </si>
  <si>
    <t>Hafiz Store</t>
  </si>
  <si>
    <t>Saad Store</t>
  </si>
  <si>
    <t>bakhtawar Store</t>
  </si>
  <si>
    <t>Waleed GS</t>
  </si>
  <si>
    <t>Shahid Sons GS</t>
  </si>
  <si>
    <t>Mughal GS</t>
  </si>
  <si>
    <t>Haji Store</t>
  </si>
  <si>
    <t>Marwa Mart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</si>
</sst>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G37" sqref="G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f ca="1">TODAY()</f>
        <v>46247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Khan Super Store</v>
      </c>
      <c r="T3" s="301">
        <f>+'1'!P35</f>
        <v>3670.2521199057205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Zarar Khan Super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Marwa Mart 1</v>
      </c>
      <c r="T5" s="301">
        <f>+'3'!P35</f>
        <v>12544.846340338983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Ayan Khan Store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Ideal Cash &amp; Carry </v>
      </c>
      <c r="T7" s="301">
        <f>+'5'!P35</f>
        <v>6235.8521246694918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27</v>
      </c>
      <c r="I8" s="236">
        <f t="shared" ref="I8:I14" si="0">(G8*D8)*F8+H8*F8</f>
        <v>1416.4875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113.319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49.577062500000004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1253.5914375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267.71186440677957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7.6065165095338978</v>
      </c>
      <c r="P8" s="311">
        <f t="shared" ref="P8:P15" si="2">M8+N8+O8</f>
        <v>1528.9098184163136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Hafiz Store</v>
      </c>
      <c r="T8" s="301">
        <f>+'6'!P35</f>
        <v>208.64723918644069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27</v>
      </c>
      <c r="I9" s="236">
        <f t="shared" si="0"/>
        <v>1416.4875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113.319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49.577062500000004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1253.5914375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267.71186440677957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7.6065165095338978</v>
      </c>
      <c r="P9" s="311">
        <f t="shared" si="2"/>
        <v>1528.9098184163136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Saad Store</v>
      </c>
      <c r="T9" s="301">
        <f>+'7'!P35</f>
        <v>208.64723918644069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107</v>
      </c>
      <c r="I10" s="236">
        <f t="shared" si="0"/>
        <v>7772.4800000000005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621.79840000000002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272.03680000000003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6878.6448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1468.9830508474577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41.738139254237289</v>
      </c>
      <c r="P10" s="311">
        <f t="shared" si="2"/>
        <v>8389.3659901016945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bakhtawar Store</v>
      </c>
      <c r="T10" s="301">
        <f>+'8'!P35</f>
        <v>125.1883435118644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107</v>
      </c>
      <c r="I11" s="236">
        <f t="shared" si="0"/>
        <v>7772.4800000000005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621.79840000000002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272.03680000000003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6878.6448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1468.9830508474577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41.738139254237289</v>
      </c>
      <c r="P11" s="311">
        <f t="shared" si="2"/>
        <v>8389.3659901016945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Waleed GS</v>
      </c>
      <c r="T11" s="301">
        <f>+'9'!P35</f>
        <v>250.37668702372881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207</v>
      </c>
      <c r="I12" s="236">
        <f t="shared" si="0"/>
        <v>15036.48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1202.9184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526.27680000000009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13307.284799999999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2841.8644067796613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80.745746033898314</v>
      </c>
      <c r="P12" s="311">
        <f t="shared" si="2"/>
        <v>16229.89495281356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Shahid Sons GS</v>
      </c>
      <c r="T12" s="301">
        <f>+'10'!P35</f>
        <v>208.64723918644069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72</v>
      </c>
      <c r="I13" s="236">
        <f t="shared" si="0"/>
        <v>2824.5600000000004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141.22800000000004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98.859600000000043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144.05256</v>
      </c>
      <c r="M13" s="230">
        <f t="shared" si="1"/>
        <v>2440.4198400000005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549.15254237288104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14.947861911864408</v>
      </c>
      <c r="P13" s="311">
        <f t="shared" si="2"/>
        <v>3004.5202442847458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Mughal GS</v>
      </c>
      <c r="T13" s="301">
        <f>+'11'!P35</f>
        <v>208.64723918644069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Haji Store</v>
      </c>
      <c r="T14" s="301">
        <f>+'12'!P35</f>
        <v>295.06721222478808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Marwa Mart 3</v>
      </c>
      <c r="T15" s="301">
        <f>+'13'!P35</f>
        <v>6272.4231701694916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13.925000000000001</v>
      </c>
      <c r="H16" s="113">
        <f t="shared" ref="H16:M16" si="3">SUM(H7:H15)</f>
        <v>557</v>
      </c>
      <c r="I16" s="114">
        <f t="shared" si="3"/>
        <v>36763.599999999999</v>
      </c>
      <c r="J16" s="274">
        <f>SUM(J7:J15)</f>
        <v>2856.3512000000001</v>
      </c>
      <c r="K16" s="275">
        <f t="shared" si="3"/>
        <v>1286.7260000000001</v>
      </c>
      <c r="L16" s="276">
        <f t="shared" si="3"/>
        <v>144.05256</v>
      </c>
      <c r="M16" s="232">
        <f t="shared" si="3"/>
        <v>32476.470240000002</v>
      </c>
      <c r="N16" s="233">
        <f>SUM(N7:N15)</f>
        <v>6963.5593220338978</v>
      </c>
      <c r="O16" s="101">
        <f>SUM(O7:O15)</f>
        <v>197.20014781016951</v>
      </c>
      <c r="P16" s="113">
        <f>SUM(P7:P15)</f>
        <v>39637.229709844069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36763.599999999999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2856.3512000000001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1430.7785600000002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32476.470240000002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6963.5593220338978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39440.029562033902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197.20014781016951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39637.229709844069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39637.229709844061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</v>
      </c>
      <c r="I16" s="235">
        <f>(G16*D16)*F16+H16*F16</f>
        <v>367.23750000000001</v>
      </c>
      <c r="J16" s="271">
        <f>$I16*S16</f>
        <v>29.379000000000001</v>
      </c>
      <c r="K16" s="127">
        <f>$I16*T16</f>
        <v>12.853312500000001</v>
      </c>
      <c r="L16" s="118">
        <f>$I16*U16</f>
        <v>0</v>
      </c>
      <c r="M16" s="229">
        <f>I16-SUM(J16:L16)</f>
        <v>325.00518750000003</v>
      </c>
      <c r="N16" s="248">
        <f>+(G16*D16+H16)*V16</f>
        <v>69.406779661016913</v>
      </c>
      <c r="O16" s="238">
        <f>(N16+M16)*$O$15</f>
        <v>1.9720598358050847</v>
      </c>
      <c r="P16" s="310">
        <f>M16+N16+O16</f>
        <v>396.38402699682206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311">
        <f t="shared" ref="P17:P24" si="5">M17+N17+O17</f>
        <v>396.38402699682206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</v>
      </c>
      <c r="I18" s="236">
        <f t="shared" ref="I18:I21" si="7">(G18*D18)*F18+H18*F18</f>
        <v>367.23750000000001</v>
      </c>
      <c r="J18" s="272">
        <f t="shared" si="1"/>
        <v>29.379000000000001</v>
      </c>
      <c r="K18" s="128">
        <f t="shared" si="1"/>
        <v>12.853312500000001</v>
      </c>
      <c r="L18" s="119">
        <f t="shared" si="1"/>
        <v>0</v>
      </c>
      <c r="M18" s="230">
        <f t="shared" si="2"/>
        <v>325.00518750000003</v>
      </c>
      <c r="N18" s="277">
        <f t="shared" si="3"/>
        <v>69.406779661016913</v>
      </c>
      <c r="O18" s="239">
        <f t="shared" si="4"/>
        <v>1.9720598358050847</v>
      </c>
      <c r="P18" s="311">
        <f t="shared" si="5"/>
        <v>396.38402699682206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7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311">
        <f t="shared" si="5"/>
        <v>548.83702738983061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</v>
      </c>
      <c r="I20" s="236">
        <f t="shared" si="7"/>
        <v>508.48</v>
      </c>
      <c r="J20" s="272">
        <f t="shared" si="1"/>
        <v>40.678400000000003</v>
      </c>
      <c r="K20" s="128">
        <f t="shared" si="1"/>
        <v>17.796800000000001</v>
      </c>
      <c r="L20" s="119">
        <f t="shared" si="1"/>
        <v>0</v>
      </c>
      <c r="M20" s="230">
        <f t="shared" si="2"/>
        <v>450.00480000000005</v>
      </c>
      <c r="N20" s="277">
        <f t="shared" si="3"/>
        <v>96.101694915254242</v>
      </c>
      <c r="O20" s="239">
        <f t="shared" si="4"/>
        <v>2.7305324745762714</v>
      </c>
      <c r="P20" s="311">
        <f t="shared" si="5"/>
        <v>548.83702738983061</v>
      </c>
      <c r="Q20" s="156"/>
      <c r="R20">
        <f>P20/21</f>
        <v>26.135096542372885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7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311">
        <f t="shared" si="5"/>
        <v>548.83702738983061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62</v>
      </c>
      <c r="I25" s="114">
        <f t="shared" ref="I25:M25" si="10">SUM(I16:I24)</f>
        <v>3411.7525000000005</v>
      </c>
      <c r="J25" s="274">
        <f>SUM(J16:J24)</f>
        <v>249.40220000000005</v>
      </c>
      <c r="K25" s="275">
        <f t="shared" si="10"/>
        <v>119.41133750000003</v>
      </c>
      <c r="L25" s="276">
        <f t="shared" si="10"/>
        <v>40.014600000000002</v>
      </c>
      <c r="M25" s="232">
        <f t="shared" si="10"/>
        <v>3002.9243625000004</v>
      </c>
      <c r="N25" s="233">
        <f>SUM(N16:N24)</f>
        <v>649.06779661016935</v>
      </c>
      <c r="O25" s="101">
        <f>SUM(O16:O24)</f>
        <v>18.25996079555085</v>
      </c>
      <c r="P25" s="113">
        <f>SUM(P16:P24)</f>
        <v>3670.252119905721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3411.7525000000005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249.40220000000005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159.42593750000003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3002.9243625000004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649.06779661016935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3651.9921591101697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18.25996079555085</v>
      </c>
    </row>
    <row r="35" spans="2:16" ht="15.75" customHeight="1" thickBot="1" x14ac:dyDescent="0.4">
      <c r="N35" s="371" t="s">
        <v>88</v>
      </c>
      <c r="O35" s="372"/>
      <c r="P35" s="297">
        <f>+P33+P34</f>
        <v>3670.2521199057205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113">
        <f>SUM(P16:P24)</f>
        <v>12544.846340338983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11622.4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929.79200000000003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406.78400000000005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10285.824000000001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12482.434169491526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1" t="s">
        <v>88</v>
      </c>
      <c r="O35" s="372"/>
      <c r="P35" s="297">
        <f>+P33+P34</f>
        <v>12544.846340338983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100</v>
      </c>
      <c r="I25" s="114">
        <f t="shared" si="7"/>
        <v>5788.7000000000007</v>
      </c>
      <c r="J25" s="274">
        <f>SUM(J16:J24)</f>
        <v>439.55799999999999</v>
      </c>
      <c r="K25" s="275">
        <f t="shared" si="7"/>
        <v>202.60450000000003</v>
      </c>
      <c r="L25" s="276">
        <f t="shared" si="7"/>
        <v>40.014600000000002</v>
      </c>
      <c r="M25" s="232">
        <f t="shared" si="7"/>
        <v>5106.5229000000008</v>
      </c>
      <c r="N25" s="233">
        <f>SUM(N16:N24)</f>
        <v>1098.3050847457625</v>
      </c>
      <c r="O25" s="101">
        <f>SUM(O16:O24)</f>
        <v>31.024139923728811</v>
      </c>
      <c r="P25" s="113">
        <f>SUM(P16:P24)</f>
        <v>6235.8521246694918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5788.7000000000007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439.55799999999999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242.61910000000003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5106.5229000000008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6204.8279847457634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31.024139923728818</v>
      </c>
    </row>
    <row r="35" spans="2:16" ht="15.75" customHeight="1" thickBot="1" x14ac:dyDescent="0.4">
      <c r="N35" s="371" t="s">
        <v>88</v>
      </c>
      <c r="O35" s="372"/>
      <c r="P35" s="297">
        <f>+P33+P34</f>
        <v>6235.8521246694918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</v>
      </c>
      <c r="I25" s="114">
        <f t="shared" si="7"/>
        <v>117.69000000000001</v>
      </c>
      <c r="J25" s="274">
        <f>SUM(J16:J24)</f>
        <v>5.884500000000001</v>
      </c>
      <c r="K25" s="275">
        <f t="shared" si="7"/>
        <v>4.1191500000000012</v>
      </c>
      <c r="L25" s="276">
        <f t="shared" si="7"/>
        <v>6.0021900000000006</v>
      </c>
      <c r="M25" s="232">
        <f t="shared" si="7"/>
        <v>101.68416000000001</v>
      </c>
      <c r="N25" s="233">
        <f>SUM(N16:N24)</f>
        <v>22.881355932203377</v>
      </c>
      <c r="O25" s="101">
        <f>SUM(O16:O24)</f>
        <v>0.62282757966101687</v>
      </c>
      <c r="P25" s="113">
        <f>SUM(P16:P24)</f>
        <v>125.1883435118644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117.69000000000001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5.884500000000001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10.121340000000002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101.68416000000001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22.881355932203377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124.56551593220338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0.62282757966101687</v>
      </c>
    </row>
    <row r="35" spans="2:16" ht="15.75" customHeight="1" thickBot="1" x14ac:dyDescent="0.4">
      <c r="N35" s="371" t="s">
        <v>88</v>
      </c>
      <c r="O35" s="372"/>
      <c r="P35" s="297">
        <f>+P33+P34</f>
        <v>125.1883435118644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275.07749999999999</v>
      </c>
      <c r="J25" s="274">
        <f>SUM(J16:J24)</f>
        <v>18.4755</v>
      </c>
      <c r="K25" s="275">
        <f t="shared" si="7"/>
        <v>9.6277125000000012</v>
      </c>
      <c r="L25" s="276">
        <f t="shared" si="7"/>
        <v>6.0021900000000006</v>
      </c>
      <c r="M25" s="232">
        <f t="shared" si="7"/>
        <v>240.97209750000002</v>
      </c>
      <c r="N25" s="233">
        <f>SUM(N16:N24)</f>
        <v>52.627118644067771</v>
      </c>
      <c r="O25" s="101">
        <f>SUM(O16:O24)</f>
        <v>1.4679960807203387</v>
      </c>
      <c r="P25" s="113">
        <f>SUM(P16:P24)</f>
        <v>295.06721222478814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275.07749999999999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18.4755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15.629902500000002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240.97209749999996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52.627118644067771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293.59921614406773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1.4679960807203387</v>
      </c>
    </row>
    <row r="35" spans="2:16" ht="15.75" customHeight="1" thickBot="1" x14ac:dyDescent="0.4">
      <c r="N35" s="371" t="s">
        <v>88</v>
      </c>
      <c r="O35" s="372"/>
      <c r="P35" s="297">
        <f>+P33+P34</f>
        <v>295.06721222478808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2026-08-13T11:25:30Z</dcterms:modified>
</cp:coreProperties>
</file>