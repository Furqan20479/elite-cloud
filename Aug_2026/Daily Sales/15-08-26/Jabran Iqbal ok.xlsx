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816C66E-5C28-4D9C-B238-C9EAB7F09B3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20" i="47"/>
  <c r="O20" i="47" s="1"/>
  <c r="P20" i="47" s="1"/>
  <c r="R20" i="47" s="1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<sst xmlns="http://schemas.openxmlformats.org/spreadsheetml/2006/main" count="3978" uniqueCount="531">
  <si>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</si>
  <si>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</si>
  <si>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</si>
  <si>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</si>
  <si>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</si>
  <si>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</si>
  <si>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</si>
  <si>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</si>
  <si>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</si>
  <si>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</si>
  <si>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</si>
  <si>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</si>
  <si>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</si>
  <si>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</si>
  <si>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</si>
  <si>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</si>
  <si>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</si>
  <si>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</si>
  <si>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</si>
  <si>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</si>
  <si>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</si>
  <si>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</si>
  <si>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</si>
  <si>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</si>
  <si>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</si>
  <si>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</si>
  <si>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</si>
  <si>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</si>
  <si>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</si>
  <si>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</si>
  <si>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</si>
  <si>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</si>
  <si>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</si>
  <si>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</si>
  <si>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</si>
  <si>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</si>
  <si>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</si>
  <si>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</si>
  <si>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</si>
  <si>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</si>
  <si>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</si>
  <si>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</si>
  <si>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</si>
  <si>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</si>
  <si>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</si>
  <si>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</si>
  <si>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</si>
  <si>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</si>
  <si>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</si>
  <si>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</si>
  <si>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</si>
  <si>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</si>
  <si>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</si>
  <si>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</si>
  <si>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</si>
  <si>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</si>
  <si>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</si>
  <si>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</si>
  <si>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</si>
  <si>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</si>
  <si>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</si>
  <si>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</si>
  <si>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</si>
  <si>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</si>
  <si>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</si>
  <si>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</si>
  <si>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</si>
  <si>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</si>
  <si>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</si>
  <si>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</si>
  <si>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</si>
  <si>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</si>
  <si>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</si>
  <si>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</si>
  <si>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</si>
  <si>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</si>
  <si>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</si>
  <si>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</si>
  <si>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</si>
  <si>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</si>
  <si>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</si>
  <si>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</si>
  <si>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</si>
  <si>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</si>
  <si>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</si>
  <si>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</si>
  <si>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</si>
  <si>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</si>
  <si>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</si>
  <si>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</si>
  <si>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</si>
  <si>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</si>
  <si>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</si>
  <si>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</si>
  <si>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</si>
  <si>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</si>
  <si>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</si>
  <si>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</si>
  <si>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</si>
  <si>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</si>
  <si>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</si>
  <si>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</si>
  <si>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</si>
  <si>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</si>
  <si>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</si>
  <si>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</si>
  <si>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</si>
  <si>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</si>
  <si>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</si>
  <si>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</si>
  <si>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</si>
  <si>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</si>
  <si>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</si>
  <si>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</si>
  <si>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</si>
  <si>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</si>
  <si>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</si>
  <si>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</si>
  <si>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</si>
  <si>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</si>
  <si>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</si>
  <si>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</si>
  <si>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</si>
  <si>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</si>
  <si>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</si>
  <si>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</si>
  <si>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</si>
  <si>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</si>
  <si>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</si>
  <si>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</si>
  <si>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</si>
  <si>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</si>
  <si>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</si>
  <si>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</si>
  <si>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</si>
  <si>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</si>
  <si>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</si>
  <si>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</si>
  <si>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</si>
  <si>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</si>
  <si>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</si>
  <si>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</si>
  <si>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</si>
  <si>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</si>
  <si>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</si>
  <si>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</si>
  <si>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</si>
  <si>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</si>
  <si>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</si>
  <si>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</si>
  <si>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</si>
  <si>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</si>
  <si>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</si>
  <si>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</si>
  <si>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</si>
  <si>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</si>
  <si>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</si>
  <si>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</si>
  <si>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</si>
  <si>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</si>
  <si>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</si>
  <si>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</si>
  <si>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</si>
  <si>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</si>
  <si>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</si>
  <si>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</si>
  <si>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</si>
  <si>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</si>
  <si>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</si>
  <si>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</si>
  <si>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</si>
  <si>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</si>
  <si>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</si>
  <si>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</si>
  <si>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</si>
  <si>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</si>
  <si>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</si>
  <si>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</si>
  <si>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</si>
  <si>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</si>
  <si>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</si>
  <si>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</si>
  <si>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</si>
  <si>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</si>
  <si>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</si>
  <si>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</si>
  <si>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</si>
  <si>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</si>
  <si>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</si>
  <si>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</si>
  <si>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</si>
  <si>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</si>
  <si>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</si>
  <si>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</si>
  <si>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</si>
  <si>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</si>
  <si>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</si>
  <si>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</si>
  <si>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</si>
  <si>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</si>
  <si>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</si>
  <si>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</si>
  <si>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</si>
  <si>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</si>
  <si>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</si>
  <si>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</si>
  <si>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</si>
  <si>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</si>
  <si>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</si>
  <si>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</si>
  <si>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</si>
  <si>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</si>
  <si>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</si>
  <si>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</si>
  <si>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</si>
  <si>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</si>
  <si>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</si>
  <si>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</si>
  <si>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</si>
  <si>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</si>
  <si>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</si>
  <si>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</si>
  <si>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</si>
  <si>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</si>
  <si>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</si>
  <si>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</si>
  <si>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</si>
  <si>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</si>
  <si>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</si>
  <si>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</si>
  <si>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</si>
  <si>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</si>
  <si>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</si>
  <si>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</si>
  <si>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</si>
  <si>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</si>
  <si>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</si>
  <si>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</si>
  <si>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</si>
  <si>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</si>
  <si>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</si>
  <si>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</si>
  <si>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</si>
  <si>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</si>
  <si>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</si>
  <si>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</si>
  <si>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</si>
  <si>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</si>
  <si>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</si>
  <si>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</si>
  <si>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</si>
  <si>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</si>
  <si>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</si>
  <si>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</si>
  <si>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</si>
  <si>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</si>
  <si>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</si>
  <si>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</si>
  <si>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</si>
  <si>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</si>
  <si>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</si>
  <si>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</si>
  <si>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</si>
  <si>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</si>
  <si>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</si>
  <si>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</si>
  <si>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</si>
  <si>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</si>
  <si>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</si>
  <si>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</si>
  <si>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</si>
  <si>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</si>
  <si>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</si>
  <si>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</si>
  <si>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</si>
  <si>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</si>
  <si>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</si>
  <si>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</si>
  <si>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</si>
  <si>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</si>
  <si>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</si>
  <si>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</si>
  <si>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</si>
  <si>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</si>
  <si>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</si>
  <si>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</si>
  <si>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</si>
  <si>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</si>
  <si>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</si>
  <si>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</si>
  <si>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</si>
  <si>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</si>
  <si>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</si>
  <si>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</si>
  <si>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</si>
  <si>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</si>
  <si>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</si>
  <si>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</si>
  <si>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</si>
  <si>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</si>
  <si>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</si>
  <si>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</si>
  <si>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</si>
  <si>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</si>
  <si>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</si>
  <si>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</si>
  <si>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</si>
  <si>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</si>
  <si>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</si>
  <si>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</si>
  <si>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</si>
  <si>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</si>
  <si>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</si>
  <si>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</si>
  <si>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</si>
  <si>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</si>
  <si>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</si>
  <si>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</si>
  <si>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</si>
  <si>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</si>
  <si>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</si>
  <si>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</si>
  <si>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</si>
  <si>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</si>
  <si>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</si>
  <si>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</si>
  <si>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</si>
  <si>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</si>
  <si>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</si>
  <si>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</si>
  <si>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</si>
  <si>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</si>
  <si>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</si>
  <si>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</si>
  <si>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</si>
  <si>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</si>
  <si>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</si>
  <si>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</si>
  <si>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</si>
  <si>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</si>
  <si>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</si>
  <si>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</si>
  <si>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</si>
  <si>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</si>
  <si>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</si>
  <si>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</si>
  <si>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</si>
  <si>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</si>
  <si>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</si>
  <si>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</si>
  <si>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</si>
  <si>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</si>
  <si>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</si>
  <si>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</si>
  <si>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</si>
  <si>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</si>
  <si>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</si>
  <si>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</si>
  <si>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</si>
  <si>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</si>
  <si>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</si>
  <si>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</si>
  <si>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</si>
  <si>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</si>
  <si>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</si>
  <si>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</si>
  <si>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</si>
  <si>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</si>
  <si>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</si>
  <si>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</si>
  <si>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</si>
  <si>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</si>
  <si>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</si>
  <si>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</si>
  <si>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</si>
  <si>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</si>
  <si>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</si>
  <si>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</si>
  <si>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</si>
  <si>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</si>
  <si>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</si>
  <si>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</si>
  <si>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</si>
  <si>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</si>
  <si>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</si>
  <si>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</si>
  <si>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</si>
  <si>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</si>
  <si>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</si>
  <si>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</si>
  <si>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</si>
  <si>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</si>
  <si>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</si>
  <si>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</si>
  <si>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</si>
  <si>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</si>
  <si>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</si>
  <si>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</si>
  <si>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</si>
  <si>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</si>
  <si>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</si>
  <si>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</si>
  <si>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</si>
  <si>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</si>
  <si>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</si>
  <si>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</si>
  <si>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</si>
  <si>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</si>
  <si>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</si>
  <si>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</si>
  <si>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</si>
  <si>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</si>
  <si>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</si>
  <si>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</si>
  <si>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</si>
  <si>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</si>
  <si>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</si>
  <si>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</si>
  <si>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</si>
  <si>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</si>
  <si>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</si>
  <si>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</si>
  <si>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</si>
  <si>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</si>
  <si>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</si>
  <si>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</si>
  <si>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</si>
  <si>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</si>
  <si>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</si>
  <si>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</si>
  <si>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</si>
  <si>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</si>
  <si>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</si>
  <si>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</si>
  <si>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</si>
  <si>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</si>
  <si>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</si>
  <si>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</si>
  <si>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</si>
  <si>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</si>
  <si>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</si>
  <si>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</si>
  <si>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</si>
  <si>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</si>
  <si>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</si>
  <si>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</si>
  <si>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</si>
  <si>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</si>
  <si>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</si>
  <si>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</si>
  <si>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</si>
  <si>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</si>
  <si>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</si>
  <si>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</si>
  <si>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</si>
  <si>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</si>
  <si>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</si>
  <si>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</si>
  <si>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</si>
  <si>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</si>
  <si>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</si>
  <si>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</si>
  <si>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</si>
  <si>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</si>
  <si>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</si>
  <si>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</si>
  <si>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</si>
  <si>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</si>
  <si>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</si>
  <si>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</si>
  <si>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</si>
  <si>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</si>
  <si>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</si>
  <si>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</si>
  <si>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</si>
  <si>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</si>
  <si>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</si>
  <si>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</si>
  <si>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</si>
  <si>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</si>
  <si>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</si>
  <si>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</si>
  <si>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</si>
  <si>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</si>
  <si>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</si>
  <si>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</si>
  <si>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</si>
  <si>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</si>
  <si>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</si>
  <si>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</si>
  <si>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</si>
  <si>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</si>
  <si>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</si>
  <si>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</si>
  <si>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</si>
  <si>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</si>
  <si>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</si>
  <si>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</si>
  <si>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</si>
  <si>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</si>
  <si>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</si>
  <si>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</si>
  <si>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</si>
  <si>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</si>
  <si>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</si>
  <si>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</si>
  <si>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</si>
  <si>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</si>
  <si>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</si>
  <si>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</si>
  <si>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</si>
  <si>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</si>
  <si>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</si>
  <si>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</si>
  <si>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</si>
  <si>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</si>
  <si>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Jabbar Iqbal </t>
  </si>
  <si>
    <t>Khan Nimko Masala Jaat</t>
  </si>
  <si>
    <t xml:space="preserve">Address: Chiragh Din </t>
  </si>
  <si>
    <t xml:space="preserve">Hajweri GS </t>
  </si>
  <si>
    <t xml:space="preserve">Address: Mozang Bazar Machli Chowk </t>
  </si>
  <si>
    <t>Jahangeer Store</t>
  </si>
  <si>
    <t>Imran Store</t>
  </si>
  <si>
    <t xml:space="preserve">Address: Mozang Bazar Machlli Chowk </t>
  </si>
  <si>
    <t>Data Store</t>
  </si>
  <si>
    <t>Address: Noor Shah Road</t>
  </si>
  <si>
    <t xml:space="preserve">Saeed Bakery </t>
  </si>
  <si>
    <t xml:space="preserve">Hafiz Kareyana </t>
  </si>
  <si>
    <t>Address: Kank Mandi Noor Shah Road</t>
  </si>
  <si>
    <t xml:space="preserve">Super Fine Bakery </t>
  </si>
  <si>
    <t>Address: Mola Baksh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</si>
</sst>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Khan Nimko Masala Jaat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Hajweri GS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Jahangeer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Imran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4">
        <v>5</v>
      </c>
      <c r="S7" s="300" t="str">
        <f>+'5'!A6:A6</f>
        <v>Data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Saeed Bakery 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Hafiz Kareyana </v>
      </c>
      <c r="T9" s="301">
        <f>+'7'!P35</f>
        <v>9408.6347552542375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27.305324745762711</v>
      </c>
      <c r="P10" s="311">
        <f t="shared" si="2"/>
        <v>5488.3702738983056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33</v>
      </c>
      <c r="R10" s="314">
        <v>8</v>
      </c>
      <c r="S10" s="300" t="str">
        <f>+'8'!A6:A6</f>
        <v xml:space="preserve">Super Fine Bakery 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13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4500.0480000000007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27.305324745762711</v>
      </c>
      <c r="P12" s="311">
        <f t="shared" si="2"/>
        <v>5488.3702738983056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18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6</v>
      </c>
      <c r="H16" s="113">
        <f t="shared" ref="H16:M16" si="3">SUM(H7:H15)</f>
        <v>240</v>
      </c>
      <c r="I16" s="114">
        <f t="shared" si="3"/>
        <v>16097.2</v>
      </c>
      <c r="J16" s="274">
        <f>SUM(J7:J15)</f>
        <v>1240.7</v>
      </c>
      <c r="K16" s="275">
        <f t="shared" si="3"/>
        <v>563.40200000000004</v>
      </c>
      <c r="L16" s="276">
        <f t="shared" si="3"/>
        <v>80.029200000000003</v>
      </c>
      <c r="M16" s="232">
        <f t="shared" si="3"/>
        <v>14213.068800000001</v>
      </c>
      <c r="N16" s="233">
        <f>SUM(N7:N15)</f>
        <v>3050.8474576271192</v>
      </c>
      <c r="O16" s="101">
        <f>SUM(O7:O15)</f>
        <v>86.319581288135595</v>
      </c>
      <c r="P16" s="113">
        <f>SUM(P7:P15)</f>
        <v>17350.235838915258</v>
      </c>
      <c r="Q16" s="128">
        <f>SUM(Q7:Q15)</f>
        <v>86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16097.2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1240.7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643.43119999999999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14213.068800000001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3050.8474576271192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17263.916257627119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86.319581288135595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17350.235838915254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17350.235838915254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3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3" workbookViewId="0">
      <selection activeCell="J21" sqref="J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50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530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2026-08-17T04:14:27Z</dcterms:modified>
</cp:coreProperties>
</file>