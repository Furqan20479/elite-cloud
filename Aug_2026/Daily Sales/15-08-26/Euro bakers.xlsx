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8892BB3-76D0-4212-9E94-AA6264D784A3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<sst xmlns="http://schemas.openxmlformats.org/spreadsheetml/2006/main" count="3978" uniqueCount="517">
  <si>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</si>
  <si>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</si>
  <si>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</si>
  <si>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</si>
  <si>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</si>
  <si>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</si>
  <si>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</si>
  <si>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</si>
  <si>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</si>
  <si>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</si>
  <si>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</si>
  <si>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</si>
  <si>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</si>
  <si>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</si>
  <si>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</si>
  <si>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</si>
  <si>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</si>
  <si>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</si>
  <si>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</si>
  <si>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</si>
  <si>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</si>
  <si>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</si>
  <si>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</si>
  <si>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</si>
  <si>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</si>
  <si>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</si>
  <si>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</si>
  <si>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</si>
  <si>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</si>
  <si>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</si>
  <si>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</si>
  <si>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</si>
  <si>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</si>
  <si>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</si>
  <si>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</si>
  <si>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</si>
  <si>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</si>
  <si>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</si>
  <si>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</si>
  <si>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</si>
  <si>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</si>
  <si>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</si>
  <si>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</si>
  <si>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</si>
  <si>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</si>
  <si>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</si>
  <si>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</si>
  <si>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</si>
  <si>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</si>
  <si>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</si>
  <si>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</si>
  <si>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</si>
  <si>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</si>
  <si>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</si>
  <si>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</si>
  <si>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</si>
  <si>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</si>
  <si>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</si>
  <si>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</si>
  <si>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</si>
  <si>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</si>
  <si>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</si>
  <si>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</si>
  <si>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</si>
  <si>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</si>
  <si>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</si>
  <si>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</si>
  <si>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</si>
  <si>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</si>
  <si>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</si>
  <si>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</si>
  <si>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</si>
  <si>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</si>
  <si>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</si>
  <si>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</si>
  <si>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</si>
  <si>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</si>
  <si>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</si>
  <si>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</si>
  <si>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</si>
  <si>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</si>
  <si>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</si>
  <si>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</si>
  <si>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</si>
  <si>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</si>
  <si>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</si>
  <si>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</si>
  <si>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</si>
  <si>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</si>
  <si>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</si>
  <si>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</si>
  <si>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</si>
  <si>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</si>
  <si>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</si>
  <si>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</si>
  <si>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</si>
  <si>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</si>
  <si>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</si>
  <si>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</si>
  <si>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</si>
  <si>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</si>
  <si>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</si>
  <si>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</si>
  <si>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</si>
  <si>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</si>
  <si>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</si>
  <si>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</si>
  <si>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</si>
  <si>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</si>
  <si>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</si>
  <si>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</si>
  <si>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</si>
  <si>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</si>
  <si>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</si>
  <si>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</si>
  <si>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</si>
  <si>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</si>
  <si>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</si>
  <si>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</si>
  <si>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</si>
  <si>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</si>
  <si>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</si>
  <si>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</si>
  <si>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</si>
  <si>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</si>
  <si>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</si>
  <si>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</si>
  <si>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</si>
  <si>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</si>
  <si>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</si>
  <si>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</si>
  <si>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</si>
  <si>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</si>
  <si>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</si>
  <si>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</si>
  <si>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</si>
  <si>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</si>
  <si>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</si>
  <si>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</si>
  <si>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</si>
  <si>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</si>
  <si>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</si>
  <si>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</si>
  <si>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</si>
  <si>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</si>
  <si>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</si>
  <si>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</si>
  <si>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</si>
  <si>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</si>
  <si>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</si>
  <si>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</si>
  <si>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</si>
  <si>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</si>
  <si>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</si>
  <si>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</si>
  <si>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</si>
  <si>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</si>
  <si>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</si>
  <si>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</si>
  <si>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</si>
  <si>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</si>
  <si>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</si>
  <si>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</si>
  <si>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</si>
  <si>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</si>
  <si>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</si>
  <si>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</si>
  <si>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</si>
  <si>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</si>
  <si>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</si>
  <si>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</si>
  <si>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</si>
  <si>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</si>
  <si>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</si>
  <si>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</si>
  <si>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</si>
  <si>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</si>
  <si>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</si>
  <si>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</si>
  <si>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</si>
  <si>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</si>
  <si>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</si>
  <si>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</si>
  <si>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</si>
  <si>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</si>
  <si>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</si>
  <si>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</si>
  <si>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</si>
  <si>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</si>
  <si>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</si>
  <si>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</si>
  <si>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</si>
  <si>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</si>
  <si>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</si>
  <si>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</si>
  <si>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</si>
  <si>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</si>
  <si>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</si>
  <si>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</si>
  <si>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</si>
  <si>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</si>
  <si>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</si>
  <si>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</si>
  <si>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</si>
  <si>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</si>
  <si>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</si>
  <si>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</si>
  <si>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</si>
  <si>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</si>
  <si>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</si>
  <si>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</si>
  <si>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</si>
  <si>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</si>
  <si>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</si>
  <si>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</si>
  <si>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</si>
  <si>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</si>
  <si>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</si>
  <si>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</si>
  <si>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</si>
  <si>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</si>
  <si>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</si>
  <si>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</si>
  <si>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</si>
  <si>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</si>
  <si>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</si>
  <si>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</si>
  <si>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</si>
  <si>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</si>
  <si>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</si>
  <si>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</si>
  <si>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</si>
  <si>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</si>
  <si>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</si>
  <si>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</si>
  <si>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</si>
  <si>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</si>
  <si>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</si>
  <si>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</si>
  <si>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</si>
  <si>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</si>
  <si>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</si>
  <si>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</si>
  <si>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</si>
  <si>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</si>
  <si>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</si>
  <si>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</si>
  <si>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</si>
  <si>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</si>
  <si>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</si>
  <si>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</si>
  <si>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</si>
  <si>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</si>
  <si>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</si>
  <si>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</si>
  <si>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</si>
  <si>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</si>
  <si>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</si>
  <si>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</si>
  <si>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</si>
  <si>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</si>
  <si>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</si>
  <si>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</si>
  <si>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</si>
  <si>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</si>
  <si>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</si>
  <si>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</si>
  <si>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</si>
  <si>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</si>
  <si>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</si>
  <si>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</si>
  <si>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</si>
  <si>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</si>
  <si>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</si>
  <si>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</si>
  <si>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</si>
  <si>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</si>
  <si>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</si>
  <si>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</si>
  <si>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</si>
  <si>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</si>
  <si>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</si>
  <si>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</si>
  <si>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</si>
  <si>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</si>
  <si>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</si>
  <si>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</si>
  <si>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</si>
  <si>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</si>
  <si>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</si>
  <si>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</si>
  <si>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</si>
  <si>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</si>
  <si>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</si>
  <si>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</si>
  <si>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</si>
  <si>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</si>
  <si>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</si>
  <si>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</si>
  <si>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</si>
  <si>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</si>
  <si>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</si>
  <si>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</si>
  <si>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</si>
  <si>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</si>
  <si>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</si>
  <si>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</si>
  <si>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</si>
  <si>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</si>
  <si>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</si>
  <si>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</si>
  <si>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</si>
  <si>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</si>
  <si>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</si>
  <si>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</si>
  <si>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</si>
  <si>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</si>
  <si>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</si>
  <si>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</si>
  <si>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</si>
  <si>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</si>
  <si>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</si>
  <si>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</si>
  <si>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</si>
  <si>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</si>
  <si>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</si>
  <si>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</si>
  <si>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</si>
  <si>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</si>
  <si>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</si>
  <si>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</si>
  <si>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</si>
  <si>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</si>
  <si>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</si>
  <si>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</si>
  <si>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</si>
  <si>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</si>
  <si>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</si>
  <si>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</si>
  <si>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</si>
  <si>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</si>
  <si>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</si>
  <si>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</si>
  <si>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</si>
  <si>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</si>
  <si>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</si>
  <si>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</si>
  <si>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</si>
  <si>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</si>
  <si>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</si>
  <si>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</si>
  <si>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</si>
  <si>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</si>
  <si>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</si>
  <si>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</si>
  <si>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</si>
  <si>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</si>
  <si>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</si>
  <si>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</si>
  <si>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</si>
  <si>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</si>
  <si>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</si>
  <si>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</si>
  <si>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</si>
  <si>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</si>
  <si>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</si>
  <si>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</si>
  <si>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</si>
  <si>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</si>
  <si>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</si>
  <si>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</si>
  <si>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</si>
  <si>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</si>
  <si>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</si>
  <si>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</si>
  <si>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</si>
  <si>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</si>
  <si>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</si>
  <si>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</si>
  <si>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</si>
  <si>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</si>
  <si>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</si>
  <si>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</si>
  <si>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</si>
  <si>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</si>
  <si>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</si>
  <si>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</si>
  <si>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</si>
  <si>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</si>
  <si>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</si>
  <si>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</si>
  <si>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</si>
  <si>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</si>
  <si>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</si>
  <si>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</si>
  <si>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</si>
  <si>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</si>
  <si>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</si>
  <si>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</si>
  <si>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</si>
  <si>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</si>
  <si>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</si>
  <si>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</si>
  <si>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</si>
  <si>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</si>
  <si>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</si>
  <si>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</si>
  <si>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</si>
  <si>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</si>
  <si>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</si>
  <si>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</si>
  <si>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</si>
  <si>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</si>
  <si>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</si>
  <si>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</si>
  <si>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</si>
  <si>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</si>
  <si>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</si>
  <si>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</si>
  <si>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</si>
  <si>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</si>
  <si>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</si>
  <si>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</si>
  <si>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</si>
  <si>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</si>
  <si>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</si>
  <si>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</si>
  <si>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</si>
  <si>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</si>
  <si>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</si>
  <si>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</si>
  <si>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</si>
  <si>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</si>
  <si>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</si>
  <si>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</si>
  <si>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</si>
  <si>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</si>
  <si>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</si>
  <si>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</si>
  <si>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</si>
  <si>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</si>
  <si>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</si>
  <si>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</si>
  <si>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</si>
  <si>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</si>
  <si>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</si>
  <si>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</si>
  <si>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</si>
  <si>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</si>
  <si>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</si>
  <si>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</si>
  <si>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</si>
  <si>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</si>
  <si>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</si>
  <si>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</si>
  <si>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</si>
  <si>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</si>
  <si>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</si>
  <si>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</si>
  <si>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</si>
  <si>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</si>
  <si>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</si>
  <si>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</si>
  <si>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</si>
  <si>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</si>
  <si>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</si>
  <si>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</si>
  <si>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</si>
  <si>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</si>
  <si>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</si>
  <si>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</si>
  <si>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</si>
  <si>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</si>
  <si>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</si>
  <si>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</si>
  <si>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</si>
  <si>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</si>
  <si>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</si>
  <si>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</si>
  <si>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</si>
  <si>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</si>
  <si>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</si>
  <si>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</si>
  <si>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</si>
  <si>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</si>
  <si>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</si>
  <si>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</si>
  <si>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</si>
  <si>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</si>
  <si>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</si>
  <si>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</si>
  <si>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</si>
  <si>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</si>
  <si>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</si>
  <si>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</si>
  <si>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</si>
  <si>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</si>
  <si>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</si>
  <si>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</si>
  <si>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</si>
  <si>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</si>
  <si>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</si>
  <si>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</si>
  <si>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</si>
  <si>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</si>
  <si>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</si>
  <si>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</si>
  <si>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</si>
  <si>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</si>
  <si>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</si>
  <si>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</si>
  <si>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</si>
  <si>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</si>
  <si>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 xml:space="preserve">Euro Bakers </t>
  </si>
  <si>
    <t xml:space="preserve">Address: Model Town </t>
  </si>
  <si>
    <t>NTN / STRN:  E757686-3</t>
  </si>
  <si>
    <t>Invoice No # :41561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</si>
</sst>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 t="s">
        <v>512</v>
      </c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46249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Euro Bakers </v>
      </c>
      <c r="T3" s="301">
        <f>+'1'!P35</f>
        <v>51044.482648296602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Euro Bakers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Euro Bakers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Euro Bakers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629.55000000000007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5445.6075000000001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33.177190042372878</v>
      </c>
      <c r="P7" s="310">
        <f>M7+N7+O7</f>
        <v>6668.6151985169481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Euro Bakers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629.55000000000007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5445.6075000000001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33.177190042372878</v>
      </c>
      <c r="P8" s="311">
        <f t="shared" ref="P8:P15" si="2">M8+N8+O8</f>
        <v>6668.6151985169481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Euro Bakers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629.55000000000007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5445.6075000000001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33.177190042372878</v>
      </c>
      <c r="P9" s="311">
        <f t="shared" si="2"/>
        <v>6668.6151985169481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Euro Bakers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871.68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7540.0319999999992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45.937448135593222</v>
      </c>
      <c r="P10" s="311">
        <f t="shared" si="2"/>
        <v>9233.4270752542379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Euro Bakers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871.68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7540.0319999999992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45.937448135593222</v>
      </c>
      <c r="P11" s="311">
        <f t="shared" si="2"/>
        <v>9233.4270752542379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Euro Bakers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7540.0319999999992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45.937448135593222</v>
      </c>
      <c r="P12" s="311">
        <f t="shared" si="2"/>
        <v>9233.4270752542379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Euro Bakers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Euro Bakers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Euro Bakers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Euro Bakers 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20</v>
      </c>
      <c r="H16" s="113">
        <f t="shared" ref="H16:M16" si="3">SUM(H7:H15)</f>
        <v>800</v>
      </c>
      <c r="I16" s="114">
        <f t="shared" si="3"/>
        <v>48175.299999999996</v>
      </c>
      <c r="J16" s="274">
        <f>SUM(J7:J15)</f>
        <v>4660.6099999999997</v>
      </c>
      <c r="K16" s="275">
        <f t="shared" si="3"/>
        <v>1686.1355000000001</v>
      </c>
      <c r="L16" s="276">
        <f t="shared" si="3"/>
        <v>160.05840000000001</v>
      </c>
      <c r="M16" s="232">
        <f t="shared" si="3"/>
        <v>41668.496100000004</v>
      </c>
      <c r="N16" s="233">
        <f>SUM(N7:N15)</f>
        <v>9122.0338983050824</v>
      </c>
      <c r="O16" s="101">
        <f>SUM(O7:O15)</f>
        <v>253.95264999152545</v>
      </c>
      <c r="P16" s="113">
        <f>SUM(P7:P15)</f>
        <v>51044.482648296609</v>
      </c>
      <c r="Q16" s="128">
        <f>SUM(Q7:Q15)</f>
        <v>0</v>
      </c>
      <c r="R16" s="314">
        <v>14</v>
      </c>
      <c r="S16" s="300" t="str">
        <f>+'14'!A6:A6</f>
        <v xml:space="preserve">Euro Bakers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Euro Bakers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Euro Bakers 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48175.299999999996</v>
      </c>
      <c r="R19" s="299">
        <v>17</v>
      </c>
      <c r="S19" s="300" t="str">
        <f>+'17'!A6:A6</f>
        <v xml:space="preserve">Euro Bakers 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4660.6099999999997</v>
      </c>
      <c r="R20" s="299">
        <v>18</v>
      </c>
      <c r="S20" s="300" t="str">
        <f>+'18'!A6:A6</f>
        <v xml:space="preserve">Euro Bakers 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1846.1939000000002</v>
      </c>
      <c r="R21" s="299">
        <v>19</v>
      </c>
      <c r="S21" s="300" t="str">
        <f>+'19'!A6:A6</f>
        <v xml:space="preserve">Euro Bakers 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41668.496099999997</v>
      </c>
      <c r="R22" s="299">
        <v>20</v>
      </c>
      <c r="S22" s="300" t="str">
        <f>+'20'!A6:A6</f>
        <v xml:space="preserve">Euro Bakers 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9122.0338983050824</v>
      </c>
      <c r="R23" s="299">
        <v>21</v>
      </c>
      <c r="S23" s="300" t="str">
        <f>+'21'!A6:A6</f>
        <v xml:space="preserve">Euro Bakers 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50790.529998305079</v>
      </c>
      <c r="R24" s="299">
        <v>22</v>
      </c>
      <c r="S24" s="300" t="str">
        <f>+'22'!A6:A6</f>
        <v xml:space="preserve">Euro Bakers 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253.95264999152545</v>
      </c>
      <c r="R25" s="299">
        <v>23</v>
      </c>
      <c r="S25" s="300" t="str">
        <f>+'23'!A6:A6</f>
        <v xml:space="preserve">Euro Bakers 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51044.482648296602</v>
      </c>
      <c r="R26" s="299">
        <v>24</v>
      </c>
      <c r="S26" s="300" t="str">
        <f>+'24'!A6:A6</f>
        <v xml:space="preserve">Euro Bakers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 xml:space="preserve">Euro Bakers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Euro Bakers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Euro Bakers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Euro Bakers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Euro Bakers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Euro Bakers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51044.482648296602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516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629.55000000000007</v>
      </c>
      <c r="K16" s="127">
        <f>$I16*T16</f>
        <v>220.34250000000003</v>
      </c>
      <c r="L16" s="118">
        <f>$I16*U16</f>
        <v>0</v>
      </c>
      <c r="M16" s="229">
        <f>I16-SUM(J16:L16)</f>
        <v>5445.6075000000001</v>
      </c>
      <c r="N16" s="248">
        <f>+(G16*D16+H16)*V16</f>
        <v>1189.8305084745757</v>
      </c>
      <c r="O16" s="238">
        <f>(N16+M16)*$O$15</f>
        <v>33.177190042372878</v>
      </c>
      <c r="P16" s="310">
        <f>M16+N16+O16</f>
        <v>6668.6151985169481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120</v>
      </c>
      <c r="I17" s="236">
        <f t="shared" ref="I17:I23" si="0">(G17*D17)*F17+H17*F17</f>
        <v>6295.5</v>
      </c>
      <c r="J17" s="272">
        <f t="shared" ref="J17:L24" si="1">$I17*S17</f>
        <v>629.55000000000007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5445.6075000000001</v>
      </c>
      <c r="N17" s="277">
        <f t="shared" ref="N17:N24" si="3">+(G17*D17+H17)*V17</f>
        <v>1189.8305084745757</v>
      </c>
      <c r="O17" s="239">
        <f t="shared" ref="O17:O24" si="4">(N17+M17)*$O$15</f>
        <v>33.177190042372878</v>
      </c>
      <c r="P17" s="311">
        <f t="shared" ref="P17:P24" si="5">M17+N17+O17</f>
        <v>6668.6151985169481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120</v>
      </c>
      <c r="I18" s="236">
        <f t="shared" ref="I18:I21" si="7">(G18*D18)*F18+H18*F18</f>
        <v>6295.5</v>
      </c>
      <c r="J18" s="272">
        <f t="shared" si="1"/>
        <v>629.55000000000007</v>
      </c>
      <c r="K18" s="128">
        <f t="shared" si="1"/>
        <v>220.34250000000003</v>
      </c>
      <c r="L18" s="119">
        <f t="shared" si="1"/>
        <v>0</v>
      </c>
      <c r="M18" s="230">
        <f t="shared" si="2"/>
        <v>5445.6075000000001</v>
      </c>
      <c r="N18" s="277">
        <f t="shared" si="3"/>
        <v>1189.8305084745757</v>
      </c>
      <c r="O18" s="239">
        <f t="shared" si="4"/>
        <v>33.177190042372878</v>
      </c>
      <c r="P18" s="311">
        <f t="shared" si="5"/>
        <v>6668.6151985169481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120</v>
      </c>
      <c r="I19" s="236">
        <f t="shared" si="7"/>
        <v>8716.7999999999993</v>
      </c>
      <c r="J19" s="272">
        <f t="shared" si="1"/>
        <v>871.68</v>
      </c>
      <c r="K19" s="128">
        <f t="shared" si="1"/>
        <v>305.08800000000002</v>
      </c>
      <c r="L19" s="119">
        <f t="shared" si="1"/>
        <v>0</v>
      </c>
      <c r="M19" s="230">
        <f t="shared" si="2"/>
        <v>7540.0319999999992</v>
      </c>
      <c r="N19" s="277">
        <f t="shared" si="3"/>
        <v>1647.4576271186443</v>
      </c>
      <c r="O19" s="239">
        <f t="shared" si="4"/>
        <v>45.937448135593222</v>
      </c>
      <c r="P19" s="311">
        <f t="shared" si="5"/>
        <v>9233.4270752542379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120</v>
      </c>
      <c r="I20" s="236">
        <f t="shared" si="7"/>
        <v>8716.7999999999993</v>
      </c>
      <c r="J20" s="272">
        <f t="shared" si="1"/>
        <v>871.68</v>
      </c>
      <c r="K20" s="128">
        <f t="shared" si="1"/>
        <v>305.08800000000002</v>
      </c>
      <c r="L20" s="119">
        <f t="shared" si="1"/>
        <v>0</v>
      </c>
      <c r="M20" s="230">
        <f t="shared" si="2"/>
        <v>7540.0319999999992</v>
      </c>
      <c r="N20" s="277">
        <f t="shared" si="3"/>
        <v>1647.4576271186443</v>
      </c>
      <c r="O20" s="239">
        <f t="shared" si="4"/>
        <v>45.937448135593222</v>
      </c>
      <c r="P20" s="311">
        <f t="shared" si="5"/>
        <v>9233.4270752542379</v>
      </c>
      <c r="Q20" s="156"/>
      <c r="R20">
        <f>P20/21</f>
        <v>439.68700358353516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120</v>
      </c>
      <c r="I21" s="236">
        <f t="shared" si="7"/>
        <v>8716.7999999999993</v>
      </c>
      <c r="J21" s="272">
        <f t="shared" si="1"/>
        <v>871.68</v>
      </c>
      <c r="K21" s="128">
        <f t="shared" si="1"/>
        <v>305.08800000000002</v>
      </c>
      <c r="L21" s="119">
        <f t="shared" si="1"/>
        <v>0</v>
      </c>
      <c r="M21" s="230">
        <f t="shared" si="2"/>
        <v>7540.0319999999992</v>
      </c>
      <c r="N21" s="277">
        <f t="shared" si="3"/>
        <v>1647.4576271186443</v>
      </c>
      <c r="O21" s="239">
        <f t="shared" si="4"/>
        <v>45.937448135593222</v>
      </c>
      <c r="P21" s="311">
        <f t="shared" si="5"/>
        <v>9233.4270752542379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800</v>
      </c>
      <c r="I25" s="114">
        <f t="shared" ref="I25:M25" si="10">SUM(I16:I24)</f>
        <v>48175.299999999996</v>
      </c>
      <c r="J25" s="274">
        <f>SUM(J16:J24)</f>
        <v>4660.6099999999997</v>
      </c>
      <c r="K25" s="275">
        <f t="shared" si="10"/>
        <v>1686.1355000000001</v>
      </c>
      <c r="L25" s="276">
        <f t="shared" si="10"/>
        <v>160.05840000000001</v>
      </c>
      <c r="M25" s="232">
        <f t="shared" si="10"/>
        <v>41668.496100000004</v>
      </c>
      <c r="N25" s="233">
        <f>SUM(N16:N24)</f>
        <v>9122.0338983050824</v>
      </c>
      <c r="O25" s="101">
        <f>SUM(O16:O24)</f>
        <v>253.95264999152545</v>
      </c>
      <c r="P25" s="113">
        <f>SUM(P16:P24)</f>
        <v>51044.482648296609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48175.299999999996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4660.6099999999997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1846.1939000000002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41668.496099999997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9122.0338983050824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50790.529998305079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253.95264999152539</v>
      </c>
    </row>
    <row r="35" spans="2:16" ht="15.75" customHeight="1" thickBot="1" x14ac:dyDescent="0.4">
      <c r="N35" s="371" t="s">
        <v>88</v>
      </c>
      <c r="O35" s="372"/>
      <c r="P35" s="297">
        <f>+P33+P34</f>
        <v>51044.482648296602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515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46250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46249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2026-08-15T04:29:05Z</dcterms:modified>
</cp:coreProperties>
</file>