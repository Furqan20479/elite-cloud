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E42D5B4-CC35-4EB4-96B6-17C02FB2C6B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M20" i="47"/>
  <c r="O20" i="47" s="1"/>
  <c r="P20" i="47" s="1"/>
  <c r="R20" i="47" s="1"/>
  <c r="M20" i="46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<sst xmlns="http://schemas.openxmlformats.org/spreadsheetml/2006/main" count="3978" uniqueCount="531">
  <si>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</si>
  <si>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</si>
  <si>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</si>
  <si>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</si>
  <si>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</si>
  <si>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</si>
  <si>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</si>
  <si>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</si>
  <si>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</si>
  <si>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</si>
  <si>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</si>
  <si>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</si>
  <si>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</si>
  <si>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</si>
  <si>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</si>
  <si>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</si>
  <si>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</si>
  <si>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</si>
  <si>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</si>
  <si>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</si>
  <si>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</si>
  <si>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</si>
  <si>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</si>
  <si>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</si>
  <si>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</si>
  <si>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</si>
  <si>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</si>
  <si>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</si>
  <si>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</si>
  <si>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</si>
  <si>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</si>
  <si>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</si>
  <si>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</si>
  <si>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</si>
  <si>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</si>
  <si>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</si>
  <si>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</si>
  <si>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</si>
  <si>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</si>
  <si>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</si>
  <si>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</si>
  <si>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</si>
  <si>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</si>
  <si>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</si>
  <si>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</si>
  <si>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</si>
  <si>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</si>
  <si>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</si>
  <si>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</si>
  <si>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</si>
  <si>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</si>
  <si>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</si>
  <si>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</si>
  <si>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</si>
  <si>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</si>
  <si>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</si>
  <si>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</si>
  <si>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</si>
  <si>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</si>
  <si>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</si>
  <si>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</si>
  <si>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</si>
  <si>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</si>
  <si>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</si>
  <si>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</si>
  <si>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</si>
  <si>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</si>
  <si>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</si>
  <si>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</si>
  <si>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</si>
  <si>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</si>
  <si>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</si>
  <si>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</si>
  <si>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</si>
  <si>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</si>
  <si>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</si>
  <si>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</si>
  <si>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</si>
  <si>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</si>
  <si>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</si>
  <si>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</si>
  <si>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</si>
  <si>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</si>
  <si>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</si>
  <si>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</si>
  <si>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</si>
  <si>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</si>
  <si>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</si>
  <si>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</si>
  <si>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</si>
  <si>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</si>
  <si>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</si>
  <si>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</si>
  <si>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</si>
  <si>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</si>
  <si>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</si>
  <si>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</si>
  <si>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</si>
  <si>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</si>
  <si>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</si>
  <si>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</si>
  <si>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</si>
  <si>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</si>
  <si>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</si>
  <si>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</si>
  <si>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</si>
  <si>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</si>
  <si>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</si>
  <si>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</si>
  <si>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</si>
  <si>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</si>
  <si>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</si>
  <si>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</si>
  <si>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</si>
  <si>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</si>
  <si>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</si>
  <si>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</si>
  <si>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</si>
  <si>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</si>
  <si>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</si>
  <si>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</si>
  <si>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</si>
  <si>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</si>
  <si>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</si>
  <si>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</si>
  <si>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</si>
  <si>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</si>
  <si>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</si>
  <si>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</si>
  <si>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</si>
  <si>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</si>
  <si>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</si>
  <si>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</si>
  <si>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</si>
  <si>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</si>
  <si>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</si>
  <si>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</si>
  <si>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</si>
  <si>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</si>
  <si>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</si>
  <si>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</si>
  <si>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</si>
  <si>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</si>
  <si>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</si>
  <si>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</si>
  <si>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</si>
  <si>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</si>
  <si>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</si>
  <si>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</si>
  <si>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</si>
  <si>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</si>
  <si>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</si>
  <si>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</si>
  <si>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</si>
  <si>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</si>
  <si>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</si>
  <si>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</si>
  <si>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</si>
  <si>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</si>
  <si>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</si>
  <si>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</si>
  <si>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</si>
  <si>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</si>
  <si>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</si>
  <si>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</si>
  <si>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</si>
  <si>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</si>
  <si>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</si>
  <si>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</si>
  <si>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</si>
  <si>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</si>
  <si>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</si>
  <si>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</si>
  <si>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</si>
  <si>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</si>
  <si>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</si>
  <si>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</si>
  <si>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</si>
  <si>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</si>
  <si>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</si>
  <si>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</si>
  <si>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</si>
  <si>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</si>
  <si>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</si>
  <si>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</si>
  <si>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</si>
  <si>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</si>
  <si>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</si>
  <si>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</si>
  <si>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</si>
  <si>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</si>
  <si>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</si>
  <si>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</si>
  <si>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</si>
  <si>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</si>
  <si>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</si>
  <si>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</si>
  <si>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</si>
  <si>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</si>
  <si>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</si>
  <si>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</si>
  <si>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</si>
  <si>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</si>
  <si>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</si>
  <si>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</si>
  <si>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</si>
  <si>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</si>
  <si>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</si>
  <si>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</si>
  <si>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</si>
  <si>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</si>
  <si>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</si>
  <si>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</si>
  <si>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</si>
  <si>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</si>
  <si>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</si>
  <si>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</si>
  <si>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</si>
  <si>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</si>
  <si>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</si>
  <si>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</si>
  <si>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</si>
  <si>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</si>
  <si>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</si>
  <si>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</si>
  <si>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</si>
  <si>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</si>
  <si>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</si>
  <si>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</si>
  <si>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</si>
  <si>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</si>
  <si>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</si>
  <si>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</si>
  <si>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</si>
  <si>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</si>
  <si>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</si>
  <si>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</si>
  <si>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</si>
  <si>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</si>
  <si>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</si>
  <si>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</si>
  <si>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</si>
  <si>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</si>
  <si>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</si>
  <si>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</si>
  <si>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</si>
  <si>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</si>
  <si>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</si>
  <si>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</si>
  <si>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</si>
  <si>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</si>
  <si>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</si>
  <si>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</si>
  <si>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</si>
  <si>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</si>
  <si>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</si>
  <si>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</si>
  <si>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</si>
  <si>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</si>
  <si>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</si>
  <si>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</si>
  <si>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</si>
  <si>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</si>
  <si>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</si>
  <si>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</si>
  <si>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</si>
  <si>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</si>
  <si>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</si>
  <si>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</si>
  <si>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</si>
  <si>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</si>
  <si>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</si>
  <si>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</si>
  <si>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</si>
  <si>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</si>
  <si>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</si>
  <si>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</si>
  <si>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</si>
  <si>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</si>
  <si>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</si>
  <si>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</si>
  <si>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</si>
  <si>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</si>
  <si>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</si>
  <si>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</si>
  <si>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</si>
  <si>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</si>
  <si>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</si>
  <si>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</si>
  <si>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</si>
  <si>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</si>
  <si>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</si>
  <si>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</si>
  <si>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</si>
  <si>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</si>
  <si>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</si>
  <si>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</si>
  <si>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</si>
  <si>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</si>
  <si>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</si>
  <si>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</si>
  <si>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</si>
  <si>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</si>
  <si>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</si>
  <si>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</si>
  <si>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</si>
  <si>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</si>
  <si>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</si>
  <si>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</si>
  <si>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</si>
  <si>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</si>
  <si>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</si>
  <si>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</si>
  <si>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</si>
  <si>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</si>
  <si>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</si>
  <si>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</si>
  <si>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</si>
  <si>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</si>
  <si>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</si>
  <si>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</si>
  <si>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</si>
  <si>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</si>
  <si>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</si>
  <si>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</si>
  <si>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</si>
  <si>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</si>
  <si>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</si>
  <si>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</si>
  <si>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</si>
  <si>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</si>
  <si>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</si>
  <si>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</si>
  <si>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</si>
  <si>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</si>
  <si>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</si>
  <si>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</si>
  <si>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</si>
  <si>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</si>
  <si>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</si>
  <si>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</si>
  <si>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</si>
  <si>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</si>
  <si>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</si>
  <si>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</si>
  <si>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</si>
  <si>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</si>
  <si>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</si>
  <si>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</si>
  <si>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</si>
  <si>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</si>
  <si>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</si>
  <si>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</si>
  <si>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</si>
  <si>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</si>
  <si>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</si>
  <si>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</si>
  <si>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</si>
  <si>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</si>
  <si>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</si>
  <si>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</si>
  <si>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</si>
  <si>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</si>
  <si>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</si>
  <si>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</si>
  <si>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</si>
  <si>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</si>
  <si>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</si>
  <si>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</si>
  <si>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</si>
  <si>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</si>
  <si>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</si>
  <si>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</si>
  <si>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</si>
  <si>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</si>
  <si>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</si>
  <si>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</si>
  <si>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</si>
  <si>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</si>
  <si>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</si>
  <si>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</si>
  <si>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</si>
  <si>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</si>
  <si>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</si>
  <si>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</si>
  <si>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</si>
  <si>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</si>
  <si>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</si>
  <si>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</si>
  <si>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</si>
  <si>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</si>
  <si>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</si>
  <si>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</si>
  <si>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</si>
  <si>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</si>
  <si>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</si>
  <si>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</si>
  <si>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</si>
  <si>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</si>
  <si>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</si>
  <si>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</si>
  <si>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</si>
  <si>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</si>
  <si>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</si>
  <si>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</si>
  <si>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</si>
  <si>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</si>
  <si>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</si>
  <si>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</si>
  <si>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</si>
  <si>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</si>
  <si>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</si>
  <si>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</si>
  <si>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</si>
  <si>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</si>
  <si>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</si>
  <si>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</si>
  <si>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</si>
  <si>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</si>
  <si>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</si>
  <si>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</si>
  <si>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</si>
  <si>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</si>
  <si>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</si>
  <si>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</si>
  <si>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</si>
  <si>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</si>
  <si>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</si>
  <si>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</si>
  <si>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</si>
  <si>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</si>
  <si>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</si>
  <si>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</si>
  <si>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</si>
  <si>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</si>
  <si>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</si>
  <si>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</si>
  <si>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</si>
  <si>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</si>
  <si>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</si>
  <si>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</si>
  <si>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</si>
  <si>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</si>
  <si>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</si>
  <si>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</si>
  <si>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</si>
  <si>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</si>
  <si>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</si>
  <si>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</si>
  <si>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</si>
  <si>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</si>
  <si>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</si>
  <si>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</si>
  <si>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</si>
  <si>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</si>
  <si>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</si>
  <si>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</si>
  <si>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</si>
  <si>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</si>
  <si>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</si>
  <si>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</si>
  <si>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</si>
  <si>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</si>
  <si>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</si>
  <si>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</si>
  <si>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</si>
  <si>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</si>
  <si>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</si>
  <si>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</si>
  <si>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</si>
  <si>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</si>
  <si>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</si>
  <si>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</si>
  <si>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</si>
  <si>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</si>
  <si>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</si>
  <si>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</si>
  <si>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</si>
  <si>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</si>
  <si>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</si>
  <si>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</si>
  <si>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</si>
  <si>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</si>
  <si>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</si>
  <si>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</si>
  <si>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</si>
  <si>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</si>
  <si>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</si>
  <si>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</si>
  <si>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</si>
  <si>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</si>
  <si>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</si>
  <si>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</si>
  <si>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</si>
  <si>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</si>
  <si>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</si>
  <si>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</si>
  <si>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</si>
  <si>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</si>
  <si>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</si>
  <si>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</si>
  <si>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</si>
  <si>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</si>
  <si>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</si>
  <si>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</si>
  <si>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</si>
  <si>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</si>
  <si>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</si>
  <si>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</si>
  <si>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</si>
  <si>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</si>
  <si>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</si>
  <si>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</si>
  <si>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</si>
  <si>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</si>
  <si>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</si>
  <si>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Jabbar Iqbal </t>
  </si>
  <si>
    <t>Khan Nimko Masala Jaat</t>
  </si>
  <si>
    <t xml:space="preserve">Address: Chiragh Din </t>
  </si>
  <si>
    <t xml:space="preserve">Hajweri GS </t>
  </si>
  <si>
    <t xml:space="preserve">Address: Mozang Bazar Machli Chowk </t>
  </si>
  <si>
    <t>Jahangeer Store</t>
  </si>
  <si>
    <t>Imran Store</t>
  </si>
  <si>
    <t xml:space="preserve">Address: Mozang Bazar Machlli Chowk </t>
  </si>
  <si>
    <t>Data Store</t>
  </si>
  <si>
    <t>Address: Noor Shah Road</t>
  </si>
  <si>
    <t xml:space="preserve">Saeed Bakery </t>
  </si>
  <si>
    <t xml:space="preserve">Hafiz Kareyana </t>
  </si>
  <si>
    <t>Address: Kank Mandi Noor Shah Road</t>
  </si>
  <si>
    <t xml:space="preserve">Super Fine Bakery </t>
  </si>
  <si>
    <t>Address: Mola Baksh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</si>
</sst>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6" workbookViewId="0">
      <selection activeCell="Q36" sqref="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46247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Khan Nimko Masala Jaat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Hajweri GS </v>
      </c>
      <c r="T4" s="301">
        <f>+'2'!P35</f>
        <v>940.86347552542372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Jahangeer Store</v>
      </c>
      <c r="T5" s="301">
        <f>+'3'!P35</f>
        <v>940.86347552542372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Imran Store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Data Store</v>
      </c>
      <c r="T7" s="301">
        <f>+'5'!P35</f>
        <v>3702.4744807944917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Saeed Bakery 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Hafiz Kareyana </v>
      </c>
      <c r="T9" s="301">
        <f>+'7'!P35</f>
        <v>9408.6347552542375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103</v>
      </c>
      <c r="I10" s="236">
        <f t="shared" si="0"/>
        <v>7481.92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598.55360000000007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261.86720000000003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6621.4992000000002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1414.0677966101696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40.17783498305085</v>
      </c>
      <c r="P10" s="311">
        <f t="shared" si="2"/>
        <v>8075.7448315932206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Super Fine Bakery 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73</v>
      </c>
      <c r="I11" s="236">
        <f t="shared" si="0"/>
        <v>5302.72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424.2176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185.59520000000003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4692.9072000000006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1002.2033898305085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28.475552949152544</v>
      </c>
      <c r="P11" s="311">
        <f t="shared" si="2"/>
        <v>5723.5861427796608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</v>
      </c>
      <c r="I12" s="236">
        <f t="shared" si="0"/>
        <v>6392.32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511.38559999999995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223.7312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5657.2031999999999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1208.1355932203392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34.326693966101701</v>
      </c>
      <c r="P12" s="311">
        <f t="shared" si="2"/>
        <v>6899.6654871864403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52</v>
      </c>
      <c r="I13" s="236">
        <f t="shared" si="0"/>
        <v>2039.9600000000003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101.99800000000002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71.398600000000016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104.03796</v>
      </c>
      <c r="M13" s="230">
        <f t="shared" si="1"/>
        <v>1762.5254400000003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396.6101694915252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10.795678047457628</v>
      </c>
      <c r="P13" s="311">
        <f t="shared" si="2"/>
        <v>2169.9312875389833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8.15</v>
      </c>
      <c r="H16" s="113">
        <f t="shared" ref="H16:M16" si="3">SUM(H7:H15)</f>
        <v>326</v>
      </c>
      <c r="I16" s="114">
        <f t="shared" si="3"/>
        <v>21741.544999999998</v>
      </c>
      <c r="J16" s="274">
        <f>SUM(J7:J15)</f>
        <v>1678.1248000000001</v>
      </c>
      <c r="K16" s="275">
        <f t="shared" si="3"/>
        <v>760.9540750000001</v>
      </c>
      <c r="L16" s="276">
        <f t="shared" si="3"/>
        <v>104.03796</v>
      </c>
      <c r="M16" s="232">
        <f t="shared" si="3"/>
        <v>19198.428165000001</v>
      </c>
      <c r="N16" s="233">
        <f>SUM(N7:N15)</f>
        <v>4120.1694915254238</v>
      </c>
      <c r="O16" s="101">
        <f>SUM(O7:O15)</f>
        <v>116.59298828262713</v>
      </c>
      <c r="P16" s="113">
        <f>SUM(P7:P15)</f>
        <v>23435.190644808052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21741.544999999998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1678.1248000000001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864.9920350000001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19198.428164999998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4120.1694915254238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23318.59765652542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116.59298828262713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23435.190644808048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23435.190644808052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871.68000000000006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69.734400000000008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30.508800000000004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771.43680000000006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936.18256271186442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1" t="s">
        <v>88</v>
      </c>
      <c r="O35" s="372"/>
      <c r="P35" s="297">
        <f>+P33+P34</f>
        <v>940.86347552542372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871.68000000000006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69.734400000000008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30.508800000000004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771.43680000000006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936.18256271186442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1" t="s">
        <v>88</v>
      </c>
      <c r="O35" s="372"/>
      <c r="P35" s="297">
        <f>+P33+P34</f>
        <v>940.86347552542372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523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50</v>
      </c>
      <c r="I25" s="114">
        <f t="shared" si="7"/>
        <v>3430.2249999999999</v>
      </c>
      <c r="J25" s="274">
        <f>SUM(J16:J24)</f>
        <v>274.41799999999995</v>
      </c>
      <c r="K25" s="275">
        <f t="shared" si="7"/>
        <v>120.05787500000002</v>
      </c>
      <c r="L25" s="276">
        <f t="shared" si="7"/>
        <v>0</v>
      </c>
      <c r="M25" s="232">
        <f t="shared" si="7"/>
        <v>3035.7491249999998</v>
      </c>
      <c r="N25" s="233">
        <f>SUM(N16:N24)</f>
        <v>648.30508474576277</v>
      </c>
      <c r="O25" s="101">
        <f>SUM(O16:O24)</f>
        <v>18.420271048728814</v>
      </c>
      <c r="P25" s="113">
        <f>SUM(P16:P24)</f>
        <v>3702.4744807944917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3430.2249999999999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274.41799999999995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120.05787500000002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3035.7491249999998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648.30508474576277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3684.0542097457628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18.420271048728814</v>
      </c>
    </row>
    <row r="35" spans="2:16" ht="15.75" customHeight="1" thickBot="1" x14ac:dyDescent="0.4">
      <c r="N35" s="371" t="s">
        <v>88</v>
      </c>
      <c r="O35" s="372"/>
      <c r="P35" s="297">
        <f>+P33+P34</f>
        <v>3702.4744807944917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0</v>
      </c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8716.7999999999993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697.34400000000005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305.08800000000002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7714.3679999999995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9361.8256271186438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1" t="s">
        <v>88</v>
      </c>
      <c r="O35" s="372"/>
      <c r="P35" s="297">
        <f>+P33+P34</f>
        <v>9408.6347552542375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46248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46247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2026-08-13T10:59:32Z</dcterms:modified>
</cp:coreProperties>
</file>