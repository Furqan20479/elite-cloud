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23AA3BE-D647-43E3-BA2A-5740FB72E74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<sst xmlns="http://schemas.openxmlformats.org/spreadsheetml/2006/main" count="3978" uniqueCount="523">
  <si>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</si>
  <si>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</si>
  <si>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</si>
  <si>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</si>
  <si>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</si>
  <si>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</si>
  <si>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</si>
  <si>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</si>
  <si>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</si>
  <si>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</si>
  <si>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</si>
  <si>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</si>
  <si>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</si>
  <si>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</si>
  <si>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</si>
  <si>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</si>
  <si>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</si>
  <si>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</si>
  <si>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</si>
  <si>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</si>
  <si>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</si>
  <si>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</si>
  <si>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</si>
  <si>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</si>
  <si>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</si>
  <si>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</si>
  <si>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</si>
  <si>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</si>
  <si>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</si>
  <si>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</si>
  <si>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</si>
  <si>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</si>
  <si>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</si>
  <si>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</si>
  <si>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</si>
  <si>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</si>
  <si>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</si>
  <si>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</si>
  <si>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</si>
  <si>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</si>
  <si>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</si>
  <si>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</si>
  <si>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</si>
  <si>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</si>
  <si>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</si>
  <si>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</si>
  <si>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</si>
  <si>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</si>
  <si>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</si>
  <si>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</si>
  <si>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</si>
  <si>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</si>
  <si>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</si>
  <si>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</si>
  <si>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</si>
  <si>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</si>
  <si>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</si>
  <si>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</si>
  <si>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</si>
  <si>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</si>
  <si>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</si>
  <si>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</si>
  <si>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</si>
  <si>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</si>
  <si>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</si>
  <si>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</si>
  <si>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</si>
  <si>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</si>
  <si>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</si>
  <si>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</si>
  <si>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</si>
  <si>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</si>
  <si>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</si>
  <si>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</si>
  <si>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</si>
  <si>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</si>
  <si>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</si>
  <si>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</si>
  <si>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</si>
  <si>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</si>
  <si>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</si>
  <si>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</si>
  <si>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</si>
  <si>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</si>
  <si>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</si>
  <si>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</si>
  <si>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</si>
  <si>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</si>
  <si>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</si>
  <si>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</si>
  <si>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</si>
  <si>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</si>
  <si>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</si>
  <si>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</si>
  <si>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</si>
  <si>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</si>
  <si>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</si>
  <si>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</si>
  <si>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</si>
  <si>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</si>
  <si>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</si>
  <si>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</si>
  <si>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</si>
  <si>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</si>
  <si>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</si>
  <si>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</si>
  <si>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</si>
  <si>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</si>
  <si>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</si>
  <si>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</si>
  <si>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</si>
  <si>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</si>
  <si>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</si>
  <si>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</si>
  <si>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</si>
  <si>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</si>
  <si>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</si>
  <si>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</si>
  <si>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</si>
  <si>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</si>
  <si>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</si>
  <si>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</si>
  <si>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</si>
  <si>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</si>
  <si>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</si>
  <si>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</si>
  <si>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</si>
  <si>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</si>
  <si>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</si>
  <si>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</si>
  <si>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</si>
  <si>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</si>
  <si>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</si>
  <si>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</si>
  <si>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</si>
  <si>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</si>
  <si>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</si>
  <si>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</si>
  <si>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</si>
  <si>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</si>
  <si>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</si>
  <si>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</si>
  <si>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</si>
  <si>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</si>
  <si>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</si>
  <si>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</si>
  <si>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</si>
  <si>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</si>
  <si>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</si>
  <si>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</si>
  <si>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</si>
  <si>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</si>
  <si>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</si>
  <si>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</si>
  <si>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</si>
  <si>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</si>
  <si>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</si>
  <si>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</si>
  <si>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</si>
  <si>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</si>
  <si>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</si>
  <si>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</si>
  <si>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</si>
  <si>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</si>
  <si>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</si>
  <si>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</si>
  <si>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</si>
  <si>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</si>
  <si>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</si>
  <si>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</si>
  <si>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</si>
  <si>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</si>
  <si>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</si>
  <si>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</si>
  <si>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</si>
  <si>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</si>
  <si>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</si>
  <si>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</si>
  <si>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</si>
  <si>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</si>
  <si>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</si>
  <si>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</si>
  <si>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</si>
  <si>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</si>
  <si>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</si>
  <si>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</si>
  <si>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</si>
  <si>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</si>
  <si>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</si>
  <si>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</si>
  <si>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</si>
  <si>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</si>
  <si>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</si>
  <si>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</si>
  <si>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</si>
  <si>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</si>
  <si>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</si>
  <si>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</si>
  <si>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</si>
  <si>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</si>
  <si>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</si>
  <si>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</si>
  <si>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</si>
  <si>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</si>
  <si>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</si>
  <si>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</si>
  <si>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</si>
  <si>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</si>
  <si>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</si>
  <si>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</si>
  <si>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</si>
  <si>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</si>
  <si>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</si>
  <si>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</si>
  <si>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</si>
  <si>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</si>
  <si>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</si>
  <si>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</si>
  <si>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</si>
  <si>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</si>
  <si>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</si>
  <si>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</si>
  <si>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</si>
  <si>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</si>
  <si>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</si>
  <si>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</si>
  <si>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</si>
  <si>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</si>
  <si>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</si>
  <si>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</si>
  <si>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</si>
  <si>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</si>
  <si>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</si>
  <si>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</si>
  <si>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</si>
  <si>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</si>
  <si>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</si>
  <si>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</si>
  <si>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</si>
  <si>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</si>
  <si>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</si>
  <si>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</si>
  <si>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</si>
  <si>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</si>
  <si>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</si>
  <si>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</si>
  <si>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</si>
  <si>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</si>
  <si>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</si>
  <si>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</si>
  <si>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</si>
  <si>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</si>
  <si>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</si>
  <si>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</si>
  <si>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</si>
  <si>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</si>
  <si>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</si>
  <si>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</si>
  <si>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</si>
  <si>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</si>
  <si>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</si>
  <si>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</si>
  <si>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</si>
  <si>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</si>
  <si>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</si>
  <si>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</si>
  <si>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</si>
  <si>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</si>
  <si>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</si>
  <si>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</si>
  <si>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</si>
  <si>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</si>
  <si>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</si>
  <si>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</si>
  <si>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</si>
  <si>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</si>
  <si>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</si>
  <si>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</si>
  <si>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</si>
  <si>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</si>
  <si>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</si>
  <si>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</si>
  <si>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</si>
  <si>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</si>
  <si>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</si>
  <si>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</si>
  <si>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</si>
  <si>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</si>
  <si>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</si>
  <si>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</si>
  <si>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</si>
  <si>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</si>
  <si>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</si>
  <si>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</si>
  <si>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</si>
  <si>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</si>
  <si>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</si>
  <si>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</si>
  <si>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</si>
  <si>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</si>
  <si>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</si>
  <si>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</si>
  <si>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</si>
  <si>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</si>
  <si>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</si>
  <si>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</si>
  <si>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</si>
  <si>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</si>
  <si>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</si>
  <si>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</si>
  <si>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</si>
  <si>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</si>
  <si>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</si>
  <si>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</si>
  <si>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</si>
  <si>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</si>
  <si>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</si>
  <si>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</si>
  <si>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</si>
  <si>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</si>
  <si>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</si>
  <si>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</si>
  <si>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</si>
  <si>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</si>
  <si>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</si>
  <si>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</si>
  <si>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</si>
  <si>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</si>
  <si>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</si>
  <si>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</si>
  <si>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</si>
  <si>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</si>
  <si>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</si>
  <si>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</si>
  <si>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</si>
  <si>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</si>
  <si>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</si>
  <si>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</si>
  <si>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</si>
  <si>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</si>
  <si>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</si>
  <si>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</si>
  <si>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</si>
  <si>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</si>
  <si>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</si>
  <si>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</si>
  <si>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</si>
  <si>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</si>
  <si>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</si>
  <si>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</si>
  <si>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</si>
  <si>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</si>
  <si>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</si>
  <si>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</si>
  <si>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</si>
  <si>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</si>
  <si>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</si>
  <si>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</si>
  <si>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</si>
  <si>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</si>
  <si>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</si>
  <si>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</si>
  <si>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</si>
  <si>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</si>
  <si>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</si>
  <si>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</si>
  <si>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</si>
  <si>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</si>
  <si>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</si>
  <si>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</si>
  <si>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</si>
  <si>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</si>
  <si>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</si>
  <si>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</si>
  <si>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</si>
  <si>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</si>
  <si>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</si>
  <si>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</si>
  <si>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</si>
  <si>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</si>
  <si>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</si>
  <si>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</si>
  <si>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</si>
  <si>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</si>
  <si>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</si>
  <si>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</si>
  <si>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</si>
  <si>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</si>
  <si>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</si>
  <si>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</si>
  <si>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</si>
  <si>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</si>
  <si>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</si>
  <si>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</si>
  <si>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</si>
  <si>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</si>
  <si>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</si>
  <si>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</si>
  <si>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</si>
  <si>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</si>
  <si>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</si>
  <si>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</si>
  <si>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</si>
  <si>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</si>
  <si>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</si>
  <si>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</si>
  <si>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</si>
  <si>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</si>
  <si>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</si>
  <si>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</si>
  <si>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</si>
  <si>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</si>
  <si>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</si>
  <si>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</si>
  <si>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</si>
  <si>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</si>
  <si>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</si>
  <si>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</si>
  <si>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</si>
  <si>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</si>
  <si>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</si>
  <si>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</si>
  <si>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</si>
  <si>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</si>
  <si>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</si>
  <si>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</si>
  <si>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</si>
  <si>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</si>
  <si>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</si>
  <si>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</si>
  <si>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</si>
  <si>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</si>
  <si>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</si>
  <si>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</si>
  <si>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</si>
  <si>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</si>
  <si>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</si>
  <si>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</si>
  <si>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</si>
  <si>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</si>
  <si>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</si>
  <si>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</si>
  <si>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</si>
  <si>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</si>
  <si>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</si>
  <si>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</si>
  <si>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</si>
  <si>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</si>
  <si>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</si>
  <si>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</si>
  <si>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</si>
  <si>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</si>
  <si>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</si>
  <si>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</si>
  <si>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</si>
  <si>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</si>
  <si>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</si>
  <si>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</si>
  <si>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</si>
  <si>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</si>
  <si>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</si>
  <si>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</si>
  <si>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</si>
  <si>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</si>
  <si>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</si>
  <si>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</si>
  <si>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</si>
  <si>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</si>
  <si>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</si>
  <si>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</si>
  <si>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</si>
  <si>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</si>
  <si>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</si>
  <si>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</si>
  <si>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</si>
  <si>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</si>
  <si>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</si>
  <si>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</si>
  <si>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</si>
  <si>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</si>
  <si>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</si>
  <si>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</si>
  <si>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</si>
  <si>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</si>
  <si>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</si>
  <si>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</si>
  <si>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</si>
  <si>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</si>
  <si>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</si>
  <si>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</si>
  <si>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</si>
  <si>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</si>
  <si>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</si>
  <si>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</si>
  <si>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</si>
  <si>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</si>
  <si>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</si>
  <si>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</si>
  <si>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</si>
  <si>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</si>
  <si>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</si>
  <si>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</si>
  <si>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</si>
  <si>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</si>
  <si>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</si>
  <si>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</si>
  <si>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</si>
  <si>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</si>
  <si>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</si>
  <si>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</si>
  <si>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</si>
  <si>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</si>
  <si>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</si>
  <si>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</si>
  <si>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</si>
  <si>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</si>
  <si>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</si>
  <si>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</si>
  <si>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Ghosia Milk Shop </t>
  </si>
  <si>
    <t>Address: Qanchi Bazar</t>
  </si>
  <si>
    <t>Rana Store</t>
  </si>
  <si>
    <t>KS Mart</t>
  </si>
  <si>
    <t>Address: Ghazi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</si>
</sst>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G32" sqref="G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517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513</v>
      </c>
      <c r="F3" s="387"/>
      <c r="G3" s="387"/>
      <c r="H3" s="384">
        <f ca="1">TODAY()</f>
        <v>46247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Ghosia Milk Shop </v>
      </c>
      <c r="T3" s="301">
        <f>+'1'!P35</f>
        <v>1180.2688488991523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Rana Store</v>
      </c>
      <c r="T4" s="301">
        <f>+'2'!P35</f>
        <v>2402.6947492881359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KS Mart</v>
      </c>
      <c r="T5" s="301">
        <f>+'3'!P35</f>
        <v>3338.355826983051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</v>
      </c>
      <c r="I10" s="236">
        <f t="shared" si="0"/>
        <v>508.48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40.678400000000003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17.796800000000001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450.00480000000005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96.101694915254242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2.7305324745762714</v>
      </c>
      <c r="P10" s="311">
        <f t="shared" si="2"/>
        <v>548.83702738983061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</v>
      </c>
      <c r="I11" s="236">
        <f t="shared" si="0"/>
        <v>508.48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40.678400000000003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17.796800000000001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450.00480000000005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96.101694915254242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2.7305324745762714</v>
      </c>
      <c r="P11" s="311">
        <f t="shared" si="2"/>
        <v>548.83702738983061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</v>
      </c>
      <c r="I12" s="236">
        <f t="shared" si="0"/>
        <v>435.84000000000003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34.867200000000004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15.254400000000002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385.71840000000003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82.372881355932208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2.3404564067796612</v>
      </c>
      <c r="P12" s="311">
        <f t="shared" si="2"/>
        <v>470.43173776271186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112</v>
      </c>
      <c r="I13" s="236">
        <f t="shared" si="0"/>
        <v>4393.76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219.68800000000005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153.78160000000003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224.08176</v>
      </c>
      <c r="M13" s="230">
        <f t="shared" si="1"/>
        <v>3796.2086400000003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854.23728813559273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23.252229640677967</v>
      </c>
      <c r="P13" s="311">
        <f t="shared" si="2"/>
        <v>4673.6981577762708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3.6</v>
      </c>
      <c r="H16" s="113">
        <f t="shared" ref="H16:M16" si="3">SUM(H7:H15)</f>
        <v>144</v>
      </c>
      <c r="I16" s="114">
        <f t="shared" si="3"/>
        <v>6476.1100000000006</v>
      </c>
      <c r="J16" s="274">
        <f>SUM(J7:J15)</f>
        <v>386.27600000000007</v>
      </c>
      <c r="K16" s="275">
        <f t="shared" si="3"/>
        <v>226.66385000000002</v>
      </c>
      <c r="L16" s="276">
        <f t="shared" si="3"/>
        <v>224.08176</v>
      </c>
      <c r="M16" s="232">
        <f t="shared" si="3"/>
        <v>5639.0883900000008</v>
      </c>
      <c r="N16" s="233">
        <f>SUM(N7:N15)</f>
        <v>1247.796610169491</v>
      </c>
      <c r="O16" s="101">
        <f>SUM(O7:O15)</f>
        <v>34.434425000847455</v>
      </c>
      <c r="P16" s="113">
        <f>SUM(P7:P15)</f>
        <v>6921.3194251703389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6476.1100000000006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386.27600000000007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450.74561000000006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5639.0883900000008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1247.796610169491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6886.8850001694918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34.434425000847455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6921.3194251703389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6921.3194251703389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516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519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1100.31</v>
      </c>
      <c r="J25" s="274">
        <f>SUM(J16:J24)</f>
        <v>73.902000000000001</v>
      </c>
      <c r="K25" s="275">
        <f t="shared" si="10"/>
        <v>38.510850000000005</v>
      </c>
      <c r="L25" s="276">
        <f t="shared" si="10"/>
        <v>24.008760000000002</v>
      </c>
      <c r="M25" s="232">
        <f t="shared" si="10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1100.31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73.902000000000001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62.519610000000007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963.88838999999984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1174.3968645762709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71" t="s">
        <v>88</v>
      </c>
      <c r="O35" s="372"/>
      <c r="P35" s="297">
        <f>+P33+P34</f>
        <v>1180.2688488991523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519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</v>
      </c>
      <c r="I19" s="236">
        <f t="shared" si="0"/>
        <v>508.48</v>
      </c>
      <c r="J19" s="272">
        <f t="shared" si="1"/>
        <v>40.678400000000003</v>
      </c>
      <c r="K19" s="128">
        <f t="shared" si="1"/>
        <v>17.796800000000001</v>
      </c>
      <c r="L19" s="119">
        <f t="shared" si="1"/>
        <v>0</v>
      </c>
      <c r="M19" s="230">
        <f t="shared" si="2"/>
        <v>450.00480000000005</v>
      </c>
      <c r="N19" s="277">
        <f t="shared" si="3"/>
        <v>96.101694915254242</v>
      </c>
      <c r="O19" s="239">
        <f t="shared" si="4"/>
        <v>2.7305324745762714</v>
      </c>
      <c r="P19" s="311">
        <f t="shared" si="5"/>
        <v>548.83702738983061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</v>
      </c>
      <c r="I20" s="236">
        <f t="shared" si="0"/>
        <v>508.48</v>
      </c>
      <c r="J20" s="272">
        <f t="shared" si="1"/>
        <v>40.678400000000003</v>
      </c>
      <c r="K20" s="128">
        <f t="shared" si="1"/>
        <v>17.796800000000001</v>
      </c>
      <c r="L20" s="119">
        <f t="shared" si="1"/>
        <v>0</v>
      </c>
      <c r="M20" s="230">
        <f t="shared" si="2"/>
        <v>450.00480000000005</v>
      </c>
      <c r="N20" s="277">
        <f t="shared" si="3"/>
        <v>96.101694915254242</v>
      </c>
      <c r="O20" s="239">
        <f t="shared" si="4"/>
        <v>2.7305324745762714</v>
      </c>
      <c r="P20" s="311">
        <f t="shared" si="5"/>
        <v>548.83702738983061</v>
      </c>
      <c r="Q20" s="156"/>
      <c r="R20">
        <f>P20/21</f>
        <v>26.135096542372885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2237.4000000000005</v>
      </c>
      <c r="J25" s="274">
        <f>SUM(J16:J24)</f>
        <v>155.45400000000004</v>
      </c>
      <c r="K25" s="275">
        <f t="shared" si="7"/>
        <v>78.309000000000012</v>
      </c>
      <c r="L25" s="276">
        <f t="shared" si="7"/>
        <v>40.014600000000002</v>
      </c>
      <c r="M25" s="232">
        <f t="shared" si="7"/>
        <v>1963.6224000000002</v>
      </c>
      <c r="N25" s="233">
        <f>SUM(N16:N24)</f>
        <v>427.11864406779654</v>
      </c>
      <c r="O25" s="101">
        <f>SUM(O16:O24)</f>
        <v>11.953705220338984</v>
      </c>
      <c r="P25" s="113">
        <f>SUM(P16:P24)</f>
        <v>2402.6947492881359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2237.4000000000005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155.45400000000004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118.32360000000001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1963.6224000000004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427.11864406779654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2390.7410440677968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11.953705220338984</v>
      </c>
    </row>
    <row r="35" spans="2:16" ht="15.75" customHeight="1" thickBot="1" x14ac:dyDescent="0.4">
      <c r="N35" s="371" t="s">
        <v>88</v>
      </c>
      <c r="O35" s="372"/>
      <c r="P35" s="297">
        <f>+P33+P34</f>
        <v>2402.6947492881359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3138.4000000000005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156.92000000000004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269.90240000000006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2711.5776000000005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3321.7470915254239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1" t="s">
        <v>88</v>
      </c>
      <c r="O35" s="372"/>
      <c r="P35" s="297">
        <f>+P33+P34</f>
        <v>3338.355826983051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2026-08-13T10:36:27Z</dcterms:modified>
</cp:coreProperties>
</file>