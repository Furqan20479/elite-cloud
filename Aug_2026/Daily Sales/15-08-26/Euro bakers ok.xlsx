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F537FE7-4D08-4B71-B784-6AD6AB69BC1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G11" i="62" l="1"/>
  <c r="G13" i="62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2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<sst xmlns="http://schemas.openxmlformats.org/spreadsheetml/2006/main" count="3978" uniqueCount="517">
  <si>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</si>
  <si>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</si>
  <si>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</si>
  <si>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</si>
  <si>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</si>
  <si>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</si>
  <si>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</si>
  <si>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</si>
  <si>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</si>
  <si>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</si>
  <si>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</si>
  <si>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</si>
  <si>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</si>
  <si>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</si>
  <si>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</si>
  <si>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</si>
  <si>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</si>
  <si>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</si>
  <si>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</si>
  <si>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</si>
  <si>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</si>
  <si>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</si>
  <si>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</si>
  <si>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</si>
  <si>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</si>
  <si>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</si>
  <si>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</si>
  <si>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</si>
  <si>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</si>
  <si>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</si>
  <si>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</si>
  <si>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</si>
  <si>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</si>
  <si>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</si>
  <si>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</si>
  <si>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</si>
  <si>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</si>
  <si>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</si>
  <si>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</si>
  <si>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</si>
  <si>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</si>
  <si>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</si>
  <si>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</si>
  <si>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</si>
  <si>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</si>
  <si>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</si>
  <si>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</si>
  <si>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</si>
  <si>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</si>
  <si>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</si>
  <si>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</si>
  <si>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</si>
  <si>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</si>
  <si>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</si>
  <si>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</si>
  <si>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</si>
  <si>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</si>
  <si>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</si>
  <si>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</si>
  <si>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</si>
  <si>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</si>
  <si>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</si>
  <si>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</si>
  <si>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</si>
  <si>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</si>
  <si>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</si>
  <si>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</si>
  <si>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</si>
  <si>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</si>
  <si>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</si>
  <si>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</si>
  <si>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</si>
  <si>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</si>
  <si>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</si>
  <si>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</si>
  <si>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</si>
  <si>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</si>
  <si>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</si>
  <si>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</si>
  <si>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</si>
  <si>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</si>
  <si>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</si>
  <si>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</si>
  <si>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</si>
  <si>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</si>
  <si>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</si>
  <si>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</si>
  <si>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</si>
  <si>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</si>
  <si>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</si>
  <si>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</si>
  <si>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</si>
  <si>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</si>
  <si>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</si>
  <si>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</si>
  <si>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</si>
  <si>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</si>
  <si>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</si>
  <si>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</si>
  <si>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</si>
  <si>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</si>
  <si>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</si>
  <si>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</si>
  <si>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</si>
  <si>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</si>
  <si>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</si>
  <si>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</si>
  <si>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</si>
  <si>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</si>
  <si>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</si>
  <si>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</si>
  <si>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</si>
  <si>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</si>
  <si>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</si>
  <si>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</si>
  <si>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</si>
  <si>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</si>
  <si>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</si>
  <si>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</si>
  <si>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</si>
  <si>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</si>
  <si>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</si>
  <si>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</si>
  <si>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</si>
  <si>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</si>
  <si>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</si>
  <si>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</si>
  <si>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</si>
  <si>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</si>
  <si>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</si>
  <si>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</si>
  <si>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</si>
  <si>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</si>
  <si>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</si>
  <si>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</si>
  <si>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</si>
  <si>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</si>
  <si>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</si>
  <si>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</si>
  <si>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</si>
  <si>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</si>
  <si>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</si>
  <si>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</si>
  <si>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</si>
  <si>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</si>
  <si>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</si>
  <si>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</si>
  <si>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</si>
  <si>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</si>
  <si>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</si>
  <si>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</si>
  <si>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</si>
  <si>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</si>
  <si>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</si>
  <si>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</si>
  <si>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</si>
  <si>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</si>
  <si>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</si>
  <si>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</si>
  <si>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</si>
  <si>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</si>
  <si>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</si>
  <si>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</si>
  <si>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</si>
  <si>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</si>
  <si>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</si>
  <si>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</si>
  <si>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</si>
  <si>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</si>
  <si>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</si>
  <si>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</si>
  <si>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</si>
  <si>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</si>
  <si>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</si>
  <si>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</si>
  <si>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</si>
  <si>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</si>
  <si>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</si>
  <si>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</si>
  <si>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</si>
  <si>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</si>
  <si>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</si>
  <si>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</si>
  <si>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</si>
  <si>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</si>
  <si>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</si>
  <si>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</si>
  <si>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</si>
  <si>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</si>
  <si>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</si>
  <si>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</si>
  <si>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</si>
  <si>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</si>
  <si>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</si>
  <si>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</si>
  <si>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</si>
  <si>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</si>
  <si>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</si>
  <si>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</si>
  <si>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</si>
  <si>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</si>
  <si>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</si>
  <si>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</si>
  <si>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</si>
  <si>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</si>
  <si>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</si>
  <si>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</si>
  <si>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</si>
  <si>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</si>
  <si>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</si>
  <si>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</si>
  <si>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</si>
  <si>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</si>
  <si>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</si>
  <si>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</si>
  <si>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</si>
  <si>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</si>
  <si>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</si>
  <si>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</si>
  <si>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</si>
  <si>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</si>
  <si>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</si>
  <si>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</si>
  <si>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</si>
  <si>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</si>
  <si>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</si>
  <si>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</si>
  <si>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</si>
  <si>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</si>
  <si>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</si>
  <si>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</si>
  <si>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</si>
  <si>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</si>
  <si>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</si>
  <si>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</si>
  <si>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</si>
  <si>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</si>
  <si>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</si>
  <si>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</si>
  <si>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</si>
  <si>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</si>
  <si>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</si>
  <si>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</si>
  <si>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</si>
  <si>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</si>
  <si>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</si>
  <si>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</si>
  <si>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</si>
  <si>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</si>
  <si>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</si>
  <si>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</si>
  <si>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</si>
  <si>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</si>
  <si>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</si>
  <si>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</si>
  <si>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</si>
  <si>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</si>
  <si>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</si>
  <si>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</si>
  <si>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</si>
  <si>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</si>
  <si>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</si>
  <si>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</si>
  <si>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</si>
  <si>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</si>
  <si>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</si>
  <si>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</si>
  <si>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</si>
  <si>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</si>
  <si>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</si>
  <si>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</si>
  <si>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</si>
  <si>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</si>
  <si>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</si>
  <si>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</si>
  <si>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</si>
  <si>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</si>
  <si>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</si>
  <si>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</si>
  <si>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</si>
  <si>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</si>
  <si>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</si>
  <si>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</si>
  <si>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</si>
  <si>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</si>
  <si>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</si>
  <si>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</si>
  <si>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</si>
  <si>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</si>
  <si>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</si>
  <si>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</si>
  <si>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</si>
  <si>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</si>
  <si>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</si>
  <si>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</si>
  <si>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</si>
  <si>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</si>
  <si>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</si>
  <si>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</si>
  <si>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</si>
  <si>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</si>
  <si>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</si>
  <si>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</si>
  <si>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</si>
  <si>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</si>
  <si>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</si>
  <si>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</si>
  <si>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</si>
  <si>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</si>
  <si>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</si>
  <si>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</si>
  <si>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</si>
  <si>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</si>
  <si>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</si>
  <si>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</si>
  <si>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</si>
  <si>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</si>
  <si>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</si>
  <si>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</si>
  <si>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</si>
  <si>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</si>
  <si>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</si>
  <si>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</si>
  <si>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</si>
  <si>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</si>
  <si>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</si>
  <si>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</si>
  <si>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</si>
  <si>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</si>
  <si>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</si>
  <si>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</si>
  <si>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</si>
  <si>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</si>
  <si>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</si>
  <si>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</si>
  <si>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</si>
  <si>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</si>
  <si>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</si>
  <si>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</si>
  <si>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</si>
  <si>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</si>
  <si>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</si>
  <si>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</si>
  <si>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</si>
  <si>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</si>
  <si>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</si>
  <si>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</si>
  <si>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</si>
  <si>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</si>
  <si>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</si>
  <si>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</si>
  <si>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</si>
  <si>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</si>
  <si>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</si>
  <si>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</si>
  <si>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</si>
  <si>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</si>
  <si>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</si>
  <si>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</si>
  <si>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</si>
  <si>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</si>
  <si>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</si>
  <si>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</si>
  <si>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</si>
  <si>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</si>
  <si>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</si>
  <si>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</si>
  <si>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</si>
  <si>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</si>
  <si>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</si>
  <si>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</si>
  <si>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</si>
  <si>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</si>
  <si>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</si>
  <si>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</si>
  <si>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</si>
  <si>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</si>
  <si>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</si>
  <si>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</si>
  <si>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</si>
  <si>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</si>
  <si>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</si>
  <si>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</si>
  <si>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</si>
  <si>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</si>
  <si>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</si>
  <si>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</si>
  <si>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</si>
  <si>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</si>
  <si>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</si>
  <si>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</si>
  <si>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</si>
  <si>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</si>
  <si>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</si>
  <si>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</si>
  <si>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</si>
  <si>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</si>
  <si>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</si>
  <si>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</si>
  <si>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</si>
  <si>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</si>
  <si>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</si>
  <si>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</si>
  <si>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</si>
  <si>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</si>
  <si>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</si>
  <si>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</si>
  <si>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</si>
  <si>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</si>
  <si>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</si>
  <si>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</si>
  <si>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</si>
  <si>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</si>
  <si>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</si>
  <si>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</si>
  <si>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</si>
  <si>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</si>
  <si>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</si>
  <si>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</si>
  <si>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</si>
  <si>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</si>
  <si>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</si>
  <si>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</si>
  <si>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</si>
  <si>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</si>
  <si>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</si>
  <si>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</si>
  <si>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</si>
  <si>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</si>
  <si>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</si>
  <si>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</si>
  <si>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</si>
  <si>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</si>
  <si>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</si>
  <si>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</si>
  <si>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</si>
  <si>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</si>
  <si>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</si>
  <si>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</si>
  <si>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</si>
  <si>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</si>
  <si>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</si>
  <si>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</si>
  <si>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</si>
  <si>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</si>
  <si>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</si>
  <si>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</si>
  <si>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</si>
  <si>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</si>
  <si>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</si>
  <si>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</si>
  <si>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</si>
  <si>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</si>
  <si>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</si>
  <si>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</si>
  <si>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</si>
  <si>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</si>
  <si>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</si>
  <si>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</si>
  <si>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</si>
  <si>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</si>
  <si>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</si>
  <si>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</si>
  <si>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</si>
  <si>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</si>
  <si>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</si>
  <si>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</si>
  <si>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</si>
  <si>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</si>
  <si>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</si>
  <si>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</si>
  <si>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</si>
  <si>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</si>
  <si>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</si>
  <si>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</si>
  <si>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</si>
  <si>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</si>
  <si>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</si>
  <si>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</si>
  <si>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</si>
  <si>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</si>
  <si>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</si>
  <si>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</si>
  <si>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</si>
  <si>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</si>
  <si>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</si>
  <si>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</si>
  <si>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</si>
  <si>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</si>
  <si>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</si>
  <si>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</si>
  <si>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</si>
  <si>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</si>
  <si>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</si>
  <si>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</si>
  <si>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</si>
  <si>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</si>
  <si>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</si>
  <si>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</si>
  <si>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</si>
  <si>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</si>
  <si>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</si>
  <si>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</si>
  <si>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</si>
  <si>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</si>
  <si>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</si>
  <si>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</si>
  <si>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</si>
  <si>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</si>
  <si>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</si>
  <si>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</si>
  <si>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</si>
  <si>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</si>
  <si>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 xml:space="preserve">Euro Bakers </t>
  </si>
  <si>
    <t xml:space="preserve">Address: Model Town </t>
  </si>
  <si>
    <t>NTN / STRN:  E757686-3</t>
  </si>
  <si>
    <t>Invoice No # :41561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</si>
</sst>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512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Euro Bakers </v>
      </c>
      <c r="T3" s="301">
        <f>+'1'!P35</f>
        <v>31880.818962282839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Euro Bakers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Euro Bakers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Euro Bakers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103</v>
      </c>
      <c r="I7" s="235">
        <f>(G7*D7)*F7+H7*F7</f>
        <v>5403.6374999999998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540.36374999999998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189.12731250000002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4674.1464374999996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1021.2711864406775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28.477088119703385</v>
      </c>
      <c r="P7" s="310">
        <f>M7+N7+O7</f>
        <v>5723.8947120603807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17</v>
      </c>
      <c r="R7" s="314">
        <v>5</v>
      </c>
      <c r="S7" s="300" t="str">
        <f>+'5'!A6:A6</f>
        <v xml:space="preserve">Euro Bakers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104</v>
      </c>
      <c r="I8" s="236">
        <f t="shared" ref="I8:I14" si="0">(G8*D8)*F8+H8*F8</f>
        <v>5456.0999999999995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545.61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190.96350000000001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4719.5264999999999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1031.1864406779657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28.753564703389831</v>
      </c>
      <c r="P8" s="311">
        <f t="shared" ref="P8:P15" si="2">M8+N8+O8</f>
        <v>5779.466505381356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16</v>
      </c>
      <c r="R8" s="314">
        <v>6</v>
      </c>
      <c r="S8" s="300" t="str">
        <f>+'6'!A6:A6</f>
        <v xml:space="preserve">Euro Bakers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38</v>
      </c>
      <c r="I9" s="236">
        <f t="shared" si="0"/>
        <v>1993.575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199.35750000000002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69.775125000000003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1724.4423750000001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376.77966101694898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10.506110180084745</v>
      </c>
      <c r="P9" s="311">
        <f t="shared" si="2"/>
        <v>2111.7281461970338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82</v>
      </c>
      <c r="R9" s="314">
        <v>7</v>
      </c>
      <c r="S9" s="300" t="str">
        <f>+'7'!A6:A6</f>
        <v xml:space="preserve">Euro Bakers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68</v>
      </c>
      <c r="I10" s="236">
        <f t="shared" si="0"/>
        <v>4939.5200000000004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493.95200000000006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172.88320000000004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4272.6848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933.5593220338983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26.031220610169495</v>
      </c>
      <c r="P10" s="311">
        <f t="shared" si="2"/>
        <v>5232.2753426440686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52</v>
      </c>
      <c r="R10" s="314">
        <v>8</v>
      </c>
      <c r="S10" s="300" t="str">
        <f>+'8'!A6:A6</f>
        <v xml:space="preserve">Euro Bakers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93</v>
      </c>
      <c r="I11" s="236">
        <f t="shared" si="0"/>
        <v>6755.52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675.55200000000013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236.44320000000005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5843.5248000000001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1276.7796610169491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35.60152230508475</v>
      </c>
      <c r="P11" s="311">
        <f t="shared" si="2"/>
        <v>7155.9059833220335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27</v>
      </c>
      <c r="R11" s="314">
        <v>9</v>
      </c>
      <c r="S11" s="300" t="str">
        <f>+'9'!A6:A6</f>
        <v xml:space="preserve">Euro Bakers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33</v>
      </c>
      <c r="I12" s="236">
        <f t="shared" si="0"/>
        <v>2397.12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239.71199999999999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83.899200000000008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2073.5088000000001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453.05084745762713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12.632798237288137</v>
      </c>
      <c r="P12" s="311">
        <f t="shared" si="2"/>
        <v>2539.1924456949155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87</v>
      </c>
      <c r="R12" s="314">
        <v>10</v>
      </c>
      <c r="S12" s="300" t="str">
        <f>+'10'!A6:A6</f>
        <v xml:space="preserve">Euro Bakers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Euro Bakers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Euro Bakers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Euro Bakers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12.975</v>
      </c>
      <c r="H16" s="113">
        <f t="shared" ref="H16:M16" si="3">SUM(H7:H15)</f>
        <v>519</v>
      </c>
      <c r="I16" s="114">
        <f t="shared" si="3"/>
        <v>30083.872500000001</v>
      </c>
      <c r="J16" s="274">
        <f>SUM(J7:J15)</f>
        <v>2851.4672500000001</v>
      </c>
      <c r="K16" s="275">
        <f t="shared" si="3"/>
        <v>1052.9355375000002</v>
      </c>
      <c r="L16" s="276">
        <f t="shared" si="3"/>
        <v>160.05840000000001</v>
      </c>
      <c r="M16" s="232">
        <f t="shared" si="3"/>
        <v>26019.4113125</v>
      </c>
      <c r="N16" s="233">
        <f>SUM(N7:N15)</f>
        <v>5702.796610169491</v>
      </c>
      <c r="O16" s="101">
        <f>SUM(O7:O15)</f>
        <v>158.61103961334746</v>
      </c>
      <c r="P16" s="113">
        <f>SUM(P7:P15)</f>
        <v>31880.818962282839</v>
      </c>
      <c r="Q16" s="128">
        <f>SUM(Q7:Q15)</f>
        <v>281</v>
      </c>
      <c r="R16" s="314">
        <v>14</v>
      </c>
      <c r="S16" s="300" t="str">
        <f>+'14'!A6:A6</f>
        <v xml:space="preserve">Euro Bakers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Euro Bakers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Euro Bakers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30083.872500000001</v>
      </c>
      <c r="R19" s="299">
        <v>17</v>
      </c>
      <c r="S19" s="300" t="str">
        <f>+'17'!A6:A6</f>
        <v xml:space="preserve">Euro Bakers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2851.4672500000001</v>
      </c>
      <c r="R20" s="299">
        <v>18</v>
      </c>
      <c r="S20" s="300" t="str">
        <f>+'18'!A6:A6</f>
        <v xml:space="preserve">Euro Bakers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1212.9939375000004</v>
      </c>
      <c r="R21" s="299">
        <v>19</v>
      </c>
      <c r="S21" s="300" t="str">
        <f>+'19'!A6:A6</f>
        <v xml:space="preserve">Euro Bakers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26019.4113125</v>
      </c>
      <c r="R22" s="299">
        <v>20</v>
      </c>
      <c r="S22" s="300" t="str">
        <f>+'20'!A6:A6</f>
        <v xml:space="preserve">Euro Bakers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5702.796610169491</v>
      </c>
      <c r="R23" s="299">
        <v>21</v>
      </c>
      <c r="S23" s="300" t="str">
        <f>+'21'!A6:A6</f>
        <v xml:space="preserve">Euro Bakers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31722.207922669491</v>
      </c>
      <c r="R24" s="299">
        <v>22</v>
      </c>
      <c r="S24" s="300" t="str">
        <f>+'22'!A6:A6</f>
        <v xml:space="preserve">Euro Bakers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158.61103961334746</v>
      </c>
      <c r="R25" s="299">
        <v>23</v>
      </c>
      <c r="S25" s="300" t="str">
        <f>+'23'!A6:A6</f>
        <v xml:space="preserve">Euro Bakers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31880.818962282839</v>
      </c>
      <c r="R26" s="299">
        <v>24</v>
      </c>
      <c r="S26" s="300" t="str">
        <f>+'24'!A6:A6</f>
        <v xml:space="preserve">Euro Bakers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Euro Bakers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Euro Bakers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Euro Bakers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Euro Bakers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Euro Bakers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Euro Bakers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31880.818962282839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6" workbookViewId="0">
      <selection activeCell="R30" sqref="R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103</v>
      </c>
      <c r="I16" s="235">
        <f>(G16*D16)*F16+H16*F16</f>
        <v>5403.6374999999998</v>
      </c>
      <c r="J16" s="271">
        <f>$I16*S16</f>
        <v>540.36374999999998</v>
      </c>
      <c r="K16" s="127">
        <f>$I16*T16</f>
        <v>189.12731250000002</v>
      </c>
      <c r="L16" s="118">
        <f>$I16*U16</f>
        <v>0</v>
      </c>
      <c r="M16" s="229">
        <f>I16-SUM(J16:L16)</f>
        <v>4674.1464374999996</v>
      </c>
      <c r="N16" s="248">
        <f>+(G16*D16+H16)*V16</f>
        <v>1021.2711864406775</v>
      </c>
      <c r="O16" s="238">
        <f>(N16+M16)*$O$15</f>
        <v>28.477088119703385</v>
      </c>
      <c r="P16" s="310">
        <f>M16+N16+O16</f>
        <v>5723.8947120603807</v>
      </c>
      <c r="Q16" s="313">
        <v>17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6"/>
      <c r="H17" s="112">
        <v>104</v>
      </c>
      <c r="I17" s="236">
        <f t="shared" ref="I17:I23" si="0">(G17*D17)*F17+H17*F17</f>
        <v>5456.0999999999995</v>
      </c>
      <c r="J17" s="272">
        <f t="shared" ref="J17:L24" si="1">$I17*S17</f>
        <v>545.61</v>
      </c>
      <c r="K17" s="128">
        <f>$I17*T17</f>
        <v>190.96350000000001</v>
      </c>
      <c r="L17" s="119">
        <f>$I17*U17</f>
        <v>0</v>
      </c>
      <c r="M17" s="230">
        <f t="shared" ref="M17:M24" si="2">I17-SUM(J17:L17)</f>
        <v>4719.5264999999999</v>
      </c>
      <c r="N17" s="277">
        <f t="shared" ref="N17:N24" si="3">+(G17*D17+H17)*V17</f>
        <v>1031.1864406779657</v>
      </c>
      <c r="O17" s="239">
        <f t="shared" ref="O17:O24" si="4">(N17+M17)*$O$15</f>
        <v>28.753564703389831</v>
      </c>
      <c r="P17" s="311">
        <f t="shared" ref="P17:P24" si="5">M17+N17+O17</f>
        <v>5779.466505381356</v>
      </c>
      <c r="Q17" s="156">
        <v>16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6"/>
      <c r="H18" s="112">
        <v>38</v>
      </c>
      <c r="I18" s="236">
        <f t="shared" ref="I18:I21" si="7">(G18*D18)*F18+H18*F18</f>
        <v>1993.575</v>
      </c>
      <c r="J18" s="272">
        <f t="shared" si="1"/>
        <v>199.35750000000002</v>
      </c>
      <c r="K18" s="128">
        <f t="shared" si="1"/>
        <v>69.775125000000003</v>
      </c>
      <c r="L18" s="119">
        <f t="shared" si="1"/>
        <v>0</v>
      </c>
      <c r="M18" s="230">
        <f t="shared" si="2"/>
        <v>1724.4423750000001</v>
      </c>
      <c r="N18" s="277">
        <f t="shared" si="3"/>
        <v>376.77966101694898</v>
      </c>
      <c r="O18" s="239">
        <f t="shared" si="4"/>
        <v>10.506110180084745</v>
      </c>
      <c r="P18" s="311">
        <f t="shared" si="5"/>
        <v>2111.7281461970338</v>
      </c>
      <c r="Q18" s="156">
        <v>82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6"/>
      <c r="H19" s="112">
        <v>68</v>
      </c>
      <c r="I19" s="236">
        <f t="shared" si="7"/>
        <v>4939.5200000000004</v>
      </c>
      <c r="J19" s="272">
        <f t="shared" si="1"/>
        <v>493.95200000000006</v>
      </c>
      <c r="K19" s="128">
        <f t="shared" si="1"/>
        <v>172.88320000000004</v>
      </c>
      <c r="L19" s="119">
        <f t="shared" si="1"/>
        <v>0</v>
      </c>
      <c r="M19" s="230">
        <f t="shared" si="2"/>
        <v>4272.6848</v>
      </c>
      <c r="N19" s="277">
        <f t="shared" si="3"/>
        <v>933.5593220338983</v>
      </c>
      <c r="O19" s="239">
        <f t="shared" si="4"/>
        <v>26.031220610169495</v>
      </c>
      <c r="P19" s="311">
        <f t="shared" si="5"/>
        <v>5232.2753426440686</v>
      </c>
      <c r="Q19" s="156">
        <v>52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6"/>
      <c r="H20" s="112">
        <v>93</v>
      </c>
      <c r="I20" s="236">
        <f t="shared" si="7"/>
        <v>6755.52</v>
      </c>
      <c r="J20" s="272">
        <f t="shared" si="1"/>
        <v>675.55200000000013</v>
      </c>
      <c r="K20" s="128">
        <f t="shared" si="1"/>
        <v>236.44320000000005</v>
      </c>
      <c r="L20" s="119">
        <f t="shared" si="1"/>
        <v>0</v>
      </c>
      <c r="M20" s="230">
        <f t="shared" si="2"/>
        <v>5843.5248000000001</v>
      </c>
      <c r="N20" s="277">
        <f t="shared" si="3"/>
        <v>1276.7796610169491</v>
      </c>
      <c r="O20" s="239">
        <f t="shared" si="4"/>
        <v>35.60152230508475</v>
      </c>
      <c r="P20" s="311">
        <f t="shared" si="5"/>
        <v>7155.9059833220335</v>
      </c>
      <c r="Q20" s="156">
        <v>27</v>
      </c>
      <c r="R20">
        <f>P20/21</f>
        <v>340.75742777723968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6"/>
      <c r="H21" s="112">
        <v>33</v>
      </c>
      <c r="I21" s="236">
        <f t="shared" si="7"/>
        <v>2397.12</v>
      </c>
      <c r="J21" s="272">
        <f t="shared" si="1"/>
        <v>239.71199999999999</v>
      </c>
      <c r="K21" s="128">
        <f t="shared" si="1"/>
        <v>83.899200000000008</v>
      </c>
      <c r="L21" s="119">
        <f t="shared" si="1"/>
        <v>0</v>
      </c>
      <c r="M21" s="230">
        <f t="shared" si="2"/>
        <v>2073.5088000000001</v>
      </c>
      <c r="N21" s="277">
        <f t="shared" si="3"/>
        <v>453.05084745762713</v>
      </c>
      <c r="O21" s="239">
        <f t="shared" si="4"/>
        <v>12.632798237288137</v>
      </c>
      <c r="P21" s="311">
        <f t="shared" si="5"/>
        <v>2539.1924456949155</v>
      </c>
      <c r="Q21" s="156">
        <v>87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6"/>
      <c r="H22" s="112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519</v>
      </c>
      <c r="I25" s="114">
        <f t="shared" ref="I25:M25" si="10">SUM(I16:I24)</f>
        <v>30083.872500000001</v>
      </c>
      <c r="J25" s="274">
        <f>SUM(J16:J24)</f>
        <v>2851.4672500000001</v>
      </c>
      <c r="K25" s="275">
        <f t="shared" si="10"/>
        <v>1052.9355375000002</v>
      </c>
      <c r="L25" s="276">
        <f t="shared" si="10"/>
        <v>160.05840000000001</v>
      </c>
      <c r="M25" s="232">
        <f t="shared" si="10"/>
        <v>26019.4113125</v>
      </c>
      <c r="N25" s="233">
        <f>SUM(N16:N24)</f>
        <v>5702.796610169491</v>
      </c>
      <c r="O25" s="101">
        <f>SUM(O16:O24)</f>
        <v>158.61103961334746</v>
      </c>
      <c r="P25" s="113">
        <f>SUM(P16:P24)</f>
        <v>31880.818962282839</v>
      </c>
      <c r="Q25" s="128">
        <f>SUM(Q16:Q24)</f>
        <v>281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30083.872500000001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2851.4672500000001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1212.9939375000004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26019.4113125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5702.796610169491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31722.207922669491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158.61103961334746</v>
      </c>
    </row>
    <row r="35" spans="2:16" ht="15.75" customHeight="1" thickBot="1" x14ac:dyDescent="0.4">
      <c r="N35" s="342" t="s">
        <v>88</v>
      </c>
      <c r="O35" s="343"/>
      <c r="P35" s="297">
        <f>+P33+P34</f>
        <v>31880.818962282839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515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2026-08-18T04:02:01Z</dcterms:modified>
</cp:coreProperties>
</file>