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481D22DB-F778-409B-9D2A-565A6533D551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K12" i="62" l="1"/>
  <c r="M21" i="47"/>
  <c r="O21" i="47" s="1"/>
  <c r="P21" i="47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P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<sst xmlns="http://schemas.openxmlformats.org/spreadsheetml/2006/main" count="3978" uniqueCount="531">
  <si>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</si>
  <si>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</si>
  <si>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</si>
  <si>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</si>
  <si>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</si>
  <si>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</si>
  <si>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</si>
  <si>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</si>
  <si>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</si>
  <si>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</si>
  <si>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</si>
  <si>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</si>
  <si>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</si>
  <si>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</si>
  <si>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</si>
  <si>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</si>
  <si>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</si>
  <si>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</si>
  <si>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</si>
  <si>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</si>
  <si>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</si>
  <si>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</si>
  <si>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</si>
  <si>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</si>
  <si>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</si>
  <si>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</si>
  <si>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</si>
  <si>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</si>
  <si>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</si>
  <si>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</si>
  <si>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</si>
  <si>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</si>
  <si>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</si>
  <si>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</si>
  <si>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</si>
  <si>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</si>
  <si>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</si>
  <si>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</si>
  <si>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</si>
  <si>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</si>
  <si>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</si>
  <si>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</si>
  <si>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</si>
  <si>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</si>
  <si>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</si>
  <si>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</si>
  <si>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</si>
  <si>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</si>
  <si>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</si>
  <si>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</si>
  <si>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</si>
  <si>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</si>
  <si>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</si>
  <si>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</si>
  <si>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</si>
  <si>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</si>
  <si>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</si>
  <si>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</si>
  <si>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</si>
  <si>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</si>
  <si>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</si>
  <si>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</si>
  <si>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</si>
  <si>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</si>
  <si>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</si>
  <si>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</si>
  <si>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</si>
  <si>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</si>
  <si>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</si>
  <si>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</si>
  <si>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</si>
  <si>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</si>
  <si>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</si>
  <si>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</si>
  <si>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</si>
  <si>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</si>
  <si>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</si>
  <si>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</si>
  <si>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</si>
  <si>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</si>
  <si>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</si>
  <si>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</si>
  <si>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</si>
  <si>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</si>
  <si>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</si>
  <si>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</si>
  <si>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</si>
  <si>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</si>
  <si>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</si>
  <si>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</si>
  <si>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</si>
  <si>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</si>
  <si>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</si>
  <si>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</si>
  <si>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</si>
  <si>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</si>
  <si>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</si>
  <si>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</si>
  <si>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</si>
  <si>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</si>
  <si>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</si>
  <si>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</si>
  <si>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</si>
  <si>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</si>
  <si>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</si>
  <si>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</si>
  <si>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</si>
  <si>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</si>
  <si>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</si>
  <si>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</si>
  <si>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</si>
  <si>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</si>
  <si>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</si>
  <si>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</si>
  <si>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</si>
  <si>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</si>
  <si>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</si>
  <si>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</si>
  <si>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</si>
  <si>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</si>
  <si>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</si>
  <si>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</si>
  <si>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</si>
  <si>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</si>
  <si>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</si>
  <si>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</si>
  <si>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</si>
  <si>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</si>
  <si>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</si>
  <si>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</si>
  <si>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</si>
  <si>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</si>
  <si>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</si>
  <si>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</si>
  <si>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</si>
  <si>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</si>
  <si>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</si>
  <si>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</si>
  <si>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</si>
  <si>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</si>
  <si>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</si>
  <si>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</si>
  <si>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</si>
  <si>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</si>
  <si>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</si>
  <si>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</si>
  <si>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</si>
  <si>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</si>
  <si>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</si>
  <si>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</si>
  <si>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</si>
  <si>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</si>
  <si>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</si>
  <si>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</si>
  <si>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</si>
  <si>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</si>
  <si>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</si>
  <si>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</si>
  <si>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</si>
  <si>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</si>
  <si>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</si>
  <si>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</si>
  <si>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</si>
  <si>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</si>
  <si>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</si>
  <si>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</si>
  <si>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</si>
  <si>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</si>
  <si>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</si>
  <si>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</si>
  <si>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</si>
  <si>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</si>
  <si>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</si>
  <si>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</si>
  <si>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</si>
  <si>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</si>
  <si>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</si>
  <si>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</si>
  <si>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</si>
  <si>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</si>
  <si>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</si>
  <si>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</si>
  <si>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</si>
  <si>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</si>
  <si>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</si>
  <si>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</si>
  <si>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</si>
  <si>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</si>
  <si>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</si>
  <si>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</si>
  <si>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</si>
  <si>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</si>
  <si>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</si>
  <si>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</si>
  <si>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</si>
  <si>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</si>
  <si>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</si>
  <si>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</si>
  <si>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</si>
  <si>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</si>
  <si>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</si>
  <si>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</si>
  <si>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</si>
  <si>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</si>
  <si>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</si>
  <si>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</si>
  <si>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</si>
  <si>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</si>
  <si>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</si>
  <si>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</si>
  <si>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</si>
  <si>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</si>
  <si>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</si>
  <si>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</si>
  <si>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</si>
  <si>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</si>
  <si>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</si>
  <si>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</si>
  <si>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</si>
  <si>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</si>
  <si>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</si>
  <si>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</si>
  <si>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</si>
  <si>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</si>
  <si>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</si>
  <si>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</si>
  <si>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</si>
  <si>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</si>
  <si>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</si>
  <si>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</si>
  <si>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</si>
  <si>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</si>
  <si>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</si>
  <si>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</si>
  <si>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</si>
  <si>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</si>
  <si>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</si>
  <si>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</si>
  <si>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</si>
  <si>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</si>
  <si>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</si>
  <si>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</si>
  <si>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</si>
  <si>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</si>
  <si>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</si>
  <si>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</si>
  <si>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</si>
  <si>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</si>
  <si>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</si>
  <si>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</si>
  <si>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</si>
  <si>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</si>
  <si>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</si>
  <si>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</si>
  <si>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</si>
  <si>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</si>
  <si>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</si>
  <si>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</si>
  <si>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</si>
  <si>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</si>
  <si>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</si>
  <si>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</si>
  <si>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</si>
  <si>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</si>
  <si>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</si>
  <si>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</si>
  <si>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</si>
  <si>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</si>
  <si>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</si>
  <si>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</si>
  <si>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</si>
  <si>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</si>
  <si>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</si>
  <si>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</si>
  <si>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</si>
  <si>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</si>
  <si>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</si>
  <si>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</si>
  <si>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</si>
  <si>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</si>
  <si>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</si>
  <si>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</si>
  <si>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</si>
  <si>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</si>
  <si>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</si>
  <si>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</si>
  <si>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</si>
  <si>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</si>
  <si>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</si>
  <si>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</si>
  <si>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</si>
  <si>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</si>
  <si>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</si>
  <si>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</si>
  <si>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</si>
  <si>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</si>
  <si>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</si>
  <si>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</si>
  <si>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</si>
  <si>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</si>
  <si>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</si>
  <si>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</si>
  <si>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</si>
  <si>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</si>
  <si>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</si>
  <si>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</si>
  <si>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</si>
  <si>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</si>
  <si>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</si>
  <si>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</si>
  <si>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</si>
  <si>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</si>
  <si>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</si>
  <si>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</si>
  <si>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</si>
  <si>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</si>
  <si>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</si>
  <si>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</si>
  <si>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</si>
  <si>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</si>
  <si>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</si>
  <si>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</si>
  <si>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</si>
  <si>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</si>
  <si>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</si>
  <si>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</si>
  <si>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</si>
  <si>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</si>
  <si>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</si>
  <si>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</si>
  <si>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</si>
  <si>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</si>
  <si>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</si>
  <si>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</si>
  <si>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</si>
  <si>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</si>
  <si>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</si>
  <si>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</si>
  <si>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</si>
  <si>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</si>
  <si>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</si>
  <si>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</si>
  <si>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</si>
  <si>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</si>
  <si>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</si>
  <si>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</si>
  <si>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</si>
  <si>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</si>
  <si>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</si>
  <si>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</si>
  <si>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</si>
  <si>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</si>
  <si>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</si>
  <si>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</si>
  <si>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</si>
  <si>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</si>
  <si>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</si>
  <si>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</si>
  <si>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</si>
  <si>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</si>
  <si>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</si>
  <si>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</si>
  <si>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</si>
  <si>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</si>
  <si>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</si>
  <si>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</si>
  <si>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</si>
  <si>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</si>
  <si>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</si>
  <si>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</si>
  <si>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</si>
  <si>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</si>
  <si>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</si>
  <si>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</si>
  <si>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</si>
  <si>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</si>
  <si>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</si>
  <si>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</si>
  <si>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</si>
  <si>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</si>
  <si>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</si>
  <si>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</si>
  <si>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</si>
  <si>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</si>
  <si>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</si>
  <si>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</si>
  <si>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</si>
  <si>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</si>
  <si>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</si>
  <si>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</si>
  <si>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</si>
  <si>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</si>
  <si>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</si>
  <si>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</si>
  <si>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</si>
  <si>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</si>
  <si>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</si>
  <si>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</si>
  <si>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</si>
  <si>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</si>
  <si>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</si>
  <si>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</si>
  <si>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</si>
  <si>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</si>
  <si>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</si>
  <si>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</si>
  <si>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</si>
  <si>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</si>
  <si>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</si>
  <si>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</si>
  <si>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</si>
  <si>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</si>
  <si>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</si>
  <si>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</si>
  <si>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</si>
  <si>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</si>
  <si>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</si>
  <si>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</si>
  <si>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</si>
  <si>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</si>
  <si>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</si>
  <si>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</si>
  <si>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</si>
  <si>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</si>
  <si>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</si>
  <si>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</si>
  <si>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</si>
  <si>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</si>
  <si>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</si>
  <si>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</si>
  <si>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</si>
  <si>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</si>
  <si>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</si>
  <si>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</si>
  <si>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</si>
  <si>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</si>
  <si>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</si>
  <si>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</si>
  <si>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</si>
  <si>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</si>
  <si>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</si>
  <si>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</si>
  <si>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</si>
  <si>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</si>
  <si>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</si>
  <si>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</si>
  <si>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</si>
  <si>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</si>
  <si>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</si>
  <si>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</si>
  <si>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</si>
  <si>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</si>
  <si>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</si>
  <si>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</si>
  <si>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</si>
  <si>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</si>
  <si>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</si>
  <si>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</si>
  <si>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</si>
  <si>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</si>
  <si>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</si>
  <si>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</si>
  <si>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</si>
  <si>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</si>
  <si>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</si>
  <si>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</si>
  <si>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</si>
  <si>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</si>
  <si>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</si>
  <si>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</si>
  <si>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</si>
  <si>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</si>
  <si>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</si>
  <si>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</si>
  <si>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</si>
  <si>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</si>
  <si>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</si>
  <si>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</si>
  <si>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</si>
  <si>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</si>
  <si>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</si>
  <si>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</si>
  <si>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</si>
  <si>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</si>
  <si>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</si>
  <si>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</si>
  <si>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</si>
  <si>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</si>
  <si>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</si>
  <si>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</si>
  <si>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</si>
  <si>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</si>
  <si>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</si>
  <si>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</si>
  <si>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</si>
  <si>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</si>
  <si>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</si>
  <si>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</si>
  <si>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</si>
  <si>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</si>
  <si>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</si>
  <si>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</si>
  <si>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</si>
  <si>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</si>
  <si>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</si>
  <si>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</si>
  <si>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</si>
  <si>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</si>
  <si>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</si>
  <si>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</si>
  <si>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</si>
  <si>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</si>
  <si>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</si>
  <si>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</si>
  <si>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</si>
  <si>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</si>
  <si>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Umair</t>
  </si>
  <si>
    <t xml:space="preserve">Premier Mart </t>
  </si>
  <si>
    <t>Address: Pak Arab</t>
  </si>
  <si>
    <t xml:space="preserve">Panda Mart </t>
  </si>
  <si>
    <t xml:space="preserve">Address: Pak Arab </t>
  </si>
  <si>
    <t>Al yousaf Super Store</t>
  </si>
  <si>
    <t xml:space="preserve">Address: Pak arab </t>
  </si>
  <si>
    <t>Awan Super Store</t>
  </si>
  <si>
    <t>Chauhan Store</t>
  </si>
  <si>
    <t>Address: Pak Arab Store</t>
  </si>
  <si>
    <t>Roshan Store</t>
  </si>
  <si>
    <t xml:space="preserve">Al noor Cash N carry </t>
  </si>
  <si>
    <t>Bismillah Super Store</t>
  </si>
  <si>
    <t>Zam Zam Store</t>
  </si>
  <si>
    <t>NTN/STRN #: I040700-2 / 3277876375981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</si>
</sst>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B1" sqref="B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499</v>
      </c>
      <c r="F2" s="354"/>
      <c r="G2" s="354"/>
      <c r="H2" s="351" t="s">
        <v>516</v>
      </c>
      <c r="I2" s="351"/>
      <c r="J2" s="352"/>
      <c r="R2" s="348" t="s">
        <v>498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512</v>
      </c>
      <c r="F3" s="358"/>
      <c r="G3" s="358"/>
      <c r="H3" s="355">
        <f ca="1">TODAY()</f>
        <v>46251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 xml:space="preserve">Premier Mart </v>
      </c>
      <c r="T3" s="301">
        <f>+'1'!P35</f>
        <v>6272.4231701694916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Panda Mart </v>
      </c>
      <c r="T4" s="301">
        <f>+'2'!P35</f>
        <v>9408.6347552542375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511</v>
      </c>
      <c r="R5" s="314">
        <v>3</v>
      </c>
      <c r="S5" s="300" t="str">
        <f>+'3'!A6:A6</f>
        <v>Al yousaf Super Store</v>
      </c>
      <c r="T5" s="301">
        <f>+'3'!P35</f>
        <v>1881.7269510508474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510</v>
      </c>
      <c r="R6" s="314">
        <v>4</v>
      </c>
      <c r="S6" s="300" t="str">
        <f>+'4'!A6:A6</f>
        <v>Awan Super Store</v>
      </c>
      <c r="T6" s="301">
        <f>+'4'!P35</f>
        <v>3136.2115850847458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Chauhan Store</v>
      </c>
      <c r="T7" s="301">
        <f>+'5'!P35</f>
        <v>1669.1779134915255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Roshan Store</v>
      </c>
      <c r="T8" s="301">
        <f>+'6'!P35</f>
        <v>4805.3894985762709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 xml:space="preserve">Al noor Cash N carry </v>
      </c>
      <c r="T9" s="301">
        <f>+'7'!P35</f>
        <v>6272.4231701694916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117</v>
      </c>
      <c r="I10" s="236">
        <f t="shared" si="0"/>
        <v>8498.8799999999992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679.91039999999998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297.46080000000001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7521.5087999999996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1606.2711864406781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45.638899932203394</v>
      </c>
      <c r="P10" s="311">
        <f t="shared" si="2"/>
        <v>9173.4188863728796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Bismillah Super Store</v>
      </c>
      <c r="T10" s="301">
        <f>+'8'!P35</f>
        <v>1669.1779134915255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135</v>
      </c>
      <c r="I11" s="236">
        <f t="shared" si="0"/>
        <v>9806.4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784.51200000000006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343.22400000000005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8678.6639999999989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1853.3898305084747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52.660269152542377</v>
      </c>
      <c r="P11" s="311">
        <f t="shared" si="2"/>
        <v>10584.714099661016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Awan Super Store</v>
      </c>
      <c r="T11" s="301">
        <f>+'9'!P35</f>
        <v>1568.1057925423729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152</v>
      </c>
      <c r="I12" s="236">
        <f t="shared" si="0"/>
        <v>11041.28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883.30240000000015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386.44480000000004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9771.5328000000009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2086.7796610169489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59.291562305084746</v>
      </c>
      <c r="P12" s="311">
        <f t="shared" si="2"/>
        <v>11917.604023322036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Zam Zam Store</v>
      </c>
      <c r="T12" s="301">
        <f>+'10'!P35</f>
        <v>500.75337404745761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132</v>
      </c>
      <c r="I13" s="236">
        <f t="shared" si="0"/>
        <v>5178.3600000000006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258.91800000000006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181.24260000000004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264.09636</v>
      </c>
      <c r="M13" s="230">
        <f t="shared" si="1"/>
        <v>4474.10304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1006.7796610169486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27.404413505084747</v>
      </c>
      <c r="P13" s="311">
        <f t="shared" si="2"/>
        <v>5508.2871145220333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13.4</v>
      </c>
      <c r="H16" s="113">
        <f t="shared" ref="H16:M16" si="3">SUM(H7:H15)</f>
        <v>536</v>
      </c>
      <c r="I16" s="114">
        <f t="shared" si="3"/>
        <v>34524.92</v>
      </c>
      <c r="J16" s="274">
        <f>SUM(J7:J15)</f>
        <v>2606.6428000000001</v>
      </c>
      <c r="K16" s="275">
        <f t="shared" si="3"/>
        <v>1208.3722</v>
      </c>
      <c r="L16" s="276">
        <f t="shared" si="3"/>
        <v>264.09636</v>
      </c>
      <c r="M16" s="232">
        <f t="shared" si="3"/>
        <v>30445.808640000003</v>
      </c>
      <c r="N16" s="233">
        <f>SUM(N7:N15)</f>
        <v>6553.2203389830511</v>
      </c>
      <c r="O16" s="101">
        <f>SUM(O7:O15)</f>
        <v>184.99514489491526</v>
      </c>
      <c r="P16" s="113">
        <f>SUM(P7:P15)</f>
        <v>37184.024123877964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34524.92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2606.6428000000001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1472.46856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30445.808639999996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6553.2203389830511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36999.028978983049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184.99514489491526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37184.024123877964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37184.024123877971</v>
      </c>
    </row>
    <row r="44" spans="2:20" x14ac:dyDescent="0.35">
      <c r="B44" t="s">
        <v>504</v>
      </c>
    </row>
    <row r="45" spans="2:20" x14ac:dyDescent="0.35">
      <c r="B45" t="s">
        <v>505</v>
      </c>
    </row>
    <row r="46" spans="2:20" x14ac:dyDescent="0.35">
      <c r="B46" t="s">
        <v>506</v>
      </c>
    </row>
    <row r="47" spans="2:20" x14ac:dyDescent="0.35">
      <c r="B47" t="s">
        <v>507</v>
      </c>
    </row>
    <row r="48" spans="2:20" x14ac:dyDescent="0.35">
      <c r="B48" t="s">
        <v>508</v>
      </c>
    </row>
    <row r="49" spans="2:2" x14ac:dyDescent="0.35">
      <c r="B49" t="s">
        <v>513</v>
      </c>
    </row>
    <row r="50" spans="2:2" x14ac:dyDescent="0.35">
      <c r="B50" t="s">
        <v>515</v>
      </c>
    </row>
    <row r="51" spans="2:2" x14ac:dyDescent="0.35">
      <c r="B51" t="s">
        <v>514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22" workbookViewId="0">
      <selection activeCell="E27" sqref="E2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7.25" customHeight="1" x14ac:dyDescent="0.4">
      <c r="A6" s="396" t="s">
        <v>517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530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311">
        <f t="shared" si="5"/>
        <v>3136.2115850847458</v>
      </c>
      <c r="Q20" s="156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0</v>
      </c>
      <c r="H25" s="113">
        <f t="shared" ref="H25" si="9">SUM(H16:H24)</f>
        <v>80</v>
      </c>
      <c r="I25" s="114">
        <f t="shared" ref="I25:M25" si="10">SUM(I16:I24)</f>
        <v>5811.2</v>
      </c>
      <c r="J25" s="274">
        <f>SUM(J16:J24)</f>
        <v>464.89600000000002</v>
      </c>
      <c r="K25" s="275">
        <f t="shared" si="10"/>
        <v>203.39200000000002</v>
      </c>
      <c r="L25" s="276">
        <f t="shared" si="10"/>
        <v>0</v>
      </c>
      <c r="M25" s="232">
        <f t="shared" si="10"/>
        <v>5142.9120000000003</v>
      </c>
      <c r="N25" s="233">
        <f>SUM(N16:N24)</f>
        <v>1098.3050847457628</v>
      </c>
      <c r="O25" s="101">
        <f>SUM(O16:O24)</f>
        <v>31.206085423728815</v>
      </c>
      <c r="P25" s="113">
        <f>SUM(P16:P24)</f>
        <v>6272.4231701694916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5811.2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464.89600000000002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203.39200000000002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5142.9120000000003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6241.2170847457628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42" t="s">
        <v>88</v>
      </c>
      <c r="O35" s="343"/>
      <c r="P35" s="297">
        <f>+P33+P34</f>
        <v>6272.4231701694916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6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519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520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311">
        <f t="shared" si="5"/>
        <v>3136.2115850847458</v>
      </c>
      <c r="Q20" s="156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120</v>
      </c>
      <c r="I25" s="114">
        <f t="shared" si="7"/>
        <v>8716.7999999999993</v>
      </c>
      <c r="J25" s="274">
        <f>SUM(J16:J24)</f>
        <v>697.34400000000005</v>
      </c>
      <c r="K25" s="275">
        <f t="shared" si="7"/>
        <v>305.08800000000002</v>
      </c>
      <c r="L25" s="276">
        <f t="shared" si="7"/>
        <v>0</v>
      </c>
      <c r="M25" s="232">
        <f t="shared" si="7"/>
        <v>7714.3680000000004</v>
      </c>
      <c r="N25" s="233">
        <f>SUM(N16:N24)</f>
        <v>1647.4576271186443</v>
      </c>
      <c r="O25" s="101">
        <f>SUM(O16:O24)</f>
        <v>46.809128135593227</v>
      </c>
      <c r="P25" s="113">
        <f>SUM(P16:P24)</f>
        <v>9408.6347552542375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8716.7999999999993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697.34400000000005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305.08800000000002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7714.3679999999995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1647.4576271186443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9361.8256271186438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46.80912813559322</v>
      </c>
    </row>
    <row r="35" spans="2:16" ht="15.75" customHeight="1" thickBot="1" x14ac:dyDescent="0.4">
      <c r="N35" s="342" t="s">
        <v>88</v>
      </c>
      <c r="O35" s="343"/>
      <c r="P35" s="297">
        <f>+P33+P34</f>
        <v>9408.6347552542375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8.75" customHeight="1" x14ac:dyDescent="0.4">
      <c r="A6" s="396" t="s">
        <v>521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522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311">
        <f t="shared" si="5"/>
        <v>940.86347552542372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0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311">
        <f t="shared" si="5"/>
        <v>940.86347552542372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24</v>
      </c>
      <c r="I25" s="114">
        <f t="shared" si="7"/>
        <v>1743.3600000000001</v>
      </c>
      <c r="J25" s="274">
        <f>SUM(J16:J24)</f>
        <v>139.46880000000002</v>
      </c>
      <c r="K25" s="275">
        <f t="shared" si="7"/>
        <v>61.017600000000009</v>
      </c>
      <c r="L25" s="276">
        <f t="shared" si="7"/>
        <v>0</v>
      </c>
      <c r="M25" s="232">
        <f t="shared" si="7"/>
        <v>1542.8736000000001</v>
      </c>
      <c r="N25" s="233">
        <f>SUM(N16:N24)</f>
        <v>329.49152542372883</v>
      </c>
      <c r="O25" s="101">
        <f>SUM(O16:O24)</f>
        <v>9.3618256271186446</v>
      </c>
      <c r="P25" s="113">
        <f>SUM(P16:P24)</f>
        <v>1881.7269510508474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1743.3600000000001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139.46880000000002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61.017600000000009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1542.8736000000001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329.49152542372883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1872.3651254237288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9.3618256271186446</v>
      </c>
    </row>
    <row r="35" spans="2:16" ht="15.75" customHeight="1" thickBot="1" x14ac:dyDescent="0.4">
      <c r="N35" s="342" t="s">
        <v>88</v>
      </c>
      <c r="O35" s="343"/>
      <c r="P35" s="297">
        <f>+P33+P34</f>
        <v>1881.7269510508474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523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520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311">
        <f t="shared" si="5"/>
        <v>1568.1057925423729</v>
      </c>
      <c r="Q20" s="156"/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311">
        <f t="shared" si="5"/>
        <v>1568.1057925423729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2905.6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232.44800000000001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101.69600000000001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2571.4560000000001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3120.6085423728814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2" t="s">
        <v>88</v>
      </c>
      <c r="O35" s="343"/>
      <c r="P35" s="297">
        <f>+P33+P34</f>
        <v>3136.2115850847458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6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524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113">
        <f>SUM(P16:P24)</f>
        <v>1669.1779134915255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1569.2000000000003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78.460000000000022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134.95120000000003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1355.7888000000003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1660.873545762712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42" t="s">
        <v>88</v>
      </c>
      <c r="O35" s="343"/>
      <c r="P35" s="297">
        <f>+P33+P34</f>
        <v>1669.1779134915255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6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526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520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80</v>
      </c>
      <c r="I25" s="114">
        <f t="shared" si="7"/>
        <v>4474.8</v>
      </c>
      <c r="J25" s="274">
        <f>SUM(J16:J24)</f>
        <v>310.90800000000002</v>
      </c>
      <c r="K25" s="275">
        <f t="shared" si="7"/>
        <v>156.61799999999999</v>
      </c>
      <c r="L25" s="276">
        <f t="shared" si="7"/>
        <v>80.029200000000003</v>
      </c>
      <c r="M25" s="232">
        <f t="shared" si="7"/>
        <v>3927.2447999999999</v>
      </c>
      <c r="N25" s="233">
        <f>SUM(N16:N24)</f>
        <v>854.23728813559308</v>
      </c>
      <c r="O25" s="101">
        <f>SUM(O16:O24)</f>
        <v>23.907410440677968</v>
      </c>
      <c r="P25" s="113">
        <f>SUM(P16:P24)</f>
        <v>4805.3894985762709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4474.8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310.90800000000002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236.6472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3927.2447999999999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854.23728813559308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4781.4820881355927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23.907410440677964</v>
      </c>
    </row>
    <row r="35" spans="2:16" ht="15.75" customHeight="1" thickBot="1" x14ac:dyDescent="0.4">
      <c r="N35" s="342" t="s">
        <v>88</v>
      </c>
      <c r="O35" s="343"/>
      <c r="P35" s="297">
        <f>+P33+P34</f>
        <v>4805.3894985762709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5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527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520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311">
        <f t="shared" si="5"/>
        <v>1568.1057925423729</v>
      </c>
      <c r="Q20" s="156"/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311">
        <f t="shared" si="5"/>
        <v>1568.1057925423729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464.89600000000002</v>
      </c>
      <c r="K25" s="275">
        <f t="shared" si="7"/>
        <v>203.39200000000002</v>
      </c>
      <c r="L25" s="276">
        <f t="shared" si="7"/>
        <v>0</v>
      </c>
      <c r="M25" s="232">
        <f t="shared" si="7"/>
        <v>5142.9120000000003</v>
      </c>
      <c r="N25" s="233">
        <f>SUM(N16:N24)</f>
        <v>1098.3050847457628</v>
      </c>
      <c r="O25" s="101">
        <f>SUM(O16:O24)</f>
        <v>31.206085423728815</v>
      </c>
      <c r="P25" s="113">
        <f>SUM(P16:P24)</f>
        <v>6272.4231701694916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5811.2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464.89600000000002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203.39200000000002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5142.9120000000003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6241.2170847457628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42" t="s">
        <v>88</v>
      </c>
      <c r="O35" s="343"/>
      <c r="P35" s="297">
        <f>+P33+P34</f>
        <v>6272.4231701694916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6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528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520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113">
        <f>SUM(P16:P24)</f>
        <v>1669.1779134915255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1569.2000000000003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78.460000000000022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134.95120000000003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1355.7888000000003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1660.873545762712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42" t="s">
        <v>88</v>
      </c>
      <c r="O35" s="343"/>
      <c r="P35" s="297">
        <f>+P33+P34</f>
        <v>1669.1779134915255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5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523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520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5</v>
      </c>
      <c r="I20" s="236">
        <f t="shared" si="0"/>
        <v>363.2</v>
      </c>
      <c r="J20" s="272">
        <f t="shared" si="1"/>
        <v>29.056000000000001</v>
      </c>
      <c r="K20" s="128">
        <f t="shared" si="1"/>
        <v>12.712000000000002</v>
      </c>
      <c r="L20" s="119">
        <f t="shared" si="1"/>
        <v>0</v>
      </c>
      <c r="M20" s="230">
        <f t="shared" si="2"/>
        <v>321.43200000000002</v>
      </c>
      <c r="N20" s="277">
        <f t="shared" si="3"/>
        <v>68.644067796610173</v>
      </c>
      <c r="O20" s="239">
        <f t="shared" si="4"/>
        <v>1.950380338983051</v>
      </c>
      <c r="P20" s="311">
        <f t="shared" si="5"/>
        <v>392.02644813559323</v>
      </c>
      <c r="Q20" s="156"/>
      <c r="R20">
        <f>P20/21</f>
        <v>18.667926101694917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311">
        <f t="shared" si="5"/>
        <v>392.02644813559323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116.224</v>
      </c>
      <c r="K25" s="275">
        <f t="shared" si="7"/>
        <v>50.848000000000006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113">
        <f>SUM(P16:P24)</f>
        <v>1568.1057925423729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1452.8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116.224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50.848000000000006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1285.7280000000001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1560.3042711864407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42" t="s">
        <v>88</v>
      </c>
      <c r="O35" s="343"/>
      <c r="P35" s="297">
        <f>+P33+P34</f>
        <v>1568.1057925423729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6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529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12</v>
      </c>
      <c r="I25" s="114">
        <f t="shared" si="7"/>
        <v>470.76000000000005</v>
      </c>
      <c r="J25" s="274">
        <f>SUM(J16:J24)</f>
        <v>23.538000000000004</v>
      </c>
      <c r="K25" s="275">
        <f t="shared" si="7"/>
        <v>16.476600000000005</v>
      </c>
      <c r="L25" s="276">
        <f t="shared" si="7"/>
        <v>24.008760000000002</v>
      </c>
      <c r="M25" s="232">
        <f t="shared" si="7"/>
        <v>406.73664000000002</v>
      </c>
      <c r="N25" s="233">
        <f>SUM(N16:N24)</f>
        <v>91.525423728813507</v>
      </c>
      <c r="O25" s="101">
        <f>SUM(O16:O24)</f>
        <v>2.4913103186440675</v>
      </c>
      <c r="P25" s="113">
        <f>SUM(P16:P24)</f>
        <v>500.75337404745761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470.76000000000005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23.538000000000004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40.485360000000007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406.73664000000002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498.26206372881353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2.4913103186440675</v>
      </c>
    </row>
    <row r="35" spans="2:16" ht="15.75" customHeight="1" thickBot="1" x14ac:dyDescent="0.4">
      <c r="N35" s="342" t="s">
        <v>88</v>
      </c>
      <c r="O35" s="343"/>
      <c r="P35" s="297">
        <f>+P33+P34</f>
        <v>500.75337404745761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500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501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8.75" customHeight="1" x14ac:dyDescent="0.4">
      <c r="A6" s="396" t="s">
        <v>502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46252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46251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2026-08-17T08:14:38Z</dcterms:modified>
</cp:coreProperties>
</file>