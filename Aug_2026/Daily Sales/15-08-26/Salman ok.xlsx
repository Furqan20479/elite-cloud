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9D10B1-F0E9-4A19-A1D5-1B4AF3DC7D3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53" l="1"/>
  <c r="O18" i="53" s="1"/>
  <c r="P18" i="53" s="1"/>
  <c r="M20" i="53"/>
  <c r="O20" i="53" s="1"/>
  <c r="P20" i="53" s="1"/>
  <c r="R20" i="53" s="1"/>
  <c r="M21" i="53"/>
  <c r="O21" i="53" s="1"/>
  <c r="P21" i="53" s="1"/>
  <c r="J7" i="62"/>
  <c r="M22" i="5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<sst xmlns="http://schemas.openxmlformats.org/spreadsheetml/2006/main" count="3978" uniqueCount="530">
  <si>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</si>
  <si>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</si>
  <si>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</si>
  <si>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</si>
  <si>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</si>
  <si>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</si>
  <si>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</si>
  <si>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</si>
  <si>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</si>
  <si>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</si>
  <si>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</si>
  <si>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</si>
  <si>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</si>
  <si>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</si>
  <si>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</si>
  <si>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</si>
  <si>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</si>
  <si>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</si>
  <si>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</si>
  <si>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</si>
  <si>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</si>
  <si>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</si>
  <si>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</si>
  <si>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</si>
  <si>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</si>
  <si>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</si>
  <si>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</si>
  <si>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</si>
  <si>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</si>
  <si>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</si>
  <si>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</si>
  <si>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</si>
  <si>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</si>
  <si>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</si>
  <si>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</si>
  <si>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</si>
  <si>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</si>
  <si>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</si>
  <si>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</si>
  <si>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</si>
  <si>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</si>
  <si>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</si>
  <si>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</si>
  <si>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</si>
  <si>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</si>
  <si>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</si>
  <si>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</si>
  <si>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</si>
  <si>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</si>
  <si>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</si>
  <si>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</si>
  <si>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</si>
  <si>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</si>
  <si>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</si>
  <si>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</si>
  <si>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</si>
  <si>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</si>
  <si>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</si>
  <si>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</si>
  <si>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</si>
  <si>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</si>
  <si>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</si>
  <si>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</si>
  <si>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</si>
  <si>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</si>
  <si>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</si>
  <si>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</si>
  <si>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</si>
  <si>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</si>
  <si>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</si>
  <si>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</si>
  <si>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</si>
  <si>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</si>
  <si>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</si>
  <si>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</si>
  <si>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</si>
  <si>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</si>
  <si>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</si>
  <si>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</si>
  <si>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</si>
  <si>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</si>
  <si>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</si>
  <si>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</si>
  <si>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</si>
  <si>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</si>
  <si>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</si>
  <si>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</si>
  <si>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</si>
  <si>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</si>
  <si>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</si>
  <si>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</si>
  <si>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</si>
  <si>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</si>
  <si>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</si>
  <si>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</si>
  <si>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</si>
  <si>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</si>
  <si>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</si>
  <si>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</si>
  <si>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</si>
  <si>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</si>
  <si>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</si>
  <si>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</si>
  <si>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</si>
  <si>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</si>
  <si>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</si>
  <si>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</si>
  <si>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</si>
  <si>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</si>
  <si>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</si>
  <si>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</si>
  <si>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</si>
  <si>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</si>
  <si>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</si>
  <si>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</si>
  <si>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</si>
  <si>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</si>
  <si>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</si>
  <si>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</si>
  <si>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</si>
  <si>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</si>
  <si>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</si>
  <si>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</si>
  <si>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</si>
  <si>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</si>
  <si>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</si>
  <si>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</si>
  <si>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</si>
  <si>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</si>
  <si>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</si>
  <si>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</si>
  <si>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</si>
  <si>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</si>
  <si>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</si>
  <si>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</si>
  <si>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</si>
  <si>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</si>
  <si>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</si>
  <si>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</si>
  <si>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</si>
  <si>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</si>
  <si>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</si>
  <si>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</si>
  <si>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</si>
  <si>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</si>
  <si>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</si>
  <si>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</si>
  <si>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</si>
  <si>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</si>
  <si>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</si>
  <si>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</si>
  <si>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</si>
  <si>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</si>
  <si>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</si>
  <si>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</si>
  <si>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</si>
  <si>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</si>
  <si>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</si>
  <si>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</si>
  <si>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</si>
  <si>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</si>
  <si>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</si>
  <si>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</si>
  <si>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</si>
  <si>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</si>
  <si>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</si>
  <si>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</si>
  <si>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</si>
  <si>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</si>
  <si>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</si>
  <si>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</si>
  <si>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</si>
  <si>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</si>
  <si>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</si>
  <si>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</si>
  <si>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</si>
  <si>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</si>
  <si>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</si>
  <si>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</si>
  <si>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</si>
  <si>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</si>
  <si>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</si>
  <si>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</si>
  <si>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</si>
  <si>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</si>
  <si>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</si>
  <si>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</si>
  <si>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</si>
  <si>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</si>
  <si>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</si>
  <si>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</si>
  <si>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</si>
  <si>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</si>
  <si>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</si>
  <si>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</si>
  <si>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</si>
  <si>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</si>
  <si>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</si>
  <si>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</si>
  <si>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</si>
  <si>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</si>
  <si>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</si>
  <si>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</si>
  <si>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</si>
  <si>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</si>
  <si>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</si>
  <si>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</si>
  <si>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</si>
  <si>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</si>
  <si>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</si>
  <si>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</si>
  <si>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</si>
  <si>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</si>
  <si>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</si>
  <si>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</si>
  <si>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</si>
  <si>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</si>
  <si>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</si>
  <si>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</si>
  <si>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</si>
  <si>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</si>
  <si>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</si>
  <si>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</si>
  <si>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</si>
  <si>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</si>
  <si>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</si>
  <si>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</si>
  <si>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</si>
  <si>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</si>
  <si>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</si>
  <si>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</si>
  <si>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</si>
  <si>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</si>
  <si>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</si>
  <si>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</si>
  <si>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</si>
  <si>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</si>
  <si>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</si>
  <si>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</si>
  <si>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</si>
  <si>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</si>
  <si>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</si>
  <si>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</si>
  <si>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</si>
  <si>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</si>
  <si>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</si>
  <si>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</si>
  <si>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</si>
  <si>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</si>
  <si>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</si>
  <si>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</si>
  <si>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</si>
  <si>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</si>
  <si>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</si>
  <si>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</si>
  <si>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</si>
  <si>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</si>
  <si>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</si>
  <si>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</si>
  <si>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</si>
  <si>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</si>
  <si>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</si>
  <si>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</si>
  <si>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</si>
  <si>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</si>
  <si>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</si>
  <si>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</si>
  <si>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</si>
  <si>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</si>
  <si>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</si>
  <si>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</si>
  <si>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</si>
  <si>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</si>
  <si>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</si>
  <si>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</si>
  <si>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</si>
  <si>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</si>
  <si>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</si>
  <si>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</si>
  <si>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</si>
  <si>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</si>
  <si>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</si>
  <si>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</si>
  <si>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</si>
  <si>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</si>
  <si>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</si>
  <si>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</si>
  <si>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</si>
  <si>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</si>
  <si>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</si>
  <si>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</si>
  <si>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</si>
  <si>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</si>
  <si>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</si>
  <si>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</si>
  <si>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</si>
  <si>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</si>
  <si>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</si>
  <si>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</si>
  <si>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</si>
  <si>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</si>
  <si>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</si>
  <si>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</si>
  <si>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</si>
  <si>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</si>
  <si>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</si>
  <si>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</si>
  <si>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</si>
  <si>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</si>
  <si>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</si>
  <si>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</si>
  <si>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</si>
  <si>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</si>
  <si>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</si>
  <si>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</si>
  <si>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</si>
  <si>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</si>
  <si>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</si>
  <si>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</si>
  <si>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</si>
  <si>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</si>
  <si>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</si>
  <si>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</si>
  <si>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</si>
  <si>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</si>
  <si>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</si>
  <si>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</si>
  <si>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</si>
  <si>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</si>
  <si>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</si>
  <si>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</si>
  <si>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</si>
  <si>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</si>
  <si>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</si>
  <si>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</si>
  <si>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</si>
  <si>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</si>
  <si>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</si>
  <si>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</si>
  <si>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</si>
  <si>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</si>
  <si>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</si>
  <si>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</si>
  <si>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</si>
  <si>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</si>
  <si>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</si>
  <si>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</si>
  <si>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</si>
  <si>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</si>
  <si>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</si>
  <si>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</si>
  <si>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</si>
  <si>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</si>
  <si>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</si>
  <si>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</si>
  <si>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</si>
  <si>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</si>
  <si>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</si>
  <si>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</si>
  <si>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</si>
  <si>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</si>
  <si>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</si>
  <si>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</si>
  <si>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</si>
  <si>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</si>
  <si>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</si>
  <si>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</si>
  <si>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</si>
  <si>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</si>
  <si>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</si>
  <si>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</si>
  <si>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</si>
  <si>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</si>
  <si>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</si>
  <si>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</si>
  <si>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</si>
  <si>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</si>
  <si>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</si>
  <si>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</si>
  <si>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</si>
  <si>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</si>
  <si>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</si>
  <si>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</si>
  <si>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</si>
  <si>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</si>
  <si>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</si>
  <si>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</si>
  <si>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</si>
  <si>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</si>
  <si>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</si>
  <si>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</si>
  <si>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</si>
  <si>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</si>
  <si>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</si>
  <si>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</si>
  <si>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</si>
  <si>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</si>
  <si>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</si>
  <si>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</si>
  <si>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</si>
  <si>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</si>
  <si>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</si>
  <si>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</si>
  <si>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</si>
  <si>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</si>
  <si>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</si>
  <si>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</si>
  <si>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</si>
  <si>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</si>
  <si>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</si>
  <si>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</si>
  <si>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</si>
  <si>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</si>
  <si>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</si>
  <si>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</si>
  <si>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</si>
  <si>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</si>
  <si>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</si>
  <si>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</si>
  <si>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</si>
  <si>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</si>
  <si>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</si>
  <si>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</si>
  <si>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</si>
  <si>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</si>
  <si>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</si>
  <si>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</si>
  <si>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</si>
  <si>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</si>
  <si>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</si>
  <si>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</si>
  <si>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</si>
  <si>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</si>
  <si>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</si>
  <si>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</si>
  <si>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</si>
  <si>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</si>
  <si>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</si>
  <si>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</si>
  <si>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</si>
  <si>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</si>
  <si>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</si>
  <si>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</si>
  <si>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</si>
  <si>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</si>
  <si>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</si>
  <si>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</si>
  <si>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</si>
  <si>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</si>
  <si>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</si>
  <si>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</si>
  <si>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</si>
  <si>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</si>
  <si>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</si>
  <si>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</si>
  <si>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</si>
  <si>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</si>
  <si>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</si>
  <si>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</si>
  <si>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</si>
  <si>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</si>
  <si>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</si>
  <si>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</si>
  <si>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</si>
  <si>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</si>
  <si>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</si>
  <si>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</si>
  <si>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</si>
  <si>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</si>
  <si>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</si>
  <si>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</si>
  <si>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</si>
  <si>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</si>
  <si>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</si>
  <si>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</si>
  <si>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</si>
  <si>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</si>
  <si>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</si>
  <si>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</si>
  <si>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</si>
  <si>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</si>
  <si>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</si>
  <si>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</si>
  <si>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</si>
  <si>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</si>
  <si>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</si>
  <si>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</si>
  <si>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</si>
  <si>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</si>
  <si>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</si>
  <si>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</si>
  <si>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</si>
  <si>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</si>
  <si>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</si>
  <si>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</si>
  <si>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</si>
  <si>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</si>
  <si>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</si>
  <si>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</si>
  <si>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</si>
  <si>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</si>
  <si>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</si>
  <si>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</si>
  <si>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</si>
  <si>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</si>
  <si>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</si>
  <si>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</si>
  <si>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</si>
  <si>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</si>
  <si>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</si>
  <si>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</si>
  <si>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</si>
  <si>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</si>
  <si>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</si>
  <si>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</si>
  <si>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</si>
  <si>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Khan Super Store</t>
  </si>
  <si>
    <t>Address: Tajbagh</t>
  </si>
  <si>
    <t>Zarar Khan Super Store</t>
  </si>
  <si>
    <t>Marwa Mart 1</t>
  </si>
  <si>
    <t>Ayan Khan Store</t>
  </si>
  <si>
    <t xml:space="preserve">Ideal Cash &amp; Carry </t>
  </si>
  <si>
    <t>Hafiz Store</t>
  </si>
  <si>
    <t>Saad Store</t>
  </si>
  <si>
    <t>bakhtawar Store</t>
  </si>
  <si>
    <t>Waleed GS</t>
  </si>
  <si>
    <t>Shahid Sons GS</t>
  </si>
  <si>
    <t>Mughal GS</t>
  </si>
  <si>
    <t>Haji Store</t>
  </si>
  <si>
    <t>Marwa Mart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</si>
</sst>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H32" sqref="H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Khan Super Store</v>
      </c>
      <c r="T3" s="301">
        <f>+'1'!P35</f>
        <v>3670.2521199057205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Zarar Khan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Marwa Mart 1</v>
      </c>
      <c r="T5" s="301">
        <f>+'3'!P35</f>
        <v>12544.846340338983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Ayan Khan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</v>
      </c>
      <c r="I7" s="235">
        <f>(G7*D7)*F7+H7*F7</f>
        <v>367.23750000000001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29.379000000000001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12.853312500000001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325.00518750000003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69.406779661016913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1.9720598358050847</v>
      </c>
      <c r="P7" s="310">
        <f>M7+N7+O7</f>
        <v>396.38402699682206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</v>
      </c>
      <c r="R7" s="314">
        <v>5</v>
      </c>
      <c r="S7" s="300" t="str">
        <f>+'5'!A6:A6</f>
        <v xml:space="preserve">Ideal Cash &amp; Carry </v>
      </c>
      <c r="T7" s="301">
        <f>+'5'!P35</f>
        <v>6235.8521246694918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27</v>
      </c>
      <c r="I8" s="236">
        <f t="shared" ref="I8:I14" si="0">(G8*D8)*F8+H8*F8</f>
        <v>1416.4875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113.319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49.577062500000004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1253.5914375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267.71186440677957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7.6065165095338978</v>
      </c>
      <c r="P8" s="311">
        <f t="shared" ref="P8:P15" si="2">M8+N8+O8</f>
        <v>1528.9098184163136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1253.5914375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7.6065165095338978</v>
      </c>
      <c r="P9" s="311">
        <f t="shared" si="2"/>
        <v>1528.9098184163136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Saad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87</v>
      </c>
      <c r="I10" s="236">
        <f t="shared" si="0"/>
        <v>6319.68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505.57440000000003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221.18880000000004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5592.9168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1194.406779661017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33.936617898305087</v>
      </c>
      <c r="P10" s="311">
        <f t="shared" si="2"/>
        <v>6821.2601975593225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4">
        <v>8</v>
      </c>
      <c r="S10" s="300" t="str">
        <f>+'8'!A6:A6</f>
        <v>bakhtawar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87</v>
      </c>
      <c r="I11" s="236">
        <f t="shared" si="0"/>
        <v>6319.68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505.57440000000003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221.18880000000004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5592.9168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1194.406779661017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33.936617898305087</v>
      </c>
      <c r="P11" s="311">
        <f t="shared" si="2"/>
        <v>6821.2601975593225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Waleed GS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167</v>
      </c>
      <c r="I12" s="236">
        <f t="shared" si="0"/>
        <v>12130.88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970.47040000000004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424.58080000000007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10735.828799999999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2292.71186440678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65.14270332203391</v>
      </c>
      <c r="P12" s="311">
        <f t="shared" si="2"/>
        <v>13093.683367728812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Shahid Sons GS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32</v>
      </c>
      <c r="R13" s="314">
        <v>11</v>
      </c>
      <c r="S13" s="300" t="str">
        <f>+'11'!A6:A6</f>
        <v>Mughal GS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Haji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Marwa Mart 3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11.05</v>
      </c>
      <c r="H16" s="113">
        <f t="shared" ref="H16:M16" si="3">SUM(H7:H15)</f>
        <v>442</v>
      </c>
      <c r="I16" s="114">
        <f t="shared" si="3"/>
        <v>29539.6525</v>
      </c>
      <c r="J16" s="274">
        <f>SUM(J7:J15)</f>
        <v>2316.0962</v>
      </c>
      <c r="K16" s="275">
        <f t="shared" si="3"/>
        <v>1033.8878375000002</v>
      </c>
      <c r="L16" s="276">
        <f t="shared" si="3"/>
        <v>80.029200000000003</v>
      </c>
      <c r="M16" s="232">
        <f t="shared" si="3"/>
        <v>26109.639262500001</v>
      </c>
      <c r="N16" s="233">
        <f>SUM(N7:N15)</f>
        <v>5591.4406779661022</v>
      </c>
      <c r="O16" s="101">
        <f>SUM(O7:O15)</f>
        <v>158.50539970233052</v>
      </c>
      <c r="P16" s="113">
        <f>SUM(P7:P15)</f>
        <v>31859.585340168433</v>
      </c>
      <c r="Q16" s="128">
        <f>SUM(Q7:Q15)</f>
        <v>115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29539.6525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2316.0962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1113.9170375000001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26109.639262500001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5591.4406779661022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31701.079940466101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158.50539970233052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31859.585340168433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31859.585340168433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</v>
      </c>
      <c r="I16" s="235">
        <f>(G16*D16)*F16+H16*F16</f>
        <v>367.23750000000001</v>
      </c>
      <c r="J16" s="271">
        <f>$I16*S16</f>
        <v>29.379000000000001</v>
      </c>
      <c r="K16" s="127">
        <f>$I16*T16</f>
        <v>12.853312500000001</v>
      </c>
      <c r="L16" s="118">
        <f>$I16*U16</f>
        <v>0</v>
      </c>
      <c r="M16" s="229">
        <f>I16-SUM(J16:L16)</f>
        <v>325.00518750000003</v>
      </c>
      <c r="N16" s="248">
        <f>+(G16*D16+H16)*V16</f>
        <v>69.406779661016913</v>
      </c>
      <c r="O16" s="238">
        <f>(N16+M16)*$O$15</f>
        <v>1.9720598358050847</v>
      </c>
      <c r="P16" s="310">
        <f>M16+N16+O16</f>
        <v>396.38402699682206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311">
        <f t="shared" ref="P17:P24" si="5">M17+N17+O17</f>
        <v>396.38402699682206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ref="I18:I21" si="7">(G18*D18)*F18+H18*F18</f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311">
        <f t="shared" si="5"/>
        <v>396.38402699682206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7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7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7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62</v>
      </c>
      <c r="I25" s="114">
        <f t="shared" ref="I25:M25" si="10">SUM(I16:I24)</f>
        <v>3411.7525000000005</v>
      </c>
      <c r="J25" s="274">
        <f>SUM(J16:J24)</f>
        <v>249.40220000000005</v>
      </c>
      <c r="K25" s="275">
        <f t="shared" si="10"/>
        <v>119.41133750000003</v>
      </c>
      <c r="L25" s="276">
        <f t="shared" si="10"/>
        <v>40.014600000000002</v>
      </c>
      <c r="M25" s="232">
        <f t="shared" si="10"/>
        <v>3002.9243625000004</v>
      </c>
      <c r="N25" s="233">
        <f>SUM(N16:N24)</f>
        <v>649.06779661016935</v>
      </c>
      <c r="O25" s="101">
        <f>SUM(O16:O24)</f>
        <v>18.25996079555085</v>
      </c>
      <c r="P25" s="113">
        <f>SUM(P16:P24)</f>
        <v>3670.252119905721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3411.7525000000005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249.40220000000005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159.42593750000003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3002.9243625000004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649.06779661016935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3651.9921591101697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18.25996079555085</v>
      </c>
    </row>
    <row r="35" spans="2:16" ht="15.75" customHeight="1" thickBot="1" x14ac:dyDescent="0.4">
      <c r="N35" s="342" t="s">
        <v>88</v>
      </c>
      <c r="O35" s="343"/>
      <c r="P35" s="297">
        <f>+P33+P34</f>
        <v>3670.2521199057205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113">
        <f>SUM(P16:P24)</f>
        <v>12544.846340338983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11622.4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929.79200000000003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406.78400000000005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10285.824000000001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12482.434169491526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2" t="s">
        <v>88</v>
      </c>
      <c r="O35" s="343"/>
      <c r="P35" s="297">
        <f>+P33+P34</f>
        <v>12544.846340338983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439.55799999999999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5106.5229000000008</v>
      </c>
      <c r="N25" s="233">
        <f>SUM(N16:N24)</f>
        <v>1098.3050847457625</v>
      </c>
      <c r="O25" s="101">
        <f>SUM(O16:O24)</f>
        <v>31.024139923728811</v>
      </c>
      <c r="P25" s="113">
        <f>SUM(P16:P24)</f>
        <v>6235.8521246694918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5788.7000000000007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439.55799999999999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242.61910000000003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5106.5229000000008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6204.8279847457634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42" t="s">
        <v>88</v>
      </c>
      <c r="O35" s="343"/>
      <c r="P35" s="297">
        <f>+P33+P34</f>
        <v>6235.8521246694918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3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3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3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2026-08-17T04:41:45Z</dcterms:modified>
</cp:coreProperties>
</file>