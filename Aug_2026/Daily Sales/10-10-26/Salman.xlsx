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78849E-CE28-42F2-A20B-A4D0413B3CC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<sst xmlns="http://schemas.openxmlformats.org/spreadsheetml/2006/main" count="3978" uniqueCount="522">
  <si>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</si>
  <si>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</si>
  <si>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</si>
  <si>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</si>
  <si>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</si>
  <si>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</si>
  <si>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</si>
  <si>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</si>
  <si>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</si>
  <si>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</si>
  <si>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</si>
  <si>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</si>
  <si>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</si>
  <si>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</si>
  <si>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</si>
  <si>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</si>
  <si>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</si>
  <si>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</si>
  <si>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</si>
  <si>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</si>
  <si>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</si>
  <si>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</si>
  <si>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</si>
  <si>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</si>
  <si>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</si>
  <si>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</si>
  <si>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</si>
  <si>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</si>
  <si>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</si>
  <si>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</si>
  <si>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</si>
  <si>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</si>
  <si>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</si>
  <si>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</si>
  <si>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</si>
  <si>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</si>
  <si>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</si>
  <si>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</si>
  <si>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</si>
  <si>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</si>
  <si>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</si>
  <si>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</si>
  <si>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</si>
  <si>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</si>
  <si>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</si>
  <si>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</si>
  <si>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</si>
  <si>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</si>
  <si>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</si>
  <si>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</si>
  <si>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</si>
  <si>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</si>
  <si>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</si>
  <si>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</si>
  <si>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</si>
  <si>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</si>
  <si>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</si>
  <si>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</si>
  <si>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</si>
  <si>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</si>
  <si>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</si>
  <si>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</si>
  <si>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</si>
  <si>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</si>
  <si>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</si>
  <si>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</si>
  <si>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</si>
  <si>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</si>
  <si>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</si>
  <si>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</si>
  <si>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</si>
  <si>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</si>
  <si>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</si>
  <si>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</si>
  <si>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</si>
  <si>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</si>
  <si>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</si>
  <si>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</si>
  <si>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</si>
  <si>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</si>
  <si>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</si>
  <si>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</si>
  <si>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</si>
  <si>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</si>
  <si>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</si>
  <si>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</si>
  <si>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</si>
  <si>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</si>
  <si>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</si>
  <si>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</si>
  <si>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</si>
  <si>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</si>
  <si>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</si>
  <si>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</si>
  <si>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</si>
  <si>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</si>
  <si>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</si>
  <si>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</si>
  <si>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</si>
  <si>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</si>
  <si>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</si>
  <si>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</si>
  <si>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</si>
  <si>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</si>
  <si>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</si>
  <si>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</si>
  <si>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</si>
  <si>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</si>
  <si>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</si>
  <si>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</si>
  <si>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</si>
  <si>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</si>
  <si>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</si>
  <si>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</si>
  <si>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</si>
  <si>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</si>
  <si>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</si>
  <si>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</si>
  <si>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</si>
  <si>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</si>
  <si>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</si>
  <si>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</si>
  <si>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</si>
  <si>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</si>
  <si>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</si>
  <si>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</si>
  <si>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</si>
  <si>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</si>
  <si>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</si>
  <si>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</si>
  <si>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</si>
  <si>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</si>
  <si>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</si>
  <si>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</si>
  <si>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</si>
  <si>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</si>
  <si>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</si>
  <si>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</si>
  <si>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</si>
  <si>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</si>
  <si>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</si>
  <si>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</si>
  <si>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</si>
  <si>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</si>
  <si>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</si>
  <si>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</si>
  <si>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</si>
  <si>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</si>
  <si>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</si>
  <si>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</si>
  <si>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</si>
  <si>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</si>
  <si>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</si>
  <si>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</si>
  <si>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</si>
  <si>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</si>
  <si>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</si>
  <si>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</si>
  <si>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</si>
  <si>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</si>
  <si>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</si>
  <si>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</si>
  <si>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</si>
  <si>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</si>
  <si>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</si>
  <si>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</si>
  <si>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</si>
  <si>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</si>
  <si>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</si>
  <si>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</si>
  <si>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</si>
  <si>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</si>
  <si>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</si>
  <si>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</si>
  <si>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</si>
  <si>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</si>
  <si>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</si>
  <si>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</si>
  <si>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</si>
  <si>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</si>
  <si>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</si>
  <si>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</si>
  <si>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</si>
  <si>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</si>
  <si>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</si>
  <si>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</si>
  <si>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</si>
  <si>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</si>
  <si>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</si>
  <si>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</si>
  <si>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</si>
  <si>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</si>
  <si>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</si>
  <si>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</si>
  <si>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</si>
  <si>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</si>
  <si>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</si>
  <si>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</si>
  <si>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</si>
  <si>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</si>
  <si>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</si>
  <si>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</si>
  <si>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</si>
  <si>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</si>
  <si>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</si>
  <si>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</si>
  <si>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</si>
  <si>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</si>
  <si>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</si>
  <si>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</si>
  <si>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</si>
  <si>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</si>
  <si>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</si>
  <si>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</si>
  <si>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</si>
  <si>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</si>
  <si>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</si>
  <si>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</si>
  <si>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</si>
  <si>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</si>
  <si>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</si>
  <si>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</si>
  <si>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</si>
  <si>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</si>
  <si>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</si>
  <si>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</si>
  <si>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</si>
  <si>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</si>
  <si>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</si>
  <si>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</si>
  <si>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</si>
  <si>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</si>
  <si>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</si>
  <si>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</si>
  <si>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</si>
  <si>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</si>
  <si>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</si>
  <si>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</si>
  <si>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</si>
  <si>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</si>
  <si>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</si>
  <si>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</si>
  <si>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</si>
  <si>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</si>
  <si>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</si>
  <si>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</si>
  <si>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</si>
  <si>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</si>
  <si>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</si>
  <si>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</si>
  <si>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</si>
  <si>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</si>
  <si>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</si>
  <si>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</si>
  <si>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</si>
  <si>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</si>
  <si>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</si>
  <si>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</si>
  <si>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</si>
  <si>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</si>
  <si>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</si>
  <si>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</si>
  <si>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</si>
  <si>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</si>
  <si>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</si>
  <si>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</si>
  <si>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</si>
  <si>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</si>
  <si>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</si>
  <si>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</si>
  <si>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</si>
  <si>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</si>
  <si>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</si>
  <si>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</si>
  <si>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</si>
  <si>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</si>
  <si>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</si>
  <si>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</si>
  <si>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</si>
  <si>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</si>
  <si>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</si>
  <si>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</si>
  <si>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</si>
  <si>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</si>
  <si>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</si>
  <si>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</si>
  <si>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</si>
  <si>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</si>
  <si>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</si>
  <si>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</si>
  <si>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</si>
  <si>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</si>
  <si>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</si>
  <si>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</si>
  <si>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</si>
  <si>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</si>
  <si>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</si>
  <si>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</si>
  <si>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</si>
  <si>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</si>
  <si>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</si>
  <si>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</si>
  <si>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</si>
  <si>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</si>
  <si>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</si>
  <si>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</si>
  <si>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</si>
  <si>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</si>
  <si>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</si>
  <si>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</si>
  <si>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</si>
  <si>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</si>
  <si>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</si>
  <si>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</si>
  <si>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</si>
  <si>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</si>
  <si>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</si>
  <si>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</si>
  <si>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</si>
  <si>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</si>
  <si>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</si>
  <si>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</si>
  <si>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</si>
  <si>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</si>
  <si>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</si>
  <si>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</si>
  <si>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</si>
  <si>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</si>
  <si>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</si>
  <si>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</si>
  <si>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</si>
  <si>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</si>
  <si>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</si>
  <si>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</si>
  <si>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</si>
  <si>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</si>
  <si>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</si>
  <si>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</si>
  <si>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</si>
  <si>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</si>
  <si>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</si>
  <si>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</si>
  <si>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</si>
  <si>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</si>
  <si>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</si>
  <si>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</si>
  <si>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</si>
  <si>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</si>
  <si>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</si>
  <si>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</si>
  <si>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</si>
  <si>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</si>
  <si>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</si>
  <si>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</si>
  <si>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</si>
  <si>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</si>
  <si>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</si>
  <si>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</si>
  <si>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</si>
  <si>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</si>
  <si>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</si>
  <si>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</si>
  <si>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</si>
  <si>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</si>
  <si>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</si>
  <si>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</si>
  <si>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</si>
  <si>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</si>
  <si>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</si>
  <si>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</si>
  <si>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</si>
  <si>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</si>
  <si>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</si>
  <si>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</si>
  <si>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</si>
  <si>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</si>
  <si>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</si>
  <si>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</si>
  <si>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</si>
  <si>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</si>
  <si>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</si>
  <si>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</si>
  <si>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</si>
  <si>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</si>
  <si>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</si>
  <si>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</si>
  <si>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</si>
  <si>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</si>
  <si>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</si>
  <si>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</si>
  <si>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</si>
  <si>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</si>
  <si>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</si>
  <si>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</si>
  <si>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</si>
  <si>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</si>
  <si>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</si>
  <si>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</si>
  <si>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</si>
  <si>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</si>
  <si>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</si>
  <si>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</si>
  <si>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</si>
  <si>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</si>
  <si>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</si>
  <si>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</si>
  <si>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</si>
  <si>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</si>
  <si>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</si>
  <si>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</si>
  <si>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</si>
  <si>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</si>
  <si>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</si>
  <si>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</si>
  <si>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</si>
  <si>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</si>
  <si>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</si>
  <si>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</si>
  <si>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</si>
  <si>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</si>
  <si>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</si>
  <si>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</si>
  <si>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</si>
  <si>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</si>
  <si>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</si>
  <si>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</si>
  <si>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</si>
  <si>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</si>
  <si>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</si>
  <si>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</si>
  <si>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</si>
  <si>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</si>
  <si>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</si>
  <si>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</si>
  <si>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</si>
  <si>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</si>
  <si>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</si>
  <si>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</si>
  <si>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</si>
  <si>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</si>
  <si>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</si>
  <si>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</si>
  <si>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</si>
  <si>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</si>
  <si>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</si>
  <si>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</si>
  <si>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</si>
  <si>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</si>
  <si>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</si>
  <si>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</si>
  <si>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</si>
  <si>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</si>
  <si>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</si>
  <si>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</si>
  <si>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</si>
  <si>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</si>
  <si>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</si>
  <si>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</si>
  <si>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</si>
  <si>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</si>
  <si>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</si>
  <si>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</si>
  <si>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</si>
  <si>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</si>
  <si>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</si>
  <si>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</si>
  <si>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</si>
  <si>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</si>
  <si>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</si>
  <si>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</si>
  <si>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</si>
  <si>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</si>
  <si>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</si>
  <si>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</si>
  <si>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</si>
  <si>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</si>
  <si>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</si>
  <si>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</si>
  <si>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</si>
  <si>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</si>
  <si>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</si>
  <si>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</si>
  <si>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</si>
  <si>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</si>
  <si>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</si>
  <si>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</si>
  <si>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</si>
  <si>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</si>
  <si>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</si>
  <si>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</si>
  <si>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</si>
  <si>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</si>
  <si>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</si>
  <si>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</si>
  <si>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</si>
  <si>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</si>
  <si>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</si>
  <si>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</si>
  <si>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</si>
  <si>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</si>
  <si>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</si>
  <si>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</si>
  <si>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</si>
  <si>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</si>
  <si>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</si>
  <si>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</si>
  <si>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</si>
  <si>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</si>
  <si>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</si>
  <si>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</si>
  <si>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</si>
  <si>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</si>
  <si>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</si>
  <si>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</si>
  <si>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</si>
  <si>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</si>
  <si>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</si>
  <si>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Salman</t>
  </si>
  <si>
    <t>Cant Medical &amp; General Store</t>
  </si>
  <si>
    <t xml:space="preserve">Address: Cant </t>
  </si>
  <si>
    <t>Askari Store</t>
  </si>
  <si>
    <t xml:space="preserve">Sitara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</si>
</sst>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3" workbookViewId="0">
      <selection activeCell="F29" sqref="F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513</v>
      </c>
      <c r="F3" s="358"/>
      <c r="G3" s="358"/>
      <c r="H3" s="355">
        <f ca="1">TODAY()</f>
        <v>46244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Cant Medical &amp; General Store</v>
      </c>
      <c r="T3" s="301">
        <f>+'1'!P35</f>
        <v>13342.864251584748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Askari Store</v>
      </c>
      <c r="T4" s="301">
        <f>+'2'!P35</f>
        <v>7070.4410814152534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Sitara Bakers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9</v>
      </c>
      <c r="H16" s="113">
        <f t="shared" ref="H16:M16" si="3">SUM(H7:H15)</f>
        <v>360</v>
      </c>
      <c r="I16" s="114">
        <f t="shared" si="3"/>
        <v>20527</v>
      </c>
      <c r="J16" s="274">
        <f>SUM(J7:J15)</f>
        <v>1500.932</v>
      </c>
      <c r="K16" s="275">
        <f t="shared" si="3"/>
        <v>718.44500000000016</v>
      </c>
      <c r="L16" s="276">
        <f t="shared" si="3"/>
        <v>240.08760000000001</v>
      </c>
      <c r="M16" s="232">
        <f t="shared" si="3"/>
        <v>18067.535400000001</v>
      </c>
      <c r="N16" s="233">
        <f>SUM(N7:N15)</f>
        <v>3905.0847457627115</v>
      </c>
      <c r="O16" s="101">
        <f>SUM(O7:O15)</f>
        <v>109.86310072881356</v>
      </c>
      <c r="P16" s="113">
        <f>SUM(P7:P15)</f>
        <v>22082.483246491523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20527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1500.932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958.53260000000023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18067.535400000001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3905.0847457627115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21972.62014576271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109.86310072881356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22082.483246491523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22082.483246491527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515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12384.500000000002</v>
      </c>
      <c r="J25" s="274">
        <f>SUM(J16:J24)</f>
        <v>943.68399999999997</v>
      </c>
      <c r="K25" s="275">
        <f t="shared" si="10"/>
        <v>433.4575000000001</v>
      </c>
      <c r="L25" s="276">
        <f t="shared" si="10"/>
        <v>80.029200000000003</v>
      </c>
      <c r="M25" s="232">
        <f t="shared" si="10"/>
        <v>10927.329300000001</v>
      </c>
      <c r="N25" s="233">
        <f>SUM(N16:N24)</f>
        <v>2349.1525423728808</v>
      </c>
      <c r="O25" s="101">
        <f>SUM(O16:O24)</f>
        <v>66.382409211864413</v>
      </c>
      <c r="P25" s="113">
        <f>SUM(P16:P24)</f>
        <v>13342.864251584746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12384.500000000002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943.68399999999997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513.48670000000016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10927.329300000003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2349.1525423728808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13276.481842372883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66.382409211864413</v>
      </c>
    </row>
    <row r="35" spans="2:16" ht="15.75" customHeight="1" thickBot="1" x14ac:dyDescent="0.4">
      <c r="N35" s="342" t="s">
        <v>88</v>
      </c>
      <c r="O35" s="343"/>
      <c r="P35" s="297">
        <f>+P33+P34</f>
        <v>13342.864251584748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6573.2999999999993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6573.2999999999993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5784.4172999999992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7035.2647576271174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35.176323788135591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7070.4410814152534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2026-08-10T04:28:17Z</dcterms:modified>
</cp:coreProperties>
</file>