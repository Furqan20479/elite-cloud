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00D37C9-EC21-4283-A2A5-F284184E9CF2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<sst xmlns="http://schemas.openxmlformats.org/spreadsheetml/2006/main" count="3978" uniqueCount="529">
  <si>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</si>
  <si>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</si>
  <si>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</si>
  <si>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</si>
  <si>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</si>
  <si>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</si>
  <si>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</si>
  <si>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</si>
  <si>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</si>
  <si>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</si>
  <si>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</si>
  <si>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</si>
  <si>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</si>
  <si>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</si>
  <si>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</si>
  <si>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</si>
  <si>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</si>
  <si>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</si>
  <si>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</si>
  <si>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</si>
  <si>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</si>
  <si>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</si>
  <si>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</si>
  <si>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</si>
  <si>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</si>
  <si>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</si>
  <si>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</si>
  <si>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</si>
  <si>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</si>
  <si>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</si>
  <si>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</si>
  <si>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</si>
  <si>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</si>
  <si>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</si>
  <si>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</si>
  <si>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</si>
  <si>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</si>
  <si>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</si>
  <si>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</si>
  <si>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</si>
  <si>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</si>
  <si>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</si>
  <si>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</si>
  <si>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</si>
  <si>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</si>
  <si>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</si>
  <si>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</si>
  <si>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</si>
  <si>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</si>
  <si>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</si>
  <si>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</si>
  <si>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</si>
  <si>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</si>
  <si>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</si>
  <si>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</si>
  <si>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</si>
  <si>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</si>
  <si>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</si>
  <si>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</si>
  <si>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</si>
  <si>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</si>
  <si>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</si>
  <si>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</si>
  <si>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</si>
  <si>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</si>
  <si>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</si>
  <si>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</si>
  <si>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</si>
  <si>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</si>
  <si>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</si>
  <si>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</si>
  <si>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</si>
  <si>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</si>
  <si>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</si>
  <si>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</si>
  <si>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</si>
  <si>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</si>
  <si>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</si>
  <si>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</si>
  <si>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</si>
  <si>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</si>
  <si>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</si>
  <si>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</si>
  <si>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</si>
  <si>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</si>
  <si>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</si>
  <si>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</si>
  <si>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</si>
  <si>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</si>
  <si>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</si>
  <si>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</si>
  <si>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</si>
  <si>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</si>
  <si>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</si>
  <si>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</si>
  <si>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</si>
  <si>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</si>
  <si>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</si>
  <si>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</si>
  <si>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</si>
  <si>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</si>
  <si>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</si>
  <si>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</si>
  <si>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</si>
  <si>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</si>
  <si>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</si>
  <si>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</si>
  <si>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</si>
  <si>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</si>
  <si>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</si>
  <si>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</si>
  <si>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</si>
  <si>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</si>
  <si>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</si>
  <si>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</si>
  <si>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</si>
  <si>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</si>
  <si>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</si>
  <si>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</si>
  <si>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</si>
  <si>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</si>
  <si>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</si>
  <si>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</si>
  <si>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</si>
  <si>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</si>
  <si>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</si>
  <si>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</si>
  <si>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</si>
  <si>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</si>
  <si>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</si>
  <si>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</si>
  <si>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</si>
  <si>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</si>
  <si>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</si>
  <si>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</si>
  <si>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</si>
  <si>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</si>
  <si>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</si>
  <si>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</si>
  <si>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</si>
  <si>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</si>
  <si>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</si>
  <si>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</si>
  <si>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</si>
  <si>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</si>
  <si>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</si>
  <si>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</si>
  <si>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</si>
  <si>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</si>
  <si>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</si>
  <si>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</si>
  <si>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</si>
  <si>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</si>
  <si>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</si>
  <si>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</si>
  <si>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</si>
  <si>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</si>
  <si>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</si>
  <si>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</si>
  <si>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</si>
  <si>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</si>
  <si>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</si>
  <si>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</si>
  <si>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</si>
  <si>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</si>
  <si>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</si>
  <si>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</si>
  <si>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</si>
  <si>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</si>
  <si>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</si>
  <si>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</si>
  <si>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</si>
  <si>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</si>
  <si>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</si>
  <si>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</si>
  <si>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</si>
  <si>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</si>
  <si>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</si>
  <si>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</si>
  <si>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</si>
  <si>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</si>
  <si>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</si>
  <si>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</si>
  <si>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</si>
  <si>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</si>
  <si>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</si>
  <si>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</si>
  <si>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</si>
  <si>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</si>
  <si>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</si>
  <si>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</si>
  <si>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</si>
  <si>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</si>
  <si>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</si>
  <si>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</si>
  <si>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</si>
  <si>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</si>
  <si>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</si>
  <si>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</si>
  <si>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</si>
  <si>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</si>
  <si>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</si>
  <si>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</si>
  <si>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</si>
  <si>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</si>
  <si>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</si>
  <si>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</si>
  <si>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</si>
  <si>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</si>
  <si>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</si>
  <si>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</si>
  <si>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</si>
  <si>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</si>
  <si>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</si>
  <si>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</si>
  <si>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</si>
  <si>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</si>
  <si>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</si>
  <si>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</si>
  <si>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</si>
  <si>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</si>
  <si>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</si>
  <si>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</si>
  <si>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</si>
  <si>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</si>
  <si>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</si>
  <si>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</si>
  <si>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</si>
  <si>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</si>
  <si>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</si>
  <si>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</si>
  <si>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</si>
  <si>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</si>
  <si>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</si>
  <si>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</si>
  <si>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</si>
  <si>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</si>
  <si>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</si>
  <si>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</si>
  <si>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</si>
  <si>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</si>
  <si>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</si>
  <si>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</si>
  <si>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</si>
  <si>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</si>
  <si>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</si>
  <si>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</si>
  <si>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</si>
  <si>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</si>
  <si>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</si>
  <si>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</si>
  <si>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</si>
  <si>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</si>
  <si>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</si>
  <si>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</si>
  <si>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</si>
  <si>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</si>
  <si>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</si>
  <si>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</si>
  <si>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</si>
  <si>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</si>
  <si>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</si>
  <si>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</si>
  <si>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</si>
  <si>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</si>
  <si>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</si>
  <si>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</si>
  <si>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</si>
  <si>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</si>
  <si>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</si>
  <si>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</si>
  <si>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</si>
  <si>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</si>
  <si>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</si>
  <si>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</si>
  <si>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</si>
  <si>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</si>
  <si>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</si>
  <si>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</si>
  <si>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</si>
  <si>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</si>
  <si>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</si>
  <si>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</si>
  <si>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</si>
  <si>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</si>
  <si>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</si>
  <si>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</si>
  <si>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</si>
  <si>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</si>
  <si>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</si>
  <si>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</si>
  <si>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</si>
  <si>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</si>
  <si>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</si>
  <si>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</si>
  <si>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</si>
  <si>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</si>
  <si>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</si>
  <si>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</si>
  <si>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</si>
  <si>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</si>
  <si>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</si>
  <si>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</si>
  <si>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</si>
  <si>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</si>
  <si>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</si>
  <si>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</si>
  <si>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</si>
  <si>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</si>
  <si>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</si>
  <si>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</si>
  <si>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</si>
  <si>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</si>
  <si>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</si>
  <si>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</si>
  <si>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</si>
  <si>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</si>
  <si>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</si>
  <si>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</si>
  <si>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</si>
  <si>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</si>
  <si>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</si>
  <si>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</si>
  <si>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</si>
  <si>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</si>
  <si>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</si>
  <si>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</si>
  <si>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</si>
  <si>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</si>
  <si>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</si>
  <si>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</si>
  <si>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</si>
  <si>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</si>
  <si>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</si>
  <si>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</si>
  <si>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</si>
  <si>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</si>
  <si>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</si>
  <si>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</si>
  <si>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</si>
  <si>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</si>
  <si>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</si>
  <si>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</si>
  <si>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</si>
  <si>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</si>
  <si>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</si>
  <si>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</si>
  <si>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</si>
  <si>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</si>
  <si>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</si>
  <si>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</si>
  <si>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</si>
  <si>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</si>
  <si>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</si>
  <si>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</si>
  <si>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</si>
  <si>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</si>
  <si>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</si>
  <si>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</si>
  <si>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</si>
  <si>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</si>
  <si>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</si>
  <si>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</si>
  <si>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</si>
  <si>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</si>
  <si>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</si>
  <si>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</si>
  <si>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</si>
  <si>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</si>
  <si>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</si>
  <si>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</si>
  <si>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</si>
  <si>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</si>
  <si>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</si>
  <si>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</si>
  <si>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</si>
  <si>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</si>
  <si>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</si>
  <si>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</si>
  <si>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</si>
  <si>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</si>
  <si>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</si>
  <si>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</si>
  <si>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</si>
  <si>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</si>
  <si>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</si>
  <si>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</si>
  <si>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</si>
  <si>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</si>
  <si>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</si>
  <si>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</si>
  <si>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</si>
  <si>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</si>
  <si>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</si>
  <si>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</si>
  <si>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</si>
  <si>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</si>
  <si>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</si>
  <si>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</si>
  <si>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</si>
  <si>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</si>
  <si>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</si>
  <si>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</si>
  <si>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</si>
  <si>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</si>
  <si>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</si>
  <si>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</si>
  <si>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</si>
  <si>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</si>
  <si>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</si>
  <si>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</si>
  <si>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</si>
  <si>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</si>
  <si>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</si>
  <si>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</si>
  <si>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</si>
  <si>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</si>
  <si>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</si>
  <si>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</si>
  <si>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</si>
  <si>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</si>
  <si>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</si>
  <si>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</si>
  <si>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</si>
  <si>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</si>
  <si>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</si>
  <si>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</si>
  <si>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</si>
  <si>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</si>
  <si>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</si>
  <si>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</si>
  <si>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</si>
  <si>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</si>
  <si>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</si>
  <si>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</si>
  <si>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</si>
  <si>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</si>
  <si>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</si>
  <si>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</si>
  <si>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</si>
  <si>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</si>
  <si>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</si>
  <si>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</si>
  <si>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</si>
  <si>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</si>
  <si>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</si>
  <si>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</si>
  <si>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</si>
  <si>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</si>
  <si>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</si>
  <si>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</si>
  <si>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</si>
  <si>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</si>
  <si>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</si>
  <si>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</si>
  <si>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</si>
  <si>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</si>
  <si>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</si>
  <si>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</si>
  <si>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</si>
  <si>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</si>
  <si>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</si>
  <si>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</si>
  <si>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</si>
  <si>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</si>
  <si>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</si>
  <si>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</si>
  <si>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</si>
  <si>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</si>
  <si>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</si>
  <si>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</si>
  <si>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</si>
  <si>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</si>
  <si>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</si>
  <si>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</si>
  <si>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</si>
  <si>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</si>
  <si>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</si>
  <si>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</si>
  <si>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</si>
  <si>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</si>
  <si>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</si>
  <si>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</si>
  <si>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</si>
  <si>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</si>
  <si>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</si>
  <si>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</si>
  <si>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</si>
  <si>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</si>
  <si>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</si>
  <si>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</si>
  <si>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</si>
  <si>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</si>
  <si>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</si>
  <si>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</si>
  <si>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</si>
  <si>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</si>
  <si>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</si>
  <si>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</si>
  <si>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</si>
  <si>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</si>
  <si>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</si>
  <si>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</si>
  <si>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</si>
  <si>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</si>
  <si>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</si>
  <si>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</si>
  <si>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</si>
  <si>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</si>
  <si>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</si>
  <si>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</si>
  <si>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</si>
  <si>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</si>
  <si>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</si>
  <si>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</si>
  <si>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</si>
  <si>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Zeshan</t>
  </si>
  <si>
    <t>Mian Bakers</t>
  </si>
  <si>
    <t>Address: Bedian Road</t>
  </si>
  <si>
    <t>Fakhir Store</t>
  </si>
  <si>
    <t>Address:Bedian Road</t>
  </si>
  <si>
    <t>Malik Store</t>
  </si>
  <si>
    <t>Essa G</t>
  </si>
  <si>
    <t>Address: Beidan Road</t>
  </si>
  <si>
    <t xml:space="preserve">Organic Mart </t>
  </si>
  <si>
    <t xml:space="preserve">Irfan Bakers </t>
  </si>
  <si>
    <t xml:space="preserve">Yaseen Bakers </t>
  </si>
  <si>
    <t>Nadeem Store</t>
  </si>
  <si>
    <t>786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</si>
</sst>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46253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Mian Bakers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Fakhir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Malik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Essa G</v>
      </c>
      <c r="T6" s="301">
        <f>+'4'!P35</f>
        <v>46970.031685271184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310">
        <f>M7+N7+O7</f>
        <v>4530.103165677966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Organic Mart </v>
      </c>
      <c r="T7" s="301">
        <f>+'5'!P35</f>
        <v>15607.915834423729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Irfan Bakers 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Yaseen Bakers 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220</v>
      </c>
      <c r="I10" s="236">
        <f t="shared" si="0"/>
        <v>15980.8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1278.4640000000002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559.32800000000009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14143.007999999998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3020.3389830508477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85.816734915254244</v>
      </c>
      <c r="P10" s="311">
        <f t="shared" si="2"/>
        <v>17249.163717966101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Nadeem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220</v>
      </c>
      <c r="I11" s="236">
        <f t="shared" si="0"/>
        <v>15980.8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1278.4640000000002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559.32800000000009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14143.007999999998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3020.3389830508477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85.816734915254244</v>
      </c>
      <c r="P11" s="311">
        <f t="shared" si="2"/>
        <v>17249.163717966101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786 Store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240</v>
      </c>
      <c r="I12" s="236">
        <f t="shared" si="0"/>
        <v>17433.599999999999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1394.6880000000001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610.17600000000004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15428.735999999999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3294.9152542372881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93.618256271186439</v>
      </c>
      <c r="P12" s="311">
        <f t="shared" si="2"/>
        <v>18817.269510508475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110</v>
      </c>
      <c r="I13" s="236">
        <f t="shared" si="0"/>
        <v>4315.3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215.76500000000004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151.03550000000001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220.08030000000002</v>
      </c>
      <c r="M13" s="230">
        <f t="shared" si="1"/>
        <v>3728.4192000000003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838.98305084745721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22.837011254237289</v>
      </c>
      <c r="P13" s="311">
        <f t="shared" si="2"/>
        <v>4590.2392621016943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23.75</v>
      </c>
      <c r="H16" s="113">
        <f t="shared" ref="H16:M16" si="3">SUM(H7:H15)</f>
        <v>950</v>
      </c>
      <c r="I16" s="114">
        <f t="shared" si="3"/>
        <v>62104.5</v>
      </c>
      <c r="J16" s="274">
        <f>SUM(J7:J15)</f>
        <v>4838.9010000000007</v>
      </c>
      <c r="K16" s="275">
        <f t="shared" si="3"/>
        <v>2173.6575000000003</v>
      </c>
      <c r="L16" s="276">
        <f t="shared" si="3"/>
        <v>220.08030000000002</v>
      </c>
      <c r="M16" s="232">
        <f t="shared" si="3"/>
        <v>54871.861199999985</v>
      </c>
      <c r="N16" s="233">
        <f>SUM(N7:N15)</f>
        <v>11761.016949152541</v>
      </c>
      <c r="O16" s="101">
        <f>SUM(O7:O15)</f>
        <v>333.16439074576272</v>
      </c>
      <c r="P16" s="113">
        <f>SUM(P7:P15)</f>
        <v>66966.042539898292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62104.5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4838.9010000000007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2393.7378000000003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54871.861199999999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11761.016949152541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66632.878149152544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333.16439074576272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66966.042539898306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66966.042539898292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523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0"/>
        <v>11622.4</v>
      </c>
      <c r="J19" s="272">
        <f t="shared" si="1"/>
        <v>929.79200000000003</v>
      </c>
      <c r="K19" s="128">
        <f t="shared" si="1"/>
        <v>406.78400000000005</v>
      </c>
      <c r="L19" s="119">
        <f t="shared" si="1"/>
        <v>0</v>
      </c>
      <c r="M19" s="230">
        <f t="shared" si="2"/>
        <v>10285.824000000001</v>
      </c>
      <c r="N19" s="277">
        <f t="shared" si="3"/>
        <v>2196.6101694915255</v>
      </c>
      <c r="O19" s="239">
        <f t="shared" si="4"/>
        <v>62.412170847457631</v>
      </c>
      <c r="P19" s="311">
        <f t="shared" si="5"/>
        <v>12544.846340338983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0"/>
        <v>11622.4</v>
      </c>
      <c r="J20" s="272">
        <f t="shared" si="1"/>
        <v>929.79200000000003</v>
      </c>
      <c r="K20" s="128">
        <f t="shared" si="1"/>
        <v>406.78400000000005</v>
      </c>
      <c r="L20" s="119">
        <f t="shared" si="1"/>
        <v>0</v>
      </c>
      <c r="M20" s="230">
        <f t="shared" si="2"/>
        <v>10285.824000000001</v>
      </c>
      <c r="N20" s="277">
        <f t="shared" si="3"/>
        <v>2196.6101694915255</v>
      </c>
      <c r="O20" s="239">
        <f t="shared" si="4"/>
        <v>62.412170847457631</v>
      </c>
      <c r="P20" s="311">
        <f t="shared" si="5"/>
        <v>12544.846340338983</v>
      </c>
      <c r="Q20" s="156"/>
      <c r="R20">
        <f>P20/21</f>
        <v>597.37363525423734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1162.24</v>
      </c>
      <c r="K21" s="128">
        <f t="shared" si="1"/>
        <v>508.48000000000008</v>
      </c>
      <c r="L21" s="119">
        <f t="shared" si="1"/>
        <v>0</v>
      </c>
      <c r="M21" s="230">
        <f t="shared" si="2"/>
        <v>12857.28</v>
      </c>
      <c r="N21" s="277">
        <f t="shared" si="3"/>
        <v>2745.7627118644068</v>
      </c>
      <c r="O21" s="239">
        <f t="shared" si="4"/>
        <v>78.015213559322035</v>
      </c>
      <c r="P21" s="311">
        <f t="shared" si="5"/>
        <v>15681.057925423729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640</v>
      </c>
      <c r="I25" s="114">
        <f t="shared" si="7"/>
        <v>43539</v>
      </c>
      <c r="J25" s="274">
        <f>SUM(J16:J24)</f>
        <v>3436.0439999999999</v>
      </c>
      <c r="K25" s="275">
        <f t="shared" si="7"/>
        <v>1523.8650000000002</v>
      </c>
      <c r="L25" s="276">
        <f t="shared" si="7"/>
        <v>80.029200000000003</v>
      </c>
      <c r="M25" s="232">
        <f t="shared" si="7"/>
        <v>38499.061800000003</v>
      </c>
      <c r="N25" s="233">
        <f>SUM(N16:N24)</f>
        <v>8237.2881355932204</v>
      </c>
      <c r="O25" s="101">
        <f>SUM(O16:O24)</f>
        <v>233.68174967796611</v>
      </c>
      <c r="P25" s="113">
        <f>SUM(P16:P24)</f>
        <v>46970.031685271191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43539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3436.0439999999999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1603.8942000000002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38499.061799999996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8237.2881355932204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46736.349935593214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233.68174967796608</v>
      </c>
    </row>
    <row r="35" spans="2:16" ht="15.75" customHeight="1" thickBot="1" x14ac:dyDescent="0.4">
      <c r="N35" s="371" t="s">
        <v>88</v>
      </c>
      <c r="O35" s="372"/>
      <c r="P35" s="297">
        <f>+P33+P34</f>
        <v>46970.031685271184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240</v>
      </c>
      <c r="I25" s="114">
        <f t="shared" si="7"/>
        <v>14483.000000000002</v>
      </c>
      <c r="J25" s="274">
        <f>SUM(J16:J24)</f>
        <v>1111.5640000000001</v>
      </c>
      <c r="K25" s="275">
        <f t="shared" si="7"/>
        <v>506.90500000000009</v>
      </c>
      <c r="L25" s="276">
        <f t="shared" si="7"/>
        <v>80.029200000000003</v>
      </c>
      <c r="M25" s="232">
        <f t="shared" si="7"/>
        <v>12784.501800000002</v>
      </c>
      <c r="N25" s="233">
        <f>SUM(N16:N24)</f>
        <v>2745.7627118644059</v>
      </c>
      <c r="O25" s="101">
        <f>SUM(O16:O24)</f>
        <v>77.651322559322026</v>
      </c>
      <c r="P25" s="113">
        <f>SUM(P16:P24)</f>
        <v>15607.915834423729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14483.000000000002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1111.5640000000001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586.93420000000015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12784.501800000002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2745.7627118644059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15530.264511864407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77.65132255932204</v>
      </c>
    </row>
    <row r="35" spans="2:16" ht="15.75" customHeight="1" thickBot="1" x14ac:dyDescent="0.4">
      <c r="N35" s="371" t="s">
        <v>88</v>
      </c>
      <c r="O35" s="372"/>
      <c r="P35" s="297">
        <f>+P33+P34</f>
        <v>15607.915834423729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523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46254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46253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2026-08-19T05:25:33Z</dcterms:modified>
</cp:coreProperties>
</file>