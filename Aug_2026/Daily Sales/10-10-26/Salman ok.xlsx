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D8A3C26-9EF8-44F3-8298-520D3C156AF4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<sst xmlns="http://schemas.openxmlformats.org/spreadsheetml/2006/main" count="3978" uniqueCount="522">
  <si>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</si>
  <si>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</si>
  <si>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</si>
  <si>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</si>
  <si>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</si>
  <si>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</si>
  <si>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</si>
  <si>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</si>
  <si>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</si>
  <si>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</si>
  <si>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</si>
  <si>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</si>
  <si>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</si>
  <si>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</si>
  <si>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</si>
  <si>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</si>
  <si>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</si>
  <si>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</si>
  <si>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</si>
  <si>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</si>
  <si>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</si>
  <si>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</si>
  <si>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</si>
  <si>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</si>
  <si>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</si>
  <si>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</si>
  <si>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</si>
  <si>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</si>
  <si>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</si>
  <si>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</si>
  <si>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</si>
  <si>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</si>
  <si>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</si>
  <si>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</si>
  <si>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</si>
  <si>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</si>
  <si>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</si>
  <si>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</si>
  <si>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</si>
  <si>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</si>
  <si>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</si>
  <si>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</si>
  <si>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</si>
  <si>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</si>
  <si>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</si>
  <si>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</si>
  <si>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</si>
  <si>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</si>
  <si>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</si>
  <si>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</si>
  <si>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</si>
  <si>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</si>
  <si>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</si>
  <si>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</si>
  <si>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</si>
  <si>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</si>
  <si>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</si>
  <si>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</si>
  <si>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</si>
  <si>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</si>
  <si>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</si>
  <si>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</si>
  <si>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</si>
  <si>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</si>
  <si>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</si>
  <si>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</si>
  <si>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</si>
  <si>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</si>
  <si>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</si>
  <si>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</si>
  <si>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</si>
  <si>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</si>
  <si>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</si>
  <si>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</si>
  <si>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</si>
  <si>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</si>
  <si>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</si>
  <si>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</si>
  <si>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</si>
  <si>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</si>
  <si>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</si>
  <si>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</si>
  <si>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</si>
  <si>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</si>
  <si>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</si>
  <si>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</si>
  <si>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</si>
  <si>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</si>
  <si>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</si>
  <si>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</si>
  <si>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</si>
  <si>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</si>
  <si>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</si>
  <si>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</si>
  <si>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</si>
  <si>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</si>
  <si>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</si>
  <si>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</si>
  <si>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</si>
  <si>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</si>
  <si>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</si>
  <si>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</si>
  <si>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</si>
  <si>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</si>
  <si>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</si>
  <si>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</si>
  <si>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</si>
  <si>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</si>
  <si>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</si>
  <si>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</si>
  <si>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</si>
  <si>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</si>
  <si>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</si>
  <si>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</si>
  <si>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</si>
  <si>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</si>
  <si>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</si>
  <si>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</si>
  <si>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</si>
  <si>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</si>
  <si>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</si>
  <si>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</si>
  <si>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</si>
  <si>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</si>
  <si>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</si>
  <si>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</si>
  <si>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</si>
  <si>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</si>
  <si>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</si>
  <si>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</si>
  <si>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</si>
  <si>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</si>
  <si>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</si>
  <si>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</si>
  <si>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</si>
  <si>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</si>
  <si>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</si>
  <si>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</si>
  <si>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</si>
  <si>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</si>
  <si>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</si>
  <si>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</si>
  <si>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</si>
  <si>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</si>
  <si>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</si>
  <si>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</si>
  <si>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</si>
  <si>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</si>
  <si>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</si>
  <si>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</si>
  <si>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</si>
  <si>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</si>
  <si>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</si>
  <si>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</si>
  <si>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</si>
  <si>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</si>
  <si>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</si>
  <si>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</si>
  <si>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</si>
  <si>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</si>
  <si>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</si>
  <si>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</si>
  <si>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</si>
  <si>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</si>
  <si>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</si>
  <si>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</si>
  <si>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</si>
  <si>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</si>
  <si>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</si>
  <si>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</si>
  <si>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</si>
  <si>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</si>
  <si>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</si>
  <si>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</si>
  <si>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</si>
  <si>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</si>
  <si>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</si>
  <si>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</si>
  <si>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</si>
  <si>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</si>
  <si>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</si>
  <si>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</si>
  <si>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</si>
  <si>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</si>
  <si>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</si>
  <si>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</si>
  <si>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</si>
  <si>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</si>
  <si>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</si>
  <si>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</si>
  <si>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</si>
  <si>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</si>
  <si>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</si>
  <si>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</si>
  <si>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</si>
  <si>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</si>
  <si>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</si>
  <si>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</si>
  <si>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</si>
  <si>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</si>
  <si>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</si>
  <si>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</si>
  <si>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</si>
  <si>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</si>
  <si>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</si>
  <si>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</si>
  <si>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</si>
  <si>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</si>
  <si>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</si>
  <si>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</si>
  <si>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</si>
  <si>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</si>
  <si>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</si>
  <si>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</si>
  <si>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</si>
  <si>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</si>
  <si>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</si>
  <si>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</si>
  <si>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</si>
  <si>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</si>
  <si>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</si>
  <si>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</si>
  <si>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</si>
  <si>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</si>
  <si>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</si>
  <si>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</si>
  <si>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</si>
  <si>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</si>
  <si>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</si>
  <si>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</si>
  <si>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</si>
  <si>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</si>
  <si>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</si>
  <si>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</si>
  <si>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</si>
  <si>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</si>
  <si>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</si>
  <si>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</si>
  <si>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</si>
  <si>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</si>
  <si>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</si>
  <si>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</si>
  <si>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</si>
  <si>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</si>
  <si>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</si>
  <si>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</si>
  <si>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</si>
  <si>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</si>
  <si>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</si>
  <si>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</si>
  <si>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</si>
  <si>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</si>
  <si>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</si>
  <si>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</si>
  <si>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</si>
  <si>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</si>
  <si>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</si>
  <si>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</si>
  <si>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</si>
  <si>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</si>
  <si>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</si>
  <si>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</si>
  <si>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</si>
  <si>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</si>
  <si>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</si>
  <si>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</si>
  <si>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</si>
  <si>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</si>
  <si>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</si>
  <si>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</si>
  <si>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</si>
  <si>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</si>
  <si>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</si>
  <si>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</si>
  <si>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</si>
  <si>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</si>
  <si>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</si>
  <si>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</si>
  <si>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</si>
  <si>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</si>
  <si>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</si>
  <si>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</si>
  <si>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</si>
  <si>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</si>
  <si>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</si>
  <si>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</si>
  <si>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</si>
  <si>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</si>
  <si>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</si>
  <si>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</si>
  <si>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</si>
  <si>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</si>
  <si>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</si>
  <si>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</si>
  <si>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</si>
  <si>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</si>
  <si>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</si>
  <si>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</si>
  <si>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</si>
  <si>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</si>
  <si>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</si>
  <si>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</si>
  <si>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</si>
  <si>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</si>
  <si>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</si>
  <si>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</si>
  <si>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</si>
  <si>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</si>
  <si>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</si>
  <si>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</si>
  <si>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</si>
  <si>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</si>
  <si>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</si>
  <si>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</si>
  <si>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</si>
  <si>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</si>
  <si>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</si>
  <si>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</si>
  <si>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</si>
  <si>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</si>
  <si>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</si>
  <si>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</si>
  <si>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</si>
  <si>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</si>
  <si>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</si>
  <si>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</si>
  <si>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</si>
  <si>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</si>
  <si>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</si>
  <si>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</si>
  <si>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</si>
  <si>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</si>
  <si>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</si>
  <si>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</si>
  <si>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</si>
  <si>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</si>
  <si>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</si>
  <si>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</si>
  <si>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</si>
  <si>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</si>
  <si>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</si>
  <si>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</si>
  <si>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</si>
  <si>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</si>
  <si>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</si>
  <si>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</si>
  <si>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</si>
  <si>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</si>
  <si>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</si>
  <si>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</si>
  <si>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</si>
  <si>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</si>
  <si>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</si>
  <si>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</si>
  <si>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</si>
  <si>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</si>
  <si>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</si>
  <si>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</si>
  <si>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</si>
  <si>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</si>
  <si>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</si>
  <si>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</si>
  <si>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</si>
  <si>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</si>
  <si>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</si>
  <si>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</si>
  <si>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</si>
  <si>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</si>
  <si>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</si>
  <si>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</si>
  <si>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</si>
  <si>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</si>
  <si>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</si>
  <si>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</si>
  <si>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</si>
  <si>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</si>
  <si>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</si>
  <si>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</si>
  <si>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</si>
  <si>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</si>
  <si>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</si>
  <si>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</si>
  <si>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</si>
  <si>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</si>
  <si>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</si>
  <si>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</si>
  <si>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</si>
  <si>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</si>
  <si>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</si>
  <si>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</si>
  <si>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</si>
  <si>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</si>
  <si>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</si>
  <si>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</si>
  <si>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</si>
  <si>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</si>
  <si>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</si>
  <si>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</si>
  <si>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</si>
  <si>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</si>
  <si>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</si>
  <si>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</si>
  <si>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</si>
  <si>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</si>
  <si>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</si>
  <si>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</si>
  <si>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</si>
  <si>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</si>
  <si>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</si>
  <si>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</si>
  <si>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</si>
  <si>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</si>
  <si>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</si>
  <si>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</si>
  <si>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</si>
  <si>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</si>
  <si>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</si>
  <si>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</si>
  <si>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</si>
  <si>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</si>
  <si>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</si>
  <si>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</si>
  <si>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</si>
  <si>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</si>
  <si>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</si>
  <si>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</si>
  <si>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</si>
  <si>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</si>
  <si>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</si>
  <si>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</si>
  <si>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</si>
  <si>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</si>
  <si>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</si>
  <si>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</si>
  <si>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</si>
  <si>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</si>
  <si>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</si>
  <si>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</si>
  <si>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</si>
  <si>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</si>
  <si>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</si>
  <si>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</si>
  <si>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</si>
  <si>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</si>
  <si>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</si>
  <si>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</si>
  <si>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</si>
  <si>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</si>
  <si>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</si>
  <si>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</si>
  <si>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</si>
  <si>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</si>
  <si>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</si>
  <si>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</si>
  <si>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</si>
  <si>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</si>
  <si>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</si>
  <si>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</si>
  <si>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</si>
  <si>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</si>
  <si>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</si>
  <si>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</si>
  <si>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</si>
  <si>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</si>
  <si>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</si>
  <si>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</si>
  <si>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</si>
  <si>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</si>
  <si>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</si>
  <si>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</si>
  <si>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</si>
  <si>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</si>
  <si>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</si>
  <si>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</si>
  <si>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</si>
  <si>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</si>
  <si>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</si>
  <si>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</si>
  <si>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</si>
  <si>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</si>
  <si>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</si>
  <si>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</si>
  <si>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</si>
  <si>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</si>
  <si>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</si>
  <si>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</si>
  <si>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</si>
  <si>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</si>
  <si>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</si>
  <si>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</si>
  <si>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</si>
  <si>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</si>
  <si>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</si>
  <si>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</si>
  <si>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</si>
  <si>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</si>
  <si>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</si>
  <si>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</si>
  <si>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</si>
  <si>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</si>
  <si>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</si>
  <si>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</si>
  <si>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</si>
  <si>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</si>
  <si>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</si>
  <si>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</si>
  <si>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</si>
  <si>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</si>
  <si>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</si>
  <si>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</si>
  <si>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</si>
  <si>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</si>
  <si>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</si>
  <si>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</si>
  <si>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</si>
  <si>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</si>
  <si>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</si>
  <si>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Salman</t>
  </si>
  <si>
    <t>Cant Medical &amp; General Store</t>
  </si>
  <si>
    <t xml:space="preserve">Address: Cant </t>
  </si>
  <si>
    <t>Askari Store</t>
  </si>
  <si>
    <t xml:space="preserve">Sitara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</si>
</sst>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D2" sqref="D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517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513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Cant Medical &amp; General Store</v>
      </c>
      <c r="T3" s="301">
        <f>+'1'!P35</f>
        <v>13342.864251584748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Askari Store</v>
      </c>
      <c r="T4" s="301">
        <f>+'2'!P35</f>
        <v>7070.4410814152534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 xml:space="preserve">Sitara Bakers 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55</v>
      </c>
      <c r="I11" s="236">
        <f t="shared" si="0"/>
        <v>3995.2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319.61599999999999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139.83200000000002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3535.752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755.08474576271192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21.454183728813561</v>
      </c>
      <c r="P11" s="311">
        <f t="shared" si="2"/>
        <v>4312.2909294915253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50</v>
      </c>
      <c r="I12" s="236">
        <f t="shared" si="0"/>
        <v>3632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127.12000000000002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3214.32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686.4406779661017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19.503803389830509</v>
      </c>
      <c r="P12" s="311">
        <f t="shared" si="2"/>
        <v>3920.2644813559323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90</v>
      </c>
      <c r="I13" s="236">
        <f t="shared" si="0"/>
        <v>3530.7000000000003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176.53500000000005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123.57450000000003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180.06569999999999</v>
      </c>
      <c r="M13" s="230">
        <f t="shared" si="1"/>
        <v>3050.5248000000001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686.44067796610125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18.68482738983051</v>
      </c>
      <c r="P13" s="311">
        <f t="shared" si="2"/>
        <v>3755.6503053559318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30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8.25</v>
      </c>
      <c r="H16" s="113">
        <f t="shared" ref="H16:M16" si="3">SUM(H7:H15)</f>
        <v>330</v>
      </c>
      <c r="I16" s="114">
        <f t="shared" si="3"/>
        <v>19350.100000000002</v>
      </c>
      <c r="J16" s="274">
        <f>SUM(J7:J15)</f>
        <v>1442.087</v>
      </c>
      <c r="K16" s="275">
        <f t="shared" si="3"/>
        <v>677.25350000000014</v>
      </c>
      <c r="L16" s="276">
        <f t="shared" si="3"/>
        <v>180.06569999999999</v>
      </c>
      <c r="M16" s="232">
        <f t="shared" si="3"/>
        <v>17050.693800000001</v>
      </c>
      <c r="N16" s="233">
        <f>SUM(N7:N15)</f>
        <v>3676.2711864406774</v>
      </c>
      <c r="O16" s="101">
        <f>SUM(O7:O15)</f>
        <v>103.6348249322034</v>
      </c>
      <c r="P16" s="113">
        <f>SUM(P7:P15)</f>
        <v>20830.599811372878</v>
      </c>
      <c r="Q16" s="128">
        <f>SUM(Q7:Q15)</f>
        <v>30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19350.100000000002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1442.087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857.31920000000014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17050.693800000001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3676.2711864406774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20726.964986440678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103.6348249322034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20830.599811372882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20830.599811372882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515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12384.500000000002</v>
      </c>
      <c r="J25" s="274">
        <f>SUM(J16:J24)</f>
        <v>943.68399999999997</v>
      </c>
      <c r="K25" s="275">
        <f t="shared" si="10"/>
        <v>433.4575000000001</v>
      </c>
      <c r="L25" s="276">
        <f t="shared" si="10"/>
        <v>80.029200000000003</v>
      </c>
      <c r="M25" s="232">
        <f t="shared" si="10"/>
        <v>10927.329300000001</v>
      </c>
      <c r="N25" s="233">
        <f>SUM(N16:N24)</f>
        <v>2349.1525423728808</v>
      </c>
      <c r="O25" s="101">
        <f>SUM(O16:O24)</f>
        <v>66.382409211864413</v>
      </c>
      <c r="P25" s="113">
        <f>SUM(P16:P24)</f>
        <v>13342.864251584746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12384.500000000002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943.68399999999997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513.48670000000016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10927.329300000003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2349.1525423728808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13276.481842372883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66.382409211864413</v>
      </c>
    </row>
    <row r="35" spans="2:16" ht="15.75" customHeight="1" thickBot="1" x14ac:dyDescent="0.4">
      <c r="N35" s="342" t="s">
        <v>88</v>
      </c>
      <c r="O35" s="343"/>
      <c r="P35" s="297">
        <f>+P33+P34</f>
        <v>13342.864251584748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6573.2999999999993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6573.2999999999993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478.78800000000007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310.09470000000005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5784.4172999999992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7035.2647576271174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35.176323788135591</v>
      </c>
    </row>
    <row r="35" spans="2:16" ht="15.75" customHeight="1" thickBot="1" x14ac:dyDescent="0.4">
      <c r="N35" s="342" t="s">
        <v>88</v>
      </c>
      <c r="O35" s="343"/>
      <c r="P35" s="297">
        <f>+P33+P34</f>
        <v>7070.4410814152534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topLeftCell="A10" workbookViewId="0">
      <selection activeCell="R23" sqref="R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519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412">
        <v>30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2026-08-11T07:52:03Z</dcterms:modified>
</cp:coreProperties>
</file>