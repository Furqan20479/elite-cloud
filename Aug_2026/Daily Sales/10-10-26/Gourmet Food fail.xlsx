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429CB31-CF34-4420-9571-30D15AC1334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M16" i="48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<sst xmlns="http://schemas.openxmlformats.org/spreadsheetml/2006/main" count="3948" uniqueCount="546">
  <si>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</si>
  <si>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</si>
  <si>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</si>
  <si>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</si>
  <si>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</si>
  <si>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</si>
  <si>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</si>
  <si>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</si>
  <si>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</si>
  <si>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</si>
  <si>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</si>
  <si>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</si>
  <si>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</si>
  <si>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</si>
  <si>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</si>
  <si>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</si>
  <si>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</si>
  <si>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</si>
  <si>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</si>
  <si>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</si>
  <si>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</si>
  <si>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</si>
  <si>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</si>
  <si>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</si>
  <si>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</si>
  <si>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</si>
  <si>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</si>
  <si>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</si>
  <si>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</si>
  <si>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</si>
  <si>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</si>
  <si>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</si>
  <si>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</si>
  <si>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</si>
  <si>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</si>
  <si>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</si>
  <si>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</si>
  <si>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</si>
  <si>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</si>
  <si>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</si>
  <si>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</si>
  <si>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</si>
  <si>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</si>
  <si>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</si>
  <si>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</si>
  <si>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</si>
  <si>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</si>
  <si>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</si>
  <si>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</si>
  <si>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</si>
  <si>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</si>
  <si>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</si>
  <si>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</si>
  <si>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</si>
  <si>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</si>
  <si>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</si>
  <si>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</si>
  <si>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</si>
  <si>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</si>
  <si>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</si>
  <si>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</si>
  <si>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</si>
  <si>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</si>
  <si>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</si>
  <si>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</si>
  <si>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</si>
  <si>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</si>
  <si>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</si>
  <si>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</si>
  <si>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</si>
  <si>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</si>
  <si>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</si>
  <si>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</si>
  <si>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</si>
  <si>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</si>
  <si>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</si>
  <si>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</si>
  <si>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</si>
  <si>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</si>
  <si>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</si>
  <si>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</si>
  <si>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</si>
  <si>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</si>
  <si>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</si>
  <si>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</si>
  <si>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</si>
  <si>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</si>
  <si>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</si>
  <si>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</si>
  <si>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</si>
  <si>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</si>
  <si>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</si>
  <si>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</si>
  <si>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</si>
  <si>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</si>
  <si>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</si>
  <si>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</si>
  <si>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</si>
  <si>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</si>
  <si>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</si>
  <si>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</si>
  <si>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</si>
  <si>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</si>
  <si>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</si>
  <si>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</si>
  <si>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</si>
  <si>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</si>
  <si>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</si>
  <si>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</si>
  <si>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</si>
  <si>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</si>
  <si>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</si>
  <si>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</si>
  <si>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</si>
  <si>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</si>
  <si>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</si>
  <si>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</si>
  <si>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</si>
  <si>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</si>
  <si>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</si>
  <si>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</si>
  <si>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</si>
  <si>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</si>
  <si>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</si>
  <si>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</si>
  <si>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</si>
  <si>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</si>
  <si>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</si>
  <si>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</si>
  <si>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</si>
  <si>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</si>
  <si>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</si>
  <si>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</si>
  <si>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</si>
  <si>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</si>
  <si>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</si>
  <si>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</si>
  <si>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</si>
  <si>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</si>
  <si>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</si>
  <si>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</si>
  <si>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</si>
  <si>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</si>
  <si>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</si>
  <si>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</si>
  <si>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</si>
  <si>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</si>
  <si>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</si>
  <si>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</si>
  <si>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</si>
  <si>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</si>
  <si>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</si>
  <si>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</si>
  <si>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</si>
  <si>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</si>
  <si>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</si>
  <si>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</si>
  <si>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</si>
  <si>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</si>
  <si>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</si>
  <si>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</si>
  <si>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</si>
  <si>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</si>
  <si>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</si>
  <si>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</si>
  <si>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</si>
  <si>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</si>
  <si>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</si>
  <si>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</si>
  <si>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</si>
  <si>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</si>
  <si>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</si>
  <si>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</si>
  <si>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</si>
  <si>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</si>
  <si>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</si>
  <si>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</si>
  <si>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</si>
  <si>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</si>
  <si>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</si>
  <si>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</si>
  <si>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</si>
  <si>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</si>
  <si>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</si>
  <si>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</si>
  <si>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</si>
  <si>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</si>
  <si>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</si>
  <si>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</si>
  <si>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</si>
  <si>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</si>
  <si>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</si>
  <si>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</si>
  <si>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</si>
  <si>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</si>
  <si>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</si>
  <si>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</si>
  <si>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</si>
  <si>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</si>
  <si>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</si>
  <si>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</si>
  <si>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</si>
  <si>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</si>
  <si>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</si>
  <si>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</si>
  <si>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</si>
  <si>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</si>
  <si>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</si>
  <si>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</si>
  <si>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</si>
  <si>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</si>
  <si>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</si>
  <si>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</si>
  <si>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</si>
  <si>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</si>
  <si>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</si>
  <si>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</si>
  <si>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</si>
  <si>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</si>
  <si>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</si>
  <si>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</si>
  <si>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</si>
  <si>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</si>
  <si>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</si>
  <si>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</si>
  <si>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</si>
  <si>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</si>
  <si>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</si>
  <si>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</si>
  <si>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</si>
  <si>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</si>
  <si>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</si>
  <si>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</si>
  <si>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</si>
  <si>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</si>
  <si>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</si>
  <si>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</si>
  <si>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</si>
  <si>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</si>
  <si>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</si>
  <si>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</si>
  <si>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</si>
  <si>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</si>
  <si>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</si>
  <si>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</si>
  <si>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</si>
  <si>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</si>
  <si>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</si>
  <si>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</si>
  <si>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</si>
  <si>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</si>
  <si>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</si>
  <si>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</si>
  <si>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</si>
  <si>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</si>
  <si>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</si>
  <si>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</si>
  <si>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</si>
  <si>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</si>
  <si>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</si>
  <si>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</si>
  <si>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</si>
  <si>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</si>
  <si>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</si>
  <si>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</si>
  <si>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</si>
  <si>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</si>
  <si>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</si>
  <si>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</si>
  <si>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</si>
  <si>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</si>
  <si>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</si>
  <si>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</si>
  <si>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</si>
  <si>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</si>
  <si>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</si>
  <si>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</si>
  <si>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</si>
  <si>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</si>
  <si>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</si>
  <si>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</si>
  <si>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</si>
  <si>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</si>
  <si>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</si>
  <si>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</si>
  <si>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</si>
  <si>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</si>
  <si>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</si>
  <si>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</si>
  <si>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</si>
  <si>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</si>
  <si>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</si>
  <si>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</si>
  <si>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</si>
  <si>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</si>
  <si>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</si>
  <si>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</si>
  <si>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</si>
  <si>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</si>
  <si>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</si>
  <si>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</si>
  <si>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</si>
  <si>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</si>
  <si>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</si>
  <si>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</si>
  <si>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</si>
  <si>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</si>
  <si>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</si>
  <si>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</si>
  <si>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</si>
  <si>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</si>
  <si>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</si>
  <si>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</si>
  <si>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</si>
  <si>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</si>
  <si>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</si>
  <si>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</si>
  <si>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</si>
  <si>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</si>
  <si>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</si>
  <si>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</si>
  <si>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</si>
  <si>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</si>
  <si>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</si>
  <si>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</si>
  <si>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</si>
  <si>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</si>
  <si>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</si>
  <si>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</si>
  <si>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</si>
  <si>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</si>
  <si>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</si>
  <si>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</si>
  <si>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</si>
  <si>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</si>
  <si>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</si>
  <si>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</si>
  <si>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</si>
  <si>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</si>
  <si>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</si>
  <si>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</si>
  <si>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</si>
  <si>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</si>
  <si>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</si>
  <si>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</si>
  <si>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</si>
  <si>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</si>
  <si>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</si>
  <si>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</si>
  <si>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</si>
  <si>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</si>
  <si>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</si>
  <si>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</si>
  <si>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</si>
  <si>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</si>
  <si>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</si>
  <si>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</si>
  <si>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</si>
  <si>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</si>
  <si>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</si>
  <si>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</si>
  <si>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</si>
  <si>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</si>
  <si>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</si>
  <si>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</si>
  <si>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</si>
  <si>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</si>
  <si>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</si>
  <si>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</si>
  <si>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</si>
  <si>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</si>
  <si>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</si>
  <si>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</si>
  <si>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</si>
  <si>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</si>
  <si>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</si>
  <si>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</si>
  <si>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</si>
  <si>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</si>
  <si>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</si>
  <si>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</si>
  <si>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</si>
  <si>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</si>
  <si>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</si>
  <si>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</si>
  <si>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</si>
  <si>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</si>
  <si>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</si>
  <si>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</si>
  <si>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</si>
  <si>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</si>
  <si>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</si>
  <si>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</si>
  <si>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</si>
  <si>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</si>
  <si>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</si>
  <si>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</si>
  <si>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</si>
  <si>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</si>
  <si>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</si>
  <si>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</si>
  <si>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</si>
  <si>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</si>
  <si>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</si>
  <si>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</si>
  <si>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</si>
  <si>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</si>
  <si>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</si>
  <si>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</si>
  <si>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</si>
  <si>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</si>
  <si>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</si>
  <si>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</si>
  <si>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</si>
  <si>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</si>
  <si>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</si>
  <si>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</si>
  <si>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</si>
  <si>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</si>
  <si>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</si>
  <si>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</si>
  <si>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</si>
  <si>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</si>
  <si>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</si>
  <si>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</si>
  <si>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</si>
  <si>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</si>
  <si>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</si>
  <si>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</si>
  <si>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</si>
  <si>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</si>
  <si>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</si>
  <si>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</si>
  <si>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</si>
  <si>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</si>
  <si>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</si>
  <si>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</si>
  <si>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</si>
  <si>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</si>
  <si>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</si>
  <si>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</si>
  <si>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</si>
  <si>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</si>
  <si>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</si>
  <si>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</si>
  <si>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</si>
  <si>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</si>
  <si>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</si>
  <si>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</si>
  <si>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</si>
  <si>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</si>
  <si>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</si>
  <si>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</si>
  <si>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</si>
  <si>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</si>
  <si>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</si>
  <si>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</si>
  <si>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</si>
  <si>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</si>
  <si>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</si>
  <si>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</si>
  <si>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</si>
  <si>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</si>
  <si>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</si>
  <si>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</si>
  <si>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</si>
  <si>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</si>
  <si>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</si>
  <si>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</si>
  <si>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</si>
  <si>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</si>
  <si>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</si>
  <si>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</si>
  <si>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</si>
  <si>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</si>
  <si>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</si>
  <si>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</si>
  <si>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</si>
  <si>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</si>
  <si>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</si>
  <si>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</si>
  <si>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</si>
  <si>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</si>
  <si>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</si>
  <si>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</si>
  <si>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</si>
  <si>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</si>
  <si>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</si>
  <si>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</si>
  <si>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</si>
  <si>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</si>
  <si>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</si>
  <si>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</si>
  <si>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</si>
  <si>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</si>
  <si>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</si>
  <si>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</si>
  <si>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</si>
  <si>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</si>
  <si>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</si>
  <si>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</si>
  <si>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</si>
  <si>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</si>
  <si>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</si>
  <si>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</si>
  <si>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</si>
  <si>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</si>
  <si>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</si>
  <si>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</si>
  <si>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</si>
  <si>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</si>
  <si>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</si>
  <si>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</si>
  <si>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</si>
  <si>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</si>
  <si>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</si>
  <si>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</si>
  <si>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Gourmet Food Rehman Pura</t>
  </si>
  <si>
    <t>Address: Rehman Pura</t>
  </si>
  <si>
    <t>Gourmet Food Ghalib Market</t>
  </si>
  <si>
    <t>Address: Ghalib Market</t>
  </si>
  <si>
    <t xml:space="preserve">Gourmet Food Shama </t>
  </si>
  <si>
    <t xml:space="preserve">Address: Shahma </t>
  </si>
  <si>
    <t xml:space="preserve">Address: Muslim Town Ayubia </t>
  </si>
  <si>
    <t xml:space="preserve">Gourmet Food Muslim Town Ayubia </t>
  </si>
  <si>
    <t xml:space="preserve">Gourmet Food Walton </t>
  </si>
  <si>
    <t xml:space="preserve">Address: Walton </t>
  </si>
  <si>
    <t>Gourmet Food Barkat Market</t>
  </si>
  <si>
    <t>Address: Barker Market</t>
  </si>
  <si>
    <t xml:space="preserve">Gourmet Food Firdos Market </t>
  </si>
  <si>
    <t>Address:Firdos Market</t>
  </si>
  <si>
    <t>Gourmet Food Nishat</t>
  </si>
  <si>
    <t>Address:Nishat</t>
  </si>
  <si>
    <t xml:space="preserve">Gourmet Food Umer Chowk </t>
  </si>
  <si>
    <t xml:space="preserve">Address: Umer Chowk </t>
  </si>
  <si>
    <t xml:space="preserve">Gourmet Food Model Towm </t>
  </si>
  <si>
    <t xml:space="preserve">Address: Link Road Model Town </t>
  </si>
  <si>
    <t>Gourmet Food Riwand Road</t>
  </si>
  <si>
    <t>Address:Riwand Road</t>
  </si>
  <si>
    <t>Gourmet Food Choung</t>
  </si>
  <si>
    <t>Address: Choung</t>
  </si>
  <si>
    <t xml:space="preserve">Gourmet Food Moterway </t>
  </si>
  <si>
    <t>Address: Moter Way</t>
  </si>
  <si>
    <t>Gourmet Food College Road</t>
  </si>
  <si>
    <t>Address:College Road</t>
  </si>
  <si>
    <t xml:space="preserve">Address: Girja Chowk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</si>
</sst>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16" workbookViewId="0">
      <selection activeCell="B36" sqref="B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516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511</v>
      </c>
      <c r="F3" s="359"/>
      <c r="G3" s="359"/>
      <c r="H3" s="356">
        <f ca="1">TODAY()</f>
        <v>46244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Gourmet Food</v>
      </c>
      <c r="T3" s="301">
        <f>+'1'!P35</f>
        <v>29390.106707542371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Rehman Pura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Gourmet Food Ghalib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 xml:space="preserve">Gourmet Food Shama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3294.645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20.439326694915252</v>
      </c>
      <c r="P7" s="310">
        <f>M7+N7+O7</f>
        <v>4108.3046656779661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Gourmet Food Muslim Town Ayubia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Gourmet Food Walton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3294.645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20.439326694915252</v>
      </c>
      <c r="P9" s="311">
        <f t="shared" si="2"/>
        <v>4108.3046656779661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Barkat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4561.7919999999995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28.300485423728812</v>
      </c>
      <c r="P10" s="311">
        <f t="shared" si="2"/>
        <v>5688.3975701694908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Firdos Market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1046.0159999999998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4561.7919999999995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28.300485423728812</v>
      </c>
      <c r="P11" s="311">
        <f t="shared" si="2"/>
        <v>5688.3975701694908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Gourmet Food Nishat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4561.7919999999995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28.300485423728812</v>
      </c>
      <c r="P12" s="311">
        <f t="shared" si="2"/>
        <v>5688.3975701694908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Gourmet Food Umer Chowk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Model Towm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Riwand Road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Choung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5404.427999999999</v>
      </c>
      <c r="K16" s="275">
        <f t="shared" si="3"/>
        <v>1050.8610000000001</v>
      </c>
      <c r="L16" s="276">
        <f t="shared" si="3"/>
        <v>0</v>
      </c>
      <c r="M16" s="232">
        <f t="shared" si="3"/>
        <v>23569.311000000002</v>
      </c>
      <c r="N16" s="233">
        <f>SUM(N7:N15)</f>
        <v>5674.576271186439</v>
      </c>
      <c r="O16" s="101">
        <f>SUM(O7:O15)</f>
        <v>146.2194363559322</v>
      </c>
      <c r="P16" s="113">
        <f>SUM(P7:P15)</f>
        <v>29390.106707542371</v>
      </c>
      <c r="Q16" s="128">
        <f>SUM(Q7:Q15)</f>
        <v>0</v>
      </c>
      <c r="R16" s="314">
        <v>14</v>
      </c>
      <c r="S16" s="300" t="str">
        <f>+'14'!A6:A6</f>
        <v xml:space="preserve">Gourmet Food Moterway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Gourmet Food College Road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30024.600000000002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5404.427999999999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1050.8610000000001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23569.311000000002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29243.887271186439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146.2194363559322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29390.106707542371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29390.106707542371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46243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146.89500000000001</v>
      </c>
      <c r="L16" s="118">
        <f>$I16*U16</f>
        <v>0</v>
      </c>
      <c r="M16" s="229">
        <f>I16-SUM(J16:L16)</f>
        <v>3294.645</v>
      </c>
      <c r="N16" s="248">
        <f>+(G16*D16+H16)*V16</f>
        <v>793.22033898305051</v>
      </c>
      <c r="O16" s="238">
        <f>(N16+M16)*$O$15</f>
        <v>20.439326694915252</v>
      </c>
      <c r="P16" s="310">
        <f>M16+N16+O16</f>
        <v>4108.3046656779661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3294.645</v>
      </c>
      <c r="N17" s="277">
        <f t="shared" ref="N17:N24" si="3">+(G17*D17+H17)*V17</f>
        <v>793.22033898305051</v>
      </c>
      <c r="O17" s="239">
        <f t="shared" ref="O17:O24" si="4">(N17+M17)*$O$15</f>
        <v>20.439326694915252</v>
      </c>
      <c r="P17" s="311">
        <f t="shared" ref="P17:P24" si="5">M17+N17+O17</f>
        <v>4108.3046656779661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755.45999999999992</v>
      </c>
      <c r="K18" s="128">
        <f t="shared" si="1"/>
        <v>146.89500000000001</v>
      </c>
      <c r="L18" s="119">
        <f t="shared" si="1"/>
        <v>0</v>
      </c>
      <c r="M18" s="230">
        <f t="shared" si="2"/>
        <v>3294.645</v>
      </c>
      <c r="N18" s="277">
        <f t="shared" si="3"/>
        <v>793.22033898305051</v>
      </c>
      <c r="O18" s="239">
        <f t="shared" si="4"/>
        <v>20.439326694915252</v>
      </c>
      <c r="P18" s="311">
        <f t="shared" si="5"/>
        <v>4108.3046656779661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1046.0159999999998</v>
      </c>
      <c r="K19" s="128">
        <f t="shared" si="1"/>
        <v>203.39200000000002</v>
      </c>
      <c r="L19" s="119">
        <f t="shared" si="1"/>
        <v>0</v>
      </c>
      <c r="M19" s="230">
        <f t="shared" si="2"/>
        <v>4561.7919999999995</v>
      </c>
      <c r="N19" s="277">
        <f t="shared" si="3"/>
        <v>1098.3050847457628</v>
      </c>
      <c r="O19" s="239">
        <f t="shared" si="4"/>
        <v>28.300485423728812</v>
      </c>
      <c r="P19" s="311">
        <f t="shared" si="5"/>
        <v>5688.3975701694908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1046.0159999999998</v>
      </c>
      <c r="K20" s="128">
        <f t="shared" si="1"/>
        <v>203.39200000000002</v>
      </c>
      <c r="L20" s="119">
        <f t="shared" si="1"/>
        <v>0</v>
      </c>
      <c r="M20" s="230">
        <f t="shared" si="2"/>
        <v>4561.7919999999995</v>
      </c>
      <c r="N20" s="277">
        <f t="shared" si="3"/>
        <v>1098.3050847457628</v>
      </c>
      <c r="O20" s="239">
        <f t="shared" si="4"/>
        <v>28.300485423728812</v>
      </c>
      <c r="P20" s="311">
        <f t="shared" si="5"/>
        <v>5688.3975701694908</v>
      </c>
      <c r="Q20" s="156"/>
      <c r="R20">
        <f>P20/21</f>
        <v>270.87607476997573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1046.0159999999998</v>
      </c>
      <c r="K21" s="128">
        <f t="shared" si="1"/>
        <v>203.39200000000002</v>
      </c>
      <c r="L21" s="119">
        <f t="shared" si="1"/>
        <v>0</v>
      </c>
      <c r="M21" s="230">
        <f t="shared" si="2"/>
        <v>4561.7919999999995</v>
      </c>
      <c r="N21" s="277">
        <f t="shared" si="3"/>
        <v>1098.3050847457628</v>
      </c>
      <c r="O21" s="239">
        <f t="shared" si="4"/>
        <v>28.300485423728812</v>
      </c>
      <c r="P21" s="311">
        <f t="shared" si="5"/>
        <v>5688.3975701694908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5404.427999999999</v>
      </c>
      <c r="K25" s="275">
        <f t="shared" si="10"/>
        <v>1050.8610000000001</v>
      </c>
      <c r="L25" s="276">
        <f t="shared" si="10"/>
        <v>0</v>
      </c>
      <c r="M25" s="232">
        <f t="shared" si="10"/>
        <v>23569.311000000002</v>
      </c>
      <c r="N25" s="233">
        <f>SUM(N16:N24)</f>
        <v>5674.576271186439</v>
      </c>
      <c r="O25" s="101">
        <f>SUM(O16:O24)</f>
        <v>146.2194363559322</v>
      </c>
      <c r="P25" s="113">
        <f>SUM(P16:P24)</f>
        <v>29390.106707542371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30024.600000000002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5404.427999999999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1050.8610000000001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23569.311000000002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29243.887271186439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146.2194363559322</v>
      </c>
    </row>
    <row r="35" spans="2:16" ht="15.75" customHeight="1" thickBot="1" x14ac:dyDescent="0.4">
      <c r="N35" s="343" t="s">
        <v>88</v>
      </c>
      <c r="O35" s="344"/>
      <c r="P35" s="297">
        <f>+P33+P34</f>
        <v>29390.106707542371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523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8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1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7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46240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46244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2026-08-10T04:42:39Z</dcterms:modified>
</cp:coreProperties>
</file>