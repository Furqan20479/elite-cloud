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B355AF3-976B-4274-84D7-6C4E9B091EA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16" i="59"/>
  <c r="M16" i="66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<sst xmlns="http://schemas.openxmlformats.org/spreadsheetml/2006/main" count="3976" uniqueCount="517">
  <si>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</si>
  <si>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</si>
  <si>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</si>
  <si>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</si>
  <si>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</si>
  <si>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</si>
  <si>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</si>
  <si>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</si>
  <si>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</si>
  <si>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</si>
  <si>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</si>
  <si>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</si>
  <si>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</si>
  <si>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</si>
  <si>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</si>
  <si>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</si>
  <si>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</si>
  <si>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</si>
  <si>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</si>
  <si>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</si>
  <si>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</si>
  <si>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</si>
  <si>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</si>
  <si>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</si>
  <si>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</si>
  <si>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</si>
  <si>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</si>
  <si>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</si>
  <si>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</si>
  <si>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</si>
  <si>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</si>
  <si>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</si>
  <si>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</si>
  <si>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</si>
  <si>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</si>
  <si>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</si>
  <si>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</si>
  <si>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</si>
  <si>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</si>
  <si>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</si>
  <si>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</si>
  <si>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</si>
  <si>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</si>
  <si>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</si>
  <si>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</si>
  <si>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</si>
  <si>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</si>
  <si>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</si>
  <si>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</si>
  <si>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</si>
  <si>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</si>
  <si>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</si>
  <si>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</si>
  <si>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</si>
  <si>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</si>
  <si>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</si>
  <si>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</si>
  <si>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</si>
  <si>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</si>
  <si>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</si>
  <si>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</si>
  <si>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</si>
  <si>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</si>
  <si>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</si>
  <si>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</si>
  <si>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</si>
  <si>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</si>
  <si>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</si>
  <si>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</si>
  <si>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</si>
  <si>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</si>
  <si>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</si>
  <si>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</si>
  <si>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</si>
  <si>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</si>
  <si>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</si>
  <si>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</si>
  <si>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</si>
  <si>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</si>
  <si>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</si>
  <si>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</si>
  <si>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</si>
  <si>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</si>
  <si>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</si>
  <si>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</si>
  <si>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</si>
  <si>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</si>
  <si>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</si>
  <si>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</si>
  <si>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</si>
  <si>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</si>
  <si>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</si>
  <si>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</si>
  <si>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</si>
  <si>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</si>
  <si>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</si>
  <si>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</si>
  <si>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</si>
  <si>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</si>
  <si>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</si>
  <si>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</si>
  <si>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</si>
  <si>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</si>
  <si>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</si>
  <si>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</si>
  <si>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</si>
  <si>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</si>
  <si>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</si>
  <si>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</si>
  <si>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</si>
  <si>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</si>
  <si>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</si>
  <si>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</si>
  <si>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</si>
  <si>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</si>
  <si>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</si>
  <si>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</si>
  <si>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</si>
  <si>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</si>
  <si>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</si>
  <si>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</si>
  <si>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</si>
  <si>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</si>
  <si>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</si>
  <si>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</si>
  <si>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</si>
  <si>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</si>
  <si>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</si>
  <si>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</si>
  <si>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</si>
  <si>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</si>
  <si>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</si>
  <si>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</si>
  <si>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</si>
  <si>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</si>
  <si>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</si>
  <si>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</si>
  <si>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</si>
  <si>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</si>
  <si>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</si>
  <si>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</si>
  <si>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</si>
  <si>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</si>
  <si>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</si>
  <si>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</si>
  <si>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</si>
  <si>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</si>
  <si>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</si>
  <si>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</si>
  <si>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</si>
  <si>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</si>
  <si>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</si>
  <si>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</si>
  <si>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</si>
  <si>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</si>
  <si>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</si>
  <si>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</si>
  <si>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</si>
  <si>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</si>
  <si>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</si>
  <si>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</si>
  <si>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</si>
  <si>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</si>
  <si>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</si>
  <si>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</si>
  <si>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</si>
  <si>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</si>
  <si>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</si>
  <si>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</si>
  <si>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</si>
  <si>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</si>
  <si>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</si>
  <si>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</si>
  <si>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</si>
  <si>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</si>
  <si>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</si>
  <si>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</si>
  <si>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</si>
  <si>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</si>
  <si>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</si>
  <si>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</si>
  <si>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</si>
  <si>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</si>
  <si>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</si>
  <si>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</si>
  <si>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</si>
  <si>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</si>
  <si>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</si>
  <si>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</si>
  <si>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</si>
  <si>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</si>
  <si>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</si>
  <si>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</si>
  <si>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</si>
  <si>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</si>
  <si>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</si>
  <si>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</si>
  <si>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</si>
  <si>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</si>
  <si>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</si>
  <si>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</si>
  <si>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</si>
  <si>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</si>
  <si>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</si>
  <si>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</si>
  <si>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</si>
  <si>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</si>
  <si>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</si>
  <si>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</si>
  <si>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</si>
  <si>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</si>
  <si>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</si>
  <si>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</si>
  <si>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</si>
  <si>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</si>
  <si>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</si>
  <si>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</si>
  <si>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</si>
  <si>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</si>
  <si>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</si>
  <si>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</si>
  <si>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</si>
  <si>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</si>
  <si>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</si>
  <si>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</si>
  <si>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</si>
  <si>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</si>
  <si>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</si>
  <si>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</si>
  <si>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</si>
  <si>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</si>
  <si>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</si>
  <si>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</si>
  <si>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</si>
  <si>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</si>
  <si>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</si>
  <si>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</si>
  <si>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</si>
  <si>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</si>
  <si>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</si>
  <si>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</si>
  <si>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</si>
  <si>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</si>
  <si>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</si>
  <si>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</si>
  <si>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</si>
  <si>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</si>
  <si>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</si>
  <si>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</si>
  <si>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</si>
  <si>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</si>
  <si>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</si>
  <si>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</si>
  <si>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</si>
  <si>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</si>
  <si>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</si>
  <si>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</si>
  <si>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</si>
  <si>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</si>
  <si>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</si>
  <si>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</si>
  <si>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</si>
  <si>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</si>
  <si>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</si>
  <si>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</si>
  <si>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</si>
  <si>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</si>
  <si>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</si>
  <si>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</si>
  <si>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</si>
  <si>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</si>
  <si>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</si>
  <si>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</si>
  <si>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</si>
  <si>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</si>
  <si>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</si>
  <si>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</si>
  <si>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</si>
  <si>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</si>
  <si>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</si>
  <si>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</si>
  <si>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</si>
  <si>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</si>
  <si>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</si>
  <si>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</si>
  <si>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</si>
  <si>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</si>
  <si>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</si>
  <si>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</si>
  <si>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</si>
  <si>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</si>
  <si>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</si>
  <si>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</si>
  <si>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</si>
  <si>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</si>
  <si>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</si>
  <si>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</si>
  <si>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</si>
  <si>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</si>
  <si>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</si>
  <si>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</si>
  <si>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</si>
  <si>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</si>
  <si>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</si>
  <si>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</si>
  <si>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</si>
  <si>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</si>
  <si>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</si>
  <si>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</si>
  <si>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</si>
  <si>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</si>
  <si>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</si>
  <si>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</si>
  <si>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</si>
  <si>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</si>
  <si>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</si>
  <si>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</si>
  <si>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</si>
  <si>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</si>
  <si>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</si>
  <si>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</si>
  <si>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</si>
  <si>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</si>
  <si>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</si>
  <si>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</si>
  <si>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</si>
  <si>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</si>
  <si>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</si>
  <si>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</si>
  <si>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</si>
  <si>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</si>
  <si>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</si>
  <si>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</si>
  <si>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</si>
  <si>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</si>
  <si>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</si>
  <si>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</si>
  <si>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</si>
  <si>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</si>
  <si>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</si>
  <si>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</si>
  <si>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</si>
  <si>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</si>
  <si>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</si>
  <si>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</si>
  <si>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</si>
  <si>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</si>
  <si>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</si>
  <si>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</si>
  <si>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</si>
  <si>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</si>
  <si>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</si>
  <si>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</si>
  <si>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</si>
  <si>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</si>
  <si>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</si>
  <si>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</si>
  <si>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</si>
  <si>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</si>
  <si>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</si>
  <si>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</si>
  <si>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</si>
  <si>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</si>
  <si>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</si>
  <si>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</si>
  <si>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</si>
  <si>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</si>
  <si>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</si>
  <si>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</si>
  <si>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</si>
  <si>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</si>
  <si>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</si>
  <si>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</si>
  <si>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</si>
  <si>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</si>
  <si>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</si>
  <si>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</si>
  <si>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</si>
  <si>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</si>
  <si>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</si>
  <si>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</si>
  <si>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</si>
  <si>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</si>
  <si>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</si>
  <si>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</si>
  <si>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</si>
  <si>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</si>
  <si>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</si>
  <si>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</si>
  <si>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</si>
  <si>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</si>
  <si>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</si>
  <si>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</si>
  <si>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</si>
  <si>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</si>
  <si>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</si>
  <si>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</si>
  <si>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</si>
  <si>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</si>
  <si>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</si>
  <si>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</si>
  <si>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</si>
  <si>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</si>
  <si>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</si>
  <si>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</si>
  <si>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</si>
  <si>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</si>
  <si>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</si>
  <si>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</si>
  <si>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</si>
  <si>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</si>
  <si>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</si>
  <si>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</si>
  <si>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</si>
  <si>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</si>
  <si>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</si>
  <si>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</si>
  <si>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</si>
  <si>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</si>
  <si>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</si>
  <si>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</si>
  <si>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</si>
  <si>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</si>
  <si>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</si>
  <si>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</si>
  <si>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</si>
  <si>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</si>
  <si>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</si>
  <si>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</si>
  <si>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</si>
  <si>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</si>
  <si>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</si>
  <si>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</si>
  <si>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</si>
  <si>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</si>
  <si>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</si>
  <si>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</si>
  <si>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</si>
  <si>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</si>
  <si>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</si>
  <si>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</si>
  <si>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</si>
  <si>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</si>
  <si>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</si>
  <si>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</si>
  <si>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</si>
  <si>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</si>
  <si>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</si>
  <si>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</si>
  <si>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</si>
  <si>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</si>
  <si>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</si>
  <si>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</si>
  <si>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</si>
  <si>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</si>
  <si>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</si>
  <si>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</si>
  <si>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</si>
  <si>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</si>
  <si>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</si>
  <si>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</si>
  <si>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</si>
  <si>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</si>
  <si>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</si>
  <si>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</si>
  <si>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</si>
  <si>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</si>
  <si>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</si>
  <si>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</si>
  <si>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</si>
  <si>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</si>
  <si>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</si>
  <si>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</si>
  <si>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</si>
  <si>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</si>
  <si>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</si>
  <si>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</si>
  <si>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</si>
  <si>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</si>
  <si>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</si>
  <si>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</si>
  <si>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</si>
  <si>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</si>
  <si>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</si>
  <si>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</si>
  <si>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</si>
  <si>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</si>
  <si>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</si>
  <si>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</si>
  <si>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</si>
  <si>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</si>
  <si>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</si>
  <si>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</si>
  <si>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</si>
  <si>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</si>
  <si>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</si>
  <si>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</si>
  <si>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</si>
  <si>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</si>
  <si>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</si>
  <si>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</si>
  <si>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</si>
  <si>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</si>
  <si>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</si>
  <si>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</si>
  <si>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</si>
  <si>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</si>
  <si>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</si>
  <si>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</si>
  <si>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</si>
  <si>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</si>
  <si>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</si>
  <si>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Address: Fateh Gher </t>
  </si>
  <si>
    <t xml:space="preserve">Ha Mega Mart </t>
  </si>
  <si>
    <t>NTN://  B132902-8</t>
  </si>
  <si>
    <t xml:space="preserve">HA Mega Mart </t>
  </si>
  <si>
    <t>Invoice No # : 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</si>
</sst>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/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46244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HA Mega Mart </v>
      </c>
      <c r="T3" s="301">
        <f>+'1'!P35</f>
        <v>18619.701508855927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Ha Mega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Ha Mega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Ha Mega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1773.2325000000001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10.849213347457626</v>
      </c>
      <c r="P7" s="310">
        <f>M7+N7+O7</f>
        <v>2180.6918828389826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Ha Mega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Ha Mega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Ha Mega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2455.232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15.021922711864406</v>
      </c>
      <c r="P10" s="311">
        <f t="shared" si="2"/>
        <v>3019.4064650847458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Ha Mega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Ha Mega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2455.232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15.021922711864406</v>
      </c>
      <c r="P12" s="311">
        <f t="shared" si="2"/>
        <v>3019.4064650847458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Ha Mega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Ha Mega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Ha Mega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Ha Mega Mart 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7</v>
      </c>
      <c r="H16" s="113">
        <f t="shared" ref="H16:M16" si="3">SUM(H7:H15)</f>
        <v>280</v>
      </c>
      <c r="I16" s="114">
        <f t="shared" si="3"/>
        <v>17917.899999999998</v>
      </c>
      <c r="J16" s="274">
        <f>SUM(J7:J15)</f>
        <v>2150.1480000000001</v>
      </c>
      <c r="K16" s="275">
        <f t="shared" si="3"/>
        <v>627.12650000000008</v>
      </c>
      <c r="L16" s="276">
        <f t="shared" si="3"/>
        <v>0</v>
      </c>
      <c r="M16" s="232">
        <f t="shared" si="3"/>
        <v>15140.6255</v>
      </c>
      <c r="N16" s="233">
        <f>SUM(N7:N15)</f>
        <v>3386.4406779661008</v>
      </c>
      <c r="O16" s="101">
        <f>SUM(O7:O15)</f>
        <v>92.635330889830499</v>
      </c>
      <c r="P16" s="113">
        <f>SUM(P7:P15)</f>
        <v>18619.701508855931</v>
      </c>
      <c r="Q16" s="128">
        <f>SUM(Q7:Q15)</f>
        <v>0</v>
      </c>
      <c r="R16" s="314">
        <v>14</v>
      </c>
      <c r="S16" s="300" t="str">
        <f>+'14'!A6:A6</f>
        <v xml:space="preserve">Ha Mega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Ha Mega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Ha Mega Mart 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17917.899999999998</v>
      </c>
      <c r="R19" s="299">
        <v>17</v>
      </c>
      <c r="S19" s="300" t="str">
        <f>+'17'!A6:A6</f>
        <v xml:space="preserve">Ha Mega Mart 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2150.1480000000001</v>
      </c>
      <c r="R20" s="299">
        <v>18</v>
      </c>
      <c r="S20" s="300" t="str">
        <f>+'18'!A6:A6</f>
        <v xml:space="preserve">Ha Mega Mart 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627.12650000000008</v>
      </c>
      <c r="R21" s="299">
        <v>19</v>
      </c>
      <c r="S21" s="300" t="str">
        <f>+'19'!A6:A6</f>
        <v xml:space="preserve">Ha Mega Mart 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15140.625499999996</v>
      </c>
      <c r="R22" s="299">
        <v>20</v>
      </c>
      <c r="S22" s="300" t="str">
        <f>+'20'!A6:A6</f>
        <v xml:space="preserve">Ha Mega Mart 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3386.4406779661008</v>
      </c>
      <c r="R23" s="299">
        <v>21</v>
      </c>
      <c r="S23" s="300" t="str">
        <f>+'21'!A6:A6</f>
        <v xml:space="preserve">Ha Mega Mart 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18527.066177966099</v>
      </c>
      <c r="R24" s="299">
        <v>22</v>
      </c>
      <c r="S24" s="300" t="str">
        <f>+'22'!A6:A6</f>
        <v xml:space="preserve">Ha Mega Mart 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92.635330889830499</v>
      </c>
      <c r="R25" s="299">
        <v>23</v>
      </c>
      <c r="S25" s="300" t="str">
        <f>+'23'!A6:A6</f>
        <v xml:space="preserve">Ha Mega Mart 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18619.701508855927</v>
      </c>
      <c r="R26" s="299">
        <v>24</v>
      </c>
      <c r="S26" s="300" t="str">
        <f>+'24'!A6:A6</f>
        <v xml:space="preserve">Ha Mega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Ha Mega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Ha Mega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Ha Mega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Ha Mega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Ha Mega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Ha Mega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18619.701508855927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3" sqref="F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46243</v>
      </c>
      <c r="O5" s="392"/>
      <c r="P5" s="392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251.82</v>
      </c>
      <c r="K16" s="127">
        <f>$I16*T16</f>
        <v>73.447500000000005</v>
      </c>
      <c r="L16" s="118">
        <f>$I16*U16</f>
        <v>0</v>
      </c>
      <c r="M16" s="229">
        <f>I16-SUM(J16:L16)</f>
        <v>1773.2325000000001</v>
      </c>
      <c r="N16" s="248">
        <f>+(G16*D16+H16)*V16</f>
        <v>396.61016949152526</v>
      </c>
      <c r="O16" s="238">
        <f>(N16+M16)*$O$15</f>
        <v>10.849213347457626</v>
      </c>
      <c r="P16" s="310">
        <f>M16+N16+O16</f>
        <v>2180.6918828389826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311">
        <f t="shared" ref="P17:P24" si="5">M17+N17+O17</f>
        <v>4361.3837656779651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348.67199999999997</v>
      </c>
      <c r="K19" s="128">
        <f t="shared" si="1"/>
        <v>101.69600000000001</v>
      </c>
      <c r="L19" s="119">
        <f t="shared" si="1"/>
        <v>0</v>
      </c>
      <c r="M19" s="230">
        <f t="shared" si="2"/>
        <v>2455.232</v>
      </c>
      <c r="N19" s="277">
        <f t="shared" si="3"/>
        <v>549.15254237288138</v>
      </c>
      <c r="O19" s="239">
        <f t="shared" si="4"/>
        <v>15.021922711864406</v>
      </c>
      <c r="P19" s="311">
        <f t="shared" si="5"/>
        <v>3019.4064650847458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R20">
        <f>P20/21</f>
        <v>287.56252048426148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348.67199999999997</v>
      </c>
      <c r="K21" s="128">
        <f t="shared" si="1"/>
        <v>101.69600000000001</v>
      </c>
      <c r="L21" s="119">
        <f t="shared" si="1"/>
        <v>0</v>
      </c>
      <c r="M21" s="230">
        <f t="shared" si="2"/>
        <v>2455.232</v>
      </c>
      <c r="N21" s="277">
        <f t="shared" si="3"/>
        <v>549.15254237288138</v>
      </c>
      <c r="O21" s="239">
        <f t="shared" si="4"/>
        <v>15.021922711864406</v>
      </c>
      <c r="P21" s="311">
        <f t="shared" si="5"/>
        <v>3019.4064650847458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17917.899999999998</v>
      </c>
      <c r="J25" s="274">
        <f>SUM(J16:J24)</f>
        <v>2150.1480000000001</v>
      </c>
      <c r="K25" s="275">
        <f t="shared" si="10"/>
        <v>627.12650000000008</v>
      </c>
      <c r="L25" s="276">
        <f t="shared" si="10"/>
        <v>0</v>
      </c>
      <c r="M25" s="232">
        <f t="shared" si="10"/>
        <v>15140.6255</v>
      </c>
      <c r="N25" s="233">
        <f>SUM(N16:N24)</f>
        <v>3386.4406779661008</v>
      </c>
      <c r="O25" s="101">
        <f>SUM(O16:O24)</f>
        <v>92.635330889830499</v>
      </c>
      <c r="P25" s="113">
        <f>SUM(P16:P24)</f>
        <v>18619.701508855931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17917.899999999998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2150.1480000000001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627.12650000000008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15140.625499999996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3386.4406779661008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18527.066177966099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92.635330889830499</v>
      </c>
    </row>
    <row r="35" spans="2:16" ht="15.75" customHeight="1" thickBot="1" x14ac:dyDescent="0.4">
      <c r="N35" s="372" t="s">
        <v>88</v>
      </c>
      <c r="O35" s="373"/>
      <c r="P35" s="297">
        <f>+P33+P34</f>
        <v>18619.701508855927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46245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46244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2026-08-10T04:54:44Z</dcterms:modified>
</cp:coreProperties>
</file>