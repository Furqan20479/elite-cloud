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0B17B1E-A82A-4F4A-B5D9-CD28E9CC001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O21" i="51" s="1"/>
  <c r="P21" i="51" s="1"/>
  <c r="M16" i="48"/>
  <c r="J7" i="62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<sst xmlns="http://schemas.openxmlformats.org/spreadsheetml/2006/main" count="3978" uniqueCount="531">
  <si>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</si>
  <si>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</si>
  <si>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</si>
  <si>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</si>
  <si>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</si>
  <si>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</si>
  <si>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</si>
  <si>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</si>
  <si>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</si>
  <si>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</si>
  <si>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</si>
  <si>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</si>
  <si>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</si>
  <si>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</si>
  <si>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</si>
  <si>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</si>
  <si>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</si>
  <si>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</si>
  <si>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</si>
  <si>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</si>
  <si>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</si>
  <si>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</si>
  <si>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</si>
  <si>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</si>
  <si>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</si>
  <si>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</si>
  <si>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</si>
  <si>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</si>
  <si>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</si>
  <si>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</si>
  <si>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</si>
  <si>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</si>
  <si>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</si>
  <si>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</si>
  <si>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</si>
  <si>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</si>
  <si>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</si>
  <si>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</si>
  <si>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</si>
  <si>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</si>
  <si>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</si>
  <si>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</si>
  <si>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</si>
  <si>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</si>
  <si>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</si>
  <si>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</si>
  <si>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</si>
  <si>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</si>
  <si>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</si>
  <si>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</si>
  <si>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</si>
  <si>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</si>
  <si>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</si>
  <si>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</si>
  <si>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</si>
  <si>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</si>
  <si>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</si>
  <si>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</si>
  <si>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</si>
  <si>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</si>
  <si>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</si>
  <si>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</si>
  <si>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</si>
  <si>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</si>
  <si>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</si>
  <si>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</si>
  <si>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</si>
  <si>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</si>
  <si>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</si>
  <si>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</si>
  <si>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</si>
  <si>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</si>
  <si>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</si>
  <si>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</si>
  <si>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</si>
  <si>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</si>
  <si>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</si>
  <si>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</si>
  <si>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</si>
  <si>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</si>
  <si>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</si>
  <si>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</si>
  <si>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</si>
  <si>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</si>
  <si>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</si>
  <si>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</si>
  <si>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</si>
  <si>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</si>
  <si>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</si>
  <si>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</si>
  <si>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</si>
  <si>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</si>
  <si>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</si>
  <si>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</si>
  <si>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</si>
  <si>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</si>
  <si>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</si>
  <si>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</si>
  <si>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</si>
  <si>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</si>
  <si>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</si>
  <si>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</si>
  <si>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</si>
  <si>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</si>
  <si>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</si>
  <si>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</si>
  <si>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</si>
  <si>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</si>
  <si>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</si>
  <si>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</si>
  <si>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</si>
  <si>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</si>
  <si>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</si>
  <si>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</si>
  <si>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</si>
  <si>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</si>
  <si>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</si>
  <si>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</si>
  <si>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</si>
  <si>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</si>
  <si>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</si>
  <si>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</si>
  <si>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</si>
  <si>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</si>
  <si>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</si>
  <si>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</si>
  <si>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</si>
  <si>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</si>
  <si>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</si>
  <si>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</si>
  <si>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</si>
  <si>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</si>
  <si>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</si>
  <si>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</si>
  <si>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</si>
  <si>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</si>
  <si>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</si>
  <si>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</si>
  <si>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</si>
  <si>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</si>
  <si>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</si>
  <si>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</si>
  <si>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</si>
  <si>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</si>
  <si>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</si>
  <si>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</si>
  <si>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</si>
  <si>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</si>
  <si>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</si>
  <si>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</si>
  <si>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</si>
  <si>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</si>
  <si>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</si>
  <si>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</si>
  <si>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</si>
  <si>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</si>
  <si>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</si>
  <si>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</si>
  <si>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</si>
  <si>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</si>
  <si>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</si>
  <si>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</si>
  <si>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</si>
  <si>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</si>
  <si>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</si>
  <si>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</si>
  <si>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</si>
  <si>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</si>
  <si>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</si>
  <si>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</si>
  <si>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</si>
  <si>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</si>
  <si>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</si>
  <si>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</si>
  <si>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</si>
  <si>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</si>
  <si>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</si>
  <si>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</si>
  <si>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</si>
  <si>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</si>
  <si>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</si>
  <si>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</si>
  <si>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</si>
  <si>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</si>
  <si>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</si>
  <si>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</si>
  <si>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</si>
  <si>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</si>
  <si>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</si>
  <si>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</si>
  <si>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</si>
  <si>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</si>
  <si>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</si>
  <si>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</si>
  <si>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</si>
  <si>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</si>
  <si>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</si>
  <si>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</si>
  <si>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</si>
  <si>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</si>
  <si>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</si>
  <si>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</si>
  <si>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</si>
  <si>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</si>
  <si>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</si>
  <si>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</si>
  <si>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</si>
  <si>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</si>
  <si>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</si>
  <si>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</si>
  <si>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</si>
  <si>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</si>
  <si>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</si>
  <si>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</si>
  <si>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</si>
  <si>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</si>
  <si>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</si>
  <si>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</si>
  <si>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</si>
  <si>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</si>
  <si>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</si>
  <si>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</si>
  <si>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</si>
  <si>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</si>
  <si>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</si>
  <si>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</si>
  <si>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</si>
  <si>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</si>
  <si>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</si>
  <si>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</si>
  <si>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</si>
  <si>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</si>
  <si>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</si>
  <si>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</si>
  <si>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</si>
  <si>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</si>
  <si>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</si>
  <si>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</si>
  <si>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</si>
  <si>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</si>
  <si>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</si>
  <si>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</si>
  <si>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</si>
  <si>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</si>
  <si>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</si>
  <si>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</si>
  <si>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</si>
  <si>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</si>
  <si>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</si>
  <si>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</si>
  <si>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</si>
  <si>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</si>
  <si>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</si>
  <si>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</si>
  <si>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</si>
  <si>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</si>
  <si>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</si>
  <si>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</si>
  <si>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</si>
  <si>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</si>
  <si>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</si>
  <si>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</si>
  <si>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</si>
  <si>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</si>
  <si>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</si>
  <si>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</si>
  <si>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</si>
  <si>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</si>
  <si>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</si>
  <si>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</si>
  <si>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</si>
  <si>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</si>
  <si>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</si>
  <si>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</si>
  <si>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</si>
  <si>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</si>
  <si>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</si>
  <si>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</si>
  <si>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</si>
  <si>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</si>
  <si>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</si>
  <si>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</si>
  <si>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</si>
  <si>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</si>
  <si>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</si>
  <si>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</si>
  <si>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</si>
  <si>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</si>
  <si>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</si>
  <si>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</si>
  <si>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</si>
  <si>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</si>
  <si>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</si>
  <si>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</si>
  <si>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</si>
  <si>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</si>
  <si>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</si>
  <si>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</si>
  <si>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</si>
  <si>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</si>
  <si>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</si>
  <si>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</si>
  <si>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</si>
  <si>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</si>
  <si>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</si>
  <si>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</si>
  <si>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</si>
  <si>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</si>
  <si>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</si>
  <si>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</si>
  <si>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</si>
  <si>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</si>
  <si>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</si>
  <si>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</si>
  <si>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</si>
  <si>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</si>
  <si>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</si>
  <si>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</si>
  <si>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</si>
  <si>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</si>
  <si>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</si>
  <si>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</si>
  <si>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</si>
  <si>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</si>
  <si>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</si>
  <si>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</si>
  <si>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</si>
  <si>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</si>
  <si>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</si>
  <si>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</si>
  <si>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</si>
  <si>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</si>
  <si>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</si>
  <si>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</si>
  <si>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</si>
  <si>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</si>
  <si>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</si>
  <si>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</si>
  <si>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</si>
  <si>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</si>
  <si>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</si>
  <si>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</si>
  <si>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</si>
  <si>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</si>
  <si>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</si>
  <si>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</si>
  <si>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</si>
  <si>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</si>
  <si>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</si>
  <si>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</si>
  <si>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</si>
  <si>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</si>
  <si>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</si>
  <si>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</si>
  <si>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</si>
  <si>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</si>
  <si>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</si>
  <si>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</si>
  <si>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</si>
  <si>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</si>
  <si>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</si>
  <si>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</si>
  <si>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</si>
  <si>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</si>
  <si>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</si>
  <si>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</si>
  <si>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</si>
  <si>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</si>
  <si>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</si>
  <si>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</si>
  <si>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</si>
  <si>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</si>
  <si>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</si>
  <si>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</si>
  <si>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</si>
  <si>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</si>
  <si>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</si>
  <si>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</si>
  <si>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</si>
  <si>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</si>
  <si>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</si>
  <si>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</si>
  <si>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</si>
  <si>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</si>
  <si>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</si>
  <si>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</si>
  <si>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</si>
  <si>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</si>
  <si>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</si>
  <si>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</si>
  <si>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</si>
  <si>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</si>
  <si>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</si>
  <si>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</si>
  <si>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</si>
  <si>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</si>
  <si>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</si>
  <si>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</si>
  <si>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</si>
  <si>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</si>
  <si>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</si>
  <si>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</si>
  <si>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</si>
  <si>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</si>
  <si>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</si>
  <si>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</si>
  <si>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</si>
  <si>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</si>
  <si>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</si>
  <si>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</si>
  <si>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</si>
  <si>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</si>
  <si>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</si>
  <si>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</si>
  <si>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</si>
  <si>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</si>
  <si>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</si>
  <si>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</si>
  <si>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</si>
  <si>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</si>
  <si>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</si>
  <si>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</si>
  <si>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</si>
  <si>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</si>
  <si>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</si>
  <si>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</si>
  <si>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</si>
  <si>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</si>
  <si>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</si>
  <si>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</si>
  <si>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</si>
  <si>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</si>
  <si>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</si>
  <si>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</si>
  <si>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</si>
  <si>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</si>
  <si>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</si>
  <si>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</si>
  <si>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</si>
  <si>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</si>
  <si>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</si>
  <si>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</si>
  <si>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</si>
  <si>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</si>
  <si>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</si>
  <si>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</si>
  <si>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</si>
  <si>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</si>
  <si>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</si>
  <si>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</si>
  <si>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</si>
  <si>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</si>
  <si>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</si>
  <si>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</si>
  <si>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</si>
  <si>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</si>
  <si>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</si>
  <si>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</si>
  <si>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</si>
  <si>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</si>
  <si>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</si>
  <si>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</si>
  <si>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</si>
  <si>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</si>
  <si>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</si>
  <si>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</si>
  <si>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</si>
  <si>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</si>
  <si>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</si>
  <si>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</si>
  <si>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</si>
  <si>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</si>
  <si>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</si>
  <si>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</si>
  <si>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</si>
  <si>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</si>
  <si>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</si>
  <si>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</si>
  <si>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</si>
  <si>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</si>
  <si>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</si>
  <si>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</si>
  <si>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</si>
  <si>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</si>
  <si>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</si>
  <si>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</si>
  <si>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</si>
  <si>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</si>
  <si>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</si>
  <si>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</si>
  <si>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</si>
  <si>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</si>
  <si>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</si>
  <si>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</si>
  <si>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</si>
  <si>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</si>
  <si>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</si>
  <si>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</si>
  <si>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</si>
  <si>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</si>
  <si>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</si>
  <si>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</si>
  <si>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</si>
  <si>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</si>
  <si>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</si>
  <si>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</si>
  <si>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</si>
  <si>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</si>
  <si>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</si>
  <si>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</si>
  <si>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</si>
  <si>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</si>
  <si>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</si>
  <si>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</si>
  <si>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</si>
  <si>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</si>
  <si>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</si>
  <si>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Address: Behria Nasheman </t>
  </si>
  <si>
    <t xml:space="preserve">Alfazal Mart </t>
  </si>
  <si>
    <t xml:space="preserve">Bajwa Mart </t>
  </si>
  <si>
    <t xml:space="preserve">Address: Behria Nashemon </t>
  </si>
  <si>
    <t xml:space="preserve">M.A Mart </t>
  </si>
  <si>
    <t xml:space="preserve">A.S Cash N Carry </t>
  </si>
  <si>
    <t xml:space="preserve">Address: Central Park </t>
  </si>
  <si>
    <t xml:space="preserve">Sheen Mart </t>
  </si>
  <si>
    <t xml:space="preserve">Address:Central Park </t>
  </si>
  <si>
    <t>SM Rice Traders</t>
  </si>
  <si>
    <t xml:space="preserve">Safa Mart </t>
  </si>
  <si>
    <t xml:space="preserve">Altaf Cash N Carry </t>
  </si>
  <si>
    <t xml:space="preserve">Sufiyan Mart </t>
  </si>
  <si>
    <t xml:space="preserve">Bibi Fatima Cash N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</si>
</sst>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F36" sqref="F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Alfazal Mart </v>
      </c>
      <c r="T3" s="301">
        <f>+'1'!P35</f>
        <v>17277.093747915253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Bajwa Mart </v>
      </c>
      <c r="T4" s="301">
        <f>+'2'!P35</f>
        <v>4682.3747503271188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M.A Mart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A.S Cash N Carry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292</v>
      </c>
      <c r="I7" s="235">
        <f>(G7*D7)*F7+H7*F7</f>
        <v>15319.05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1225.5239999999999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536.16675000000009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13557.35925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2895.2542372881344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82.263067436440679</v>
      </c>
      <c r="P7" s="310">
        <f>M7+N7+O7</f>
        <v>16534.876554724575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Sheen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252</v>
      </c>
      <c r="I8" s="236">
        <f t="shared" ref="I8:I14" si="0">(G8*D8)*F8+H8*F8</f>
        <v>13220.55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1057.644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462.71925000000005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11700.186749999999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2498.6440677966093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70.994154088983052</v>
      </c>
      <c r="P8" s="311">
        <f t="shared" ref="P8:P15" si="2">M8+N8+O8</f>
        <v>14269.824971885591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SM Rice Traders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Safa Mart </v>
      </c>
      <c r="T9" s="301">
        <f>+'7'!P35</f>
        <v>4875.0929718559319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272</v>
      </c>
      <c r="I10" s="236">
        <f t="shared" si="0"/>
        <v>19758.080000000002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1580.6464000000001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691.53280000000007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17485.900800000003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3734.2372881355932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106.10069044067797</v>
      </c>
      <c r="P10" s="311">
        <f t="shared" si="2"/>
        <v>21326.238778576273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Altaf Cash N Carry </v>
      </c>
      <c r="T10" s="301">
        <f>+'8'!P35</f>
        <v>20413.305333000004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264</v>
      </c>
      <c r="I11" s="236">
        <f t="shared" si="0"/>
        <v>19176.96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1534.1568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671.19360000000006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16971.6096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3624.406779661017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102.98008189830509</v>
      </c>
      <c r="P11" s="311">
        <f t="shared" si="2"/>
        <v>20698.996461559324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Sufiyan Mart </v>
      </c>
      <c r="T11" s="301">
        <f>+'9'!P35</f>
        <v>12471.704249338982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312</v>
      </c>
      <c r="I12" s="236">
        <f t="shared" si="0"/>
        <v>22663.68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1813.0944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793.22880000000009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20057.356800000001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4283.3898305084749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121.70373315254238</v>
      </c>
      <c r="P12" s="311">
        <f t="shared" si="2"/>
        <v>24462.450363661017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Bibi Fatima Cash N Carry </v>
      </c>
      <c r="T12" s="301">
        <f>+'10'!P35</f>
        <v>46823.747503271174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452</v>
      </c>
      <c r="I13" s="236">
        <f t="shared" si="0"/>
        <v>17731.960000000003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886.59800000000018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620.61860000000024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904.32996000000003</v>
      </c>
      <c r="M13" s="230">
        <f t="shared" si="1"/>
        <v>15320.413440000002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3447.4576271186424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93.839355335593226</v>
      </c>
      <c r="P13" s="311">
        <f t="shared" si="2"/>
        <v>18861.710422454238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46.1</v>
      </c>
      <c r="H16" s="113">
        <f t="shared" ref="H16:M16" si="3">SUM(H7:H15)</f>
        <v>1844</v>
      </c>
      <c r="I16" s="114">
        <f t="shared" si="3"/>
        <v>107870.28000000001</v>
      </c>
      <c r="J16" s="274">
        <f>SUM(J7:J15)</f>
        <v>8097.6635999999999</v>
      </c>
      <c r="K16" s="275">
        <f t="shared" si="3"/>
        <v>3775.459800000001</v>
      </c>
      <c r="L16" s="276">
        <f t="shared" si="3"/>
        <v>904.32996000000003</v>
      </c>
      <c r="M16" s="232">
        <f t="shared" si="3"/>
        <v>95092.826640000014</v>
      </c>
      <c r="N16" s="233">
        <f>SUM(N7:N15)</f>
        <v>20483.389830508469</v>
      </c>
      <c r="O16" s="101">
        <f>SUM(O7:O15)</f>
        <v>577.88108235254242</v>
      </c>
      <c r="P16" s="113">
        <f>SUM(P7:P15)</f>
        <v>116154.09755286101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107870.28000000001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8097.6635999999999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4679.7897600000015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95092.826640000014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20483.389830508469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115576.21647050849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577.88108235254242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116154.09755286103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116154.09755286103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16052.2</v>
      </c>
      <c r="J25" s="274">
        <f>SUM(J16:J24)</f>
        <v>1190.0240000000001</v>
      </c>
      <c r="K25" s="275">
        <f t="shared" si="10"/>
        <v>561.82700000000011</v>
      </c>
      <c r="L25" s="276">
        <f t="shared" si="10"/>
        <v>160.05840000000001</v>
      </c>
      <c r="M25" s="232">
        <f t="shared" si="10"/>
        <v>14140.290600000002</v>
      </c>
      <c r="N25" s="233">
        <f>SUM(N16:N24)</f>
        <v>3050.8474576271178</v>
      </c>
      <c r="O25" s="101">
        <f>SUM(O16:O24)</f>
        <v>85.955690288135585</v>
      </c>
      <c r="P25" s="113">
        <f>SUM(P16:P24)</f>
        <v>17277.093747915256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16052.2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1190.0240000000001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721.88540000000012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14140.2906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3050.8474576271178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17191.138057627119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85.9556902881356</v>
      </c>
    </row>
    <row r="35" spans="2:16" ht="15.75" customHeight="1" thickBot="1" x14ac:dyDescent="0.4">
      <c r="N35" s="342" t="s">
        <v>88</v>
      </c>
      <c r="O35" s="343"/>
      <c r="P35" s="297">
        <f>+P33+P34</f>
        <v>17277.093747915253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72</v>
      </c>
      <c r="I25" s="114">
        <f t="shared" si="7"/>
        <v>4344.9000000000005</v>
      </c>
      <c r="J25" s="274">
        <f>SUM(J16:J24)</f>
        <v>333.4692</v>
      </c>
      <c r="K25" s="275">
        <f t="shared" si="7"/>
        <v>152.07150000000001</v>
      </c>
      <c r="L25" s="276">
        <f t="shared" si="7"/>
        <v>24.008760000000002</v>
      </c>
      <c r="M25" s="232">
        <f t="shared" si="7"/>
        <v>3835.3505399999999</v>
      </c>
      <c r="N25" s="233">
        <f>SUM(N16:N24)</f>
        <v>823.72881355932202</v>
      </c>
      <c r="O25" s="101">
        <f>SUM(O16:O24)</f>
        <v>23.295396767796611</v>
      </c>
      <c r="P25" s="113">
        <f>SUM(P16:P24)</f>
        <v>4682.3747503271179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4344.9000000000005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333.4692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176.08026000000001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3835.3505400000004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823.72881355932202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4659.079353559322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23.295396767796611</v>
      </c>
    </row>
    <row r="35" spans="2:16" ht="15.75" customHeight="1" thickBot="1" x14ac:dyDescent="0.4">
      <c r="N35" s="342" t="s">
        <v>88</v>
      </c>
      <c r="O35" s="343"/>
      <c r="P35" s="297">
        <f>+P33+P34</f>
        <v>4682.3747503271188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92</v>
      </c>
      <c r="I25" s="114">
        <f t="shared" si="7"/>
        <v>4539.380000000001</v>
      </c>
      <c r="J25" s="274">
        <f>SUM(J16:J24)</f>
        <v>316.07440000000003</v>
      </c>
      <c r="K25" s="275">
        <f t="shared" si="7"/>
        <v>158.87830000000002</v>
      </c>
      <c r="L25" s="276">
        <f t="shared" si="7"/>
        <v>80.029200000000003</v>
      </c>
      <c r="M25" s="232">
        <f t="shared" si="7"/>
        <v>3984.3981000000003</v>
      </c>
      <c r="N25" s="233">
        <f>SUM(N16:N24)</f>
        <v>866.44067796610136</v>
      </c>
      <c r="O25" s="101">
        <f>SUM(O16:O24)</f>
        <v>24.25419388983051</v>
      </c>
      <c r="P25" s="113">
        <f>SUM(P16:P24)</f>
        <v>4875.0929718559328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4539.380000000001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316.07440000000003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238.90750000000003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3984.3981000000003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866.44067796610136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4850.8387779661016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24.254193889830507</v>
      </c>
    </row>
    <row r="35" spans="2:16" ht="15.75" customHeight="1" thickBot="1" x14ac:dyDescent="0.4">
      <c r="N35" s="342" t="s">
        <v>88</v>
      </c>
      <c r="O35" s="343"/>
      <c r="P35" s="297">
        <f>+P33+P34</f>
        <v>4875.0929718559319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320</v>
      </c>
      <c r="I25" s="114">
        <f t="shared" si="7"/>
        <v>18957.800000000003</v>
      </c>
      <c r="J25" s="274">
        <f>SUM(J16:J24)</f>
        <v>1422.472</v>
      </c>
      <c r="K25" s="275">
        <f t="shared" si="7"/>
        <v>663.52300000000014</v>
      </c>
      <c r="L25" s="276">
        <f t="shared" si="7"/>
        <v>160.05840000000001</v>
      </c>
      <c r="M25" s="232">
        <f t="shared" si="7"/>
        <v>16711.746600000002</v>
      </c>
      <c r="N25" s="233">
        <f>SUM(N16:N24)</f>
        <v>3599.9999999999995</v>
      </c>
      <c r="O25" s="101">
        <f>SUM(O16:O24)</f>
        <v>101.55873299999999</v>
      </c>
      <c r="P25" s="113">
        <f>SUM(P16:P24)</f>
        <v>20413.305333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18957.800000000003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1422.472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823.58140000000014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16711.746600000002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3599.9999999999995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20311.746600000002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101.55873300000002</v>
      </c>
    </row>
    <row r="35" spans="2:16" ht="15.75" customHeight="1" thickBot="1" x14ac:dyDescent="0.4">
      <c r="N35" s="342" t="s">
        <v>88</v>
      </c>
      <c r="O35" s="343"/>
      <c r="P35" s="297">
        <f>+P33+P34</f>
        <v>20413.305333000004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11577.4</v>
      </c>
      <c r="J25" s="274">
        <f>SUM(J16:J24)</f>
        <v>879.1160000000001</v>
      </c>
      <c r="K25" s="275">
        <f t="shared" si="7"/>
        <v>405.20900000000006</v>
      </c>
      <c r="L25" s="276">
        <f t="shared" si="7"/>
        <v>80.029200000000003</v>
      </c>
      <c r="M25" s="232">
        <f t="shared" si="7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11577.4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879.1160000000001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485.23820000000006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10213.0458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12409.655969491525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62.048279847457628</v>
      </c>
    </row>
    <row r="35" spans="2:16" ht="15.75" customHeight="1" thickBot="1" x14ac:dyDescent="0.4">
      <c r="N35" s="342" t="s">
        <v>88</v>
      </c>
      <c r="O35" s="343"/>
      <c r="P35" s="297">
        <f>+P33+P34</f>
        <v>12471.704249338982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310">
        <f>M16+N16+O16</f>
        <v>6795.1547485169476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503.64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5571.5174999999999</v>
      </c>
      <c r="N17" s="277">
        <f t="shared" ref="N17:N24" si="3">+(G17*D17+H17)*V17</f>
        <v>1189.8305084745757</v>
      </c>
      <c r="O17" s="239">
        <f t="shared" ref="O17:O24" si="4">(N17+M17)*$O$15</f>
        <v>33.80674004237288</v>
      </c>
      <c r="P17" s="311">
        <f t="shared" ref="P17:P24" si="5">M17+N17+O17</f>
        <v>6795.1547485169476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311">
        <f t="shared" si="5"/>
        <v>9408.6347552542375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311">
        <f t="shared" si="5"/>
        <v>9408.6347552542375</v>
      </c>
      <c r="Q20" s="156"/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311">
        <f t="shared" si="5"/>
        <v>9408.6347552542375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720</v>
      </c>
      <c r="I25" s="114">
        <f t="shared" si="7"/>
        <v>43448.999999999993</v>
      </c>
      <c r="J25" s="274">
        <f>SUM(J16:J24)</f>
        <v>3334.692</v>
      </c>
      <c r="K25" s="275">
        <f t="shared" si="7"/>
        <v>1520.7150000000001</v>
      </c>
      <c r="L25" s="276">
        <f t="shared" si="7"/>
        <v>240.08760000000001</v>
      </c>
      <c r="M25" s="232">
        <f t="shared" si="7"/>
        <v>38353.505399999995</v>
      </c>
      <c r="N25" s="233">
        <f>SUM(N16:N24)</f>
        <v>8237.2881355932186</v>
      </c>
      <c r="O25" s="101">
        <f>SUM(O16:O24)</f>
        <v>232.95396767796612</v>
      </c>
      <c r="P25" s="113">
        <f>SUM(P16:P24)</f>
        <v>46823.747503271181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43448.999999999993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3334.692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1760.8026000000002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38353.505399999987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8237.2881355932186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46590.793535593206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232.95396767796603</v>
      </c>
    </row>
    <row r="35" spans="2:16" ht="15.75" customHeight="1" thickBot="1" x14ac:dyDescent="0.4">
      <c r="N35" s="342" t="s">
        <v>88</v>
      </c>
      <c r="O35" s="343"/>
      <c r="P35" s="297">
        <f>+P33+P34</f>
        <v>46823.747503271174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2026-08-10T04:23:44Z</dcterms:modified>
</cp:coreProperties>
</file>