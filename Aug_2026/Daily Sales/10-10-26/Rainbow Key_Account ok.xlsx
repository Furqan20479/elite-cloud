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00733DE-5F67-4992-A10C-55CC762630F6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71"/>
  <c r="O20" i="71" s="1"/>
  <c r="P20" i="71" s="1"/>
  <c r="R20" i="71" s="1"/>
  <c r="M16" i="43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<sst xmlns="http://schemas.openxmlformats.org/spreadsheetml/2006/main" count="3913" uniqueCount="515">
  <si>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</si>
  <si>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</si>
  <si>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</si>
  <si>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</si>
  <si>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</si>
  <si>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</si>
  <si>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</si>
  <si>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</si>
  <si>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</si>
  <si>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</si>
  <si>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</si>
  <si>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</si>
  <si>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</si>
  <si>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</si>
  <si>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</si>
  <si>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</si>
  <si>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</si>
  <si>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</si>
  <si>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</si>
  <si>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</si>
  <si>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</si>
  <si>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</si>
  <si>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</si>
  <si>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</si>
  <si>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</si>
  <si>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</si>
  <si>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</si>
  <si>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</si>
  <si>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</si>
  <si>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</si>
  <si>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</si>
  <si>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</si>
  <si>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</si>
  <si>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</si>
  <si>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</si>
  <si>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</si>
  <si>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</si>
  <si>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</si>
  <si>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</si>
  <si>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</si>
  <si>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</si>
  <si>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</si>
  <si>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</si>
  <si>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</si>
  <si>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</si>
  <si>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</si>
  <si>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</si>
  <si>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</si>
  <si>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</si>
  <si>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</si>
  <si>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</si>
  <si>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</si>
  <si>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</si>
  <si>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</si>
  <si>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</si>
  <si>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</si>
  <si>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</si>
  <si>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</si>
  <si>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</si>
  <si>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</si>
  <si>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</si>
  <si>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</si>
  <si>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</si>
  <si>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</si>
  <si>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</si>
  <si>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</si>
  <si>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</si>
  <si>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</si>
  <si>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</si>
  <si>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</si>
  <si>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</si>
  <si>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</si>
  <si>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</si>
  <si>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</si>
  <si>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</si>
  <si>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</si>
  <si>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</si>
  <si>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</si>
  <si>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</si>
  <si>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</si>
  <si>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</si>
  <si>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</si>
  <si>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</si>
  <si>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</si>
  <si>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</si>
  <si>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</si>
  <si>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</si>
  <si>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</si>
  <si>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</si>
  <si>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</si>
  <si>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</si>
  <si>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</si>
  <si>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</si>
  <si>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</si>
  <si>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</si>
  <si>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</si>
  <si>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</si>
  <si>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</si>
  <si>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</si>
  <si>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</si>
  <si>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</si>
  <si>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</si>
  <si>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</si>
  <si>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</si>
  <si>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</si>
  <si>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</si>
  <si>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</si>
  <si>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</si>
  <si>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</si>
  <si>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</si>
  <si>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</si>
  <si>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</si>
  <si>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</si>
  <si>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</si>
  <si>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</si>
  <si>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</si>
  <si>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</si>
  <si>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</si>
  <si>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</si>
  <si>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</si>
  <si>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</si>
  <si>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</si>
  <si>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</si>
  <si>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</si>
  <si>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</si>
  <si>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</si>
  <si>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</si>
  <si>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</si>
  <si>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</si>
  <si>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</si>
  <si>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</si>
  <si>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</si>
  <si>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</si>
  <si>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</si>
  <si>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</si>
  <si>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</si>
  <si>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</si>
  <si>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</si>
  <si>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</si>
  <si>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</si>
  <si>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</si>
  <si>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</si>
  <si>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</si>
  <si>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</si>
  <si>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</si>
  <si>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</si>
  <si>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</si>
  <si>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</si>
  <si>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</si>
  <si>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</si>
  <si>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</si>
  <si>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</si>
  <si>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</si>
  <si>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</si>
  <si>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</si>
  <si>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</si>
  <si>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</si>
  <si>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</si>
  <si>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</si>
  <si>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</si>
  <si>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</si>
  <si>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</si>
  <si>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</si>
  <si>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</si>
  <si>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</si>
  <si>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</si>
  <si>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</si>
  <si>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</si>
  <si>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</si>
  <si>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</si>
  <si>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</si>
  <si>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</si>
  <si>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</si>
  <si>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</si>
  <si>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</si>
  <si>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</si>
  <si>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</si>
  <si>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</si>
  <si>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</si>
  <si>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</si>
  <si>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</si>
  <si>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</si>
  <si>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</si>
  <si>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</si>
  <si>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</si>
  <si>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</si>
  <si>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</si>
  <si>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</si>
  <si>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</si>
  <si>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</si>
  <si>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</si>
  <si>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</si>
  <si>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</si>
  <si>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</si>
  <si>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</si>
  <si>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</si>
  <si>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</si>
  <si>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</si>
  <si>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</si>
  <si>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</si>
  <si>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</si>
  <si>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</si>
  <si>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</si>
  <si>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</si>
  <si>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</si>
  <si>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</si>
  <si>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</si>
  <si>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</si>
  <si>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</si>
  <si>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</si>
  <si>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</si>
  <si>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</si>
  <si>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</si>
  <si>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</si>
  <si>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</si>
  <si>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</si>
  <si>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</si>
  <si>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</si>
  <si>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</si>
  <si>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</si>
  <si>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</si>
  <si>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</si>
  <si>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</si>
  <si>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</si>
  <si>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</si>
  <si>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</si>
  <si>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</si>
  <si>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</si>
  <si>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</si>
  <si>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</si>
  <si>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</si>
  <si>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</si>
  <si>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</si>
  <si>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</si>
  <si>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</si>
  <si>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</si>
  <si>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</si>
  <si>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</si>
  <si>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</si>
  <si>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</si>
  <si>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</si>
  <si>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</si>
  <si>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</si>
  <si>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</si>
  <si>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</si>
  <si>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</si>
  <si>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</si>
  <si>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</si>
  <si>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</si>
  <si>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</si>
  <si>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</si>
  <si>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</si>
  <si>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</si>
  <si>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</si>
  <si>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</si>
  <si>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</si>
  <si>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</si>
  <si>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</si>
  <si>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</si>
  <si>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</si>
  <si>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</si>
  <si>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</si>
  <si>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</si>
  <si>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</si>
  <si>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</si>
  <si>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</si>
  <si>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</si>
  <si>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</si>
  <si>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</si>
  <si>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</si>
  <si>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</si>
  <si>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</si>
  <si>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</si>
  <si>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</si>
  <si>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</si>
  <si>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</si>
  <si>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</si>
  <si>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</si>
  <si>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</si>
  <si>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</si>
  <si>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</si>
  <si>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</si>
  <si>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</si>
  <si>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</si>
  <si>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</si>
  <si>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</si>
  <si>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</si>
  <si>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</si>
  <si>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</si>
  <si>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</si>
  <si>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</si>
  <si>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</si>
  <si>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</si>
  <si>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</si>
  <si>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</si>
  <si>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</si>
  <si>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</si>
  <si>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</si>
  <si>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</si>
  <si>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</si>
  <si>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</si>
  <si>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</si>
  <si>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</si>
  <si>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</si>
  <si>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</si>
  <si>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</si>
  <si>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</si>
  <si>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</si>
  <si>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</si>
  <si>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</si>
  <si>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</si>
  <si>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</si>
  <si>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</si>
  <si>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</si>
  <si>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</si>
  <si>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</si>
  <si>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</si>
  <si>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</si>
  <si>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</si>
  <si>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</si>
  <si>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</si>
  <si>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</si>
  <si>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</si>
  <si>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</si>
  <si>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</si>
  <si>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</si>
  <si>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</si>
  <si>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</si>
  <si>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</si>
  <si>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</si>
  <si>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</si>
  <si>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</si>
  <si>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</si>
  <si>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</si>
  <si>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</si>
  <si>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</si>
  <si>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</si>
  <si>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</si>
  <si>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</si>
  <si>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</si>
  <si>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</si>
  <si>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</si>
  <si>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</si>
  <si>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</si>
  <si>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</si>
  <si>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</si>
  <si>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</si>
  <si>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</si>
  <si>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</si>
  <si>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</si>
  <si>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</si>
  <si>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</si>
  <si>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</si>
  <si>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</si>
  <si>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</si>
  <si>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</si>
  <si>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</si>
  <si>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</si>
  <si>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</si>
  <si>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</si>
  <si>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</si>
  <si>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</si>
  <si>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</si>
  <si>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</si>
  <si>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</si>
  <si>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</si>
  <si>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</si>
  <si>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</si>
  <si>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</si>
  <si>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</si>
  <si>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</si>
  <si>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</si>
  <si>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</si>
  <si>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</si>
  <si>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</si>
  <si>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</si>
  <si>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</si>
  <si>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</si>
  <si>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</si>
  <si>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</si>
  <si>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</si>
  <si>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</si>
  <si>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</si>
  <si>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</si>
  <si>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</si>
  <si>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</si>
  <si>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</si>
  <si>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</si>
  <si>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</si>
  <si>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</si>
  <si>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</si>
  <si>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</si>
  <si>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</si>
  <si>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</si>
  <si>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</si>
  <si>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</si>
  <si>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</si>
  <si>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</si>
  <si>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</si>
  <si>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</si>
  <si>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</si>
  <si>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</si>
  <si>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</si>
  <si>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</si>
  <si>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</si>
  <si>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</si>
  <si>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</si>
  <si>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</si>
  <si>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</si>
  <si>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</si>
  <si>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</si>
  <si>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</si>
  <si>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</si>
  <si>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</si>
  <si>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</si>
  <si>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</si>
  <si>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</si>
  <si>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</si>
  <si>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</si>
  <si>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</si>
  <si>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</si>
  <si>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</si>
  <si>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</si>
  <si>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</si>
  <si>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</si>
  <si>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</si>
  <si>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</si>
  <si>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</si>
  <si>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</si>
  <si>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</si>
  <si>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</si>
  <si>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</si>
  <si>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</si>
  <si>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</si>
  <si>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</si>
  <si>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</si>
  <si>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</si>
  <si>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</si>
  <si>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</si>
  <si>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</si>
  <si>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</si>
  <si>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</si>
  <si>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</si>
  <si>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</si>
  <si>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</si>
  <si>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</si>
  <si>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</si>
  <si>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</si>
  <si>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</si>
  <si>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</si>
  <si>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</si>
  <si>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</si>
  <si>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</si>
  <si>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</si>
  <si>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</si>
  <si>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</si>
  <si>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</si>
  <si>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</si>
  <si>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</si>
  <si>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</si>
  <si>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</si>
  <si>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</si>
  <si>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</si>
  <si>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</si>
  <si>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</si>
  <si>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</si>
  <si>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</si>
  <si>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</si>
  <si>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</si>
  <si>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</si>
  <si>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</si>
  <si>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</si>
  <si>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</si>
  <si>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</si>
  <si>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</si>
  <si>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</si>
  <si>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</si>
  <si>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</si>
  <si>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</si>
  <si>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</si>
  <si>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</si>
  <si>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</si>
  <si>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</si>
  <si>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</si>
  <si>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</si>
  <si>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</si>
  <si>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</si>
  <si>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</si>
  <si>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</si>
  <si>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</si>
  <si>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</si>
  <si>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</si>
  <si>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</si>
  <si>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</si>
  <si>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</si>
  <si>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</si>
  <si>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</si>
  <si>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</si>
  <si>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</si>
  <si>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</si>
  <si>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</si>
  <si>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</si>
  <si>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</si>
  <si>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</si>
  <si>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</si>
  <si>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</si>
  <si>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</si>
  <si>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</si>
  <si>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</si>
  <si>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</si>
  <si>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Behria Town </t>
  </si>
  <si>
    <t>Address: Defence Raod</t>
  </si>
  <si>
    <t>Address: EME</t>
  </si>
  <si>
    <t xml:space="preserve">Address: Wapda Town </t>
  </si>
  <si>
    <t xml:space="preserve">Address: Model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</si>
</sst>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9" t="s">
        <v>91</v>
      </c>
      <c r="B2" s="379"/>
      <c r="C2" s="379"/>
      <c r="E2" s="372" t="s">
        <v>497</v>
      </c>
      <c r="F2" s="370"/>
      <c r="G2" s="370"/>
      <c r="H2" s="370" t="s">
        <v>507</v>
      </c>
      <c r="I2" s="370"/>
      <c r="J2" s="371"/>
      <c r="R2" s="367" t="s">
        <v>506</v>
      </c>
      <c r="S2" s="368"/>
      <c r="T2" s="369"/>
    </row>
    <row r="3" spans="1:20 16377:16378" ht="21.75" customHeight="1" thickBot="1" x14ac:dyDescent="0.4">
      <c r="A3" s="380" t="s">
        <v>92</v>
      </c>
      <c r="B3" s="380"/>
      <c r="C3" s="380"/>
      <c r="E3" s="375" t="s">
        <v>498</v>
      </c>
      <c r="F3" s="376"/>
      <c r="G3" s="376"/>
      <c r="H3" s="373">
        <f>+'1'!N4:N4</f>
        <v>46244</v>
      </c>
      <c r="I3" s="373"/>
      <c r="J3" s="374"/>
      <c r="K3" s="381" t="s">
        <v>43</v>
      </c>
      <c r="L3" s="381"/>
      <c r="M3" s="381"/>
      <c r="N3" s="380"/>
      <c r="O3" s="380"/>
      <c r="P3" s="380"/>
      <c r="R3" s="299">
        <v>1</v>
      </c>
      <c r="S3" s="300" t="str">
        <f>+'1'!A6:A6</f>
        <v>Rainbow Cash &amp; Carry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72544.678587076269</v>
      </c>
      <c r="XEX4" t="s">
        <v>105</v>
      </c>
    </row>
    <row r="5" spans="1:20 16377:16378" ht="21.75" customHeight="1" thickBot="1" x14ac:dyDescent="0.4">
      <c r="A5" s="332" t="s">
        <v>51</v>
      </c>
      <c r="B5" s="333"/>
      <c r="C5" s="336" t="s">
        <v>90</v>
      </c>
      <c r="D5" s="115" t="s">
        <v>52</v>
      </c>
      <c r="E5" s="338" t="s">
        <v>58</v>
      </c>
      <c r="F5" s="339"/>
      <c r="G5" s="340" t="s">
        <v>54</v>
      </c>
      <c r="H5" s="341"/>
      <c r="I5" s="342" t="s">
        <v>77</v>
      </c>
      <c r="J5" s="378" t="s">
        <v>55</v>
      </c>
      <c r="K5" s="340"/>
      <c r="L5" s="341"/>
      <c r="M5" s="333" t="s">
        <v>84</v>
      </c>
      <c r="N5" s="37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25497.57968961864</v>
      </c>
      <c r="XEX5" t="s">
        <v>106</v>
      </c>
    </row>
    <row r="6" spans="1:20 16377:16378" ht="21.75" customHeight="1" thickBot="1" x14ac:dyDescent="0.4">
      <c r="A6" s="334"/>
      <c r="B6" s="335"/>
      <c r="C6" s="33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3"/>
      <c r="J6" s="143" t="s">
        <v>59</v>
      </c>
      <c r="K6" s="144" t="s">
        <v>39</v>
      </c>
      <c r="L6" s="145" t="s">
        <v>493</v>
      </c>
      <c r="M6" s="335"/>
      <c r="N6" s="34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44579.623280720334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118">
        <f>M7+N7+O7</f>
        <v>4277.0240656779661</v>
      </c>
      <c r="Q7" s="142"/>
      <c r="R7" s="299">
        <v>5</v>
      </c>
      <c r="S7" s="300" t="str">
        <f>+'5'!A6:A6</f>
        <v>Rainbow Cash &amp; Carry</v>
      </c>
      <c r="T7" s="301">
        <f>+'5'!P35</f>
        <v>22536.575784533896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320</v>
      </c>
      <c r="I8" s="236">
        <f t="shared" ref="I8:I14" si="0">(G8*D8)*F8+H8*F8</f>
        <v>16788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2350.3200000000002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587.58000000000004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13850.1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3172.881355932202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85.114906779661013</v>
      </c>
      <c r="P8" s="119">
        <f t="shared" ref="P8:P15" si="2">M8+N8+O8</f>
        <v>17108.096262711864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640</v>
      </c>
      <c r="I9" s="236">
        <f t="shared" si="0"/>
        <v>33576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4700.6400000000003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1175.1600000000001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27700.2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6345.7627118644032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170.22981355932203</v>
      </c>
      <c r="P9" s="119">
        <f t="shared" si="2"/>
        <v>34216.192525423729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119">
        <f t="shared" si="2"/>
        <v>23688.031240677963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4474.6240000000007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1118.6560000000002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26368.32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162.04498983050846</v>
      </c>
      <c r="P11" s="119">
        <f t="shared" si="2"/>
        <v>32571.042955932204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720</v>
      </c>
      <c r="I12" s="236">
        <f t="shared" si="0"/>
        <v>52300.800000000003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7322.1120000000001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1830.528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43148.160000000003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9884.7457627118656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265.16452881355929</v>
      </c>
      <c r="P12" s="119">
        <f t="shared" si="2"/>
        <v>53298.07029152543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2">
        <f>COUNT(A7:A15)</f>
        <v>0</v>
      </c>
      <c r="B16" s="344"/>
      <c r="C16" s="344" t="s">
        <v>40</v>
      </c>
      <c r="D16" s="344"/>
      <c r="E16" s="344"/>
      <c r="F16" s="345"/>
      <c r="G16" s="117">
        <f t="shared" ref="G16:M16" si="3">SUM(G7:G15)</f>
        <v>0</v>
      </c>
      <c r="H16" s="113">
        <f t="shared" si="3"/>
        <v>2520</v>
      </c>
      <c r="I16" s="114">
        <f t="shared" si="3"/>
        <v>162068.20000000001</v>
      </c>
      <c r="J16" s="274">
        <f>SUM(J7:J15)</f>
        <v>22689.548000000003</v>
      </c>
      <c r="K16" s="275">
        <f t="shared" si="3"/>
        <v>5672.3870000000006</v>
      </c>
      <c r="L16" s="276">
        <f t="shared" si="3"/>
        <v>0</v>
      </c>
      <c r="M16" s="232">
        <f t="shared" si="3"/>
        <v>133706.26500000001</v>
      </c>
      <c r="N16" s="233">
        <f>SUM(N7:N15)</f>
        <v>30630.508474576265</v>
      </c>
      <c r="O16" s="101">
        <f>SUM(O7:O15)</f>
        <v>821.68386737288131</v>
      </c>
      <c r="P16" s="234">
        <f>SUM(P7:P15)</f>
        <v>165158.45734194916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6" t="s">
        <v>64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8"/>
      <c r="N19" s="355" t="s">
        <v>60</v>
      </c>
      <c r="O19" s="356"/>
      <c r="P19" s="139">
        <f>I16</f>
        <v>162068.20000000001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1"/>
      <c r="N20" s="357" t="s">
        <v>85</v>
      </c>
      <c r="O20" s="358"/>
      <c r="P20" s="140">
        <f>+J16</f>
        <v>22689.548000000003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49"/>
      <c r="C21" s="350"/>
      <c r="D21" s="350"/>
      <c r="E21" s="350"/>
      <c r="F21" s="350"/>
      <c r="G21" s="350"/>
      <c r="H21" s="350"/>
      <c r="I21" s="350"/>
      <c r="J21" s="350"/>
      <c r="K21" s="350"/>
      <c r="L21" s="351"/>
      <c r="N21" s="357" t="s">
        <v>86</v>
      </c>
      <c r="O21" s="358"/>
      <c r="P21" s="140">
        <f>+K16+L16</f>
        <v>5672.3870000000006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49"/>
      <c r="C22" s="350"/>
      <c r="D22" s="350"/>
      <c r="E22" s="350"/>
      <c r="F22" s="350"/>
      <c r="G22" s="350"/>
      <c r="H22" s="350"/>
      <c r="I22" s="350"/>
      <c r="J22" s="350"/>
      <c r="K22" s="350"/>
      <c r="L22" s="351"/>
      <c r="M22" s="131"/>
      <c r="N22" s="357" t="s">
        <v>87</v>
      </c>
      <c r="O22" s="358"/>
      <c r="P22" s="140">
        <f>P19-P20-P21</f>
        <v>133706.26500000001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49"/>
      <c r="C23" s="350"/>
      <c r="D23" s="350"/>
      <c r="E23" s="350"/>
      <c r="F23" s="350"/>
      <c r="G23" s="350"/>
      <c r="H23" s="350"/>
      <c r="I23" s="350"/>
      <c r="J23" s="350"/>
      <c r="K23" s="350"/>
      <c r="L23" s="351"/>
      <c r="M23" s="131"/>
      <c r="N23" s="136" t="s">
        <v>61</v>
      </c>
      <c r="O23" s="133">
        <v>0.18</v>
      </c>
      <c r="P23" s="140">
        <f>+N16</f>
        <v>30630.508474576265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49"/>
      <c r="C24" s="350"/>
      <c r="D24" s="350"/>
      <c r="E24" s="350"/>
      <c r="F24" s="350"/>
      <c r="G24" s="350"/>
      <c r="H24" s="350"/>
      <c r="I24" s="350"/>
      <c r="J24" s="350"/>
      <c r="K24" s="350"/>
      <c r="L24" s="351"/>
      <c r="M24" s="131"/>
      <c r="N24" s="359" t="s">
        <v>76</v>
      </c>
      <c r="O24" s="360"/>
      <c r="P24" s="140">
        <f>P22+P23</f>
        <v>164336.77347457627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2"/>
      <c r="C25" s="353"/>
      <c r="D25" s="353"/>
      <c r="E25" s="353"/>
      <c r="F25" s="353"/>
      <c r="G25" s="353"/>
      <c r="H25" s="353"/>
      <c r="I25" s="353"/>
      <c r="J25" s="353"/>
      <c r="K25" s="353"/>
      <c r="L25" s="354"/>
      <c r="M25" s="99"/>
      <c r="N25" s="138" t="s">
        <v>83</v>
      </c>
      <c r="O25" s="137" t="e">
        <f>IF(#REF!="Filer",0.5%,2.5%)</f>
        <v>#REF!</v>
      </c>
      <c r="P25" s="140">
        <f>+O16</f>
        <v>821.68386737288131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1" t="s">
        <v>88</v>
      </c>
      <c r="O26" s="362"/>
      <c r="P26" s="297">
        <f>+P24+P25</f>
        <v>165158.45734194916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3"/>
      <c r="D27" s="363"/>
      <c r="E27" s="363"/>
      <c r="F27" s="363"/>
      <c r="G27" s="363"/>
      <c r="H27" s="363"/>
      <c r="I27" s="364"/>
      <c r="J27" s="365"/>
      <c r="K27" s="36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165158.45734194914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0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1175.1600000000001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6925.05</v>
      </c>
      <c r="N17" s="277">
        <f t="shared" ref="N17:N24" si="3">+(G17*D17+H17)*V17</f>
        <v>1586.440677966101</v>
      </c>
      <c r="O17" s="239">
        <f t="shared" ref="O17:O24" si="4">(N17+M17)*$O$15</f>
        <v>42.557453389830506</v>
      </c>
      <c r="P17" s="119">
        <f t="shared" ref="P17:P24" si="5">M17+N17+O17</f>
        <v>8554.0481313559321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0"/>
        <v>17433.599999999999</v>
      </c>
      <c r="J20" s="272">
        <f t="shared" si="1"/>
        <v>2440.7040000000002</v>
      </c>
      <c r="K20" s="128">
        <f t="shared" si="1"/>
        <v>610.17600000000004</v>
      </c>
      <c r="L20" s="119">
        <f t="shared" si="1"/>
        <v>0</v>
      </c>
      <c r="M20" s="230">
        <f t="shared" si="2"/>
        <v>14382.719999999998</v>
      </c>
      <c r="N20" s="277">
        <f t="shared" si="3"/>
        <v>3294.9152542372885</v>
      </c>
      <c r="O20" s="239">
        <f t="shared" si="4"/>
        <v>88.388176271186424</v>
      </c>
      <c r="P20" s="119">
        <f t="shared" si="5"/>
        <v>17766.02343050847</v>
      </c>
      <c r="R20">
        <f>P20/21</f>
        <v>846.00111573849858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0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1080</v>
      </c>
      <c r="I25" s="114">
        <f t="shared" si="7"/>
        <v>71187.3</v>
      </c>
      <c r="J25" s="274">
        <f>SUM(J16:J24)</f>
        <v>9966.2220000000016</v>
      </c>
      <c r="K25" s="275">
        <f t="shared" si="7"/>
        <v>2491.5555000000004</v>
      </c>
      <c r="L25" s="276">
        <f t="shared" si="7"/>
        <v>0</v>
      </c>
      <c r="M25" s="232">
        <f t="shared" si="7"/>
        <v>58729.522499999992</v>
      </c>
      <c r="N25" s="233">
        <f>SUM(N16:N24)</f>
        <v>13454.237288135593</v>
      </c>
      <c r="O25" s="101">
        <f>SUM(O16:O24)</f>
        <v>360.91879894067796</v>
      </c>
      <c r="P25" s="234">
        <f>SUM(P16:P24)</f>
        <v>72544.678587076254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71187.3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9966.2220000000016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2491.5555000000004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58729.522499999999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13454.237288135593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72183.75978813559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360.91879894067796</v>
      </c>
    </row>
    <row r="35" spans="2:16" ht="15.75" customHeight="1" thickBot="1" x14ac:dyDescent="0.4">
      <c r="N35" s="361" t="s">
        <v>88</v>
      </c>
      <c r="O35" s="362"/>
      <c r="P35" s="297">
        <f>+P33+P34</f>
        <v>72544.678587076269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512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400</v>
      </c>
      <c r="I25" s="114">
        <f t="shared" si="7"/>
        <v>25020.5</v>
      </c>
      <c r="J25" s="274">
        <f>SUM(J16:J24)</f>
        <v>3502.8700000000008</v>
      </c>
      <c r="K25" s="275">
        <f t="shared" si="7"/>
        <v>875.7175000000002</v>
      </c>
      <c r="L25" s="276">
        <f t="shared" si="7"/>
        <v>0</v>
      </c>
      <c r="M25" s="232">
        <f t="shared" si="7"/>
        <v>20641.912499999999</v>
      </c>
      <c r="N25" s="233">
        <f>SUM(N16:N24)</f>
        <v>4728.8135593220331</v>
      </c>
      <c r="O25" s="101">
        <f>SUM(O16:O24)</f>
        <v>126.85363029661016</v>
      </c>
      <c r="P25" s="234">
        <f>SUM(P16:P24)</f>
        <v>25497.579689618637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25020.5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3502.8700000000008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875.7175000000002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20641.912499999999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4728.8135593220331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25370.726059322031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126.85363029661016</v>
      </c>
    </row>
    <row r="35" spans="2:16" ht="15.75" customHeight="1" thickBot="1" x14ac:dyDescent="0.4">
      <c r="N35" s="361" t="s">
        <v>88</v>
      </c>
      <c r="O35" s="362"/>
      <c r="P35" s="297">
        <f>+P33+P34</f>
        <v>25497.57968961864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9" workbookViewId="0">
      <selection activeCell="G24" sqref="G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513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0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680</v>
      </c>
      <c r="I25" s="114">
        <f t="shared" si="7"/>
        <v>43745.5</v>
      </c>
      <c r="J25" s="274">
        <f>SUM(J16:J24)</f>
        <v>6124.3700000000008</v>
      </c>
      <c r="K25" s="275">
        <f t="shared" si="7"/>
        <v>1531.0925000000002</v>
      </c>
      <c r="L25" s="276">
        <f t="shared" si="7"/>
        <v>0</v>
      </c>
      <c r="M25" s="232">
        <f t="shared" si="7"/>
        <v>36090.037500000006</v>
      </c>
      <c r="N25" s="233">
        <f>SUM(N16:N24)</f>
        <v>8267.796610169491</v>
      </c>
      <c r="O25" s="101">
        <f>SUM(O16:O24)</f>
        <v>221.78917055084747</v>
      </c>
      <c r="P25" s="234">
        <f>SUM(P16:P24)</f>
        <v>44579.623280720334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43745.5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6124.3700000000008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1531.0925000000002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36090.037499999999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8267.796610169491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44357.83411016949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221.78917055084744</v>
      </c>
    </row>
    <row r="35" spans="2:16" ht="15.75" customHeight="1" thickBot="1" x14ac:dyDescent="0.4">
      <c r="N35" s="361" t="s">
        <v>88</v>
      </c>
      <c r="O35" s="362"/>
      <c r="P35" s="297">
        <f>+P33+P34</f>
        <v>44579.623280720334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514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360</v>
      </c>
      <c r="I25" s="114">
        <f t="shared" si="7"/>
        <v>22114.899999999998</v>
      </c>
      <c r="J25" s="274">
        <f>SUM(J16:J24)</f>
        <v>3096.0860000000007</v>
      </c>
      <c r="K25" s="275">
        <f t="shared" si="7"/>
        <v>774.02150000000017</v>
      </c>
      <c r="L25" s="276">
        <f t="shared" si="7"/>
        <v>0</v>
      </c>
      <c r="M25" s="232">
        <f t="shared" si="7"/>
        <v>18244.7925</v>
      </c>
      <c r="N25" s="233">
        <f>SUM(N16:N24)</f>
        <v>4179.6610169491523</v>
      </c>
      <c r="O25" s="101">
        <f>SUM(O16:O24)</f>
        <v>112.12226758474576</v>
      </c>
      <c r="P25" s="234">
        <f>SUM(P16:P24)</f>
        <v>22536.575784533892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22114.899999999998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3096.0860000000007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774.02150000000017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18244.7925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4179.6610169491523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22424.45351694915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112.12226758474576</v>
      </c>
    </row>
    <row r="35" spans="2:16" ht="15.75" customHeight="1" thickBot="1" x14ac:dyDescent="0.4">
      <c r="N35" s="361" t="s">
        <v>88</v>
      </c>
      <c r="O35" s="362"/>
      <c r="P35" s="297">
        <f>+P33+P34</f>
        <v>22536.575784533896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9" t="s">
        <v>91</v>
      </c>
      <c r="B2" s="379"/>
      <c r="C2" s="379"/>
    </row>
    <row r="3" spans="1:18 16382:16383" ht="15" customHeight="1" x14ac:dyDescent="0.35">
      <c r="A3" s="380" t="s">
        <v>92</v>
      </c>
      <c r="B3" s="380"/>
      <c r="C3" s="380"/>
      <c r="F3" s="85"/>
      <c r="G3" s="1"/>
      <c r="J3" s="381" t="s">
        <v>43</v>
      </c>
      <c r="K3" s="381"/>
      <c r="L3" s="381"/>
      <c r="M3" s="380"/>
      <c r="N3" s="380"/>
      <c r="O3" s="38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0" t="s">
        <v>65</v>
      </c>
      <c r="B4" s="380"/>
      <c r="C4" s="380"/>
      <c r="F4" s="85"/>
      <c r="G4" s="1"/>
      <c r="J4" s="381" t="s">
        <v>44</v>
      </c>
      <c r="K4" s="381"/>
      <c r="L4" s="381"/>
      <c r="M4" s="384">
        <f ca="1">TODAY()+1</f>
        <v>46246</v>
      </c>
      <c r="N4" s="384"/>
      <c r="O4" s="38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81" t="s">
        <v>45</v>
      </c>
      <c r="K5" s="381"/>
      <c r="L5" s="381"/>
      <c r="M5" s="384">
        <f ca="1">M4-1</f>
        <v>46245</v>
      </c>
      <c r="N5" s="380"/>
      <c r="O5" s="380"/>
      <c r="Q5" s="85"/>
      <c r="R5" s="1"/>
    </row>
    <row r="6" spans="1:18 16382:16383" ht="15" customHeight="1" x14ac:dyDescent="0.35">
      <c r="A6" s="381" t="s">
        <v>94</v>
      </c>
      <c r="B6" s="381"/>
      <c r="C6" s="381"/>
      <c r="F6" s="85"/>
      <c r="G6" s="86"/>
      <c r="J6" s="381" t="s">
        <v>69</v>
      </c>
      <c r="K6" s="381"/>
      <c r="L6" s="381"/>
      <c r="M6" s="383" t="s">
        <v>62</v>
      </c>
      <c r="N6" s="383"/>
      <c r="O6" s="38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1" t="s">
        <v>73</v>
      </c>
      <c r="B7" s="381"/>
      <c r="C7" s="381"/>
      <c r="F7" s="85"/>
      <c r="G7" s="86"/>
      <c r="J7" s="381" t="s">
        <v>66</v>
      </c>
      <c r="K7" s="381"/>
      <c r="L7" s="381"/>
      <c r="M7" s="383" t="s">
        <v>70</v>
      </c>
      <c r="N7" s="383"/>
      <c r="O7" s="38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81" t="s">
        <v>67</v>
      </c>
      <c r="K8" s="381"/>
      <c r="L8" s="381"/>
      <c r="M8" s="383" t="s">
        <v>71</v>
      </c>
      <c r="N8" s="383"/>
      <c r="O8" s="383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81" t="s">
        <v>68</v>
      </c>
      <c r="K9" s="381"/>
      <c r="L9" s="381"/>
      <c r="M9" s="383" t="s">
        <v>104</v>
      </c>
      <c r="N9" s="383"/>
      <c r="O9" s="383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81" t="s">
        <v>46</v>
      </c>
      <c r="K10" s="381"/>
      <c r="L10" s="381"/>
      <c r="M10" s="380" t="s">
        <v>47</v>
      </c>
      <c r="N10" s="380"/>
      <c r="O10" s="38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1" t="s">
        <v>48</v>
      </c>
      <c r="K11" s="381"/>
      <c r="L11" s="381"/>
      <c r="M11" s="380" t="s">
        <v>49</v>
      </c>
      <c r="N11" s="380"/>
      <c r="O11" s="38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1" t="s">
        <v>50</v>
      </c>
      <c r="K12" s="381"/>
      <c r="L12" s="381"/>
      <c r="M12" s="380"/>
      <c r="N12" s="380"/>
      <c r="O12" s="38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2" t="s">
        <v>51</v>
      </c>
      <c r="B14" s="333"/>
      <c r="C14" s="336" t="s">
        <v>90</v>
      </c>
      <c r="D14" s="88" t="s">
        <v>52</v>
      </c>
      <c r="E14" s="95" t="s">
        <v>74</v>
      </c>
      <c r="F14" s="115" t="s">
        <v>53</v>
      </c>
      <c r="G14" s="378" t="s">
        <v>54</v>
      </c>
      <c r="H14" s="341"/>
      <c r="I14" s="342" t="s">
        <v>77</v>
      </c>
      <c r="J14" s="340" t="s">
        <v>55</v>
      </c>
      <c r="K14" s="341"/>
      <c r="L14" s="34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4"/>
      <c r="B15" s="335"/>
      <c r="C15" s="33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3"/>
      <c r="J15" s="144" t="s">
        <v>39</v>
      </c>
      <c r="K15" s="145" t="s">
        <v>59</v>
      </c>
      <c r="L15" s="34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8"/>
      <c r="M28" s="355" t="s">
        <v>60</v>
      </c>
      <c r="N28" s="356"/>
      <c r="O28" s="139">
        <f>I25</f>
        <v>1452.8</v>
      </c>
    </row>
    <row r="29" spans="1:18 16383:16383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1"/>
      <c r="M29" s="357" t="s">
        <v>85</v>
      </c>
      <c r="N29" s="358"/>
      <c r="O29" s="140">
        <f>K25</f>
        <v>0</v>
      </c>
    </row>
    <row r="30" spans="1:18 16383:16383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1"/>
      <c r="M30" s="357" t="s">
        <v>86</v>
      </c>
      <c r="N30" s="358"/>
      <c r="O30" s="140">
        <f>J25</f>
        <v>50.848000000000006</v>
      </c>
    </row>
    <row r="31" spans="1:18 16383:16383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1"/>
      <c r="L31" s="131"/>
      <c r="M31" s="357" t="s">
        <v>87</v>
      </c>
      <c r="N31" s="358"/>
      <c r="O31" s="140">
        <f>O28-O29-O30</f>
        <v>1401.952</v>
      </c>
    </row>
    <row r="32" spans="1:18 16383:16383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1"/>
      <c r="L33" s="131"/>
      <c r="M33" s="359" t="s">
        <v>76</v>
      </c>
      <c r="N33" s="360"/>
      <c r="O33" s="140">
        <f>O31+O32</f>
        <v>1710.3814400000001</v>
      </c>
    </row>
    <row r="34" spans="2:15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1" t="s">
        <v>88</v>
      </c>
      <c r="N35" s="362"/>
      <c r="O35" s="141">
        <f>O28-O29+O31+O34</f>
        <v>2897.511536</v>
      </c>
    </row>
    <row r="36" spans="2:15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1" t="s">
        <v>439</v>
      </c>
      <c r="E1" s="324" t="s">
        <v>58</v>
      </c>
      <c r="F1" s="324"/>
      <c r="G1" s="325" t="s">
        <v>440</v>
      </c>
      <c r="H1" s="325"/>
      <c r="I1" s="392" t="s">
        <v>441</v>
      </c>
      <c r="J1" s="392"/>
      <c r="K1" s="392" t="s">
        <v>442</v>
      </c>
      <c r="L1" s="392"/>
      <c r="M1" s="388" t="s">
        <v>484</v>
      </c>
      <c r="N1" s="389"/>
      <c r="O1" s="390"/>
    </row>
    <row r="2" spans="3:24" ht="29" x14ac:dyDescent="0.35">
      <c r="C2" s="324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5" t="s">
        <v>58</v>
      </c>
      <c r="F7" s="395"/>
      <c r="G7" s="396" t="s">
        <v>440</v>
      </c>
      <c r="H7" s="325"/>
      <c r="I7" s="326" t="s">
        <v>441</v>
      </c>
      <c r="J7" s="327"/>
      <c r="K7" s="326" t="s">
        <v>442</v>
      </c>
      <c r="L7" s="327"/>
      <c r="M7" s="388" t="s">
        <v>484</v>
      </c>
      <c r="N7" s="389"/>
      <c r="O7" s="390"/>
      <c r="P7" s="256" t="s">
        <v>475</v>
      </c>
      <c r="Q7" s="242" t="s">
        <v>473</v>
      </c>
      <c r="R7" s="391" t="s">
        <v>475</v>
      </c>
      <c r="S7" s="391" t="s">
        <v>485</v>
      </c>
      <c r="T7" s="397" t="s">
        <v>486</v>
      </c>
      <c r="U7" s="397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6"/>
      <c r="U8" s="39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88" t="s">
        <v>484</v>
      </c>
      <c r="N13" s="389"/>
      <c r="O13" s="390"/>
      <c r="P13" s="256" t="s">
        <v>475</v>
      </c>
      <c r="Q13" s="242" t="s">
        <v>473</v>
      </c>
      <c r="R13" s="391" t="s">
        <v>475</v>
      </c>
      <c r="S13" s="391" t="s">
        <v>485</v>
      </c>
      <c r="T13" s="397" t="s">
        <v>486</v>
      </c>
      <c r="U13" s="397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6"/>
      <c r="U14" s="39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88" t="s">
        <v>484</v>
      </c>
      <c r="N20" s="389"/>
      <c r="O20" s="390"/>
      <c r="P20" s="256" t="s">
        <v>475</v>
      </c>
      <c r="Q20" s="242" t="s">
        <v>473</v>
      </c>
      <c r="R20" s="391" t="s">
        <v>475</v>
      </c>
      <c r="S20" s="391" t="s">
        <v>485</v>
      </c>
      <c r="T20" s="397" t="s">
        <v>486</v>
      </c>
      <c r="U20" s="397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6"/>
      <c r="U21" s="39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88" t="s">
        <v>484</v>
      </c>
      <c r="N27" s="389"/>
      <c r="O27" s="390"/>
      <c r="P27" s="256" t="s">
        <v>475</v>
      </c>
      <c r="Q27" s="242" t="s">
        <v>473</v>
      </c>
      <c r="R27" s="391" t="s">
        <v>475</v>
      </c>
      <c r="S27" s="391" t="s">
        <v>485</v>
      </c>
      <c r="T27" s="397" t="s">
        <v>486</v>
      </c>
      <c r="U27" s="397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6"/>
      <c r="U28" s="39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1" t="s">
        <v>439</v>
      </c>
      <c r="D1" s="324" t="s">
        <v>58</v>
      </c>
      <c r="E1" s="324"/>
      <c r="F1" s="325" t="s">
        <v>440</v>
      </c>
      <c r="G1" s="325"/>
      <c r="H1" s="392" t="s">
        <v>441</v>
      </c>
      <c r="I1" s="392"/>
      <c r="J1" s="392" t="s">
        <v>442</v>
      </c>
      <c r="K1" s="392"/>
      <c r="L1" s="388" t="s">
        <v>484</v>
      </c>
      <c r="M1" s="389"/>
      <c r="N1" s="390"/>
    </row>
    <row r="2" spans="2:17" ht="29" x14ac:dyDescent="0.35">
      <c r="B2" s="324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2026-08-11T07:18:37Z</dcterms:modified>
</cp:coreProperties>
</file>