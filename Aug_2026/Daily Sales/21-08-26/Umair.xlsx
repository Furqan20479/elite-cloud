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7DF5960-3CD7-4C25-8EDB-EAE79F70D17C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R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<sst xmlns="http://schemas.openxmlformats.org/spreadsheetml/2006/main" count="3978" uniqueCount="525">
  <si>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</si>
  <si>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</si>
  <si>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</si>
  <si>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</si>
  <si>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</si>
  <si>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</si>
  <si>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</si>
  <si>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</si>
  <si>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</si>
  <si>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</si>
  <si>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</si>
  <si>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</si>
  <si>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</si>
  <si>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</si>
  <si>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</si>
  <si>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</si>
  <si>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</si>
  <si>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</si>
  <si>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</si>
  <si>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</si>
  <si>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</si>
  <si>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</si>
  <si>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</si>
  <si>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</si>
  <si>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</si>
  <si>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</si>
  <si>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</si>
  <si>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</si>
  <si>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</si>
  <si>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</si>
  <si>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</si>
  <si>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</si>
  <si>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</si>
  <si>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</si>
  <si>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</si>
  <si>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</si>
  <si>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</si>
  <si>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</si>
  <si>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</si>
  <si>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</si>
  <si>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</si>
  <si>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</si>
  <si>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</si>
  <si>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</si>
  <si>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</si>
  <si>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</si>
  <si>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</si>
  <si>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</si>
  <si>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</si>
  <si>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</si>
  <si>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</si>
  <si>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</si>
  <si>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</si>
  <si>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</si>
  <si>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</si>
  <si>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</si>
  <si>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</si>
  <si>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</si>
  <si>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</si>
  <si>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</si>
  <si>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</si>
  <si>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</si>
  <si>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</si>
  <si>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</si>
  <si>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</si>
  <si>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</si>
  <si>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</si>
  <si>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</si>
  <si>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</si>
  <si>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</si>
  <si>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</si>
  <si>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</si>
  <si>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</si>
  <si>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</si>
  <si>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</si>
  <si>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</si>
  <si>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</si>
  <si>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</si>
  <si>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</si>
  <si>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</si>
  <si>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</si>
  <si>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</si>
  <si>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</si>
  <si>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</si>
  <si>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</si>
  <si>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</si>
  <si>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</si>
  <si>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</si>
  <si>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</si>
  <si>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</si>
  <si>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</si>
  <si>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</si>
  <si>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</si>
  <si>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</si>
  <si>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</si>
  <si>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</si>
  <si>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</si>
  <si>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</si>
  <si>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</si>
  <si>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</si>
  <si>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</si>
  <si>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</si>
  <si>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</si>
  <si>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</si>
  <si>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</si>
  <si>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</si>
  <si>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</si>
  <si>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</si>
  <si>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</si>
  <si>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</si>
  <si>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</si>
  <si>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</si>
  <si>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</si>
  <si>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</si>
  <si>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</si>
  <si>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</si>
  <si>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</si>
  <si>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</si>
  <si>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</si>
  <si>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</si>
  <si>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</si>
  <si>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</si>
  <si>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</si>
  <si>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</si>
  <si>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</si>
  <si>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</si>
  <si>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</si>
  <si>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</si>
  <si>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</si>
  <si>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</si>
  <si>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</si>
  <si>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</si>
  <si>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</si>
  <si>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</si>
  <si>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</si>
  <si>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</si>
  <si>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</si>
  <si>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</si>
  <si>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</si>
  <si>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</si>
  <si>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</si>
  <si>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</si>
  <si>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</si>
  <si>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</si>
  <si>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</si>
  <si>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</si>
  <si>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</si>
  <si>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</si>
  <si>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</si>
  <si>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</si>
  <si>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</si>
  <si>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</si>
  <si>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</si>
  <si>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</si>
  <si>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</si>
  <si>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</si>
  <si>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</si>
  <si>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</si>
  <si>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</si>
  <si>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</si>
  <si>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</si>
  <si>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</si>
  <si>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</si>
  <si>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</si>
  <si>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</si>
  <si>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</si>
  <si>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</si>
  <si>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</si>
  <si>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</si>
  <si>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</si>
  <si>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</si>
  <si>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</si>
  <si>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</si>
  <si>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</si>
  <si>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</si>
  <si>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</si>
  <si>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</si>
  <si>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</si>
  <si>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</si>
  <si>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</si>
  <si>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</si>
  <si>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</si>
  <si>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</si>
  <si>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</si>
  <si>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</si>
  <si>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</si>
  <si>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</si>
  <si>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</si>
  <si>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</si>
  <si>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</si>
  <si>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</si>
  <si>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</si>
  <si>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</si>
  <si>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</si>
  <si>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</si>
  <si>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</si>
  <si>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</si>
  <si>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</si>
  <si>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</si>
  <si>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</si>
  <si>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</si>
  <si>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</si>
  <si>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</si>
  <si>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</si>
  <si>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</si>
  <si>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</si>
  <si>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</si>
  <si>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</si>
  <si>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</si>
  <si>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</si>
  <si>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</si>
  <si>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</si>
  <si>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</si>
  <si>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</si>
  <si>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</si>
  <si>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</si>
  <si>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</si>
  <si>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</si>
  <si>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</si>
  <si>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</si>
  <si>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</si>
  <si>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</si>
  <si>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</si>
  <si>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</si>
  <si>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</si>
  <si>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</si>
  <si>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</si>
  <si>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</si>
  <si>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</si>
  <si>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</si>
  <si>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</si>
  <si>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</si>
  <si>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</si>
  <si>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</si>
  <si>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</si>
  <si>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</si>
  <si>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</si>
  <si>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</si>
  <si>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</si>
  <si>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</si>
  <si>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</si>
  <si>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</si>
  <si>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</si>
  <si>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</si>
  <si>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</si>
  <si>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</si>
  <si>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</si>
  <si>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</si>
  <si>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</si>
  <si>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</si>
  <si>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</si>
  <si>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</si>
  <si>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</si>
  <si>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</si>
  <si>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</si>
  <si>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</si>
  <si>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</si>
  <si>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</si>
  <si>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</si>
  <si>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</si>
  <si>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</si>
  <si>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</si>
  <si>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</si>
  <si>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</si>
  <si>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</si>
  <si>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</si>
  <si>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</si>
  <si>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</si>
  <si>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</si>
  <si>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</si>
  <si>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</si>
  <si>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</si>
  <si>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</si>
  <si>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</si>
  <si>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</si>
  <si>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</si>
  <si>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</si>
  <si>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</si>
  <si>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</si>
  <si>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</si>
  <si>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</si>
  <si>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</si>
  <si>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</si>
  <si>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</si>
  <si>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</si>
  <si>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</si>
  <si>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</si>
  <si>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</si>
  <si>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</si>
  <si>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</si>
  <si>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</si>
  <si>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</si>
  <si>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</si>
  <si>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</si>
  <si>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</si>
  <si>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</si>
  <si>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</si>
  <si>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</si>
  <si>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</si>
  <si>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</si>
  <si>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</si>
  <si>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</si>
  <si>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</si>
  <si>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</si>
  <si>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</si>
  <si>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</si>
  <si>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</si>
  <si>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</si>
  <si>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</si>
  <si>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</si>
  <si>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</si>
  <si>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</si>
  <si>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</si>
  <si>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</si>
  <si>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</si>
  <si>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</si>
  <si>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</si>
  <si>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</si>
  <si>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</si>
  <si>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</si>
  <si>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</si>
  <si>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</si>
  <si>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</si>
  <si>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</si>
  <si>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</si>
  <si>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</si>
  <si>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</si>
  <si>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</si>
  <si>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</si>
  <si>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</si>
  <si>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</si>
  <si>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</si>
  <si>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</si>
  <si>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</si>
  <si>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</si>
  <si>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</si>
  <si>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</si>
  <si>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</si>
  <si>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</si>
  <si>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</si>
  <si>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</si>
  <si>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</si>
  <si>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</si>
  <si>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</si>
  <si>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</si>
  <si>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</si>
  <si>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</si>
  <si>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</si>
  <si>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</si>
  <si>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</si>
  <si>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</si>
  <si>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</si>
  <si>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</si>
  <si>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</si>
  <si>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</si>
  <si>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</si>
  <si>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</si>
  <si>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</si>
  <si>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</si>
  <si>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</si>
  <si>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</si>
  <si>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</si>
  <si>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</si>
  <si>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</si>
  <si>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</si>
  <si>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</si>
  <si>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</si>
  <si>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</si>
  <si>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</si>
  <si>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</si>
  <si>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</si>
  <si>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</si>
  <si>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</si>
  <si>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</si>
  <si>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</si>
  <si>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</si>
  <si>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</si>
  <si>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</si>
  <si>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</si>
  <si>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</si>
  <si>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</si>
  <si>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</si>
  <si>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</si>
  <si>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</si>
  <si>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</si>
  <si>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</si>
  <si>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</si>
  <si>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</si>
  <si>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</si>
  <si>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</si>
  <si>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</si>
  <si>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</si>
  <si>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</si>
  <si>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</si>
  <si>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</si>
  <si>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</si>
  <si>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</si>
  <si>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</si>
  <si>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</si>
  <si>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</si>
  <si>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</si>
  <si>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</si>
  <si>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</si>
  <si>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</si>
  <si>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</si>
  <si>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</si>
  <si>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</si>
  <si>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</si>
  <si>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</si>
  <si>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</si>
  <si>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</si>
  <si>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</si>
  <si>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</si>
  <si>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</si>
  <si>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</si>
  <si>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</si>
  <si>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</si>
  <si>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</si>
  <si>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</si>
  <si>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</si>
  <si>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</si>
  <si>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</si>
  <si>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</si>
  <si>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</si>
  <si>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</si>
  <si>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</si>
  <si>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</si>
  <si>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</si>
  <si>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</si>
  <si>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</si>
  <si>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</si>
  <si>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</si>
  <si>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</si>
  <si>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</si>
  <si>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</si>
  <si>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</si>
  <si>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</si>
  <si>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</si>
  <si>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</si>
  <si>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</si>
  <si>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</si>
  <si>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</si>
  <si>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</si>
  <si>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</si>
  <si>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</si>
  <si>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</si>
  <si>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</si>
  <si>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</si>
  <si>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</si>
  <si>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</si>
  <si>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</si>
  <si>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</si>
  <si>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</si>
  <si>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</si>
  <si>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</si>
  <si>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</si>
  <si>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</si>
  <si>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</si>
  <si>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</si>
  <si>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</si>
  <si>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</si>
  <si>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</si>
  <si>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</si>
  <si>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</si>
  <si>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</si>
  <si>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</si>
  <si>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</si>
  <si>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</si>
  <si>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</si>
  <si>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</si>
  <si>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</si>
  <si>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</si>
  <si>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</si>
  <si>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</si>
  <si>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</si>
  <si>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</si>
  <si>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</si>
  <si>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</si>
  <si>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</si>
  <si>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</si>
  <si>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</si>
  <si>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</si>
  <si>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</si>
  <si>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</si>
  <si>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</si>
  <si>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</si>
  <si>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</si>
  <si>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</si>
  <si>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</si>
  <si>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</si>
  <si>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</si>
  <si>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</si>
  <si>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</si>
  <si>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</si>
  <si>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</si>
  <si>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</si>
  <si>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</si>
  <si>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</si>
  <si>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</si>
  <si>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</si>
  <si>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</si>
  <si>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</si>
  <si>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</si>
  <si>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</si>
  <si>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</si>
  <si>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</si>
  <si>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</si>
  <si>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</si>
  <si>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</si>
  <si>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</si>
  <si>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</si>
  <si>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</si>
  <si>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</si>
  <si>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</si>
  <si>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</si>
  <si>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</si>
  <si>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Umair</t>
  </si>
  <si>
    <t xml:space="preserve">Umair Rehman </t>
  </si>
  <si>
    <t>Address: Qanchi Bazar</t>
  </si>
  <si>
    <t>Rizwan GS</t>
  </si>
  <si>
    <t>Address: Aashiyana Road</t>
  </si>
  <si>
    <t>Iftakhar GS</t>
  </si>
  <si>
    <t>Tayab GS</t>
  </si>
  <si>
    <t>Hamza Store</t>
  </si>
  <si>
    <t>Meow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</si>
</sst>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6" workbookViewId="0">
      <selection activeCell="H30" sqref="H3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516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512</v>
      </c>
      <c r="F3" s="358"/>
      <c r="G3" s="358"/>
      <c r="H3" s="355">
        <f ca="1">TODAY()</f>
        <v>46254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Rizwan GS</v>
      </c>
      <c r="T3" s="301">
        <f>+'1'!P35</f>
        <v>1566.6699234915254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Iftakhar GS</v>
      </c>
      <c r="T4" s="301">
        <f>+'2'!P35</f>
        <v>1669.1779134915255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>Tayab GS</v>
      </c>
      <c r="T5" s="301">
        <f>+'3'!P35</f>
        <v>1669.1779134915255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>Hamza Store</v>
      </c>
      <c r="T6" s="301">
        <f>+'4'!P35</f>
        <v>3338.355826983051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Meow Store</v>
      </c>
      <c r="T7" s="301">
        <f>+'5'!P35</f>
        <v>3136.2115850847458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15</v>
      </c>
      <c r="I10" s="236">
        <f t="shared" si="0"/>
        <v>1089.5999999999999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87.167999999999992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38.136000000000003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964.29599999999994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205.93220338983053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5.8511410169491525</v>
      </c>
      <c r="P10" s="311">
        <f t="shared" si="2"/>
        <v>1176.0793444067797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15</v>
      </c>
      <c r="I11" s="236">
        <f t="shared" si="0"/>
        <v>1089.5999999999999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87.167999999999992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38.136000000000003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964.29599999999994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205.93220338983053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5.8511410169491525</v>
      </c>
      <c r="P11" s="311">
        <f t="shared" si="2"/>
        <v>1176.0793444067797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10</v>
      </c>
      <c r="I12" s="236">
        <f t="shared" si="0"/>
        <v>726.4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58.112000000000002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25.424000000000003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642.86400000000003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137.28813559322035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3.9007606779661019</v>
      </c>
      <c r="P12" s="311">
        <f t="shared" si="2"/>
        <v>784.05289627118646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200</v>
      </c>
      <c r="I13" s="236">
        <f t="shared" si="0"/>
        <v>7846.0000000000009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494.29800000000012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274.61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400.14600000000002</v>
      </c>
      <c r="M13" s="230">
        <f t="shared" si="1"/>
        <v>6676.9460000000008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1525.4237288135585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41.011848644067797</v>
      </c>
      <c r="P13" s="311">
        <f t="shared" si="2"/>
        <v>8243.3815774576269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6</v>
      </c>
      <c r="H16" s="113">
        <f t="shared" ref="H16:M16" si="3">SUM(H7:H15)</f>
        <v>240</v>
      </c>
      <c r="I16" s="114">
        <f t="shared" si="3"/>
        <v>10751.6</v>
      </c>
      <c r="J16" s="274">
        <f>SUM(J7:J15)</f>
        <v>726.74600000000009</v>
      </c>
      <c r="K16" s="275">
        <f t="shared" si="3"/>
        <v>376.30600000000004</v>
      </c>
      <c r="L16" s="276">
        <f t="shared" si="3"/>
        <v>400.14600000000002</v>
      </c>
      <c r="M16" s="232">
        <f t="shared" si="3"/>
        <v>9248.4020000000019</v>
      </c>
      <c r="N16" s="233">
        <f>SUM(N7:N15)</f>
        <v>2074.57627118644</v>
      </c>
      <c r="O16" s="101">
        <f>SUM(O7:O15)</f>
        <v>56.614891355932201</v>
      </c>
      <c r="P16" s="113">
        <f>SUM(P7:P15)</f>
        <v>11379.593162542373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10751.6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726.74600000000009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776.452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9248.402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2074.57627118644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11322.978271186439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56.614891355932201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11379.593162542371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11379.593162542375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515</v>
      </c>
    </row>
    <row r="51" spans="2:2" x14ac:dyDescent="0.35">
      <c r="B51" t="s">
        <v>514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9.36328125" bestFit="1" customWidth="1"/>
    <col min="17" max="17" width="7.54296875" bestFit="1" customWidth="1"/>
    <col min="18" max="18" width="7.1796875" bestFit="1" customWidth="1"/>
    <col min="19" max="19" width="6.81640625" style="61" bestFit="1" customWidth="1"/>
    <col min="20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7.25" customHeight="1" x14ac:dyDescent="0.4">
      <c r="A6" s="396" t="s">
        <v>519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520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180.45800000000003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1253.7908000000002</v>
      </c>
      <c r="N22" s="277">
        <f t="shared" si="3"/>
        <v>305.08474576271169</v>
      </c>
      <c r="O22" s="239">
        <f t="shared" si="4"/>
        <v>7.7943777288135596</v>
      </c>
      <c r="P22" s="311">
        <f t="shared" si="5"/>
        <v>1566.6699234915254</v>
      </c>
      <c r="Q22" s="156"/>
      <c r="S22" s="269">
        <v>0.115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1569.2000000000003</v>
      </c>
      <c r="J25" s="274">
        <f>SUM(J16:J24)</f>
        <v>180.45800000000003</v>
      </c>
      <c r="K25" s="275">
        <f t="shared" si="10"/>
        <v>54.922000000000011</v>
      </c>
      <c r="L25" s="276">
        <f t="shared" si="10"/>
        <v>80.029200000000003</v>
      </c>
      <c r="M25" s="232">
        <f t="shared" si="10"/>
        <v>1253.7908000000002</v>
      </c>
      <c r="N25" s="233">
        <f>SUM(N16:N24)</f>
        <v>305.08474576271169</v>
      </c>
      <c r="O25" s="101">
        <f>SUM(O16:O24)</f>
        <v>7.7943777288135596</v>
      </c>
      <c r="P25" s="113">
        <f>SUM(P16:P24)</f>
        <v>1566.6699234915254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1569.2000000000003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180.45800000000003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134.95120000000003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1253.7908000000002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1558.8755457627119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7.7943777288135596</v>
      </c>
    </row>
    <row r="35" spans="2:16" ht="15.75" customHeight="1" thickBot="1" x14ac:dyDescent="0.4">
      <c r="N35" s="342" t="s">
        <v>88</v>
      </c>
      <c r="O35" s="343"/>
      <c r="P35" s="297">
        <f>+P33+P34</f>
        <v>1566.6699234915254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521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1569.2000000000003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78.460000000000022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134.95120000000003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1355.7888000000003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1660.873545762712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42" t="s">
        <v>88</v>
      </c>
      <c r="O35" s="343"/>
      <c r="P35" s="297">
        <f>+P33+P34</f>
        <v>1669.1779134915255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8.75" customHeight="1" x14ac:dyDescent="0.4">
      <c r="A6" s="396" t="s">
        <v>522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1569.2000000000003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78.460000000000022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134.95120000000003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1355.7888000000003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1660.873545762712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42" t="s">
        <v>88</v>
      </c>
      <c r="O35" s="343"/>
      <c r="P35" s="297">
        <f>+P33+P34</f>
        <v>1669.1779134915255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523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80</v>
      </c>
      <c r="I22" s="236">
        <f t="shared" si="0"/>
        <v>3138.4000000000005</v>
      </c>
      <c r="J22" s="272">
        <f t="shared" si="1"/>
        <v>156.92000000000004</v>
      </c>
      <c r="K22" s="128">
        <f t="shared" si="1"/>
        <v>109.84400000000002</v>
      </c>
      <c r="L22" s="119">
        <f t="shared" si="1"/>
        <v>160.05840000000001</v>
      </c>
      <c r="M22" s="230">
        <f t="shared" si="2"/>
        <v>2711.5776000000005</v>
      </c>
      <c r="N22" s="277">
        <f t="shared" si="3"/>
        <v>610.16949152542338</v>
      </c>
      <c r="O22" s="239">
        <f t="shared" si="4"/>
        <v>16.60873545762712</v>
      </c>
      <c r="P22" s="311">
        <f t="shared" si="5"/>
        <v>3338.355826983051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80</v>
      </c>
      <c r="I25" s="114">
        <f t="shared" si="7"/>
        <v>3138.4000000000005</v>
      </c>
      <c r="J25" s="274">
        <f>SUM(J16:J24)</f>
        <v>156.92000000000004</v>
      </c>
      <c r="K25" s="275">
        <f t="shared" si="7"/>
        <v>109.84400000000002</v>
      </c>
      <c r="L25" s="276">
        <f t="shared" si="7"/>
        <v>160.05840000000001</v>
      </c>
      <c r="M25" s="232">
        <f t="shared" si="7"/>
        <v>2711.5776000000005</v>
      </c>
      <c r="N25" s="233">
        <f>SUM(N16:N24)</f>
        <v>610.16949152542338</v>
      </c>
      <c r="O25" s="101">
        <f>SUM(O16:O24)</f>
        <v>16.60873545762712</v>
      </c>
      <c r="P25" s="113">
        <f>SUM(P16:P24)</f>
        <v>3338.355826983051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3138.4000000000005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156.92000000000004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269.90240000000006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2711.5776000000005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610.16949152542338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3321.7470915254239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16.60873545762712</v>
      </c>
    </row>
    <row r="35" spans="2:16" ht="15.75" customHeight="1" thickBot="1" x14ac:dyDescent="0.4">
      <c r="N35" s="342" t="s">
        <v>88</v>
      </c>
      <c r="O35" s="343"/>
      <c r="P35" s="297">
        <f>+P33+P34</f>
        <v>3338.355826983051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524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311">
        <f t="shared" si="5"/>
        <v>1176.0793444067797</v>
      </c>
      <c r="Q20" s="156"/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2905.6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232.44799999999998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101.69600000000001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2571.4560000000001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3120.6085423728814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2" t="s">
        <v>88</v>
      </c>
      <c r="O35" s="343"/>
      <c r="P35" s="297">
        <f>+P33+P34</f>
        <v>3136.2115850847458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8.7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46255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46254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2026-08-20T12:25:31Z</dcterms:modified>
</cp:coreProperties>
</file>