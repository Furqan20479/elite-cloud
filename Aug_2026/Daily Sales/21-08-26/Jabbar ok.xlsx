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8D4154F-BCEE-4CF3-BEC9-7A1046B81BD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6" i="48"/>
  <c r="M21" i="44"/>
  <c r="O21" i="44" s="1"/>
  <c r="P21" i="44" s="1"/>
  <c r="K12" i="62"/>
  <c r="M17" i="44"/>
  <c r="O17" i="44" s="1"/>
  <c r="P17" i="44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<sst xmlns="http://schemas.openxmlformats.org/spreadsheetml/2006/main" count="3978" uniqueCount="528">
  <si>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</si>
  <si>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</si>
  <si>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</si>
  <si>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</si>
  <si>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</si>
  <si>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</si>
  <si>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</si>
  <si>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</si>
  <si>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</si>
  <si>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</si>
  <si>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</si>
  <si>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</si>
  <si>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</si>
  <si>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</si>
  <si>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</si>
  <si>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</si>
  <si>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</si>
  <si>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</si>
  <si>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</si>
  <si>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</si>
  <si>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</si>
  <si>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</si>
  <si>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</si>
  <si>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</si>
  <si>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</si>
  <si>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</si>
  <si>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</si>
  <si>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</si>
  <si>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</si>
  <si>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</si>
  <si>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</si>
  <si>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</si>
  <si>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</si>
  <si>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</si>
  <si>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</si>
  <si>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</si>
  <si>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</si>
  <si>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</si>
  <si>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</si>
  <si>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</si>
  <si>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</si>
  <si>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</si>
  <si>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</si>
  <si>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</si>
  <si>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</si>
  <si>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</si>
  <si>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</si>
  <si>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</si>
  <si>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</si>
  <si>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</si>
  <si>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</si>
  <si>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</si>
  <si>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</si>
  <si>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</si>
  <si>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</si>
  <si>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</si>
  <si>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</si>
  <si>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</si>
  <si>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</si>
  <si>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</si>
  <si>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</si>
  <si>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</si>
  <si>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</si>
  <si>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</si>
  <si>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</si>
  <si>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</si>
  <si>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</si>
  <si>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</si>
  <si>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</si>
  <si>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</si>
  <si>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</si>
  <si>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</si>
  <si>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</si>
  <si>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</si>
  <si>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</si>
  <si>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</si>
  <si>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</si>
  <si>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</si>
  <si>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</si>
  <si>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</si>
  <si>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</si>
  <si>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</si>
  <si>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</si>
  <si>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</si>
  <si>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</si>
  <si>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</si>
  <si>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</si>
  <si>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</si>
  <si>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</si>
  <si>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</si>
  <si>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</si>
  <si>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</si>
  <si>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</si>
  <si>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</si>
  <si>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</si>
  <si>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</si>
  <si>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</si>
  <si>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</si>
  <si>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</si>
  <si>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</si>
  <si>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</si>
  <si>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</si>
  <si>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</si>
  <si>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</si>
  <si>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</si>
  <si>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</si>
  <si>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</si>
  <si>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</si>
  <si>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</si>
  <si>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</si>
  <si>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</si>
  <si>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</si>
  <si>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</si>
  <si>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</si>
  <si>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</si>
  <si>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</si>
  <si>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</si>
  <si>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</si>
  <si>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</si>
  <si>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</si>
  <si>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</si>
  <si>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</si>
  <si>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</si>
  <si>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</si>
  <si>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</si>
  <si>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</si>
  <si>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</si>
  <si>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</si>
  <si>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</si>
  <si>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</si>
  <si>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</si>
  <si>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</si>
  <si>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</si>
  <si>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</si>
  <si>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</si>
  <si>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</si>
  <si>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</si>
  <si>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</si>
  <si>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</si>
  <si>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</si>
  <si>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</si>
  <si>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</si>
  <si>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</si>
  <si>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</si>
  <si>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</si>
  <si>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</si>
  <si>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</si>
  <si>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</si>
  <si>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</si>
  <si>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</si>
  <si>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</si>
  <si>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</si>
  <si>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</si>
  <si>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</si>
  <si>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</si>
  <si>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</si>
  <si>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</si>
  <si>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</si>
  <si>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</si>
  <si>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</si>
  <si>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</si>
  <si>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</si>
  <si>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</si>
  <si>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</si>
  <si>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</si>
  <si>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</si>
  <si>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</si>
  <si>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</si>
  <si>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</si>
  <si>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</si>
  <si>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</si>
  <si>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</si>
  <si>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</si>
  <si>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</si>
  <si>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</si>
  <si>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</si>
  <si>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</si>
  <si>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</si>
  <si>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</si>
  <si>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</si>
  <si>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</si>
  <si>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</si>
  <si>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</si>
  <si>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</si>
  <si>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</si>
  <si>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</si>
  <si>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</si>
  <si>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</si>
  <si>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</si>
  <si>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</si>
  <si>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</si>
  <si>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</si>
  <si>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</si>
  <si>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</si>
  <si>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</si>
  <si>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</si>
  <si>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</si>
  <si>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</si>
  <si>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</si>
  <si>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</si>
  <si>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</si>
  <si>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</si>
  <si>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</si>
  <si>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</si>
  <si>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</si>
  <si>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</si>
  <si>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</si>
  <si>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</si>
  <si>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</si>
  <si>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</si>
  <si>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</si>
  <si>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</si>
  <si>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</si>
  <si>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</si>
  <si>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</si>
  <si>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</si>
  <si>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</si>
  <si>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</si>
  <si>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</si>
  <si>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</si>
  <si>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</si>
  <si>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</si>
  <si>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</si>
  <si>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</si>
  <si>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</si>
  <si>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</si>
  <si>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</si>
  <si>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</si>
  <si>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</si>
  <si>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</si>
  <si>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</si>
  <si>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</si>
  <si>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</si>
  <si>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</si>
  <si>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</si>
  <si>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</si>
  <si>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</si>
  <si>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</si>
  <si>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</si>
  <si>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</si>
  <si>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</si>
  <si>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</si>
  <si>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</si>
  <si>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</si>
  <si>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</si>
  <si>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</si>
  <si>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</si>
  <si>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</si>
  <si>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</si>
  <si>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</si>
  <si>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</si>
  <si>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</si>
  <si>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</si>
  <si>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</si>
  <si>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</si>
  <si>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</si>
  <si>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</si>
  <si>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</si>
  <si>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</si>
  <si>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</si>
  <si>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</si>
  <si>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</si>
  <si>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</si>
  <si>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</si>
  <si>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</si>
  <si>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</si>
  <si>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</si>
  <si>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</si>
  <si>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</si>
  <si>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</si>
  <si>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</si>
  <si>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</si>
  <si>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</si>
  <si>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</si>
  <si>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</si>
  <si>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</si>
  <si>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</si>
  <si>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</si>
  <si>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</si>
  <si>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</si>
  <si>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</si>
  <si>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</si>
  <si>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</si>
  <si>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</si>
  <si>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</si>
  <si>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</si>
  <si>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</si>
  <si>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</si>
  <si>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</si>
  <si>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</si>
  <si>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</si>
  <si>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</si>
  <si>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</si>
  <si>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</si>
  <si>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</si>
  <si>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</si>
  <si>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</si>
  <si>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</si>
  <si>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</si>
  <si>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</si>
  <si>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</si>
  <si>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</si>
  <si>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</si>
  <si>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</si>
  <si>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</si>
  <si>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</si>
  <si>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</si>
  <si>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</si>
  <si>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</si>
  <si>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</si>
  <si>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</si>
  <si>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</si>
  <si>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</si>
  <si>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</si>
  <si>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</si>
  <si>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</si>
  <si>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</si>
  <si>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</si>
  <si>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</si>
  <si>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</si>
  <si>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</si>
  <si>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</si>
  <si>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</si>
  <si>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</si>
  <si>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</si>
  <si>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</si>
  <si>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</si>
  <si>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</si>
  <si>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</si>
  <si>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</si>
  <si>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</si>
  <si>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</si>
  <si>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</si>
  <si>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</si>
  <si>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</si>
  <si>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</si>
  <si>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</si>
  <si>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</si>
  <si>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</si>
  <si>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</si>
  <si>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</si>
  <si>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</si>
  <si>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</si>
  <si>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</si>
  <si>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</si>
  <si>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</si>
  <si>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</si>
  <si>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</si>
  <si>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</si>
  <si>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</si>
  <si>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</si>
  <si>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</si>
  <si>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</si>
  <si>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</si>
  <si>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</si>
  <si>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</si>
  <si>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</si>
  <si>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</si>
  <si>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</si>
  <si>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</si>
  <si>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</si>
  <si>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</si>
  <si>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</si>
  <si>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</si>
  <si>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</si>
  <si>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</si>
  <si>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</si>
  <si>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</si>
  <si>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</si>
  <si>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</si>
  <si>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</si>
  <si>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</si>
  <si>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</si>
  <si>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</si>
  <si>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</si>
  <si>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</si>
  <si>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</si>
  <si>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</si>
  <si>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</si>
  <si>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</si>
  <si>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</si>
  <si>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</si>
  <si>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</si>
  <si>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</si>
  <si>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</si>
  <si>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</si>
  <si>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</si>
  <si>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</si>
  <si>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</si>
  <si>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</si>
  <si>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</si>
  <si>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</si>
  <si>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</si>
  <si>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</si>
  <si>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</si>
  <si>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</si>
  <si>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</si>
  <si>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</si>
  <si>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</si>
  <si>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</si>
  <si>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</si>
  <si>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</si>
  <si>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</si>
  <si>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</si>
  <si>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</si>
  <si>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</si>
  <si>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</si>
  <si>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</si>
  <si>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</si>
  <si>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</si>
  <si>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</si>
  <si>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</si>
  <si>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</si>
  <si>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</si>
  <si>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</si>
  <si>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</si>
  <si>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</si>
  <si>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</si>
  <si>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</si>
  <si>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</si>
  <si>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</si>
  <si>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</si>
  <si>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</si>
  <si>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</si>
  <si>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</si>
  <si>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</si>
  <si>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</si>
  <si>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</si>
  <si>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</si>
  <si>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</si>
  <si>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</si>
  <si>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</si>
  <si>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</si>
  <si>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</si>
  <si>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</si>
  <si>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</si>
  <si>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</si>
  <si>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</si>
  <si>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</si>
  <si>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</si>
  <si>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</si>
  <si>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</si>
  <si>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</si>
  <si>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</si>
  <si>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</si>
  <si>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</si>
  <si>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</si>
  <si>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</si>
  <si>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</si>
  <si>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</si>
  <si>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</si>
  <si>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</si>
  <si>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</si>
  <si>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</si>
  <si>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</si>
  <si>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</si>
  <si>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</si>
  <si>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</si>
  <si>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</si>
  <si>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</si>
  <si>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</si>
  <si>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</si>
  <si>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</si>
  <si>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</si>
  <si>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</si>
  <si>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</si>
  <si>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</si>
  <si>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</si>
  <si>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</si>
  <si>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</si>
  <si>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</si>
  <si>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</si>
  <si>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</si>
  <si>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</si>
  <si>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</si>
  <si>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</si>
  <si>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</si>
  <si>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</si>
  <si>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</si>
  <si>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</si>
  <si>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</si>
  <si>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</si>
  <si>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</si>
  <si>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</si>
  <si>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</si>
  <si>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</si>
  <si>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</si>
  <si>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</si>
  <si>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</si>
  <si>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</si>
  <si>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</si>
  <si>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</si>
  <si>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</si>
  <si>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</si>
  <si>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</si>
  <si>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</si>
  <si>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</si>
  <si>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</si>
  <si>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</si>
  <si>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</si>
  <si>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</si>
  <si>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</si>
  <si>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</si>
  <si>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</si>
  <si>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</si>
  <si>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</si>
  <si>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</si>
  <si>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</si>
  <si>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</si>
  <si>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</si>
  <si>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</si>
  <si>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</si>
  <si>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</si>
  <si>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</si>
  <si>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</si>
  <si>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</si>
  <si>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</si>
  <si>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Jabbar Akhter</t>
  </si>
  <si>
    <t xml:space="preserve">Address: Paragon City </t>
  </si>
  <si>
    <t>Hikam Store</t>
  </si>
  <si>
    <t xml:space="preserve">Imperial Mart </t>
  </si>
  <si>
    <t xml:space="preserve">Pick And Pack </t>
  </si>
  <si>
    <t>Moima Store</t>
  </si>
  <si>
    <t xml:space="preserve">Penzo Mart </t>
  </si>
  <si>
    <t>Nmalik Waqas Store</t>
  </si>
  <si>
    <t>Address: Barki Road</t>
  </si>
  <si>
    <t xml:space="preserve">Hikma Green City </t>
  </si>
  <si>
    <t xml:space="preserve">Address: Green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</si>
</sst>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Hikam Store</v>
      </c>
      <c r="T3" s="301">
        <f>+'1'!P35</f>
        <v>12471.704249338982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Imperial Mart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Pick And Pack </v>
      </c>
      <c r="T5" s="301">
        <f>+'3'!P35</f>
        <v>2979.4099000805081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Moima Store</v>
      </c>
      <c r="T6" s="301">
        <f>+'4'!P35</f>
        <v>11004.670577745761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132</v>
      </c>
      <c r="I7" s="235">
        <f>(G7*D7)*F7+H7*F7</f>
        <v>6925.05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554.00400000000002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242.37675000000002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6128.6692499999999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1308.8135593220331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37.187414046610172</v>
      </c>
      <c r="P7" s="310">
        <f>M7+N7+O7</f>
        <v>7474.6702233686428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15</v>
      </c>
      <c r="R7" s="314">
        <v>5</v>
      </c>
      <c r="S7" s="300" t="str">
        <f>+'5'!A6:A6</f>
        <v xml:space="preserve">Penzo Mart 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122</v>
      </c>
      <c r="I8" s="236">
        <f t="shared" ref="I8:I14" si="0">(G8*D8)*F8+H8*F8</f>
        <v>6400.4250000000002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512.03399999999999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224.01487500000002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5664.3761250000007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1209.6610169491519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34.370185709745762</v>
      </c>
      <c r="P8" s="311">
        <f t="shared" ref="P8:P15" si="2">M8+N8+O8</f>
        <v>6908.4073276588988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4">
        <v>6</v>
      </c>
      <c r="S8" s="300" t="str">
        <f>+'6'!A6:A6</f>
        <v>Nmalik Waqas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62</v>
      </c>
      <c r="I9" s="236">
        <f t="shared" si="0"/>
        <v>3252.6749999999997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260.214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113.843625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2878.6173749999998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614.74576271186413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17.466815688559322</v>
      </c>
      <c r="P9" s="311">
        <f t="shared" si="2"/>
        <v>3510.8299534004232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4">
        <v>7</v>
      </c>
      <c r="S9" s="300" t="str">
        <f>+'7'!A6:A6</f>
        <v xml:space="preserve">Hikma Green City </v>
      </c>
      <c r="T9" s="301">
        <f>+'7'!P35</f>
        <v>5401.2631679237284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101</v>
      </c>
      <c r="I10" s="236">
        <f t="shared" si="0"/>
        <v>7336.64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586.93119999999999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256.78240000000005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6492.9264000000003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1386.6101694915255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39.397682847457624</v>
      </c>
      <c r="P10" s="311">
        <f t="shared" si="2"/>
        <v>7918.9342523389832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Hikma Green City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41</v>
      </c>
      <c r="I12" s="236">
        <f t="shared" si="0"/>
        <v>2978.2400000000002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238.25920000000002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104.23840000000001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2635.7424000000001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562.88135593220341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15.993118779661017</v>
      </c>
      <c r="P12" s="311">
        <f t="shared" si="2"/>
        <v>3214.6168747118645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15.2</v>
      </c>
      <c r="H16" s="113">
        <f t="shared" ref="H16:M16" si="3">SUM(H7:H15)</f>
        <v>608</v>
      </c>
      <c r="I16" s="114">
        <f t="shared" si="3"/>
        <v>33779.83</v>
      </c>
      <c r="J16" s="274">
        <f>SUM(J7:J15)</f>
        <v>2561.1583999999998</v>
      </c>
      <c r="K16" s="275">
        <f t="shared" si="3"/>
        <v>1182.2940500000002</v>
      </c>
      <c r="L16" s="276">
        <f t="shared" si="3"/>
        <v>240.08760000000001</v>
      </c>
      <c r="M16" s="232">
        <f t="shared" si="3"/>
        <v>29796.289949999998</v>
      </c>
      <c r="N16" s="233">
        <f>SUM(N7:N15)</f>
        <v>6409.8305084745753</v>
      </c>
      <c r="O16" s="101">
        <f>SUM(O7:O15)</f>
        <v>181.03060229237289</v>
      </c>
      <c r="P16" s="113">
        <f>SUM(P7:P15)</f>
        <v>36387.151060766948</v>
      </c>
      <c r="Q16" s="128">
        <f>SUM(Q7:Q15)</f>
        <v>40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33779.83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2561.1583999999998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1422.3816500000003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29796.289950000002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6409.8305084745753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36206.120458474579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181.03060229237289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36387.151060766955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36387.151060766948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11577.4</v>
      </c>
      <c r="J25" s="274">
        <f>SUM(J16:J24)</f>
        <v>879.1160000000001</v>
      </c>
      <c r="K25" s="275">
        <f t="shared" si="10"/>
        <v>405.20900000000006</v>
      </c>
      <c r="L25" s="276">
        <f t="shared" si="10"/>
        <v>80.029200000000003</v>
      </c>
      <c r="M25" s="232">
        <f t="shared" si="10"/>
        <v>10213.045800000002</v>
      </c>
      <c r="N25" s="233">
        <f>SUM(N16:N24)</f>
        <v>2196.6101694915251</v>
      </c>
      <c r="O25" s="101">
        <f>SUM(O16:O24)</f>
        <v>62.048279847457621</v>
      </c>
      <c r="P25" s="113">
        <f>SUM(P16:P24)</f>
        <v>12471.704249338984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11577.4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879.1160000000001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485.23820000000006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10213.0458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2196.6101694915251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12409.655969491525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62.048279847457628</v>
      </c>
    </row>
    <row r="35" spans="2:16" ht="15.75" customHeight="1" thickBot="1" x14ac:dyDescent="0.4">
      <c r="N35" s="342" t="s">
        <v>88</v>
      </c>
      <c r="O35" s="343"/>
      <c r="P35" s="297">
        <f>+P33+P34</f>
        <v>12471.704249338982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48</v>
      </c>
      <c r="I25" s="114">
        <f t="shared" si="7"/>
        <v>2760.33</v>
      </c>
      <c r="J25" s="274">
        <f>SUM(J16:J24)</f>
        <v>220.82639999999998</v>
      </c>
      <c r="K25" s="275">
        <f t="shared" si="7"/>
        <v>96.611550000000008</v>
      </c>
      <c r="L25" s="276">
        <f t="shared" si="7"/>
        <v>0</v>
      </c>
      <c r="M25" s="232">
        <f t="shared" si="7"/>
        <v>2442.8920500000004</v>
      </c>
      <c r="N25" s="233">
        <f>SUM(N16:N24)</f>
        <v>521.69491525423723</v>
      </c>
      <c r="O25" s="101">
        <f>SUM(O16:O24)</f>
        <v>14.822934826271187</v>
      </c>
      <c r="P25" s="113">
        <f>SUM(P16:P24)</f>
        <v>2979.4099000805081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2760.33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220.82639999999998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96.611550000000008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2442.8920499999999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521.69491525423723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2964.5869652542369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14.822934826271185</v>
      </c>
    </row>
    <row r="35" spans="2:16" ht="15.75" customHeight="1" thickBot="1" x14ac:dyDescent="0.4">
      <c r="N35" s="342" t="s">
        <v>88</v>
      </c>
      <c r="O35" s="343"/>
      <c r="P35" s="297">
        <f>+P33+P34</f>
        <v>2979.4099000805081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200</v>
      </c>
      <c r="I25" s="114">
        <f t="shared" si="7"/>
        <v>10241</v>
      </c>
      <c r="J25" s="274">
        <f>SUM(J16:J24)</f>
        <v>725.12800000000004</v>
      </c>
      <c r="K25" s="275">
        <f t="shared" si="7"/>
        <v>358.43500000000006</v>
      </c>
      <c r="L25" s="276">
        <f t="shared" si="7"/>
        <v>160.05840000000001</v>
      </c>
      <c r="M25" s="232">
        <f t="shared" si="7"/>
        <v>8997.3786</v>
      </c>
      <c r="N25" s="233">
        <f>SUM(N16:N24)</f>
        <v>1952.5423728813553</v>
      </c>
      <c r="O25" s="101">
        <f>SUM(O16:O24)</f>
        <v>54.749604864406777</v>
      </c>
      <c r="P25" s="113">
        <f>SUM(P16:P24)</f>
        <v>11004.670577745763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10241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725.12800000000004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518.49340000000007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8997.3786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1952.5423728813553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10949.920972881355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54.749604864406777</v>
      </c>
    </row>
    <row r="35" spans="2:16" ht="15.75" customHeight="1" thickBot="1" x14ac:dyDescent="0.4">
      <c r="N35" s="342" t="s">
        <v>88</v>
      </c>
      <c r="O35" s="343"/>
      <c r="P35" s="297">
        <f>+P33+P34</f>
        <v>11004.670577745761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73.447500000000019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10" sqref="I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400.32800000000003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4428.6284999999998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5374.3912118644066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2026-08-21T11:23:24Z</dcterms:modified>
</cp:coreProperties>
</file>