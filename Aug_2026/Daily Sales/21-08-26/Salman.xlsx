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909418B-340E-42AB-ABC7-FAD032A13CD0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0" l="1"/>
  <c r="O20" i="50" s="1"/>
  <c r="P20" i="50" s="1"/>
  <c r="R20" i="50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<sst xmlns="http://schemas.openxmlformats.org/spreadsheetml/2006/main" count="3978" uniqueCount="528">
  <si>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</si>
  <si>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</si>
  <si>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</si>
  <si>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</si>
  <si>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</si>
  <si>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</si>
  <si>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</si>
  <si>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</si>
  <si>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</si>
  <si>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</si>
  <si>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</si>
  <si>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</si>
  <si>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</si>
  <si>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</si>
  <si>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</si>
  <si>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</si>
  <si>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</si>
  <si>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</si>
  <si>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</si>
  <si>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</si>
  <si>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</si>
  <si>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</si>
  <si>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</si>
  <si>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</si>
  <si>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</si>
  <si>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</si>
  <si>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</si>
  <si>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</si>
  <si>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</si>
  <si>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</si>
  <si>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</si>
  <si>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</si>
  <si>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</si>
  <si>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</si>
  <si>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</si>
  <si>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</si>
  <si>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</si>
  <si>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</si>
  <si>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</si>
  <si>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</si>
  <si>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</si>
  <si>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</si>
  <si>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</si>
  <si>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</si>
  <si>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</si>
  <si>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</si>
  <si>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</si>
  <si>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</si>
  <si>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</si>
  <si>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</si>
  <si>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</si>
  <si>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</si>
  <si>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</si>
  <si>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</si>
  <si>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</si>
  <si>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</si>
  <si>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</si>
  <si>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</si>
  <si>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</si>
  <si>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</si>
  <si>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</si>
  <si>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</si>
  <si>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</si>
  <si>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</si>
  <si>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</si>
  <si>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</si>
  <si>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</si>
  <si>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</si>
  <si>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</si>
  <si>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</si>
  <si>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</si>
  <si>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</si>
  <si>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</si>
  <si>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</si>
  <si>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</si>
  <si>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</si>
  <si>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</si>
  <si>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</si>
  <si>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</si>
  <si>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</si>
  <si>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</si>
  <si>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</si>
  <si>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</si>
  <si>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</si>
  <si>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</si>
  <si>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</si>
  <si>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</si>
  <si>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</si>
  <si>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</si>
  <si>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</si>
  <si>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</si>
  <si>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</si>
  <si>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</si>
  <si>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</si>
  <si>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</si>
  <si>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</si>
  <si>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</si>
  <si>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</si>
  <si>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</si>
  <si>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</si>
  <si>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</si>
  <si>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</si>
  <si>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</si>
  <si>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</si>
  <si>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</si>
  <si>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</si>
  <si>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</si>
  <si>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</si>
  <si>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</si>
  <si>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</si>
  <si>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</si>
  <si>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</si>
  <si>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</si>
  <si>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</si>
  <si>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</si>
  <si>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</si>
  <si>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</si>
  <si>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</si>
  <si>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</si>
  <si>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</si>
  <si>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</si>
  <si>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</si>
  <si>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</si>
  <si>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</si>
  <si>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</si>
  <si>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</si>
  <si>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</si>
  <si>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</si>
  <si>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</si>
  <si>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</si>
  <si>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</si>
  <si>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</si>
  <si>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</si>
  <si>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</si>
  <si>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</si>
  <si>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</si>
  <si>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</si>
  <si>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</si>
  <si>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</si>
  <si>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</si>
  <si>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</si>
  <si>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</si>
  <si>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</si>
  <si>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</si>
  <si>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</si>
  <si>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</si>
  <si>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</si>
  <si>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</si>
  <si>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</si>
  <si>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</si>
  <si>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</si>
  <si>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</si>
  <si>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</si>
  <si>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</si>
  <si>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</si>
  <si>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</si>
  <si>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</si>
  <si>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</si>
  <si>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</si>
  <si>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</si>
  <si>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</si>
  <si>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</si>
  <si>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</si>
  <si>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</si>
  <si>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</si>
  <si>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</si>
  <si>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</si>
  <si>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</si>
  <si>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</si>
  <si>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</si>
  <si>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</si>
  <si>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</si>
  <si>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</si>
  <si>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</si>
  <si>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</si>
  <si>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</si>
  <si>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</si>
  <si>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</si>
  <si>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</si>
  <si>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</si>
  <si>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</si>
  <si>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</si>
  <si>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</si>
  <si>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</si>
  <si>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</si>
  <si>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</si>
  <si>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</si>
  <si>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</si>
  <si>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</si>
  <si>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</si>
  <si>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</si>
  <si>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</si>
  <si>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</si>
  <si>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</si>
  <si>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</si>
  <si>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</si>
  <si>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</si>
  <si>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</si>
  <si>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</si>
  <si>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</si>
  <si>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</si>
  <si>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</si>
  <si>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</si>
  <si>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</si>
  <si>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</si>
  <si>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</si>
  <si>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</si>
  <si>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</si>
  <si>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</si>
  <si>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</si>
  <si>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</si>
  <si>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</si>
  <si>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</si>
  <si>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</si>
  <si>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</si>
  <si>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</si>
  <si>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</si>
  <si>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</si>
  <si>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</si>
  <si>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</si>
  <si>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</si>
  <si>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</si>
  <si>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</si>
  <si>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</si>
  <si>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</si>
  <si>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</si>
  <si>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</si>
  <si>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</si>
  <si>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</si>
  <si>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</si>
  <si>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</si>
  <si>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</si>
  <si>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</si>
  <si>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</si>
  <si>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</si>
  <si>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</si>
  <si>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</si>
  <si>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</si>
  <si>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</si>
  <si>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</si>
  <si>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</si>
  <si>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</si>
  <si>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</si>
  <si>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</si>
  <si>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</si>
  <si>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</si>
  <si>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</si>
  <si>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</si>
  <si>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</si>
  <si>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</si>
  <si>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</si>
  <si>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</si>
  <si>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</si>
  <si>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</si>
  <si>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</si>
  <si>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</si>
  <si>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</si>
  <si>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</si>
  <si>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</si>
  <si>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</si>
  <si>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</si>
  <si>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</si>
  <si>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</si>
  <si>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</si>
  <si>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</si>
  <si>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</si>
  <si>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</si>
  <si>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</si>
  <si>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</si>
  <si>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</si>
  <si>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</si>
  <si>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</si>
  <si>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</si>
  <si>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</si>
  <si>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</si>
  <si>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</si>
  <si>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</si>
  <si>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</si>
  <si>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</si>
  <si>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</si>
  <si>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</si>
  <si>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</si>
  <si>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</si>
  <si>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</si>
  <si>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</si>
  <si>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</si>
  <si>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</si>
  <si>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</si>
  <si>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</si>
  <si>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</si>
  <si>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</si>
  <si>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</si>
  <si>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</si>
  <si>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</si>
  <si>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</si>
  <si>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</si>
  <si>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</si>
  <si>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</si>
  <si>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</si>
  <si>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</si>
  <si>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</si>
  <si>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</si>
  <si>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</si>
  <si>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</si>
  <si>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</si>
  <si>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</si>
  <si>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</si>
  <si>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</si>
  <si>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</si>
  <si>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</si>
  <si>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</si>
  <si>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</si>
  <si>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</si>
  <si>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</si>
  <si>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</si>
  <si>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</si>
  <si>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</si>
  <si>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</si>
  <si>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</si>
  <si>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</si>
  <si>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</si>
  <si>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</si>
  <si>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</si>
  <si>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</si>
  <si>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</si>
  <si>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</si>
  <si>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</si>
  <si>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</si>
  <si>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</si>
  <si>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</si>
  <si>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</si>
  <si>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</si>
  <si>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</si>
  <si>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</si>
  <si>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</si>
  <si>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</si>
  <si>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</si>
  <si>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</si>
  <si>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</si>
  <si>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</si>
  <si>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</si>
  <si>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</si>
  <si>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</si>
  <si>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</si>
  <si>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</si>
  <si>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</si>
  <si>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</si>
  <si>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</si>
  <si>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</si>
  <si>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</si>
  <si>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</si>
  <si>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</si>
  <si>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</si>
  <si>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</si>
  <si>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</si>
  <si>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</si>
  <si>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</si>
  <si>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</si>
  <si>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</si>
  <si>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</si>
  <si>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</si>
  <si>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</si>
  <si>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</si>
  <si>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</si>
  <si>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</si>
  <si>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</si>
  <si>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</si>
  <si>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</si>
  <si>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</si>
  <si>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</si>
  <si>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</si>
  <si>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</si>
  <si>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</si>
  <si>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</si>
  <si>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</si>
  <si>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</si>
  <si>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</si>
  <si>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</si>
  <si>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</si>
  <si>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</si>
  <si>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</si>
  <si>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</si>
  <si>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</si>
  <si>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</si>
  <si>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</si>
  <si>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</si>
  <si>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</si>
  <si>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</si>
  <si>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</si>
  <si>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</si>
  <si>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</si>
  <si>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</si>
  <si>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</si>
  <si>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</si>
  <si>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</si>
  <si>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</si>
  <si>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</si>
  <si>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</si>
  <si>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</si>
  <si>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</si>
  <si>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</si>
  <si>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</si>
  <si>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</si>
  <si>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</si>
  <si>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</si>
  <si>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</si>
  <si>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</si>
  <si>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</si>
  <si>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</si>
  <si>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</si>
  <si>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</si>
  <si>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</si>
  <si>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</si>
  <si>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</si>
  <si>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</si>
  <si>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</si>
  <si>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</si>
  <si>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</si>
  <si>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</si>
  <si>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</si>
  <si>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</si>
  <si>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</si>
  <si>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</si>
  <si>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</si>
  <si>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</si>
  <si>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</si>
  <si>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</si>
  <si>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</si>
  <si>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</si>
  <si>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</si>
  <si>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</si>
  <si>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</si>
  <si>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</si>
  <si>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</si>
  <si>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</si>
  <si>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</si>
  <si>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</si>
  <si>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</si>
  <si>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</si>
  <si>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</si>
  <si>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</si>
  <si>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</si>
  <si>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</si>
  <si>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</si>
  <si>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</si>
  <si>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</si>
  <si>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</si>
  <si>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</si>
  <si>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</si>
  <si>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</si>
  <si>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</si>
  <si>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</si>
  <si>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</si>
  <si>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</si>
  <si>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</si>
  <si>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</si>
  <si>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</si>
  <si>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</si>
  <si>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</si>
  <si>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</si>
  <si>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</si>
  <si>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</si>
  <si>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</si>
  <si>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</si>
  <si>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</si>
  <si>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</si>
  <si>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</si>
  <si>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</si>
  <si>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</si>
  <si>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</si>
  <si>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</si>
  <si>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</si>
  <si>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</si>
  <si>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</si>
  <si>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</si>
  <si>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</si>
  <si>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</si>
  <si>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</si>
  <si>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</si>
  <si>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</si>
  <si>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</si>
  <si>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</si>
  <si>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</si>
  <si>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</si>
  <si>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</si>
  <si>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</si>
  <si>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</si>
  <si>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</si>
  <si>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</si>
  <si>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</si>
  <si>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</si>
  <si>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</si>
  <si>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</si>
  <si>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</si>
  <si>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</si>
  <si>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</si>
  <si>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</si>
  <si>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</si>
  <si>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</si>
  <si>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</si>
  <si>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</si>
  <si>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</si>
  <si>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</si>
  <si>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</si>
  <si>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</si>
  <si>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</si>
  <si>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</si>
  <si>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</si>
  <si>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</si>
  <si>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</si>
  <si>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</si>
  <si>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</si>
  <si>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</si>
  <si>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</si>
  <si>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</si>
  <si>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</si>
  <si>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Salman </t>
  </si>
  <si>
    <t>Salman</t>
  </si>
  <si>
    <t>Address: Shami Road</t>
  </si>
  <si>
    <t>Khan Zada Store</t>
  </si>
  <si>
    <t xml:space="preserve">Bajwa Bakers </t>
  </si>
  <si>
    <t>Haris Store</t>
  </si>
  <si>
    <t>Jahzaib Store</t>
  </si>
  <si>
    <t>Haq Ali Store</t>
  </si>
  <si>
    <t>Haseeb Store</t>
  </si>
  <si>
    <t>Lali GS</t>
  </si>
  <si>
    <t>Kashmir Store</t>
  </si>
  <si>
    <t xml:space="preserve">Bakhtawal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</si>
</sst>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46254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Khan Zada Store</v>
      </c>
      <c r="T3" s="301">
        <f>+'1'!P35</f>
        <v>14996.800583771188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Bajwa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Haris Store</v>
      </c>
      <c r="T5" s="301">
        <f>+'3'!P35</f>
        <v>250.37668702372881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Jahzaib Store</v>
      </c>
      <c r="T6" s="301">
        <f>+'4'!P35</f>
        <v>250.37668702372881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1689.2925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10.429513347457625</v>
      </c>
      <c r="P7" s="310">
        <f>M7+N7+O7</f>
        <v>2096.3321828389826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Haq Ali Store</v>
      </c>
      <c r="T7" s="301">
        <f>+'5'!P35</f>
        <v>250.37668702372881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1689.2925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10.429513347457625</v>
      </c>
      <c r="P8" s="311">
        <f t="shared" ref="P8:P15" si="2">M8+N8+O8</f>
        <v>2096.3321828389826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Haseeb Store</v>
      </c>
      <c r="T8" s="301">
        <f>+'6'!P35</f>
        <v>250.37668702372881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1689.2925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10.429513347457625</v>
      </c>
      <c r="P9" s="311">
        <f t="shared" si="2"/>
        <v>2096.3321828389826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Lali GS</v>
      </c>
      <c r="T9" s="301">
        <f>+'7'!P35</f>
        <v>250.37668702372881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639.23199999999997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4267.6000000000004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26.14308474576271</v>
      </c>
      <c r="P10" s="311">
        <f t="shared" si="2"/>
        <v>5254.7600338983048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Kashmir Store</v>
      </c>
      <c r="T10" s="301">
        <f>+'8'!P35</f>
        <v>500.75337404745761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523.00800000000004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2981.8719999999998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18.341563389830508</v>
      </c>
      <c r="P11" s="311">
        <f t="shared" si="2"/>
        <v>3686.6542413559318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Bakhtawal Bakers 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42</v>
      </c>
      <c r="I13" s="236">
        <f t="shared" si="0"/>
        <v>1647.66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82.38300000000001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57.668100000000017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84.030660000000012</v>
      </c>
      <c r="M13" s="230">
        <f t="shared" si="1"/>
        <v>1423.5782400000001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320.33898305084728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8.719586115254236</v>
      </c>
      <c r="P13" s="311">
        <f t="shared" si="2"/>
        <v>1752.6368091661016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9.0500000000000007</v>
      </c>
      <c r="H16" s="113">
        <f t="shared" ref="H16:M16" si="3">SUM(H7:H15)</f>
        <v>362</v>
      </c>
      <c r="I16" s="114">
        <f t="shared" si="3"/>
        <v>22471.16</v>
      </c>
      <c r="J16" s="274">
        <f>SUM(J7:J15)</f>
        <v>2949.2469999999998</v>
      </c>
      <c r="K16" s="275">
        <f t="shared" si="3"/>
        <v>786.49060000000009</v>
      </c>
      <c r="L16" s="276">
        <f t="shared" si="3"/>
        <v>84.030660000000012</v>
      </c>
      <c r="M16" s="232">
        <f t="shared" si="3"/>
        <v>18651.391739999999</v>
      </c>
      <c r="N16" s="233">
        <f>SUM(N7:N15)</f>
        <v>4255.9322033898306</v>
      </c>
      <c r="O16" s="101">
        <f>SUM(O7:O15)</f>
        <v>114.53661971694913</v>
      </c>
      <c r="P16" s="113">
        <f>SUM(P7:P15)</f>
        <v>23021.86056310678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22471.16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2949.2469999999998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870.5212600000001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18651.391739999999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4255.9322033898306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22907.323943389831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114.53661971694913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23021.86056310678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23021.860563106791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7.2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335.76</v>
      </c>
      <c r="K16" s="127">
        <f>$I16*T16</f>
        <v>73.447500000000005</v>
      </c>
      <c r="L16" s="118">
        <f>$I16*U16</f>
        <v>0</v>
      </c>
      <c r="M16" s="229">
        <f>I16-SUM(J16:L16)</f>
        <v>1689.2925</v>
      </c>
      <c r="N16" s="248">
        <f>+(G16*D16+H16)*V16</f>
        <v>396.61016949152526</v>
      </c>
      <c r="O16" s="238">
        <f>(N16+M16)*$O$15</f>
        <v>10.429513347457625</v>
      </c>
      <c r="P16" s="310">
        <f>M16+N16+O16</f>
        <v>2096.3321828389826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335.76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1689.2925</v>
      </c>
      <c r="N17" s="277">
        <f t="shared" ref="N17:N24" si="3">+(G17*D17+H17)*V17</f>
        <v>396.61016949152526</v>
      </c>
      <c r="O17" s="239">
        <f t="shared" ref="O17:O24" si="4">(N17+M17)*$O$15</f>
        <v>10.429513347457625</v>
      </c>
      <c r="P17" s="311">
        <f t="shared" ref="P17:P24" si="5">M17+N17+O17</f>
        <v>2096.3321828389826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335.76</v>
      </c>
      <c r="K18" s="128">
        <f t="shared" si="1"/>
        <v>73.447500000000005</v>
      </c>
      <c r="L18" s="119">
        <f t="shared" si="1"/>
        <v>0</v>
      </c>
      <c r="M18" s="230">
        <f t="shared" si="2"/>
        <v>1689.2925</v>
      </c>
      <c r="N18" s="277">
        <f t="shared" si="3"/>
        <v>396.61016949152526</v>
      </c>
      <c r="O18" s="239">
        <f t="shared" si="4"/>
        <v>10.429513347457625</v>
      </c>
      <c r="P18" s="311">
        <f t="shared" si="5"/>
        <v>2096.3321828389826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464.89600000000002</v>
      </c>
      <c r="K19" s="128">
        <f t="shared" si="1"/>
        <v>101.69600000000001</v>
      </c>
      <c r="L19" s="119">
        <f t="shared" si="1"/>
        <v>0</v>
      </c>
      <c r="M19" s="230">
        <f t="shared" si="2"/>
        <v>2339.0079999999998</v>
      </c>
      <c r="N19" s="277">
        <f t="shared" si="3"/>
        <v>549.15254237288138</v>
      </c>
      <c r="O19" s="239">
        <f t="shared" si="4"/>
        <v>14.440802711864405</v>
      </c>
      <c r="P19" s="311">
        <f t="shared" si="5"/>
        <v>2902.6013450847454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464.89600000000002</v>
      </c>
      <c r="K20" s="128">
        <f t="shared" si="1"/>
        <v>101.69600000000001</v>
      </c>
      <c r="L20" s="119">
        <f t="shared" si="1"/>
        <v>0</v>
      </c>
      <c r="M20" s="230">
        <f t="shared" si="2"/>
        <v>2339.0079999999998</v>
      </c>
      <c r="N20" s="277">
        <f t="shared" si="3"/>
        <v>549.15254237288138</v>
      </c>
      <c r="O20" s="239">
        <f t="shared" si="4"/>
        <v>14.440802711864405</v>
      </c>
      <c r="P20" s="311">
        <f t="shared" si="5"/>
        <v>2902.6013450847454</v>
      </c>
      <c r="Q20" s="156"/>
      <c r="R20">
        <f>P20/21</f>
        <v>138.21911167070215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464.89600000000002</v>
      </c>
      <c r="K21" s="128">
        <f t="shared" si="1"/>
        <v>101.69600000000001</v>
      </c>
      <c r="L21" s="119">
        <f t="shared" si="1"/>
        <v>0</v>
      </c>
      <c r="M21" s="230">
        <f t="shared" si="2"/>
        <v>2339.0079999999998</v>
      </c>
      <c r="N21" s="277">
        <f t="shared" si="3"/>
        <v>549.15254237288138</v>
      </c>
      <c r="O21" s="239">
        <f t="shared" si="4"/>
        <v>14.440802711864405</v>
      </c>
      <c r="P21" s="311">
        <f t="shared" si="5"/>
        <v>2902.6013450847454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2401.9679999999998</v>
      </c>
      <c r="K25" s="275">
        <f t="shared" si="10"/>
        <v>525.43050000000005</v>
      </c>
      <c r="L25" s="276">
        <f t="shared" si="10"/>
        <v>0</v>
      </c>
      <c r="M25" s="232">
        <f t="shared" si="10"/>
        <v>12084.9015</v>
      </c>
      <c r="N25" s="233">
        <f>SUM(N16:N24)</f>
        <v>2837.2881355932195</v>
      </c>
      <c r="O25" s="101">
        <f>SUM(O16:O24)</f>
        <v>74.610948177966094</v>
      </c>
      <c r="P25" s="113">
        <f>SUM(P16:P24)</f>
        <v>14996.800583771184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15012.300000000001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2401.9679999999998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525.43050000000005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12084.901500000002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14922.189635593222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74.610948177966108</v>
      </c>
    </row>
    <row r="35" spans="2:16" ht="15.75" customHeight="1" thickBot="1" x14ac:dyDescent="0.4">
      <c r="N35" s="371" t="s">
        <v>88</v>
      </c>
      <c r="O35" s="372"/>
      <c r="P35" s="297">
        <f>+P33+P34</f>
        <v>14996.800583771188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46255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46254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2026-08-20T12:23:29Z</dcterms:modified>
</cp:coreProperties>
</file>