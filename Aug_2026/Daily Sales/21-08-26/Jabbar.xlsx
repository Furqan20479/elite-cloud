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EA463D1-FC62-4336-AAC5-C432F533767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M23" i="49" s="1"/>
  <c r="O23" i="49" s="1"/>
  <c r="P23" i="49" s="1"/>
  <c r="K23" i="49"/>
  <c r="L23" i="49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16" i="48"/>
  <c r="M21" i="44"/>
  <c r="O21" i="44" s="1"/>
  <c r="P21" i="44" s="1"/>
  <c r="K12" i="62"/>
  <c r="M17" i="44"/>
  <c r="O17" i="44" s="1"/>
  <c r="P17" i="44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<sst xmlns="http://schemas.openxmlformats.org/spreadsheetml/2006/main" count="3978" uniqueCount="528">
  <si>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</si>
  <si>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</si>
  <si>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</si>
  <si>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</si>
  <si>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</si>
  <si>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</si>
  <si>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</si>
  <si>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</si>
  <si>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</si>
  <si>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</si>
  <si>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</si>
  <si>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</si>
  <si>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</si>
  <si>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</si>
  <si>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</si>
  <si>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</si>
  <si>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</si>
  <si>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</si>
  <si>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</si>
  <si>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</si>
  <si>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</si>
  <si>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</si>
  <si>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</si>
  <si>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</si>
  <si>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</si>
  <si>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</si>
  <si>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</si>
  <si>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</si>
  <si>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</si>
  <si>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</si>
  <si>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</si>
  <si>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</si>
  <si>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</si>
  <si>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</si>
  <si>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</si>
  <si>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</si>
  <si>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</si>
  <si>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</si>
  <si>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</si>
  <si>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</si>
  <si>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</si>
  <si>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</si>
  <si>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</si>
  <si>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</si>
  <si>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</si>
  <si>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</si>
  <si>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</si>
  <si>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</si>
  <si>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</si>
  <si>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</si>
  <si>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</si>
  <si>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</si>
  <si>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</si>
  <si>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</si>
  <si>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</si>
  <si>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</si>
  <si>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</si>
  <si>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</si>
  <si>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</si>
  <si>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</si>
  <si>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</si>
  <si>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</si>
  <si>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</si>
  <si>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</si>
  <si>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</si>
  <si>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</si>
  <si>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</si>
  <si>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</si>
  <si>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</si>
  <si>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</si>
  <si>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</si>
  <si>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</si>
  <si>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</si>
  <si>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</si>
  <si>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</si>
  <si>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</si>
  <si>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</si>
  <si>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</si>
  <si>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</si>
  <si>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</si>
  <si>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</si>
  <si>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</si>
  <si>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</si>
  <si>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</si>
  <si>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</si>
  <si>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</si>
  <si>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</si>
  <si>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</si>
  <si>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</si>
  <si>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</si>
  <si>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</si>
  <si>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</si>
  <si>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</si>
  <si>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</si>
  <si>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</si>
  <si>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</si>
  <si>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</si>
  <si>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</si>
  <si>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</si>
  <si>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</si>
  <si>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</si>
  <si>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</si>
  <si>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</si>
  <si>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</si>
  <si>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</si>
  <si>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</si>
  <si>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</si>
  <si>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</si>
  <si>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</si>
  <si>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</si>
  <si>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</si>
  <si>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</si>
  <si>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</si>
  <si>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</si>
  <si>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</si>
  <si>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</si>
  <si>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</si>
  <si>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</si>
  <si>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</si>
  <si>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</si>
  <si>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</si>
  <si>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</si>
  <si>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</si>
  <si>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</si>
  <si>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</si>
  <si>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</si>
  <si>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</si>
  <si>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</si>
  <si>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</si>
  <si>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</si>
  <si>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</si>
  <si>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</si>
  <si>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</si>
  <si>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</si>
  <si>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</si>
  <si>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</si>
  <si>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</si>
  <si>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</si>
  <si>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</si>
  <si>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</si>
  <si>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</si>
  <si>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</si>
  <si>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</si>
  <si>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</si>
  <si>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</si>
  <si>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</si>
  <si>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</si>
  <si>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</si>
  <si>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</si>
  <si>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</si>
  <si>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</si>
  <si>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</si>
  <si>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</si>
  <si>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</si>
  <si>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</si>
  <si>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</si>
  <si>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</si>
  <si>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</si>
  <si>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</si>
  <si>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</si>
  <si>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</si>
  <si>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</si>
  <si>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</si>
  <si>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</si>
  <si>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</si>
  <si>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</si>
  <si>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</si>
  <si>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</si>
  <si>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</si>
  <si>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</si>
  <si>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</si>
  <si>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</si>
  <si>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</si>
  <si>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</si>
  <si>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</si>
  <si>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</si>
  <si>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</si>
  <si>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</si>
  <si>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</si>
  <si>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</si>
  <si>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</si>
  <si>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</si>
  <si>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</si>
  <si>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</si>
  <si>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</si>
  <si>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</si>
  <si>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</si>
  <si>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</si>
  <si>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</si>
  <si>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</si>
  <si>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</si>
  <si>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</si>
  <si>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</si>
  <si>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</si>
  <si>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</si>
  <si>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</si>
  <si>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</si>
  <si>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</si>
  <si>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</si>
  <si>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</si>
  <si>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</si>
  <si>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</si>
  <si>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</si>
  <si>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</si>
  <si>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</si>
  <si>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</si>
  <si>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</si>
  <si>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</si>
  <si>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</si>
  <si>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</si>
  <si>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</si>
  <si>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</si>
  <si>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</si>
  <si>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</si>
  <si>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</si>
  <si>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</si>
  <si>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</si>
  <si>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</si>
  <si>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</si>
  <si>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</si>
  <si>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</si>
  <si>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</si>
  <si>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</si>
  <si>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</si>
  <si>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</si>
  <si>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</si>
  <si>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</si>
  <si>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</si>
  <si>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</si>
  <si>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</si>
  <si>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</si>
  <si>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</si>
  <si>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</si>
  <si>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</si>
  <si>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</si>
  <si>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</si>
  <si>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</si>
  <si>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</si>
  <si>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</si>
  <si>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</si>
  <si>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</si>
  <si>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</si>
  <si>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</si>
  <si>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</si>
  <si>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</si>
  <si>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</si>
  <si>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</si>
  <si>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</si>
  <si>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</si>
  <si>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</si>
  <si>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</si>
  <si>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</si>
  <si>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</si>
  <si>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</si>
  <si>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</si>
  <si>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</si>
  <si>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</si>
  <si>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</si>
  <si>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</si>
  <si>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</si>
  <si>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</si>
  <si>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</si>
  <si>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</si>
  <si>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</si>
  <si>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</si>
  <si>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</si>
  <si>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</si>
  <si>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</si>
  <si>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</si>
  <si>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</si>
  <si>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</si>
  <si>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</si>
  <si>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</si>
  <si>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</si>
  <si>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</si>
  <si>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</si>
  <si>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</si>
  <si>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</si>
  <si>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</si>
  <si>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</si>
  <si>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</si>
  <si>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</si>
  <si>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</si>
  <si>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</si>
  <si>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</si>
  <si>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</si>
  <si>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</si>
  <si>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</si>
  <si>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</si>
  <si>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</si>
  <si>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</si>
  <si>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</si>
  <si>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</si>
  <si>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</si>
  <si>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</si>
  <si>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</si>
  <si>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</si>
  <si>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</si>
  <si>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</si>
  <si>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</si>
  <si>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</si>
  <si>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</si>
  <si>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</si>
  <si>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</si>
  <si>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</si>
  <si>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</si>
  <si>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</si>
  <si>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</si>
  <si>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</si>
  <si>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</si>
  <si>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</si>
  <si>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</si>
  <si>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</si>
  <si>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</si>
  <si>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</si>
  <si>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</si>
  <si>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</si>
  <si>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</si>
  <si>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</si>
  <si>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</si>
  <si>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</si>
  <si>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</si>
  <si>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</si>
  <si>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</si>
  <si>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</si>
  <si>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</si>
  <si>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</si>
  <si>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</si>
  <si>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</si>
  <si>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</si>
  <si>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</si>
  <si>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</si>
  <si>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</si>
  <si>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</si>
  <si>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</si>
  <si>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</si>
  <si>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</si>
  <si>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</si>
  <si>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</si>
  <si>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</si>
  <si>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</si>
  <si>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</si>
  <si>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</si>
  <si>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</si>
  <si>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</si>
  <si>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</si>
  <si>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</si>
  <si>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</si>
  <si>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</si>
  <si>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</si>
  <si>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</si>
  <si>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</si>
  <si>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</si>
  <si>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</si>
  <si>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</si>
  <si>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</si>
  <si>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</si>
  <si>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</si>
  <si>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</si>
  <si>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</si>
  <si>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</si>
  <si>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</si>
  <si>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</si>
  <si>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</si>
  <si>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</si>
  <si>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</si>
  <si>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</si>
  <si>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</si>
  <si>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</si>
  <si>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</si>
  <si>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</si>
  <si>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</si>
  <si>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</si>
  <si>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</si>
  <si>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</si>
  <si>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</si>
  <si>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</si>
  <si>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</si>
  <si>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</si>
  <si>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</si>
  <si>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</si>
  <si>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</si>
  <si>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</si>
  <si>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</si>
  <si>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</si>
  <si>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</si>
  <si>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</si>
  <si>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</si>
  <si>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</si>
  <si>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</si>
  <si>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</si>
  <si>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</si>
  <si>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</si>
  <si>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</si>
  <si>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</si>
  <si>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</si>
  <si>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</si>
  <si>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</si>
  <si>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</si>
  <si>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</si>
  <si>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</si>
  <si>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</si>
  <si>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</si>
  <si>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</si>
  <si>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</si>
  <si>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</si>
  <si>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</si>
  <si>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</si>
  <si>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</si>
  <si>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</si>
  <si>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</si>
  <si>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</si>
  <si>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</si>
  <si>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</si>
  <si>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</si>
  <si>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</si>
  <si>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</si>
  <si>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</si>
  <si>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</si>
  <si>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</si>
  <si>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</si>
  <si>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</si>
  <si>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</si>
  <si>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</si>
  <si>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</si>
  <si>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</si>
  <si>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</si>
  <si>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</si>
  <si>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</si>
  <si>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</si>
  <si>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</si>
  <si>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</si>
  <si>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</si>
  <si>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</si>
  <si>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</si>
  <si>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</si>
  <si>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</si>
  <si>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</si>
  <si>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</si>
  <si>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</si>
  <si>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</si>
  <si>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</si>
  <si>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</si>
  <si>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</si>
  <si>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</si>
  <si>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</si>
  <si>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</si>
  <si>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</si>
  <si>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</si>
  <si>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</si>
  <si>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</si>
  <si>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</si>
  <si>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</si>
  <si>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</si>
  <si>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</si>
  <si>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</si>
  <si>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</si>
  <si>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</si>
  <si>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</si>
  <si>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</si>
  <si>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</si>
  <si>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</si>
  <si>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</si>
  <si>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</si>
  <si>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</si>
  <si>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</si>
  <si>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</si>
  <si>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</si>
  <si>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</si>
  <si>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</si>
  <si>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</si>
  <si>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</si>
  <si>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</si>
  <si>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</si>
  <si>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</si>
  <si>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</si>
  <si>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</si>
  <si>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</si>
  <si>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</si>
  <si>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</si>
  <si>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</si>
  <si>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</si>
  <si>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</si>
  <si>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</si>
  <si>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</si>
  <si>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</si>
  <si>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</si>
  <si>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</si>
  <si>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</si>
  <si>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</si>
  <si>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</si>
  <si>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</si>
  <si>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</si>
  <si>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</si>
  <si>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</si>
  <si>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</si>
  <si>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</si>
  <si>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</si>
  <si>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</si>
  <si>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</si>
  <si>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</si>
  <si>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</si>
  <si>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</si>
  <si>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</si>
  <si>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</si>
  <si>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</si>
  <si>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</si>
  <si>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</si>
  <si>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</si>
  <si>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</si>
  <si>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</si>
  <si>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</si>
  <si>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</si>
  <si>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</si>
  <si>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</si>
  <si>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</si>
  <si>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</si>
  <si>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Jabbar Akhter</t>
  </si>
  <si>
    <t xml:space="preserve">Address: Paragon City </t>
  </si>
  <si>
    <t>Hikam Store</t>
  </si>
  <si>
    <t xml:space="preserve">Imperial Mart </t>
  </si>
  <si>
    <t xml:space="preserve">Pick And Pack </t>
  </si>
  <si>
    <t>Moima Store</t>
  </si>
  <si>
    <t xml:space="preserve">Penzo Mart </t>
  </si>
  <si>
    <t>Nmalik Waqas Store</t>
  </si>
  <si>
    <t>Address: Barki Road</t>
  </si>
  <si>
    <t xml:space="preserve">Hikma Green City </t>
  </si>
  <si>
    <t xml:space="preserve">Address: Green 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</si>
</sst>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1" sqref="B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46254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Hikam Store</v>
      </c>
      <c r="T3" s="301">
        <f>+'1'!P35</f>
        <v>12471.704249338982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Imperial Mart </v>
      </c>
      <c r="T4" s="301">
        <f>+'2'!P35</f>
        <v>2265.051582838983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Pick And Pack </v>
      </c>
      <c r="T5" s="301">
        <f>+'3'!P35</f>
        <v>2979.4099000805081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Moima Store</v>
      </c>
      <c r="T6" s="301">
        <f>+'4'!P35</f>
        <v>11004.670577745761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147</v>
      </c>
      <c r="I7" s="235">
        <f>(G7*D7)*F7+H7*F7</f>
        <v>7711.9875000000002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616.95900000000006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269.91956250000004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6825.1089375000001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1457.542372881355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41.413256551906784</v>
      </c>
      <c r="P7" s="310">
        <f>M7+N7+O7</f>
        <v>8324.0645669332625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Penzo Mart </v>
      </c>
      <c r="T7" s="301">
        <f>+'5'!P35</f>
        <v>2265.051582838983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132</v>
      </c>
      <c r="I8" s="236">
        <f t="shared" ref="I8:I14" si="0">(G8*D8)*F8+H8*F8</f>
        <v>6925.05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554.00400000000002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242.37675000000002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6128.6692499999999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1308.8135593220331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37.187414046610172</v>
      </c>
      <c r="P8" s="311">
        <f t="shared" ref="P8:P15" si="2">M8+N8+O8</f>
        <v>7474.6702233686428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Nmalik Waqas Store</v>
      </c>
      <c r="T8" s="301">
        <f>+'6'!P35</f>
        <v>2265.051582838983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77</v>
      </c>
      <c r="I9" s="236">
        <f t="shared" si="0"/>
        <v>4039.6124999999997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323.16899999999998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141.3864375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3575.0570624999996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763.47457627118615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21.692658193855934</v>
      </c>
      <c r="P9" s="311">
        <f t="shared" si="2"/>
        <v>4360.2242969650415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Hikma Green City 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101</v>
      </c>
      <c r="I10" s="236">
        <f t="shared" si="0"/>
        <v>7336.64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586.93119999999999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256.78240000000005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6492.9264000000003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1386.6101694915255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39.397682847457624</v>
      </c>
      <c r="P10" s="311">
        <f t="shared" si="2"/>
        <v>7918.9342523389832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Hikma Green City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</v>
      </c>
      <c r="I11" s="236">
        <f t="shared" si="0"/>
        <v>2179.1999999999998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174.33600000000001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76.272000000000006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1928.5919999999999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411.86440677966107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11.702282033898307</v>
      </c>
      <c r="P11" s="311">
        <f t="shared" si="2"/>
        <v>2352.1586888135594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41</v>
      </c>
      <c r="I12" s="236">
        <f t="shared" si="0"/>
        <v>2978.2400000000002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238.25920000000002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104.23840000000001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2635.7424000000001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562.88135593220341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15.993118779661017</v>
      </c>
      <c r="P12" s="311">
        <f t="shared" si="2"/>
        <v>3214.6168747118645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311">
        <f t="shared" si="2"/>
        <v>5007.533740474576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16.2</v>
      </c>
      <c r="H16" s="113">
        <f t="shared" ref="H16:M16" si="3">SUM(H7:H15)</f>
        <v>648</v>
      </c>
      <c r="I16" s="114">
        <f t="shared" si="3"/>
        <v>35878.33</v>
      </c>
      <c r="J16" s="274">
        <f>SUM(J7:J15)</f>
        <v>2729.0383999999999</v>
      </c>
      <c r="K16" s="275">
        <f t="shared" si="3"/>
        <v>1255.7415500000004</v>
      </c>
      <c r="L16" s="276">
        <f t="shared" si="3"/>
        <v>240.08760000000001</v>
      </c>
      <c r="M16" s="232">
        <f t="shared" si="3"/>
        <v>31653.462449999999</v>
      </c>
      <c r="N16" s="233">
        <f>SUM(N7:N15)</f>
        <v>6806.4406779661003</v>
      </c>
      <c r="O16" s="101">
        <f>SUM(O7:O15)</f>
        <v>192.29951563983053</v>
      </c>
      <c r="P16" s="113">
        <f>SUM(P7:P15)</f>
        <v>38652.202643605931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35878.33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2729.0383999999999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1495.8291500000005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31653.462450000003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6806.4406779661003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38459.903127966099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192.29951563983053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38652.202643605931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38652.202643605931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7.2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7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11577.4</v>
      </c>
      <c r="J25" s="274">
        <f>SUM(J16:J24)</f>
        <v>879.1160000000001</v>
      </c>
      <c r="K25" s="275">
        <f t="shared" si="10"/>
        <v>405.20900000000006</v>
      </c>
      <c r="L25" s="276">
        <f t="shared" si="10"/>
        <v>80.029200000000003</v>
      </c>
      <c r="M25" s="232">
        <f t="shared" si="10"/>
        <v>10213.045800000002</v>
      </c>
      <c r="N25" s="233">
        <f>SUM(N16:N24)</f>
        <v>2196.6101694915251</v>
      </c>
      <c r="O25" s="101">
        <f>SUM(O16:O24)</f>
        <v>62.048279847457621</v>
      </c>
      <c r="P25" s="113">
        <f>SUM(P16:P24)</f>
        <v>12471.704249338984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11577.4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879.1160000000001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485.23820000000006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10213.0458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12409.655969491525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62.048279847457628</v>
      </c>
    </row>
    <row r="35" spans="2:16" ht="15.75" customHeight="1" thickBot="1" x14ac:dyDescent="0.4">
      <c r="N35" s="342" t="s">
        <v>88</v>
      </c>
      <c r="O35" s="343"/>
      <c r="P35" s="297">
        <f>+P33+P34</f>
        <v>12471.704249338982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311">
        <f t="shared" si="5"/>
        <v>1132.5257914194915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310">
        <f>M16+N16+O16</f>
        <v>679.51547485169488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311">
        <f t="shared" ref="P17:P24" si="5">M17+N17+O17</f>
        <v>679.51547485169488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48</v>
      </c>
      <c r="I25" s="114">
        <f t="shared" si="7"/>
        <v>2760.33</v>
      </c>
      <c r="J25" s="274">
        <f>SUM(J16:J24)</f>
        <v>220.82639999999998</v>
      </c>
      <c r="K25" s="275">
        <f t="shared" si="7"/>
        <v>96.611550000000008</v>
      </c>
      <c r="L25" s="276">
        <f t="shared" si="7"/>
        <v>0</v>
      </c>
      <c r="M25" s="232">
        <f t="shared" si="7"/>
        <v>2442.8920500000004</v>
      </c>
      <c r="N25" s="233">
        <f>SUM(N16:N24)</f>
        <v>521.69491525423723</v>
      </c>
      <c r="O25" s="101">
        <f>SUM(O16:O24)</f>
        <v>14.822934826271187</v>
      </c>
      <c r="P25" s="113">
        <f>SUM(P16:P24)</f>
        <v>2979.4099000805081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2760.33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220.82639999999998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96.611550000000008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2442.8920499999999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521.69491525423723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2964.5869652542369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14.822934826271185</v>
      </c>
    </row>
    <row r="35" spans="2:16" ht="15.75" customHeight="1" thickBot="1" x14ac:dyDescent="0.4">
      <c r="N35" s="342" t="s">
        <v>88</v>
      </c>
      <c r="O35" s="343"/>
      <c r="P35" s="297">
        <f>+P33+P34</f>
        <v>2979.4099000805081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311">
        <f t="shared" ref="P17:P24" si="5">M17+N17+O17</f>
        <v>2265.051582838983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311">
        <f t="shared" si="5"/>
        <v>3338.355826983051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200</v>
      </c>
      <c r="I25" s="114">
        <f t="shared" si="7"/>
        <v>10241</v>
      </c>
      <c r="J25" s="274">
        <f>SUM(J16:J24)</f>
        <v>725.12800000000004</v>
      </c>
      <c r="K25" s="275">
        <f t="shared" si="7"/>
        <v>358.43500000000006</v>
      </c>
      <c r="L25" s="276">
        <f t="shared" si="7"/>
        <v>160.05840000000001</v>
      </c>
      <c r="M25" s="232">
        <f t="shared" si="7"/>
        <v>8997.3786</v>
      </c>
      <c r="N25" s="233">
        <f>SUM(N16:N24)</f>
        <v>1952.5423728813553</v>
      </c>
      <c r="O25" s="101">
        <f>SUM(O16:O24)</f>
        <v>54.749604864406777</v>
      </c>
      <c r="P25" s="113">
        <f>SUM(P16:P24)</f>
        <v>11004.670577745763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10241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725.12800000000004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518.49340000000007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8997.3786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1952.5423728813553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10949.920972881355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54.749604864406777</v>
      </c>
    </row>
    <row r="35" spans="2:16" ht="15.75" customHeight="1" thickBot="1" x14ac:dyDescent="0.4">
      <c r="N35" s="342" t="s">
        <v>88</v>
      </c>
      <c r="O35" s="343"/>
      <c r="P35" s="297">
        <f>+P33+P34</f>
        <v>11004.670577745761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523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73.447500000000019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73.447500000000019</v>
      </c>
      <c r="L25" s="276">
        <f t="shared" si="7"/>
        <v>0</v>
      </c>
      <c r="M25" s="232">
        <f t="shared" si="7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73.447500000000019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113">
        <f>SUM(P16:P24)</f>
        <v>5401.2631679237284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5004.1000000000004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400.32800000000003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175.14350000000002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4428.6284999999998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5374.3912118644066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2" t="s">
        <v>88</v>
      </c>
      <c r="O35" s="343"/>
      <c r="P35" s="297">
        <f>+P33+P34</f>
        <v>5401.2631679237284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G11" sqref="G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527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46255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46254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517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46255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46254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2026-08-20T10:37:33Z</dcterms:modified>
</cp:coreProperties>
</file>