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03D4CF3-6D2D-43CB-8DA3-E0040D59A71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M20" i="46"/>
  <c r="O20" i="46" s="1"/>
  <c r="P20" i="46" s="1"/>
  <c r="R20" i="46" s="1"/>
  <c r="M17" i="44"/>
  <c r="O17" i="44" s="1"/>
  <c r="P17" i="44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<sst xmlns="http://schemas.openxmlformats.org/spreadsheetml/2006/main" count="3977" uniqueCount="529">
  <si>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</si>
  <si>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</si>
  <si>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</si>
  <si>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</si>
  <si>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</si>
  <si>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</si>
  <si>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</si>
  <si>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</si>
  <si>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</si>
  <si>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</si>
  <si>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</si>
  <si>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</si>
  <si>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</si>
  <si>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</si>
  <si>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</si>
  <si>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</si>
  <si>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</si>
  <si>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</si>
  <si>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</si>
  <si>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</si>
  <si>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</si>
  <si>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</si>
  <si>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</si>
  <si>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</si>
  <si>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</si>
  <si>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</si>
  <si>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</si>
  <si>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</si>
  <si>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</si>
  <si>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</si>
  <si>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</si>
  <si>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</si>
  <si>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</si>
  <si>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</si>
  <si>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</si>
  <si>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</si>
  <si>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</si>
  <si>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</si>
  <si>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</si>
  <si>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</si>
  <si>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</si>
  <si>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</si>
  <si>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</si>
  <si>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</si>
  <si>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</si>
  <si>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</si>
  <si>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</si>
  <si>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</si>
  <si>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</si>
  <si>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</si>
  <si>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</si>
  <si>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</si>
  <si>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</si>
  <si>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</si>
  <si>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</si>
  <si>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</si>
  <si>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</si>
  <si>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</si>
  <si>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</si>
  <si>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</si>
  <si>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</si>
  <si>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</si>
  <si>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</si>
  <si>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</si>
  <si>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</si>
  <si>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</si>
  <si>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</si>
  <si>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</si>
  <si>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</si>
  <si>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</si>
  <si>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</si>
  <si>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</si>
  <si>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</si>
  <si>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</si>
  <si>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</si>
  <si>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</si>
  <si>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</si>
  <si>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</si>
  <si>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</si>
  <si>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</si>
  <si>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</si>
  <si>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</si>
  <si>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</si>
  <si>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</si>
  <si>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</si>
  <si>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</si>
  <si>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</si>
  <si>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</si>
  <si>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</si>
  <si>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</si>
  <si>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</si>
  <si>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</si>
  <si>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</si>
  <si>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</si>
  <si>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</si>
  <si>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</si>
  <si>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</si>
  <si>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</si>
  <si>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</si>
  <si>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</si>
  <si>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</si>
  <si>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</si>
  <si>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</si>
  <si>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</si>
  <si>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</si>
  <si>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</si>
  <si>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</si>
  <si>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</si>
  <si>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</si>
  <si>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</si>
  <si>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</si>
  <si>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</si>
  <si>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</si>
  <si>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</si>
  <si>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</si>
  <si>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</si>
  <si>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</si>
  <si>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</si>
  <si>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</si>
  <si>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</si>
  <si>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</si>
  <si>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</si>
  <si>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</si>
  <si>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</si>
  <si>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</si>
  <si>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</si>
  <si>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</si>
  <si>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</si>
  <si>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</si>
  <si>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</si>
  <si>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</si>
  <si>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</si>
  <si>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</si>
  <si>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</si>
  <si>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</si>
  <si>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</si>
  <si>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</si>
  <si>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</si>
  <si>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</si>
  <si>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</si>
  <si>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</si>
  <si>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</si>
  <si>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</si>
  <si>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</si>
  <si>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</si>
  <si>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</si>
  <si>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</si>
  <si>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</si>
  <si>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</si>
  <si>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</si>
  <si>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</si>
  <si>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</si>
  <si>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</si>
  <si>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</si>
  <si>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</si>
  <si>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</si>
  <si>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</si>
  <si>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</si>
  <si>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</si>
  <si>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</si>
  <si>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</si>
  <si>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</si>
  <si>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</si>
  <si>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</si>
  <si>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</si>
  <si>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</si>
  <si>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</si>
  <si>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</si>
  <si>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</si>
  <si>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</si>
  <si>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</si>
  <si>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</si>
  <si>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</si>
  <si>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</si>
  <si>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</si>
  <si>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</si>
  <si>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</si>
  <si>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</si>
  <si>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</si>
  <si>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</si>
  <si>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</si>
  <si>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</si>
  <si>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</si>
  <si>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</si>
  <si>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</si>
  <si>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</si>
  <si>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</si>
  <si>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</si>
  <si>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</si>
  <si>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</si>
  <si>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</si>
  <si>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</si>
  <si>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</si>
  <si>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</si>
  <si>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</si>
  <si>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</si>
  <si>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</si>
  <si>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</si>
  <si>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</si>
  <si>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</si>
  <si>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</si>
  <si>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</si>
  <si>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</si>
  <si>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</si>
  <si>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</si>
  <si>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</si>
  <si>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</si>
  <si>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</si>
  <si>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</si>
  <si>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</si>
  <si>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</si>
  <si>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</si>
  <si>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</si>
  <si>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</si>
  <si>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</si>
  <si>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</si>
  <si>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</si>
  <si>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</si>
  <si>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</si>
  <si>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</si>
  <si>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</si>
  <si>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</si>
  <si>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</si>
  <si>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</si>
  <si>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</si>
  <si>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</si>
  <si>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</si>
  <si>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</si>
  <si>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</si>
  <si>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</si>
  <si>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</si>
  <si>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</si>
  <si>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</si>
  <si>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</si>
  <si>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</si>
  <si>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</si>
  <si>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</si>
  <si>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</si>
  <si>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</si>
  <si>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</si>
  <si>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</si>
  <si>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</si>
  <si>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</si>
  <si>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</si>
  <si>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</si>
  <si>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</si>
  <si>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</si>
  <si>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</si>
  <si>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</si>
  <si>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</si>
  <si>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</si>
  <si>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</si>
  <si>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</si>
  <si>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</si>
  <si>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</si>
  <si>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</si>
  <si>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</si>
  <si>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</si>
  <si>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</si>
  <si>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</si>
  <si>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</si>
  <si>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</si>
  <si>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</si>
  <si>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</si>
  <si>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</si>
  <si>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</si>
  <si>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</si>
  <si>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</si>
  <si>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</si>
  <si>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</si>
  <si>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</si>
  <si>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</si>
  <si>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</si>
  <si>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</si>
  <si>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</si>
  <si>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</si>
  <si>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</si>
  <si>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</si>
  <si>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</si>
  <si>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</si>
  <si>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</si>
  <si>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</si>
  <si>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</si>
  <si>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</si>
  <si>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</si>
  <si>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</si>
  <si>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</si>
  <si>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</si>
  <si>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</si>
  <si>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</si>
  <si>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</si>
  <si>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</si>
  <si>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</si>
  <si>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</si>
  <si>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</si>
  <si>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</si>
  <si>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</si>
  <si>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</si>
  <si>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</si>
  <si>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</si>
  <si>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</si>
  <si>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</si>
  <si>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</si>
  <si>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</si>
  <si>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</si>
  <si>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</si>
  <si>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</si>
  <si>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</si>
  <si>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</si>
  <si>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</si>
  <si>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</si>
  <si>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</si>
  <si>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</si>
  <si>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</si>
  <si>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</si>
  <si>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</si>
  <si>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</si>
  <si>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</si>
  <si>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</si>
  <si>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</si>
  <si>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</si>
  <si>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</si>
  <si>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</si>
  <si>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</si>
  <si>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</si>
  <si>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</si>
  <si>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</si>
  <si>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</si>
  <si>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</si>
  <si>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</si>
  <si>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</si>
  <si>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</si>
  <si>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</si>
  <si>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</si>
  <si>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</si>
  <si>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</si>
  <si>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</si>
  <si>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</si>
  <si>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</si>
  <si>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</si>
  <si>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</si>
  <si>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</si>
  <si>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</si>
  <si>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</si>
  <si>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</si>
  <si>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</si>
  <si>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</si>
  <si>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</si>
  <si>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</si>
  <si>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</si>
  <si>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</si>
  <si>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</si>
  <si>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</si>
  <si>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</si>
  <si>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</si>
  <si>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</si>
  <si>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</si>
  <si>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</si>
  <si>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</si>
  <si>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</si>
  <si>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</si>
  <si>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</si>
  <si>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</si>
  <si>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</si>
  <si>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</si>
  <si>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</si>
  <si>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</si>
  <si>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</si>
  <si>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</si>
  <si>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</si>
  <si>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</si>
  <si>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</si>
  <si>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</si>
  <si>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</si>
  <si>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</si>
  <si>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</si>
  <si>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</si>
  <si>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</si>
  <si>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</si>
  <si>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</si>
  <si>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</si>
  <si>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</si>
  <si>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</si>
  <si>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</si>
  <si>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</si>
  <si>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</si>
  <si>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</si>
  <si>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</si>
  <si>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</si>
  <si>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</si>
  <si>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</si>
  <si>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</si>
  <si>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</si>
  <si>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</si>
  <si>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</si>
  <si>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</si>
  <si>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</si>
  <si>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</si>
  <si>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</si>
  <si>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</si>
  <si>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</si>
  <si>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</si>
  <si>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</si>
  <si>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</si>
  <si>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</si>
  <si>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</si>
  <si>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</si>
  <si>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</si>
  <si>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</si>
  <si>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</si>
  <si>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</si>
  <si>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</si>
  <si>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</si>
  <si>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</si>
  <si>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</si>
  <si>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</si>
  <si>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</si>
  <si>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</si>
  <si>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</si>
  <si>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</si>
  <si>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</si>
  <si>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</si>
  <si>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</si>
  <si>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</si>
  <si>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</si>
  <si>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</si>
  <si>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</si>
  <si>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</si>
  <si>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</si>
  <si>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</si>
  <si>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</si>
  <si>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</si>
  <si>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</si>
  <si>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</si>
  <si>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</si>
  <si>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</si>
  <si>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</si>
  <si>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</si>
  <si>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</si>
  <si>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</si>
  <si>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</si>
  <si>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</si>
  <si>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</si>
  <si>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</si>
  <si>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</si>
  <si>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</si>
  <si>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</si>
  <si>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</si>
  <si>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</si>
  <si>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</si>
  <si>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</si>
  <si>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</si>
  <si>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</si>
  <si>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</si>
  <si>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</si>
  <si>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</si>
  <si>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</si>
  <si>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</si>
  <si>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</si>
  <si>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</si>
  <si>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</si>
  <si>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</si>
  <si>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</si>
  <si>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</si>
  <si>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</si>
  <si>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</si>
  <si>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</si>
  <si>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</si>
  <si>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</si>
  <si>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</si>
  <si>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</si>
  <si>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</si>
  <si>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</si>
  <si>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</si>
  <si>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</si>
  <si>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</si>
  <si>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</si>
  <si>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</si>
  <si>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</si>
  <si>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</si>
  <si>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</si>
  <si>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</si>
  <si>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</si>
  <si>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</si>
  <si>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</si>
  <si>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</si>
  <si>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</si>
  <si>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</si>
  <si>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</si>
  <si>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</si>
  <si>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</si>
  <si>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</si>
  <si>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</si>
  <si>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</si>
  <si>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</si>
  <si>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</si>
  <si>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</si>
  <si>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</si>
  <si>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</si>
  <si>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</si>
  <si>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</si>
  <si>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</si>
  <si>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</si>
  <si>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</si>
  <si>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</si>
  <si>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</si>
  <si>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</si>
  <si>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</si>
  <si>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</si>
  <si>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</si>
  <si>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</si>
  <si>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</si>
  <si>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</si>
  <si>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</si>
  <si>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</si>
  <si>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</si>
  <si>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Furqan</t>
  </si>
  <si>
    <t>Address:Gopal Nagar</t>
  </si>
  <si>
    <t xml:space="preserve">Friend Mart </t>
  </si>
  <si>
    <t>Fazle Kabeer Store</t>
  </si>
  <si>
    <t xml:space="preserve">Kashmir Bakery </t>
  </si>
  <si>
    <t>Ali Masalajaat</t>
  </si>
  <si>
    <t>Gujjer Store</t>
  </si>
  <si>
    <t xml:space="preserve">Mian &amp; Sons </t>
  </si>
  <si>
    <t>Noorani Store</t>
  </si>
  <si>
    <t>Husnain Store</t>
  </si>
  <si>
    <t>Asif Store</t>
  </si>
  <si>
    <t>Malik Store</t>
  </si>
  <si>
    <t>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</si>
</sst>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6" sqref="U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Friend Mart </v>
      </c>
      <c r="T3" s="301">
        <f>+'1'!P35</f>
        <v>1767.6102703538138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Fazle Kabeer Store</v>
      </c>
      <c r="T4" s="301">
        <f>+'2'!P35</f>
        <v>1781.3745869987283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Kashmir Bakery </v>
      </c>
      <c r="T5" s="301">
        <f>+'3'!P35</f>
        <v>1767.6102703538138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Ali Masalajaat</v>
      </c>
      <c r="T6" s="301">
        <f>+'4'!P35</f>
        <v>1237.3271892476691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Gujjer Store</v>
      </c>
      <c r="T7" s="301">
        <f>+'5'!P35</f>
        <v>10206.652666500002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106</v>
      </c>
      <c r="I8" s="236">
        <f t="shared" ref="I8:I14" si="0">(G8*D8)*F8+H8*F8</f>
        <v>5561.0249999999996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444.88199999999995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194.63587500000003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4921.5071250000001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1051.0169491525419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29.862620370762716</v>
      </c>
      <c r="P8" s="311">
        <f t="shared" ref="P8:P15" si="2">M8+N8+O8</f>
        <v>6002.3866945233049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Mian &amp; Sons 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Noorani Store</v>
      </c>
      <c r="T9" s="301">
        <f>+'7'!P35</f>
        <v>707.04410814152538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51</v>
      </c>
      <c r="I10" s="236">
        <f t="shared" si="0"/>
        <v>3704.64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296.37120000000004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129.66240000000002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3278.6063999999997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700.16949152542372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19.893879457627119</v>
      </c>
      <c r="P10" s="311">
        <f t="shared" si="2"/>
        <v>3998.6697709830505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Husnain Store</v>
      </c>
      <c r="T10" s="301">
        <f>+'8'!P35</f>
        <v>2391.1954828207627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46</v>
      </c>
      <c r="I11" s="236">
        <f t="shared" si="0"/>
        <v>3341.44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267.3152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116.95040000000002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2957.1743999999999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631.52542372881362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17.94349911864407</v>
      </c>
      <c r="P11" s="311">
        <f t="shared" si="2"/>
        <v>3606.6433228474575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Asif Store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Malik Store</v>
      </c>
      <c r="T12" s="301">
        <f>+'10'!P35</f>
        <v>500.75337404745761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187</v>
      </c>
      <c r="I13" s="236">
        <f t="shared" si="0"/>
        <v>7336.0100000000011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366.80050000000011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256.76035000000007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374.13650999999999</v>
      </c>
      <c r="M13" s="230">
        <f t="shared" si="1"/>
        <v>6338.312640000001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1426.2711864406772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38.822919132203396</v>
      </c>
      <c r="P13" s="311">
        <f t="shared" si="2"/>
        <v>7803.4067455728818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Khan Store</v>
      </c>
      <c r="T13" s="301">
        <f>+'11'!P35</f>
        <v>1669.1779134915255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11.375</v>
      </c>
      <c r="H16" s="113">
        <f t="shared" ref="H16:M16" si="3">SUM(H7:H15)</f>
        <v>455</v>
      </c>
      <c r="I16" s="114">
        <f t="shared" si="3"/>
        <v>24160.2775</v>
      </c>
      <c r="J16" s="274">
        <f>SUM(J7:J15)</f>
        <v>1712.7419000000002</v>
      </c>
      <c r="K16" s="275">
        <f t="shared" si="3"/>
        <v>845.60971250000011</v>
      </c>
      <c r="L16" s="276">
        <f t="shared" si="3"/>
        <v>374.13650999999999</v>
      </c>
      <c r="M16" s="232">
        <f t="shared" si="3"/>
        <v>21227.789377500001</v>
      </c>
      <c r="N16" s="233">
        <f>SUM(N7:N15)</f>
        <v>4606.0169491525412</v>
      </c>
      <c r="O16" s="101">
        <f>SUM(O7:O15)</f>
        <v>129.1690316332627</v>
      </c>
      <c r="P16" s="113">
        <f>SUM(P7:P15)</f>
        <v>25962.975358285803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24160.2775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1712.7419000000002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1219.7462225000002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21227.789377499997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4606.0169491525412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25833.806326652539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129.1690316332627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25962.975358285803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25962.97535828581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30</v>
      </c>
      <c r="I25" s="114">
        <f t="shared" ref="I25:M25" si="10">SUM(I16:I24)</f>
        <v>1643.3250000000003</v>
      </c>
      <c r="J25" s="274">
        <f>SUM(J16:J24)</f>
        <v>119.697</v>
      </c>
      <c r="K25" s="275">
        <f t="shared" si="10"/>
        <v>57.516375000000011</v>
      </c>
      <c r="L25" s="276">
        <f t="shared" si="10"/>
        <v>20.007300000000001</v>
      </c>
      <c r="M25" s="232">
        <f t="shared" si="10"/>
        <v>1446.1043250000002</v>
      </c>
      <c r="N25" s="233">
        <f>SUM(N16:N24)</f>
        <v>312.71186440677957</v>
      </c>
      <c r="O25" s="101">
        <f>SUM(O16:O24)</f>
        <v>8.7940809470338976</v>
      </c>
      <c r="P25" s="113">
        <f>SUM(P16:P24)</f>
        <v>1767.6102703538136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1643.3250000000003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119.697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77.523675000000011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1446.1043250000002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312.71186440677957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1758.8161894067798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8.7940809470338994</v>
      </c>
    </row>
    <row r="35" spans="2:16" ht="15.75" customHeight="1" thickBot="1" x14ac:dyDescent="0.4">
      <c r="N35" s="342" t="s">
        <v>88</v>
      </c>
      <c r="O35" s="343"/>
      <c r="P35" s="297">
        <f>+P33+P34</f>
        <v>1767.6102703538138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30</v>
      </c>
      <c r="I25" s="114">
        <f t="shared" si="7"/>
        <v>1657.2149999999999</v>
      </c>
      <c r="J25" s="274">
        <f>SUM(J16:J24)</f>
        <v>118.45440000000002</v>
      </c>
      <c r="K25" s="275">
        <f t="shared" si="7"/>
        <v>58.002525000000013</v>
      </c>
      <c r="L25" s="276">
        <f t="shared" si="7"/>
        <v>24.008760000000002</v>
      </c>
      <c r="M25" s="232">
        <f t="shared" si="7"/>
        <v>1456.749315</v>
      </c>
      <c r="N25" s="233">
        <f>SUM(N16:N24)</f>
        <v>315.7627118644067</v>
      </c>
      <c r="O25" s="101">
        <f>SUM(O16:O24)</f>
        <v>8.8625601343220328</v>
      </c>
      <c r="P25" s="113">
        <f>SUM(P16:P24)</f>
        <v>1781.3745869987288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1657.2149999999999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118.45440000000002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82.011285000000015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1456.7493149999998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315.7627118644067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1772.5120268644064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8.8625601343220328</v>
      </c>
    </row>
    <row r="35" spans="2:16" ht="15.75" customHeight="1" thickBot="1" x14ac:dyDescent="0.4">
      <c r="N35" s="342" t="s">
        <v>88</v>
      </c>
      <c r="O35" s="343"/>
      <c r="P35" s="297">
        <f>+P33+P34</f>
        <v>1781.3745869987283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30</v>
      </c>
      <c r="I25" s="114">
        <f t="shared" si="7"/>
        <v>1643.3250000000003</v>
      </c>
      <c r="J25" s="274">
        <f>SUM(J16:J24)</f>
        <v>119.697</v>
      </c>
      <c r="K25" s="275">
        <f t="shared" si="7"/>
        <v>57.516375000000011</v>
      </c>
      <c r="L25" s="276">
        <f t="shared" si="7"/>
        <v>20.007300000000001</v>
      </c>
      <c r="M25" s="232">
        <f t="shared" si="7"/>
        <v>1446.1043250000002</v>
      </c>
      <c r="N25" s="233">
        <f>SUM(N16:N24)</f>
        <v>312.71186440677957</v>
      </c>
      <c r="O25" s="101">
        <f>SUM(O16:O24)</f>
        <v>8.7940809470338976</v>
      </c>
      <c r="P25" s="113">
        <f>SUM(P16:P24)</f>
        <v>1767.6102703538136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1643.3250000000003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119.697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77.523675000000011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1446.1043250000002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312.71186440677957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1758.8161894067798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8.7940809470338994</v>
      </c>
    </row>
    <row r="35" spans="2:16" ht="15.75" customHeight="1" thickBot="1" x14ac:dyDescent="0.4">
      <c r="N35" s="342" t="s">
        <v>88</v>
      </c>
      <c r="O35" s="343"/>
      <c r="P35" s="297">
        <f>+P33+P34</f>
        <v>1767.6102703538138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7</v>
      </c>
      <c r="I17" s="236">
        <f t="shared" ref="I17:I23" si="0">(G17*D17)*F17+H17*F17</f>
        <v>367.23750000000001</v>
      </c>
      <c r="J17" s="272">
        <f t="shared" ref="J17:L24" si="1">$I17*S17</f>
        <v>29.379000000000001</v>
      </c>
      <c r="K17" s="128">
        <f>$I17*T17</f>
        <v>12.853312500000001</v>
      </c>
      <c r="L17" s="119">
        <f>$I17*U17</f>
        <v>0</v>
      </c>
      <c r="M17" s="230">
        <f t="shared" ref="M17:M24" si="2">I17-SUM(J17:L17)</f>
        <v>325.00518750000003</v>
      </c>
      <c r="N17" s="277">
        <f t="shared" ref="N17:N24" si="3">+(G17*D17+H17)*V17</f>
        <v>69.406779661016913</v>
      </c>
      <c r="O17" s="239">
        <f t="shared" ref="O17:O24" si="4">(N17+M17)*$O$15</f>
        <v>1.9720598358050847</v>
      </c>
      <c r="P17" s="311">
        <f t="shared" ref="P17:P24" si="5">M17+N17+O17</f>
        <v>396.38402699682206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</v>
      </c>
      <c r="I19" s="236">
        <f t="shared" si="0"/>
        <v>508.48</v>
      </c>
      <c r="J19" s="272">
        <f t="shared" si="1"/>
        <v>40.678400000000003</v>
      </c>
      <c r="K19" s="128">
        <f t="shared" si="1"/>
        <v>17.796800000000001</v>
      </c>
      <c r="L19" s="119">
        <f t="shared" si="1"/>
        <v>0</v>
      </c>
      <c r="M19" s="230">
        <f t="shared" si="2"/>
        <v>450.00480000000005</v>
      </c>
      <c r="N19" s="277">
        <f t="shared" si="3"/>
        <v>96.101694915254242</v>
      </c>
      <c r="O19" s="239">
        <f t="shared" si="4"/>
        <v>2.7305324745762714</v>
      </c>
      <c r="P19" s="311">
        <f t="shared" si="5"/>
        <v>548.83702738983061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7</v>
      </c>
      <c r="I22" s="236">
        <f t="shared" si="0"/>
        <v>274.61</v>
      </c>
      <c r="J22" s="272">
        <f t="shared" si="1"/>
        <v>13.730500000000001</v>
      </c>
      <c r="K22" s="128">
        <f t="shared" si="1"/>
        <v>9.6113500000000016</v>
      </c>
      <c r="L22" s="119">
        <f t="shared" si="1"/>
        <v>14.00511</v>
      </c>
      <c r="M22" s="230">
        <f t="shared" si="2"/>
        <v>237.26304000000002</v>
      </c>
      <c r="N22" s="277">
        <f t="shared" si="3"/>
        <v>53.389830508474546</v>
      </c>
      <c r="O22" s="239">
        <f t="shared" si="4"/>
        <v>1.4532643525423727</v>
      </c>
      <c r="P22" s="311">
        <f t="shared" si="5"/>
        <v>292.10613486101693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21</v>
      </c>
      <c r="I25" s="114">
        <f t="shared" si="7"/>
        <v>1150.3274999999999</v>
      </c>
      <c r="J25" s="274">
        <f>SUM(J16:J24)</f>
        <v>83.787900000000008</v>
      </c>
      <c r="K25" s="275">
        <f t="shared" si="7"/>
        <v>40.261462500000007</v>
      </c>
      <c r="L25" s="276">
        <f t="shared" si="7"/>
        <v>14.00511</v>
      </c>
      <c r="M25" s="232">
        <f t="shared" si="7"/>
        <v>1012.2730275000001</v>
      </c>
      <c r="N25" s="233">
        <f>SUM(N16:N24)</f>
        <v>218.89830508474572</v>
      </c>
      <c r="O25" s="101">
        <f>SUM(O16:O24)</f>
        <v>6.1558566629237292</v>
      </c>
      <c r="P25" s="113">
        <f>SUM(P16:P24)</f>
        <v>1237.3271892476696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1150.3274999999999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83.787900000000008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54.266572500000009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1012.2730274999998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218.89830508474572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1231.1713325847454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6.1558566629237275</v>
      </c>
    </row>
    <row r="35" spans="2:16" ht="15.75" customHeight="1" thickBot="1" x14ac:dyDescent="0.4">
      <c r="N35" s="342" t="s">
        <v>88</v>
      </c>
      <c r="O35" s="343"/>
      <c r="P35" s="297">
        <f>+P33+P34</f>
        <v>1237.3271892476691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160</v>
      </c>
      <c r="I25" s="114">
        <f t="shared" si="7"/>
        <v>9478.9000000000015</v>
      </c>
      <c r="J25" s="274">
        <f>SUM(J16:J24)</f>
        <v>711.23599999999999</v>
      </c>
      <c r="K25" s="275">
        <f t="shared" si="7"/>
        <v>331.76150000000007</v>
      </c>
      <c r="L25" s="276">
        <f t="shared" si="7"/>
        <v>80.029200000000003</v>
      </c>
      <c r="M25" s="232">
        <f t="shared" si="7"/>
        <v>8355.8733000000011</v>
      </c>
      <c r="N25" s="233">
        <f>SUM(N16:N24)</f>
        <v>1799.9999999999998</v>
      </c>
      <c r="O25" s="101">
        <f>SUM(O16:O24)</f>
        <v>50.779366500000002</v>
      </c>
      <c r="P25" s="113">
        <f>SUM(P16:P24)</f>
        <v>10206.6526665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9478.9000000000015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711.23599999999999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411.79070000000007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8355.8733000000011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1799.9999999999998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10155.873300000001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50.779366500000009</v>
      </c>
    </row>
    <row r="35" spans="2:16" ht="15.75" customHeight="1" thickBot="1" x14ac:dyDescent="0.4">
      <c r="N35" s="342" t="s">
        <v>88</v>
      </c>
      <c r="O35" s="343"/>
      <c r="P35" s="297">
        <f>+P33+P34</f>
        <v>10206.652666500002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311">
        <f t="shared" ref="P17:P24" si="5">M17+N17+O17</f>
        <v>849.39434356461845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73.447500000000019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311">
        <f t="shared" si="5"/>
        <v>166.91779134915254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657.32999999999993</v>
      </c>
      <c r="J25" s="274">
        <f>SUM(J16:J24)</f>
        <v>47.878800000000005</v>
      </c>
      <c r="K25" s="275">
        <f t="shared" si="7"/>
        <v>23.006550000000001</v>
      </c>
      <c r="L25" s="276">
        <f t="shared" si="7"/>
        <v>8.0029199999999996</v>
      </c>
      <c r="M25" s="232">
        <f t="shared" si="7"/>
        <v>578.44173000000001</v>
      </c>
      <c r="N25" s="233">
        <f>SUM(N16:N24)</f>
        <v>125.08474576271183</v>
      </c>
      <c r="O25" s="101">
        <f>SUM(O16:O24)</f>
        <v>3.5176323788135591</v>
      </c>
      <c r="P25" s="113">
        <f>SUM(P16:P24)</f>
        <v>707.04410814152538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657.32999999999993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47.878800000000005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31.00947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578.44173000000001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125.08474576271183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703.52647576271181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3.5176323788135591</v>
      </c>
    </row>
    <row r="35" spans="2:16" ht="15.75" customHeight="1" thickBot="1" x14ac:dyDescent="0.4">
      <c r="N35" s="342" t="s">
        <v>88</v>
      </c>
      <c r="O35" s="343"/>
      <c r="P35" s="297">
        <f>+P33+P34</f>
        <v>707.04410814152538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14</v>
      </c>
      <c r="I17" s="236">
        <f t="shared" ref="I17:I23" si="0">(G17*D17)*F17+H17*F17</f>
        <v>734.47500000000002</v>
      </c>
      <c r="J17" s="272">
        <f t="shared" ref="J17:L24" si="1">$I17*S17</f>
        <v>58.758000000000003</v>
      </c>
      <c r="K17" s="128">
        <f>$I17*T17</f>
        <v>25.706625000000003</v>
      </c>
      <c r="L17" s="119">
        <f>$I17*U17</f>
        <v>0</v>
      </c>
      <c r="M17" s="230">
        <f t="shared" ref="M17:M24" si="2">I17-SUM(J17:L17)</f>
        <v>650.01037500000007</v>
      </c>
      <c r="N17" s="277">
        <f t="shared" ref="N17:N24" si="3">+(G17*D17+H17)*V17</f>
        <v>138.81355932203383</v>
      </c>
      <c r="O17" s="239">
        <f t="shared" ref="O17:O24" si="4">(N17+M17)*$O$15</f>
        <v>3.9441196716101694</v>
      </c>
      <c r="P17" s="311">
        <f t="shared" ref="P17:P24" si="5">M17+N17+O17</f>
        <v>792.76805399364412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311">
        <f t="shared" si="5"/>
        <v>1097.6740547796612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2222.1950000000002</v>
      </c>
      <c r="J25" s="274">
        <f>SUM(J16:J24)</f>
        <v>163.65280000000001</v>
      </c>
      <c r="K25" s="275">
        <f t="shared" si="7"/>
        <v>77.776825000000002</v>
      </c>
      <c r="L25" s="276">
        <f t="shared" si="7"/>
        <v>24.008760000000002</v>
      </c>
      <c r="M25" s="232">
        <f t="shared" si="7"/>
        <v>1956.7566150000002</v>
      </c>
      <c r="N25" s="233">
        <f>SUM(N16:N24)</f>
        <v>422.54237288135585</v>
      </c>
      <c r="O25" s="101">
        <f>SUM(O16:O24)</f>
        <v>11.89649493940678</v>
      </c>
      <c r="P25" s="113">
        <f>SUM(P16:P24)</f>
        <v>2391.1954828207631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2222.1950000000002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163.65280000000001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101.785585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1956.7566150000002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422.54237288135585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2379.298987881356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11.89649493940678</v>
      </c>
    </row>
    <row r="35" spans="2:16" ht="15.75" customHeight="1" thickBot="1" x14ac:dyDescent="0.4">
      <c r="N35" s="342" t="s">
        <v>88</v>
      </c>
      <c r="O35" s="343"/>
      <c r="P35" s="297">
        <f>+P33+P34</f>
        <v>2391.1954828207627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/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46254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2026-08-20T10:46:52Z</dcterms:modified>
</cp:coreProperties>
</file>