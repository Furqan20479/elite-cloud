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2905D7E-D3A2-4844-ABA7-C20B2801A56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<sst xmlns="http://schemas.openxmlformats.org/spreadsheetml/2006/main" count="3977" uniqueCount="523">
  <si>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</si>
  <si>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</si>
  <si>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</si>
  <si>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</si>
  <si>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</si>
  <si>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</si>
  <si>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</si>
  <si>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</si>
  <si>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</si>
  <si>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</si>
  <si>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</si>
  <si>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</si>
  <si>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</si>
  <si>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</si>
  <si>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</si>
  <si>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</si>
  <si>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</si>
  <si>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</si>
  <si>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</si>
  <si>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</si>
  <si>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</si>
  <si>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</si>
  <si>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</si>
  <si>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</si>
  <si>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</si>
  <si>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</si>
  <si>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</si>
  <si>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</si>
  <si>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</si>
  <si>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</si>
  <si>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</si>
  <si>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</si>
  <si>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</si>
  <si>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</si>
  <si>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</si>
  <si>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</si>
  <si>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</si>
  <si>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</si>
  <si>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</si>
  <si>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</si>
  <si>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</si>
  <si>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</si>
  <si>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</si>
  <si>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</si>
  <si>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</si>
  <si>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</si>
  <si>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</si>
  <si>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</si>
  <si>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</si>
  <si>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</si>
  <si>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</si>
  <si>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</si>
  <si>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</si>
  <si>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</si>
  <si>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</si>
  <si>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</si>
  <si>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</si>
  <si>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</si>
  <si>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</si>
  <si>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</si>
  <si>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</si>
  <si>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</si>
  <si>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</si>
  <si>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</si>
  <si>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</si>
  <si>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</si>
  <si>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</si>
  <si>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</si>
  <si>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</si>
  <si>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</si>
  <si>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</si>
  <si>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</si>
  <si>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</si>
  <si>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</si>
  <si>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</si>
  <si>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</si>
  <si>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</si>
  <si>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</si>
  <si>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</si>
  <si>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</si>
  <si>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</si>
  <si>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</si>
  <si>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</si>
  <si>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</si>
  <si>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</si>
  <si>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</si>
  <si>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</si>
  <si>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</si>
  <si>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</si>
  <si>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</si>
  <si>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</si>
  <si>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</si>
  <si>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</si>
  <si>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</si>
  <si>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</si>
  <si>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</si>
  <si>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</si>
  <si>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</si>
  <si>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</si>
  <si>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</si>
  <si>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</si>
  <si>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</si>
  <si>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</si>
  <si>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</si>
  <si>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</si>
  <si>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</si>
  <si>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</si>
  <si>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</si>
  <si>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</si>
  <si>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</si>
  <si>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</si>
  <si>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</si>
  <si>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</si>
  <si>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</si>
  <si>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</si>
  <si>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</si>
  <si>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</si>
  <si>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</si>
  <si>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</si>
  <si>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</si>
  <si>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</si>
  <si>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</si>
  <si>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</si>
  <si>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</si>
  <si>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</si>
  <si>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</si>
  <si>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</si>
  <si>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</si>
  <si>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</si>
  <si>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</si>
  <si>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</si>
  <si>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</si>
  <si>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</si>
  <si>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</si>
  <si>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</si>
  <si>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</si>
  <si>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</si>
  <si>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</si>
  <si>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</si>
  <si>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</si>
  <si>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</si>
  <si>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</si>
  <si>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</si>
  <si>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</si>
  <si>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</si>
  <si>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</si>
  <si>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</si>
  <si>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</si>
  <si>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</si>
  <si>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</si>
  <si>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</si>
  <si>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</si>
  <si>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</si>
  <si>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</si>
  <si>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</si>
  <si>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</si>
  <si>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</si>
  <si>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</si>
  <si>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</si>
  <si>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</si>
  <si>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</si>
  <si>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</si>
  <si>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</si>
  <si>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</si>
  <si>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</si>
  <si>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</si>
  <si>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</si>
  <si>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</si>
  <si>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</si>
  <si>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</si>
  <si>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</si>
  <si>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</si>
  <si>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</si>
  <si>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</si>
  <si>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</si>
  <si>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</si>
  <si>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</si>
  <si>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</si>
  <si>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</si>
  <si>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</si>
  <si>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</si>
  <si>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</si>
  <si>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</si>
  <si>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</si>
  <si>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</si>
  <si>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</si>
  <si>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</si>
  <si>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</si>
  <si>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</si>
  <si>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</si>
  <si>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</si>
  <si>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</si>
  <si>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</si>
  <si>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</si>
  <si>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</si>
  <si>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</si>
  <si>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</si>
  <si>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</si>
  <si>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</si>
  <si>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</si>
  <si>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</si>
  <si>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</si>
  <si>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</si>
  <si>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</si>
  <si>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</si>
  <si>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</si>
  <si>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</si>
  <si>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</si>
  <si>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</si>
  <si>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</si>
  <si>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</si>
  <si>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</si>
  <si>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</si>
  <si>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</si>
  <si>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</si>
  <si>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</si>
  <si>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</si>
  <si>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</si>
  <si>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</si>
  <si>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</si>
  <si>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</si>
  <si>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</si>
  <si>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</si>
  <si>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</si>
  <si>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</si>
  <si>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</si>
  <si>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</si>
  <si>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</si>
  <si>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</si>
  <si>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</si>
  <si>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</si>
  <si>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</si>
  <si>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</si>
  <si>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</si>
  <si>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</si>
  <si>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</si>
  <si>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</si>
  <si>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</si>
  <si>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</si>
  <si>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</si>
  <si>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</si>
  <si>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</si>
  <si>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</si>
  <si>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</si>
  <si>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</si>
  <si>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</si>
  <si>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</si>
  <si>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</si>
  <si>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</si>
  <si>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</si>
  <si>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</si>
  <si>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</si>
  <si>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</si>
  <si>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</si>
  <si>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</si>
  <si>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</si>
  <si>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</si>
  <si>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</si>
  <si>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</si>
  <si>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</si>
  <si>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</si>
  <si>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</si>
  <si>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</si>
  <si>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</si>
  <si>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</si>
  <si>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</si>
  <si>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</si>
  <si>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</si>
  <si>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</si>
  <si>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</si>
  <si>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</si>
  <si>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</si>
  <si>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</si>
  <si>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</si>
  <si>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</si>
  <si>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</si>
  <si>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</si>
  <si>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</si>
  <si>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</si>
  <si>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</si>
  <si>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</si>
  <si>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</si>
  <si>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</si>
  <si>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</si>
  <si>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</si>
  <si>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</si>
  <si>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</si>
  <si>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</si>
  <si>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</si>
  <si>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</si>
  <si>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</si>
  <si>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</si>
  <si>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</si>
  <si>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</si>
  <si>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</si>
  <si>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</si>
  <si>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</si>
  <si>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</si>
  <si>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</si>
  <si>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</si>
  <si>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</si>
  <si>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</si>
  <si>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</si>
  <si>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</si>
  <si>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</si>
  <si>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</si>
  <si>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</si>
  <si>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</si>
  <si>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</si>
  <si>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</si>
  <si>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</si>
  <si>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</si>
  <si>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</si>
  <si>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</si>
  <si>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</si>
  <si>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</si>
  <si>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</si>
  <si>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</si>
  <si>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</si>
  <si>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</si>
  <si>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</si>
  <si>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</si>
  <si>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</si>
  <si>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</si>
  <si>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</si>
  <si>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</si>
  <si>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</si>
  <si>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</si>
  <si>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</si>
  <si>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</si>
  <si>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</si>
  <si>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</si>
  <si>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</si>
  <si>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</si>
  <si>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</si>
  <si>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</si>
  <si>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</si>
  <si>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</si>
  <si>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</si>
  <si>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</si>
  <si>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</si>
  <si>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</si>
  <si>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</si>
  <si>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</si>
  <si>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</si>
  <si>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</si>
  <si>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</si>
  <si>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</si>
  <si>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</si>
  <si>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</si>
  <si>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</si>
  <si>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</si>
  <si>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</si>
  <si>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</si>
  <si>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</si>
  <si>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</si>
  <si>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</si>
  <si>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</si>
  <si>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</si>
  <si>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</si>
  <si>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</si>
  <si>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</si>
  <si>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</si>
  <si>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</si>
  <si>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</si>
  <si>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</si>
  <si>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</si>
  <si>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</si>
  <si>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</si>
  <si>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</si>
  <si>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</si>
  <si>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</si>
  <si>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</si>
  <si>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</si>
  <si>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</si>
  <si>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</si>
  <si>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</si>
  <si>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</si>
  <si>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</si>
  <si>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</si>
  <si>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</si>
  <si>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</si>
  <si>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</si>
  <si>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</si>
  <si>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</si>
  <si>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</si>
  <si>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</si>
  <si>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</si>
  <si>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</si>
  <si>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</si>
  <si>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</si>
  <si>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</si>
  <si>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</si>
  <si>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</si>
  <si>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</si>
  <si>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</si>
  <si>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</si>
  <si>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</si>
  <si>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</si>
  <si>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</si>
  <si>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</si>
  <si>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</si>
  <si>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</si>
  <si>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</si>
  <si>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</si>
  <si>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</si>
  <si>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</si>
  <si>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</si>
  <si>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</si>
  <si>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</si>
  <si>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</si>
  <si>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</si>
  <si>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</si>
  <si>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</si>
  <si>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</si>
  <si>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</si>
  <si>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</si>
  <si>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</si>
  <si>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</si>
  <si>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</si>
  <si>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</si>
  <si>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</si>
  <si>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</si>
  <si>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</si>
  <si>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</si>
  <si>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</si>
  <si>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</si>
  <si>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</si>
  <si>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</si>
  <si>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</si>
  <si>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</si>
  <si>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</si>
  <si>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</si>
  <si>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</si>
  <si>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</si>
  <si>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</si>
  <si>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</si>
  <si>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</si>
  <si>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</si>
  <si>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</si>
  <si>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</si>
  <si>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</si>
  <si>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</si>
  <si>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</si>
  <si>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</si>
  <si>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</si>
  <si>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</si>
  <si>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</si>
  <si>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</si>
  <si>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</si>
  <si>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</si>
  <si>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</si>
  <si>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</si>
  <si>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</si>
  <si>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</si>
  <si>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</si>
  <si>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</si>
  <si>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</si>
  <si>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</si>
  <si>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</si>
  <si>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</si>
  <si>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</si>
  <si>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</si>
  <si>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</si>
  <si>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</si>
  <si>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</si>
  <si>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</si>
  <si>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</si>
  <si>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</si>
  <si>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</si>
  <si>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</si>
  <si>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</si>
  <si>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</si>
  <si>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</si>
  <si>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</si>
  <si>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</si>
  <si>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</si>
  <si>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</si>
  <si>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</si>
  <si>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</si>
  <si>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</si>
  <si>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</si>
  <si>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</si>
  <si>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</si>
  <si>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</si>
  <si>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</si>
  <si>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</si>
  <si>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</si>
  <si>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</si>
  <si>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</si>
  <si>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</si>
  <si>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</si>
  <si>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</si>
  <si>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</si>
  <si>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</si>
  <si>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</si>
  <si>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</si>
  <si>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</si>
  <si>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</si>
  <si>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</si>
  <si>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</si>
  <si>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</si>
  <si>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</si>
  <si>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</si>
  <si>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</si>
  <si>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</si>
  <si>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</si>
  <si>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</si>
  <si>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</si>
  <si>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</si>
  <si>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</si>
  <si>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</si>
  <si>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</si>
  <si>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</si>
  <si>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</si>
  <si>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</si>
  <si>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</si>
  <si>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</si>
  <si>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Al Rehmat </t>
  </si>
  <si>
    <t>CNIC #:2167476-7</t>
  </si>
  <si>
    <t xml:space="preserve">Shakoor </t>
  </si>
  <si>
    <t>Address: Multan Road</t>
  </si>
  <si>
    <t>Invoice No # :48561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</si>
</sst>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Al Rehmat </v>
      </c>
      <c r="T3" s="301">
        <f>+'1'!P35</f>
        <v>31804.08454754237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3002.46</v>
      </c>
      <c r="K16" s="275">
        <f t="shared" si="3"/>
        <v>1050.8610000000001</v>
      </c>
      <c r="L16" s="276">
        <f t="shared" si="3"/>
        <v>0</v>
      </c>
      <c r="M16" s="232">
        <f t="shared" si="3"/>
        <v>25971.279000000002</v>
      </c>
      <c r="N16" s="233">
        <f>SUM(N7:N15)</f>
        <v>5674.576271186439</v>
      </c>
      <c r="O16" s="101">
        <f>SUM(O7:O15)</f>
        <v>158.2292763559322</v>
      </c>
      <c r="P16" s="113">
        <f>SUM(P7:P15)</f>
        <v>31804.084547542367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30024.600000000002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3002.46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1050.8610000000001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25971.279000000002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31645.855271186439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158.2292763559322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31804.08454754237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31804.08454754237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522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520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519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3002.46</v>
      </c>
      <c r="K25" s="275">
        <f t="shared" si="10"/>
        <v>1050.8610000000001</v>
      </c>
      <c r="L25" s="276">
        <f t="shared" si="10"/>
        <v>0</v>
      </c>
      <c r="M25" s="232">
        <f t="shared" si="10"/>
        <v>25971.279000000002</v>
      </c>
      <c r="N25" s="233">
        <f>SUM(N16:N24)</f>
        <v>5674.576271186439</v>
      </c>
      <c r="O25" s="101">
        <f>SUM(O16:O24)</f>
        <v>158.2292763559322</v>
      </c>
      <c r="P25" s="113">
        <f>SUM(P16:P24)</f>
        <v>31804.084547542367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30024.600000000002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3002.46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1050.8610000000001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25971.279000000002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31645.855271186439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42" t="s">
        <v>88</v>
      </c>
      <c r="O35" s="343"/>
      <c r="P35" s="297">
        <f>+P33+P34</f>
        <v>31804.08454754237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2026-08-21T05:42:35Z</dcterms:modified>
</cp:coreProperties>
</file>