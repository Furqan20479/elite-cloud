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1B0026A-DF38-4BCD-B9B9-9585CB7D9035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16" i="66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<sst xmlns="http://schemas.openxmlformats.org/spreadsheetml/2006/main" count="3977" uniqueCount="517">
  <si>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</si>
  <si>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</si>
  <si>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</si>
  <si>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</si>
  <si>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</si>
  <si>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</si>
  <si>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</si>
  <si>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</si>
  <si>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</si>
  <si>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</si>
  <si>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</si>
  <si>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</si>
  <si>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</si>
  <si>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</si>
  <si>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</si>
  <si>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</si>
  <si>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</si>
  <si>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</si>
  <si>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</si>
  <si>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</si>
  <si>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</si>
  <si>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</si>
  <si>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</si>
  <si>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</si>
  <si>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</si>
  <si>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</si>
  <si>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</si>
  <si>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</si>
  <si>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</si>
  <si>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</si>
  <si>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</si>
  <si>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</si>
  <si>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</si>
  <si>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</si>
  <si>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</si>
  <si>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</si>
  <si>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</si>
  <si>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</si>
  <si>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</si>
  <si>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</si>
  <si>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</si>
  <si>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</si>
  <si>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</si>
  <si>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</si>
  <si>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</si>
  <si>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</si>
  <si>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</si>
  <si>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</si>
  <si>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</si>
  <si>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</si>
  <si>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</si>
  <si>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</si>
  <si>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</si>
  <si>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</si>
  <si>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</si>
  <si>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</si>
  <si>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</si>
  <si>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</si>
  <si>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</si>
  <si>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</si>
  <si>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</si>
  <si>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</si>
  <si>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</si>
  <si>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</si>
  <si>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</si>
  <si>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</si>
  <si>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</si>
  <si>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</si>
  <si>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</si>
  <si>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</si>
  <si>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</si>
  <si>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</si>
  <si>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</si>
  <si>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</si>
  <si>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</si>
  <si>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</si>
  <si>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</si>
  <si>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</si>
  <si>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</si>
  <si>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</si>
  <si>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</si>
  <si>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</si>
  <si>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</si>
  <si>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</si>
  <si>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</si>
  <si>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</si>
  <si>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</si>
  <si>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</si>
  <si>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</si>
  <si>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</si>
  <si>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</si>
  <si>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</si>
  <si>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</si>
  <si>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</si>
  <si>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</si>
  <si>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</si>
  <si>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</si>
  <si>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</si>
  <si>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</si>
  <si>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</si>
  <si>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</si>
  <si>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</si>
  <si>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</si>
  <si>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</si>
  <si>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</si>
  <si>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</si>
  <si>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</si>
  <si>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</si>
  <si>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</si>
  <si>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</si>
  <si>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</si>
  <si>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</si>
  <si>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</si>
  <si>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</si>
  <si>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</si>
  <si>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</si>
  <si>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</si>
  <si>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</si>
  <si>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</si>
  <si>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</si>
  <si>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</si>
  <si>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</si>
  <si>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</si>
  <si>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</si>
  <si>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</si>
  <si>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</si>
  <si>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</si>
  <si>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</si>
  <si>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</si>
  <si>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</si>
  <si>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</si>
  <si>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</si>
  <si>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</si>
  <si>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</si>
  <si>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</si>
  <si>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</si>
  <si>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</si>
  <si>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</si>
  <si>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</si>
  <si>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</si>
  <si>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</si>
  <si>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</si>
  <si>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</si>
  <si>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</si>
  <si>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</si>
  <si>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</si>
  <si>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</si>
  <si>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</si>
  <si>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</si>
  <si>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</si>
  <si>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</si>
  <si>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</si>
  <si>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</si>
  <si>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</si>
  <si>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</si>
  <si>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</si>
  <si>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</si>
  <si>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</si>
  <si>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</si>
  <si>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</si>
  <si>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</si>
  <si>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</si>
  <si>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</si>
  <si>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</si>
  <si>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</si>
  <si>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</si>
  <si>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</si>
  <si>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</si>
  <si>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</si>
  <si>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</si>
  <si>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</si>
  <si>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</si>
  <si>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</si>
  <si>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</si>
  <si>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</si>
  <si>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</si>
  <si>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</si>
  <si>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</si>
  <si>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</si>
  <si>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</si>
  <si>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</si>
  <si>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</si>
  <si>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</si>
  <si>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</si>
  <si>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</si>
  <si>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</si>
  <si>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</si>
  <si>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</si>
  <si>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</si>
  <si>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</si>
  <si>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</si>
  <si>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</si>
  <si>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</si>
  <si>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</si>
  <si>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</si>
  <si>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</si>
  <si>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</si>
  <si>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</si>
  <si>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</si>
  <si>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</si>
  <si>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</si>
  <si>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</si>
  <si>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</si>
  <si>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</si>
  <si>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</si>
  <si>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</si>
  <si>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</si>
  <si>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</si>
  <si>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</si>
  <si>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</si>
  <si>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</si>
  <si>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</si>
  <si>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</si>
  <si>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</si>
  <si>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</si>
  <si>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</si>
  <si>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</si>
  <si>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</si>
  <si>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</si>
  <si>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</si>
  <si>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</si>
  <si>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</si>
  <si>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</si>
  <si>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</si>
  <si>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</si>
  <si>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</si>
  <si>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</si>
  <si>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</si>
  <si>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</si>
  <si>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</si>
  <si>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</si>
  <si>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</si>
  <si>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</si>
  <si>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</si>
  <si>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</si>
  <si>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</si>
  <si>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</si>
  <si>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</si>
  <si>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</si>
  <si>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</si>
  <si>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</si>
  <si>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</si>
  <si>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</si>
  <si>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</si>
  <si>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</si>
  <si>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</si>
  <si>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</si>
  <si>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</si>
  <si>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</si>
  <si>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</si>
  <si>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</si>
  <si>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</si>
  <si>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</si>
  <si>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</si>
  <si>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</si>
  <si>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</si>
  <si>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</si>
  <si>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</si>
  <si>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</si>
  <si>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</si>
  <si>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</si>
  <si>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</si>
  <si>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</si>
  <si>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</si>
  <si>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</si>
  <si>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</si>
  <si>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</si>
  <si>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</si>
  <si>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</si>
  <si>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</si>
  <si>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</si>
  <si>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</si>
  <si>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</si>
  <si>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</si>
  <si>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</si>
  <si>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</si>
  <si>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</si>
  <si>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</si>
  <si>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</si>
  <si>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</si>
  <si>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</si>
  <si>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</si>
  <si>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</si>
  <si>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</si>
  <si>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</si>
  <si>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</si>
  <si>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</si>
  <si>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</si>
  <si>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</si>
  <si>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</si>
  <si>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</si>
  <si>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</si>
  <si>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</si>
  <si>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</si>
  <si>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</si>
  <si>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</si>
  <si>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</si>
  <si>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</si>
  <si>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</si>
  <si>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</si>
  <si>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</si>
  <si>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</si>
  <si>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</si>
  <si>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</si>
  <si>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</si>
  <si>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</si>
  <si>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</si>
  <si>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</si>
  <si>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</si>
  <si>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</si>
  <si>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</si>
  <si>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</si>
  <si>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</si>
  <si>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</si>
  <si>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</si>
  <si>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</si>
  <si>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</si>
  <si>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</si>
  <si>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</si>
  <si>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</si>
  <si>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</si>
  <si>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</si>
  <si>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</si>
  <si>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</si>
  <si>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</si>
  <si>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</si>
  <si>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</si>
  <si>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</si>
  <si>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</si>
  <si>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</si>
  <si>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</si>
  <si>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</si>
  <si>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</si>
  <si>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</si>
  <si>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</si>
  <si>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</si>
  <si>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</si>
  <si>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</si>
  <si>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</si>
  <si>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</si>
  <si>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</si>
  <si>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</si>
  <si>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</si>
  <si>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</si>
  <si>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</si>
  <si>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</si>
  <si>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</si>
  <si>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</si>
  <si>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</si>
  <si>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</si>
  <si>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</si>
  <si>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</si>
  <si>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</si>
  <si>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</si>
  <si>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</si>
  <si>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</si>
  <si>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</si>
  <si>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</si>
  <si>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</si>
  <si>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</si>
  <si>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</si>
  <si>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</si>
  <si>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</si>
  <si>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</si>
  <si>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</si>
  <si>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</si>
  <si>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</si>
  <si>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</si>
  <si>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</si>
  <si>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</si>
  <si>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</si>
  <si>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</si>
  <si>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</si>
  <si>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</si>
  <si>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</si>
  <si>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</si>
  <si>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</si>
  <si>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</si>
  <si>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</si>
  <si>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</si>
  <si>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</si>
  <si>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</si>
  <si>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</si>
  <si>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</si>
  <si>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</si>
  <si>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</si>
  <si>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</si>
  <si>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</si>
  <si>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</si>
  <si>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</si>
  <si>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</si>
  <si>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</si>
  <si>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</si>
  <si>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</si>
  <si>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</si>
  <si>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</si>
  <si>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</si>
  <si>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</si>
  <si>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</si>
  <si>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</si>
  <si>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</si>
  <si>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</si>
  <si>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</si>
  <si>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</si>
  <si>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</si>
  <si>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</si>
  <si>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</si>
  <si>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</si>
  <si>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</si>
  <si>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</si>
  <si>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</si>
  <si>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</si>
  <si>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</si>
  <si>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</si>
  <si>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</si>
  <si>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</si>
  <si>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</si>
  <si>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</si>
  <si>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</si>
  <si>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</si>
  <si>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</si>
  <si>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</si>
  <si>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</si>
  <si>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</si>
  <si>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</si>
  <si>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</si>
  <si>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</si>
  <si>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</si>
  <si>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</si>
  <si>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</si>
  <si>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</si>
  <si>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</si>
  <si>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</si>
  <si>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</si>
  <si>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</si>
  <si>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</si>
  <si>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</si>
  <si>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</si>
  <si>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</si>
  <si>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</si>
  <si>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</si>
  <si>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</si>
  <si>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</si>
  <si>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</si>
  <si>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</si>
  <si>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</si>
  <si>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</si>
  <si>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</si>
  <si>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</si>
  <si>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</si>
  <si>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</si>
  <si>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</si>
  <si>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</si>
  <si>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</si>
  <si>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</si>
  <si>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</si>
  <si>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</si>
  <si>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</si>
  <si>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</si>
  <si>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</si>
  <si>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</si>
  <si>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</si>
  <si>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</si>
  <si>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</si>
  <si>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</si>
  <si>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</si>
  <si>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</si>
  <si>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</si>
  <si>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</si>
  <si>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</si>
  <si>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</si>
  <si>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</si>
  <si>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</si>
  <si>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</si>
  <si>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</si>
  <si>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</si>
  <si>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</si>
  <si>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</si>
  <si>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</si>
  <si>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</si>
  <si>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</si>
  <si>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</si>
  <si>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</si>
  <si>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</si>
  <si>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</si>
  <si>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</si>
  <si>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</si>
  <si>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</si>
  <si>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</si>
  <si>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</si>
  <si>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</si>
  <si>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</si>
  <si>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</si>
  <si>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</si>
  <si>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</si>
  <si>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</si>
  <si>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</si>
  <si>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</si>
  <si>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</si>
  <si>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</si>
  <si>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</si>
  <si>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</si>
  <si>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</si>
  <si>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</si>
  <si>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</si>
  <si>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</si>
  <si>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</si>
  <si>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</si>
  <si>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</si>
  <si>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</si>
  <si>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</si>
  <si>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</si>
  <si>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Askari Departmental Store</t>
  </si>
  <si>
    <t>Address: College Road</t>
  </si>
  <si>
    <t>NTN #: 6397883-8</t>
  </si>
  <si>
    <t>Shakoor</t>
  </si>
  <si>
    <t>Invoice No # :0001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</si>
</sst>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/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46255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Askari Departmental Store</v>
      </c>
      <c r="T3" s="301">
        <f>+'1'!P35</f>
        <v>18116.438790508477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Askari Departmental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Askari Departmental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Askari Departmental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Askari Departmental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Askari Departmental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Askari Departmental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Askari Departmental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Askari Departmental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4910.4639999999999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30.043845423728811</v>
      </c>
      <c r="P12" s="311">
        <f t="shared" si="2"/>
        <v>6038.8129301694917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Askari Departmental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Askari Departmental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Askari Departmental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Askari Departmental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6</v>
      </c>
      <c r="H16" s="113">
        <f t="shared" ref="H16:M16" si="3">SUM(H7:H15)</f>
        <v>240</v>
      </c>
      <c r="I16" s="114">
        <f t="shared" si="3"/>
        <v>17433.599999999999</v>
      </c>
      <c r="J16" s="274">
        <f>SUM(J7:J15)</f>
        <v>2092.0319999999997</v>
      </c>
      <c r="K16" s="275">
        <f t="shared" si="3"/>
        <v>610.17600000000004</v>
      </c>
      <c r="L16" s="276">
        <f t="shared" si="3"/>
        <v>0</v>
      </c>
      <c r="M16" s="232">
        <f t="shared" si="3"/>
        <v>14731.392</v>
      </c>
      <c r="N16" s="233">
        <f>SUM(N7:N15)</f>
        <v>3294.9152542372885</v>
      </c>
      <c r="O16" s="101">
        <f>SUM(O7:O15)</f>
        <v>90.131536271186434</v>
      </c>
      <c r="P16" s="113">
        <f>SUM(P7:P15)</f>
        <v>18116.438790508473</v>
      </c>
      <c r="Q16" s="128">
        <f>SUM(Q7:Q15)</f>
        <v>0</v>
      </c>
      <c r="R16" s="314">
        <v>14</v>
      </c>
      <c r="S16" s="300" t="str">
        <f>+'14'!A6:A6</f>
        <v>Askari Departmental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Askari Departmental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Askari Departmental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17433.599999999999</v>
      </c>
      <c r="R19" s="299">
        <v>17</v>
      </c>
      <c r="S19" s="300" t="str">
        <f>+'17'!A6:A6</f>
        <v>Askari Departmental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2092.0319999999997</v>
      </c>
      <c r="R20" s="299">
        <v>18</v>
      </c>
      <c r="S20" s="300" t="str">
        <f>+'18'!A6:A6</f>
        <v>Askari Departmental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610.17600000000004</v>
      </c>
      <c r="R21" s="299">
        <v>19</v>
      </c>
      <c r="S21" s="300" t="str">
        <f>+'19'!A6:A6</f>
        <v>Askari Departmental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14731.392</v>
      </c>
      <c r="R22" s="299">
        <v>20</v>
      </c>
      <c r="S22" s="300" t="str">
        <f>+'20'!A6:A6</f>
        <v>Askari Departmental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3294.9152542372885</v>
      </c>
      <c r="R23" s="299">
        <v>21</v>
      </c>
      <c r="S23" s="300" t="str">
        <f>+'21'!A6:A6</f>
        <v>Askari Departmental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18026.30725423729</v>
      </c>
      <c r="R24" s="299">
        <v>22</v>
      </c>
      <c r="S24" s="300" t="str">
        <f>+'22'!A6:A6</f>
        <v>Askari Departmental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90.131536271186434</v>
      </c>
      <c r="R25" s="299">
        <v>23</v>
      </c>
      <c r="S25" s="300" t="str">
        <f>+'23'!A6:A6</f>
        <v>Askari Departmental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18116.438790508477</v>
      </c>
      <c r="R26" s="299">
        <v>24</v>
      </c>
      <c r="S26" s="300" t="str">
        <f>+'24'!A6:A6</f>
        <v>Askari Departmental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Askari Departmental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Askari Departmental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Askari Departmental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Askari Departmental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Askari Departmental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Askari Departmental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18116.438790508477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36328125" bestFit="1" customWidth="1"/>
    <col min="17" max="17" width="7.54296875" bestFit="1" customWidth="1"/>
    <col min="18" max="18" width="7.1796875" bestFit="1" customWidth="1"/>
    <col min="19" max="19" width="6.81640625" style="61" bestFit="1" customWidth="1"/>
    <col min="20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7.2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311">
        <f t="shared" si="5"/>
        <v>6038.8129301694917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311">
        <f t="shared" si="5"/>
        <v>6038.8129301694917</v>
      </c>
      <c r="Q20" s="156"/>
      <c r="R20">
        <f>P20/21</f>
        <v>287.56252048426148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697.34399999999994</v>
      </c>
      <c r="K21" s="128">
        <f t="shared" si="1"/>
        <v>203.39200000000002</v>
      </c>
      <c r="L21" s="119">
        <f t="shared" si="1"/>
        <v>0</v>
      </c>
      <c r="M21" s="230">
        <f t="shared" si="2"/>
        <v>4910.4639999999999</v>
      </c>
      <c r="N21" s="277">
        <f t="shared" si="3"/>
        <v>1098.3050847457628</v>
      </c>
      <c r="O21" s="239">
        <f t="shared" si="4"/>
        <v>30.043845423728811</v>
      </c>
      <c r="P21" s="311">
        <f t="shared" si="5"/>
        <v>6038.8129301694917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17433.599999999999</v>
      </c>
      <c r="J25" s="274">
        <f>SUM(J16:J24)</f>
        <v>2092.0319999999997</v>
      </c>
      <c r="K25" s="275">
        <f t="shared" si="10"/>
        <v>610.17600000000004</v>
      </c>
      <c r="L25" s="276">
        <f t="shared" si="10"/>
        <v>0</v>
      </c>
      <c r="M25" s="232">
        <f t="shared" si="10"/>
        <v>14731.392</v>
      </c>
      <c r="N25" s="233">
        <f>SUM(N16:N24)</f>
        <v>3294.9152542372885</v>
      </c>
      <c r="O25" s="101">
        <f>SUM(O16:O24)</f>
        <v>90.131536271186434</v>
      </c>
      <c r="P25" s="113">
        <f>SUM(P16:P24)</f>
        <v>18116.438790508473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17433.599999999999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2092.0319999999997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610.17600000000004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14731.392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3294.9152542372885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18026.30725423729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90.131536271186448</v>
      </c>
    </row>
    <row r="35" spans="2:16" ht="15.75" customHeight="1" thickBot="1" x14ac:dyDescent="0.4">
      <c r="N35" s="342" t="s">
        <v>88</v>
      </c>
      <c r="O35" s="343"/>
      <c r="P35" s="297">
        <f>+P33+P34</f>
        <v>18116.438790508477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2026-08-21T05:33:22Z</dcterms:modified>
</cp:coreProperties>
</file>