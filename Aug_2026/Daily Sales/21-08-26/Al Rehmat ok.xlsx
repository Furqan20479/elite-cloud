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E6F4A75-50CA-4BFB-8C42-80ED60D1608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16" i="11" l="1"/>
  <c r="Q17" i="1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<sst xmlns="http://schemas.openxmlformats.org/spreadsheetml/2006/main" count="3977" uniqueCount="523">
  <si>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</si>
  <si>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</si>
  <si>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</si>
  <si>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</si>
  <si>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</si>
  <si>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</si>
  <si>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</si>
  <si>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</si>
  <si>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</si>
  <si>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</si>
  <si>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</si>
  <si>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</si>
  <si>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</si>
  <si>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</si>
  <si>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</si>
  <si>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</si>
  <si>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</si>
  <si>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</si>
  <si>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</si>
  <si>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</si>
  <si>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</si>
  <si>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</si>
  <si>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</si>
  <si>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</si>
  <si>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</si>
  <si>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</si>
  <si>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</si>
  <si>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</si>
  <si>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</si>
  <si>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</si>
  <si>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</si>
  <si>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</si>
  <si>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</si>
  <si>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</si>
  <si>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</si>
  <si>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</si>
  <si>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</si>
  <si>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</si>
  <si>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</si>
  <si>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</si>
  <si>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</si>
  <si>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</si>
  <si>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</si>
  <si>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</si>
  <si>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</si>
  <si>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</si>
  <si>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</si>
  <si>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</si>
  <si>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</si>
  <si>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</si>
  <si>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</si>
  <si>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</si>
  <si>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</si>
  <si>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</si>
  <si>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</si>
  <si>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</si>
  <si>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</si>
  <si>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</si>
  <si>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</si>
  <si>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</si>
  <si>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</si>
  <si>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</si>
  <si>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</si>
  <si>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</si>
  <si>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</si>
  <si>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</si>
  <si>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</si>
  <si>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</si>
  <si>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</si>
  <si>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</si>
  <si>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</si>
  <si>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</si>
  <si>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</si>
  <si>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</si>
  <si>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</si>
  <si>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</si>
  <si>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</si>
  <si>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</si>
  <si>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</si>
  <si>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</si>
  <si>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</si>
  <si>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</si>
  <si>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</si>
  <si>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</si>
  <si>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</si>
  <si>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</si>
  <si>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</si>
  <si>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</si>
  <si>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</si>
  <si>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</si>
  <si>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</si>
  <si>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</si>
  <si>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</si>
  <si>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</si>
  <si>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</si>
  <si>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</si>
  <si>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</si>
  <si>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</si>
  <si>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</si>
  <si>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</si>
  <si>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</si>
  <si>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</si>
  <si>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</si>
  <si>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</si>
  <si>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</si>
  <si>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</si>
  <si>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</si>
  <si>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</si>
  <si>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</si>
  <si>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</si>
  <si>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</si>
  <si>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</si>
  <si>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</si>
  <si>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</si>
  <si>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</si>
  <si>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</si>
  <si>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</si>
  <si>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</si>
  <si>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</si>
  <si>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</si>
  <si>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</si>
  <si>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</si>
  <si>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</si>
  <si>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</si>
  <si>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</si>
  <si>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</si>
  <si>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</si>
  <si>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</si>
  <si>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</si>
  <si>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</si>
  <si>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</si>
  <si>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</si>
  <si>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</si>
  <si>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</si>
  <si>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</si>
  <si>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</si>
  <si>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</si>
  <si>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</si>
  <si>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</si>
  <si>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</si>
  <si>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</si>
  <si>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</si>
  <si>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</si>
  <si>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</si>
  <si>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</si>
  <si>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</si>
  <si>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</si>
  <si>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</si>
  <si>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</si>
  <si>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</si>
  <si>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</si>
  <si>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</si>
  <si>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</si>
  <si>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</si>
  <si>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</si>
  <si>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</si>
  <si>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</si>
  <si>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</si>
  <si>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</si>
  <si>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</si>
  <si>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</si>
  <si>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</si>
  <si>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</si>
  <si>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</si>
  <si>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</si>
  <si>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</si>
  <si>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</si>
  <si>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</si>
  <si>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</si>
  <si>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</si>
  <si>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</si>
  <si>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</si>
  <si>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</si>
  <si>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</si>
  <si>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</si>
  <si>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</si>
  <si>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</si>
  <si>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</si>
  <si>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</si>
  <si>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</si>
  <si>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</si>
  <si>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</si>
  <si>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</si>
  <si>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</si>
  <si>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</si>
  <si>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</si>
  <si>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</si>
  <si>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</si>
  <si>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</si>
  <si>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</si>
  <si>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</si>
  <si>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</si>
  <si>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</si>
  <si>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</si>
  <si>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</si>
  <si>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</si>
  <si>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</si>
  <si>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</si>
  <si>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</si>
  <si>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</si>
  <si>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</si>
  <si>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</si>
  <si>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</si>
  <si>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</si>
  <si>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</si>
  <si>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</si>
  <si>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</si>
  <si>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</si>
  <si>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</si>
  <si>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</si>
  <si>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</si>
  <si>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</si>
  <si>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</si>
  <si>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</si>
  <si>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</si>
  <si>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</si>
  <si>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</si>
  <si>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</si>
  <si>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</si>
  <si>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</si>
  <si>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</si>
  <si>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</si>
  <si>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</si>
  <si>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</si>
  <si>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</si>
  <si>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</si>
  <si>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</si>
  <si>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</si>
  <si>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</si>
  <si>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</si>
  <si>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</si>
  <si>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</si>
  <si>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</si>
  <si>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</si>
  <si>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</si>
  <si>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</si>
  <si>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</si>
  <si>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</si>
  <si>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</si>
  <si>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</si>
  <si>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</si>
  <si>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</si>
  <si>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</si>
  <si>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</si>
  <si>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</si>
  <si>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</si>
  <si>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</si>
  <si>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</si>
  <si>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</si>
  <si>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</si>
  <si>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</si>
  <si>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</si>
  <si>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</si>
  <si>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</si>
  <si>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</si>
  <si>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</si>
  <si>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</si>
  <si>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</si>
  <si>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</si>
  <si>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</si>
  <si>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</si>
  <si>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</si>
  <si>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</si>
  <si>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</si>
  <si>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</si>
  <si>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</si>
  <si>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</si>
  <si>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</si>
  <si>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</si>
  <si>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</si>
  <si>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</si>
  <si>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</si>
  <si>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</si>
  <si>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</si>
  <si>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</si>
  <si>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</si>
  <si>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</si>
  <si>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</si>
  <si>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</si>
  <si>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</si>
  <si>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</si>
  <si>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</si>
  <si>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</si>
  <si>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</si>
  <si>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</si>
  <si>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</si>
  <si>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</si>
  <si>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</si>
  <si>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</si>
  <si>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</si>
  <si>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</si>
  <si>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</si>
  <si>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</si>
  <si>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</si>
  <si>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</si>
  <si>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</si>
  <si>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</si>
  <si>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</si>
  <si>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</si>
  <si>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</si>
  <si>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</si>
  <si>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</si>
  <si>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</si>
  <si>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</si>
  <si>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</si>
  <si>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</si>
  <si>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</si>
  <si>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</si>
  <si>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</si>
  <si>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</si>
  <si>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</si>
  <si>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</si>
  <si>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</si>
  <si>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</si>
  <si>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</si>
  <si>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</si>
  <si>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</si>
  <si>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</si>
  <si>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</si>
  <si>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</si>
  <si>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</si>
  <si>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</si>
  <si>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</si>
  <si>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</si>
  <si>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</si>
  <si>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</si>
  <si>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</si>
  <si>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</si>
  <si>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</si>
  <si>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</si>
  <si>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</si>
  <si>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</si>
  <si>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</si>
  <si>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</si>
  <si>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</si>
  <si>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</si>
  <si>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</si>
  <si>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</si>
  <si>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</si>
  <si>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</si>
  <si>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</si>
  <si>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</si>
  <si>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</si>
  <si>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</si>
  <si>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</si>
  <si>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</si>
  <si>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</si>
  <si>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</si>
  <si>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</si>
  <si>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</si>
  <si>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</si>
  <si>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</si>
  <si>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</si>
  <si>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</si>
  <si>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</si>
  <si>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</si>
  <si>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</si>
  <si>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</si>
  <si>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</si>
  <si>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</si>
  <si>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</si>
  <si>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</si>
  <si>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</si>
  <si>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</si>
  <si>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</si>
  <si>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</si>
  <si>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</si>
  <si>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</si>
  <si>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</si>
  <si>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</si>
  <si>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</si>
  <si>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</si>
  <si>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</si>
  <si>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</si>
  <si>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</si>
  <si>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</si>
  <si>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</si>
  <si>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</si>
  <si>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</si>
  <si>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</si>
  <si>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</si>
  <si>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</si>
  <si>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</si>
  <si>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</si>
  <si>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</si>
  <si>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</si>
  <si>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</si>
  <si>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</si>
  <si>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</si>
  <si>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</si>
  <si>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</si>
  <si>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</si>
  <si>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</si>
  <si>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</si>
  <si>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</si>
  <si>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</si>
  <si>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</si>
  <si>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</si>
  <si>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</si>
  <si>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</si>
  <si>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</si>
  <si>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</si>
  <si>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</si>
  <si>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</si>
  <si>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</si>
  <si>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</si>
  <si>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</si>
  <si>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</si>
  <si>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</si>
  <si>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</si>
  <si>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</si>
  <si>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</si>
  <si>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</si>
  <si>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</si>
  <si>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</si>
  <si>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</si>
  <si>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</si>
  <si>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</si>
  <si>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</si>
  <si>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</si>
  <si>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</si>
  <si>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</si>
  <si>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</si>
  <si>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</si>
  <si>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</si>
  <si>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</si>
  <si>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</si>
  <si>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</si>
  <si>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</si>
  <si>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</si>
  <si>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</si>
  <si>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</si>
  <si>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</si>
  <si>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</si>
  <si>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</si>
  <si>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</si>
  <si>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</si>
  <si>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</si>
  <si>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</si>
  <si>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</si>
  <si>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</si>
  <si>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</si>
  <si>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</si>
  <si>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</si>
  <si>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</si>
  <si>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</si>
  <si>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</si>
  <si>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</si>
  <si>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</si>
  <si>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</si>
  <si>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</si>
  <si>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</si>
  <si>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</si>
  <si>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</si>
  <si>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</si>
  <si>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</si>
  <si>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</si>
  <si>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</si>
  <si>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</si>
  <si>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</si>
  <si>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</si>
  <si>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</si>
  <si>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</si>
  <si>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</si>
  <si>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</si>
  <si>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</si>
  <si>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</si>
  <si>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</si>
  <si>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</si>
  <si>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</si>
  <si>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</si>
  <si>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</si>
  <si>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</si>
  <si>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</si>
  <si>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</si>
  <si>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</si>
  <si>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</si>
  <si>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</si>
  <si>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</si>
  <si>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</si>
  <si>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</si>
  <si>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</si>
  <si>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</si>
  <si>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</si>
  <si>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</si>
  <si>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</si>
  <si>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</si>
  <si>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</si>
  <si>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</si>
  <si>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</si>
  <si>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</si>
  <si>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</si>
  <si>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</si>
  <si>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</si>
  <si>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</si>
  <si>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</si>
  <si>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</si>
  <si>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</si>
  <si>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</si>
  <si>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</si>
  <si>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</si>
  <si>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</si>
  <si>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</si>
  <si>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</si>
  <si>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</si>
  <si>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</si>
  <si>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</si>
  <si>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</si>
  <si>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</si>
  <si>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</si>
  <si>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</si>
  <si>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</si>
  <si>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</si>
  <si>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</si>
  <si>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</si>
  <si>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</si>
  <si>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</si>
  <si>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</si>
  <si>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Al Rehmat </t>
  </si>
  <si>
    <t>CNIC #:2167476-7</t>
  </si>
  <si>
    <t xml:space="preserve">Shakoor </t>
  </si>
  <si>
    <t>Address: Multan Road</t>
  </si>
  <si>
    <t>Invoice No # :48561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</si>
</sst>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/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46258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Al Rehmat </v>
      </c>
      <c r="T3" s="301">
        <f>+'1'!P35</f>
        <v>20800.869469989411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171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155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42</v>
      </c>
      <c r="I9" s="236">
        <f t="shared" si="0"/>
        <v>2203.4249999999997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220.34249999999997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77.119874999999993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1905.9626249999997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416.44067796610153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11.612016514830508</v>
      </c>
      <c r="P9" s="311">
        <f t="shared" si="2"/>
        <v>2334.0153194809318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38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311">
        <f t="shared" si="2"/>
        <v>6155.6180501694917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7.05</v>
      </c>
      <c r="H16" s="113">
        <f t="shared" ref="H16:M16" si="3">SUM(H7:H15)</f>
        <v>282</v>
      </c>
      <c r="I16" s="114">
        <f t="shared" si="3"/>
        <v>19637.025000000001</v>
      </c>
      <c r="J16" s="274">
        <f>SUM(J7:J15)</f>
        <v>1963.7024999999999</v>
      </c>
      <c r="K16" s="275">
        <f t="shared" si="3"/>
        <v>687.29587500000014</v>
      </c>
      <c r="L16" s="276">
        <f t="shared" si="3"/>
        <v>0</v>
      </c>
      <c r="M16" s="232">
        <f t="shared" si="3"/>
        <v>16986.026624999999</v>
      </c>
      <c r="N16" s="233">
        <f>SUM(N7:N15)</f>
        <v>3711.3559322033898</v>
      </c>
      <c r="O16" s="101">
        <f>SUM(O7:O15)</f>
        <v>103.48691278601694</v>
      </c>
      <c r="P16" s="113">
        <f>SUM(P7:P15)</f>
        <v>20800.869469989404</v>
      </c>
      <c r="Q16" s="128">
        <f>SUM(Q7:Q15)</f>
        <v>364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19637.025000000001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1963.7024999999999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687.29587500000014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16986.026625000002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3711.3559322033898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20697.382557203393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103.48691278601694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20800.869469989411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20800.869469989411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522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520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521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f>80+91</f>
        <v>171</v>
      </c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f>80+75</f>
        <v>155</v>
      </c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42</v>
      </c>
      <c r="I18" s="236">
        <f t="shared" ref="I18:I21" si="7">(G18*D18)*F18+H18*F18</f>
        <v>2203.4249999999997</v>
      </c>
      <c r="J18" s="272">
        <f t="shared" si="1"/>
        <v>220.34249999999997</v>
      </c>
      <c r="K18" s="128">
        <f t="shared" si="1"/>
        <v>77.119874999999993</v>
      </c>
      <c r="L18" s="119">
        <f t="shared" si="1"/>
        <v>0</v>
      </c>
      <c r="M18" s="230">
        <f t="shared" si="2"/>
        <v>1905.9626249999997</v>
      </c>
      <c r="N18" s="277">
        <f t="shared" si="3"/>
        <v>416.44067796610153</v>
      </c>
      <c r="O18" s="239">
        <f t="shared" si="4"/>
        <v>11.612016514830508</v>
      </c>
      <c r="P18" s="311">
        <f t="shared" si="5"/>
        <v>2334.0153194809318</v>
      </c>
      <c r="Q18" s="156">
        <v>38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282</v>
      </c>
      <c r="I25" s="114">
        <f t="shared" ref="I25:M25" si="10">SUM(I16:I24)</f>
        <v>19637.025000000001</v>
      </c>
      <c r="J25" s="274">
        <f>SUM(J16:J24)</f>
        <v>1963.7024999999999</v>
      </c>
      <c r="K25" s="275">
        <f t="shared" si="10"/>
        <v>687.29587500000014</v>
      </c>
      <c r="L25" s="276">
        <f t="shared" si="10"/>
        <v>0</v>
      </c>
      <c r="M25" s="232">
        <f t="shared" si="10"/>
        <v>16986.026624999999</v>
      </c>
      <c r="N25" s="233">
        <f>SUM(N16:N24)</f>
        <v>3711.3559322033898</v>
      </c>
      <c r="O25" s="101">
        <f>SUM(O16:O24)</f>
        <v>103.48691278601694</v>
      </c>
      <c r="P25" s="113">
        <f>SUM(P16:P24)</f>
        <v>20800.869469989404</v>
      </c>
      <c r="Q25" s="128">
        <f>SUM(Q16:Q24)</f>
        <v>364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19637.025000000001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1963.7024999999999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687.29587500000014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16986.026625000002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3711.3559322033898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20697.382557203393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103.48691278601697</v>
      </c>
    </row>
    <row r="35" spans="2:16" ht="15.75" customHeight="1" thickBot="1" x14ac:dyDescent="0.4">
      <c r="N35" s="371" t="s">
        <v>88</v>
      </c>
      <c r="O35" s="372"/>
      <c r="P35" s="297">
        <f>+P33+P34</f>
        <v>20800.869469989411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46259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46258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2026-08-24T04:30:05Z</dcterms:modified>
</cp:coreProperties>
</file>