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283A56-FCFB-4135-A177-608F736B1FE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 s="1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<sst xmlns="http://schemas.openxmlformats.org/spreadsheetml/2006/main" count="3948" uniqueCount="521">
  <si>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</si>
  <si>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</si>
  <si>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</si>
  <si>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</si>
  <si>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</si>
  <si>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</si>
  <si>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</si>
  <si>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</si>
  <si>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</si>
  <si>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</si>
  <si>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</si>
  <si>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</si>
  <si>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</si>
  <si>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</si>
  <si>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</si>
  <si>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</si>
  <si>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</si>
  <si>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</si>
  <si>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</si>
  <si>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</si>
  <si>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</si>
  <si>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</si>
  <si>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</si>
  <si>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</si>
  <si>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</si>
  <si>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</si>
  <si>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</si>
  <si>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</si>
  <si>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</si>
  <si>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</si>
  <si>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</si>
  <si>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</si>
  <si>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</si>
  <si>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</si>
  <si>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</si>
  <si>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</si>
  <si>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</si>
  <si>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</si>
  <si>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</si>
  <si>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</si>
  <si>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</si>
  <si>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</si>
  <si>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</si>
  <si>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</si>
  <si>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</si>
  <si>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</si>
  <si>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</si>
  <si>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</si>
  <si>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</si>
  <si>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</si>
  <si>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</si>
  <si>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</si>
  <si>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</si>
  <si>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</si>
  <si>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</si>
  <si>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</si>
  <si>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</si>
  <si>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</si>
  <si>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</si>
  <si>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</si>
  <si>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</si>
  <si>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</si>
  <si>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</si>
  <si>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</si>
  <si>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</si>
  <si>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</si>
  <si>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</si>
  <si>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</si>
  <si>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</si>
  <si>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</si>
  <si>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</si>
  <si>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</si>
  <si>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</si>
  <si>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</si>
  <si>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</si>
  <si>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</si>
  <si>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</si>
  <si>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</si>
  <si>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</si>
  <si>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</si>
  <si>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</si>
  <si>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</si>
  <si>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</si>
  <si>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</si>
  <si>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</si>
  <si>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</si>
  <si>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</si>
  <si>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</si>
  <si>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</si>
  <si>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</si>
  <si>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</si>
  <si>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</si>
  <si>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</si>
  <si>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</si>
  <si>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</si>
  <si>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</si>
  <si>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</si>
  <si>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</si>
  <si>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</si>
  <si>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</si>
  <si>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</si>
  <si>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</si>
  <si>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</si>
  <si>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</si>
  <si>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</si>
  <si>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</si>
  <si>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</si>
  <si>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</si>
  <si>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</si>
  <si>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</si>
  <si>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</si>
  <si>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</si>
  <si>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</si>
  <si>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</si>
  <si>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</si>
  <si>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</si>
  <si>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</si>
  <si>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</si>
  <si>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</si>
  <si>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</si>
  <si>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</si>
  <si>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</si>
  <si>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</si>
  <si>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</si>
  <si>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</si>
  <si>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</si>
  <si>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</si>
  <si>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</si>
  <si>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</si>
  <si>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</si>
  <si>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</si>
  <si>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</si>
  <si>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</si>
  <si>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</si>
  <si>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</si>
  <si>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</si>
  <si>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</si>
  <si>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</si>
  <si>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</si>
  <si>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</si>
  <si>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</si>
  <si>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</si>
  <si>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</si>
  <si>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</si>
  <si>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</si>
  <si>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</si>
  <si>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</si>
  <si>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</si>
  <si>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</si>
  <si>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</si>
  <si>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</si>
  <si>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</si>
  <si>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</si>
  <si>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</si>
  <si>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</si>
  <si>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</si>
  <si>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</si>
  <si>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</si>
  <si>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</si>
  <si>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</si>
  <si>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</si>
  <si>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</si>
  <si>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</si>
  <si>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</si>
  <si>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</si>
  <si>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</si>
  <si>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</si>
  <si>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</si>
  <si>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</si>
  <si>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</si>
  <si>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</si>
  <si>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</si>
  <si>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</si>
  <si>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</si>
  <si>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</si>
  <si>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</si>
  <si>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</si>
  <si>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</si>
  <si>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</si>
  <si>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</si>
  <si>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</si>
  <si>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</si>
  <si>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</si>
  <si>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</si>
  <si>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</si>
  <si>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</si>
  <si>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</si>
  <si>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</si>
  <si>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</si>
  <si>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</si>
  <si>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</si>
  <si>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</si>
  <si>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</si>
  <si>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</si>
  <si>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</si>
  <si>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</si>
  <si>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</si>
  <si>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</si>
  <si>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</si>
  <si>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</si>
  <si>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</si>
  <si>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</si>
  <si>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</si>
  <si>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</si>
  <si>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</si>
  <si>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</si>
  <si>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</si>
  <si>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</si>
  <si>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</si>
  <si>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</si>
  <si>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</si>
  <si>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</si>
  <si>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</si>
  <si>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</si>
  <si>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</si>
  <si>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</si>
  <si>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</si>
  <si>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</si>
  <si>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</si>
  <si>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</si>
  <si>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</si>
  <si>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</si>
  <si>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</si>
  <si>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</si>
  <si>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</si>
  <si>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</si>
  <si>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</si>
  <si>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</si>
  <si>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</si>
  <si>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</si>
  <si>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</si>
  <si>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</si>
  <si>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</si>
  <si>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</si>
  <si>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</si>
  <si>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</si>
  <si>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</si>
  <si>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</si>
  <si>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</si>
  <si>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</si>
  <si>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</si>
  <si>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</si>
  <si>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</si>
  <si>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</si>
  <si>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</si>
  <si>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</si>
  <si>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</si>
  <si>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</si>
  <si>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</si>
  <si>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</si>
  <si>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</si>
  <si>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</si>
  <si>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</si>
  <si>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</si>
  <si>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</si>
  <si>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</si>
  <si>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</si>
  <si>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</si>
  <si>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</si>
  <si>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</si>
  <si>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</si>
  <si>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</si>
  <si>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</si>
  <si>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</si>
  <si>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</si>
  <si>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</si>
  <si>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</si>
  <si>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</si>
  <si>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</si>
  <si>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</si>
  <si>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</si>
  <si>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</si>
  <si>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</si>
  <si>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</si>
  <si>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</si>
  <si>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</si>
  <si>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</si>
  <si>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</si>
  <si>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</si>
  <si>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</si>
  <si>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</si>
  <si>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</si>
  <si>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</si>
  <si>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</si>
  <si>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</si>
  <si>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</si>
  <si>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</si>
  <si>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</si>
  <si>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</si>
  <si>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</si>
  <si>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</si>
  <si>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</si>
  <si>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</si>
  <si>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</si>
  <si>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</si>
  <si>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</si>
  <si>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</si>
  <si>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</si>
  <si>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</si>
  <si>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</si>
  <si>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</si>
  <si>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</si>
  <si>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</si>
  <si>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</si>
  <si>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</si>
  <si>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</si>
  <si>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</si>
  <si>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</si>
  <si>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</si>
  <si>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</si>
  <si>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</si>
  <si>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</si>
  <si>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</si>
  <si>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</si>
  <si>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</si>
  <si>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</si>
  <si>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</si>
  <si>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</si>
  <si>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</si>
  <si>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</si>
  <si>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</si>
  <si>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</si>
  <si>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</si>
  <si>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</si>
  <si>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</si>
  <si>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</si>
  <si>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</si>
  <si>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</si>
  <si>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</si>
  <si>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</si>
  <si>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</si>
  <si>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</si>
  <si>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</si>
  <si>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</si>
  <si>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</si>
  <si>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</si>
  <si>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</si>
  <si>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</si>
  <si>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</si>
  <si>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</si>
  <si>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</si>
  <si>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</si>
  <si>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</si>
  <si>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</si>
  <si>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</si>
  <si>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</si>
  <si>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</si>
  <si>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</si>
  <si>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</si>
  <si>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</si>
  <si>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</si>
  <si>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</si>
  <si>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</si>
  <si>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</si>
  <si>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</si>
  <si>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</si>
  <si>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</si>
  <si>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</si>
  <si>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</si>
  <si>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</si>
  <si>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</si>
  <si>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</si>
  <si>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</si>
  <si>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</si>
  <si>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</si>
  <si>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</si>
  <si>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</si>
  <si>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</si>
  <si>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</si>
  <si>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</si>
  <si>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</si>
  <si>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</si>
  <si>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</si>
  <si>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</si>
  <si>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</si>
  <si>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</si>
  <si>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</si>
  <si>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</si>
  <si>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</si>
  <si>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</si>
  <si>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</si>
  <si>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</si>
  <si>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</si>
  <si>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</si>
  <si>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</si>
  <si>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</si>
  <si>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</si>
  <si>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</si>
  <si>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</si>
  <si>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</si>
  <si>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</si>
  <si>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</si>
  <si>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</si>
  <si>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</si>
  <si>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</si>
  <si>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</si>
  <si>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</si>
  <si>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</si>
  <si>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</si>
  <si>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</si>
  <si>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</si>
  <si>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</si>
  <si>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</si>
  <si>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</si>
  <si>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</si>
  <si>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</si>
  <si>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</si>
  <si>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</si>
  <si>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</si>
  <si>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</si>
  <si>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</si>
  <si>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</si>
  <si>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</si>
  <si>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</si>
  <si>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</si>
  <si>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</si>
  <si>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</si>
  <si>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</si>
  <si>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</si>
  <si>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</si>
  <si>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</si>
  <si>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</si>
  <si>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</si>
  <si>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</si>
  <si>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</si>
  <si>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</si>
  <si>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</si>
  <si>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</si>
  <si>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</si>
  <si>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</si>
  <si>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</si>
  <si>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</si>
  <si>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</si>
  <si>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</si>
  <si>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</si>
  <si>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</si>
  <si>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</si>
  <si>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</si>
  <si>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</si>
  <si>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</si>
  <si>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</si>
  <si>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</si>
  <si>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</si>
  <si>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</si>
  <si>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</si>
  <si>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</si>
  <si>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</si>
  <si>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</si>
  <si>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</si>
  <si>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</si>
  <si>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</si>
  <si>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</si>
  <si>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</si>
  <si>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</si>
  <si>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</si>
  <si>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</si>
  <si>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</si>
  <si>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</si>
  <si>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</si>
  <si>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</si>
  <si>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</si>
  <si>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</si>
  <si>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</si>
  <si>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</si>
  <si>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</si>
  <si>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</si>
  <si>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</si>
  <si>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</si>
  <si>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</si>
  <si>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</si>
  <si>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</si>
  <si>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</si>
  <si>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</si>
  <si>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</si>
  <si>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</si>
  <si>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</si>
  <si>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</si>
  <si>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</si>
  <si>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</si>
  <si>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</si>
  <si>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</si>
  <si>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</si>
  <si>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</si>
  <si>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</si>
  <si>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</si>
  <si>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</si>
  <si>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</si>
  <si>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</si>
  <si>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</si>
  <si>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</si>
  <si>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</si>
  <si>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</si>
  <si>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</si>
  <si>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</si>
  <si>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</si>
  <si>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</si>
  <si>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</si>
  <si>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</si>
  <si>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</si>
  <si>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</si>
  <si>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</si>
  <si>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</si>
  <si>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</si>
  <si>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</si>
  <si>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</si>
  <si>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</si>
  <si>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</si>
  <si>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</si>
  <si>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</si>
  <si>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</si>
  <si>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</si>
  <si>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</si>
  <si>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</si>
  <si>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Invoice No # :0001</t>
  </si>
  <si>
    <t xml:space="preserve">RI Cash n Carry </t>
  </si>
  <si>
    <t xml:space="preserve">Address: Johar Town </t>
  </si>
  <si>
    <t>RI Cash n Carry G2</t>
  </si>
  <si>
    <t>RI Cash n Carry  1</t>
  </si>
  <si>
    <t xml:space="preserve">Address: Khokhar Chowk </t>
  </si>
  <si>
    <t>Invoice No # :0002</t>
  </si>
  <si>
    <t xml:space="preserve">RI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</si>
</sst>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U9" sqref="U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 t="s">
        <v>520</v>
      </c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RI Cash n Carry  1</v>
      </c>
      <c r="T3" s="301">
        <f>+'1'!P35</f>
        <v>28172.581703110169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RI Cash n Carry G2</v>
      </c>
      <c r="T4" s="301">
        <f>+'2'!P35</f>
        <v>28172.581703110169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RI Cash n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RI Cash n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839.40000000000009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7260.8099999999995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44.236253389830502</v>
      </c>
      <c r="P7" s="310">
        <f>M7+N7+O7</f>
        <v>8891.4869313559302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RI Cash n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RI Cash n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839.40000000000009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7260.8099999999995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44.236253389830502</v>
      </c>
      <c r="P9" s="311">
        <f t="shared" si="2"/>
        <v>8891.4869313559302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RI Cash n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10053.376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61.249930847457627</v>
      </c>
      <c r="P10" s="311">
        <f t="shared" si="2"/>
        <v>12311.236100338983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RI Cash n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RI Cash n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1162.24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10053.376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61.249930847457627</v>
      </c>
      <c r="P12" s="311">
        <f t="shared" si="2"/>
        <v>12311.236100338983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RI Cash n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RI Cash n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RI Cash n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RI Cash n Carry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22</v>
      </c>
      <c r="H16" s="113">
        <f t="shared" ref="H16:M16" si="3">SUM(H7:H15)</f>
        <v>880</v>
      </c>
      <c r="I16" s="114">
        <f t="shared" si="3"/>
        <v>53179.4</v>
      </c>
      <c r="J16" s="274">
        <f>SUM(J7:J15)</f>
        <v>5161.0199999999995</v>
      </c>
      <c r="K16" s="275">
        <f t="shared" si="3"/>
        <v>1861.2790000000005</v>
      </c>
      <c r="L16" s="276">
        <f t="shared" si="3"/>
        <v>160.05840000000001</v>
      </c>
      <c r="M16" s="232">
        <f t="shared" si="3"/>
        <v>45997.042600000001</v>
      </c>
      <c r="N16" s="233">
        <f>SUM(N7:N15)</f>
        <v>10067.796610169489</v>
      </c>
      <c r="O16" s="101">
        <f>SUM(O7:O15)</f>
        <v>280.32419605084743</v>
      </c>
      <c r="P16" s="113">
        <f>SUM(P7:P15)</f>
        <v>56345.16340622033</v>
      </c>
      <c r="Q16" s="128">
        <f>SUM(Q7:Q15)</f>
        <v>0</v>
      </c>
      <c r="R16" s="314">
        <v>14</v>
      </c>
      <c r="S16" s="300" t="str">
        <f>+'14'!A6:A6</f>
        <v xml:space="preserve">RI Cash n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RI Cash n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RI Cash n Carry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53179.4</v>
      </c>
      <c r="R19" s="299">
        <v>17</v>
      </c>
      <c r="S19" s="300" t="str">
        <f>+'17'!A6:A6</f>
        <v xml:space="preserve">RI Cash n Carry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5161.0199999999995</v>
      </c>
      <c r="R20" s="299">
        <v>18</v>
      </c>
      <c r="S20" s="300" t="str">
        <f>+'18'!A6:A6</f>
        <v xml:space="preserve">RI Cash n Carry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2021.3374000000003</v>
      </c>
      <c r="R21" s="299">
        <v>19</v>
      </c>
      <c r="S21" s="300" t="str">
        <f>+'19'!A6:A6</f>
        <v xml:space="preserve">RI Cash n Carry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45997.042600000001</v>
      </c>
      <c r="R22" s="299">
        <v>20</v>
      </c>
      <c r="S22" s="300" t="str">
        <f>+'20'!A6:A6</f>
        <v xml:space="preserve">RI Cash n Carry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10067.796610169489</v>
      </c>
      <c r="R23" s="299">
        <v>21</v>
      </c>
      <c r="S23" s="300" t="str">
        <f>+'21'!A6:A6</f>
        <v xml:space="preserve">RI Cash n Carry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56064.839210169492</v>
      </c>
      <c r="R24" s="299">
        <v>22</v>
      </c>
      <c r="S24" s="300" t="str">
        <f>+'22'!A6:A6</f>
        <v xml:space="preserve">RI Cash n Carry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280.32419605084743</v>
      </c>
      <c r="R25" s="299">
        <v>23</v>
      </c>
      <c r="S25" s="300" t="str">
        <f>+'23'!A6:A6</f>
        <v xml:space="preserve">RI Cash n Carry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56345.163406220337</v>
      </c>
      <c r="R26" s="299">
        <v>24</v>
      </c>
      <c r="S26" s="300" t="str">
        <f>+'24'!A6:A6</f>
        <v xml:space="preserve">RI Cash n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RI Cash n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RI Cash n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RI Cash n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RI Cash n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RI Cash n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RI Cash n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56345.163406220337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26589.7</v>
      </c>
      <c r="J25" s="274">
        <f>SUM(J16:J24)</f>
        <v>2580.5099999999998</v>
      </c>
      <c r="K25" s="275">
        <f t="shared" si="10"/>
        <v>930.63950000000023</v>
      </c>
      <c r="L25" s="276">
        <f t="shared" si="10"/>
        <v>80.029200000000003</v>
      </c>
      <c r="M25" s="232">
        <f t="shared" si="10"/>
        <v>22998.5213</v>
      </c>
      <c r="N25" s="233">
        <f>SUM(N16:N24)</f>
        <v>5033.8983050847446</v>
      </c>
      <c r="O25" s="101">
        <f>SUM(O16:O24)</f>
        <v>140.16209802542372</v>
      </c>
      <c r="P25" s="113">
        <f>SUM(P16:P24)</f>
        <v>28172.581703110165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26589.7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2580.5099999999998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1010.6687000000002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22998.5213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5033.8983050847446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28032.419605084746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140.16209802542375</v>
      </c>
    </row>
    <row r="35" spans="2:16" ht="15.75" customHeight="1" thickBot="1" x14ac:dyDescent="0.4">
      <c r="N35" s="342" t="s">
        <v>88</v>
      </c>
      <c r="O35" s="343"/>
      <c r="P35" s="297">
        <f>+P33+P34</f>
        <v>28172.581703110169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519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440</v>
      </c>
      <c r="I25" s="114">
        <f t="shared" si="7"/>
        <v>26589.7</v>
      </c>
      <c r="J25" s="274">
        <f>SUM(J16:J24)</f>
        <v>2580.5099999999998</v>
      </c>
      <c r="K25" s="275">
        <f t="shared" si="7"/>
        <v>930.63950000000023</v>
      </c>
      <c r="L25" s="276">
        <f t="shared" si="7"/>
        <v>80.029200000000003</v>
      </c>
      <c r="M25" s="232">
        <f t="shared" si="7"/>
        <v>22998.5213</v>
      </c>
      <c r="N25" s="233">
        <f>SUM(N16:N24)</f>
        <v>5033.8983050847446</v>
      </c>
      <c r="O25" s="101">
        <f>SUM(O16:O24)</f>
        <v>140.16209802542372</v>
      </c>
      <c r="P25" s="113">
        <f>SUM(P16:P24)</f>
        <v>28172.581703110165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26589.7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2580.5099999999998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1010.6687000000002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22998.5213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5033.8983050847446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28032.419605084746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140.16209802542375</v>
      </c>
    </row>
    <row r="35" spans="2:16" ht="15.75" customHeight="1" thickBot="1" x14ac:dyDescent="0.4">
      <c r="N35" s="342" t="s">
        <v>88</v>
      </c>
      <c r="O35" s="343"/>
      <c r="P35" s="297">
        <f>+P33+P34</f>
        <v>28172.581703110169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512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2026-08-21T05:30:08Z</dcterms:modified>
</cp:coreProperties>
</file>