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D63485-246C-4D4F-8AD2-EE6300D5BA3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<sst xmlns="http://schemas.openxmlformats.org/spreadsheetml/2006/main" count="3977" uniqueCount="518">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</sst>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338637.09326822031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30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62955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10072.800000000001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2203.4250000000002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50678.774999999994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11898.305084745758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312.88540042372875</v>
      </c>
      <c r="P7" s="310">
        <f>M7+N7+O7</f>
        <v>62889.96548516948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60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174336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27893.760000000002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6101.76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140340.47999999998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32949.152542372882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866.44816271186426</v>
      </c>
      <c r="P10" s="311">
        <f t="shared" si="2"/>
        <v>174156.08070508472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35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101696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16271.36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3559.36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81865.279999999999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19220.338983050849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505.42809491525429</v>
      </c>
      <c r="P11" s="311">
        <f t="shared" si="2"/>
        <v>101591.04707796611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338987</v>
      </c>
      <c r="J16" s="274">
        <f>SUM(J7:J15)</f>
        <v>54237.920000000006</v>
      </c>
      <c r="K16" s="275">
        <f t="shared" si="3"/>
        <v>11864.545000000002</v>
      </c>
      <c r="L16" s="276">
        <f t="shared" si="3"/>
        <v>0</v>
      </c>
      <c r="M16" s="232">
        <f t="shared" si="3"/>
        <v>272884.53499999997</v>
      </c>
      <c r="N16" s="233">
        <f>SUM(N7:N15)</f>
        <v>64067.796610169491</v>
      </c>
      <c r="O16" s="101">
        <f>SUM(O7:O15)</f>
        <v>1684.7616580508475</v>
      </c>
      <c r="P16" s="113">
        <f>SUM(P7:P15)</f>
        <v>338637.09326822031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338987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54237.920000000006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11864.545000000002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272884.53500000003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64067.796610169491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336952.33161016949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1684.7616580508475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338637.09326822031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338637.09326822031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B8" workbookViewId="0">
      <selection activeCell="S12" sqref="S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30</v>
      </c>
      <c r="H16" s="112"/>
      <c r="I16" s="235">
        <f>(G16*D16)*F16+H16*F16</f>
        <v>62955</v>
      </c>
      <c r="J16" s="271">
        <f>$I16*S16</f>
        <v>10072.800000000001</v>
      </c>
      <c r="K16" s="127">
        <f>$I16*T16</f>
        <v>2203.4250000000002</v>
      </c>
      <c r="L16" s="118">
        <f>$I16*U16</f>
        <v>0</v>
      </c>
      <c r="M16" s="229">
        <f>I16-SUM(J16:L16)</f>
        <v>50678.774999999994</v>
      </c>
      <c r="N16" s="248">
        <f>+(G16*D16+H16)*V16</f>
        <v>11898.305084745758</v>
      </c>
      <c r="O16" s="238">
        <f>(N16+M16)*$O$15</f>
        <v>312.88540042372875</v>
      </c>
      <c r="P16" s="310">
        <f>M16+N16+O16</f>
        <v>62889.96548516948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60</v>
      </c>
      <c r="H19" s="96"/>
      <c r="I19" s="236">
        <f t="shared" si="7"/>
        <v>174336</v>
      </c>
      <c r="J19" s="272">
        <f t="shared" si="1"/>
        <v>27893.760000000002</v>
      </c>
      <c r="K19" s="128">
        <f t="shared" si="1"/>
        <v>6101.76</v>
      </c>
      <c r="L19" s="119">
        <f t="shared" si="1"/>
        <v>0</v>
      </c>
      <c r="M19" s="230">
        <f t="shared" si="2"/>
        <v>140340.47999999998</v>
      </c>
      <c r="N19" s="277">
        <f t="shared" si="3"/>
        <v>32949.152542372882</v>
      </c>
      <c r="O19" s="239">
        <f t="shared" si="4"/>
        <v>866.44816271186426</v>
      </c>
      <c r="P19" s="311">
        <f t="shared" si="5"/>
        <v>174156.08070508472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35</v>
      </c>
      <c r="H20" s="96"/>
      <c r="I20" s="236">
        <f t="shared" si="7"/>
        <v>101696</v>
      </c>
      <c r="J20" s="272">
        <f t="shared" si="1"/>
        <v>16271.36</v>
      </c>
      <c r="K20" s="128">
        <f t="shared" si="1"/>
        <v>3559.36</v>
      </c>
      <c r="L20" s="119">
        <f t="shared" si="1"/>
        <v>0</v>
      </c>
      <c r="M20" s="230">
        <f t="shared" si="2"/>
        <v>81865.279999999999</v>
      </c>
      <c r="N20" s="277">
        <f t="shared" si="3"/>
        <v>19220.338983050849</v>
      </c>
      <c r="O20" s="239">
        <f t="shared" si="4"/>
        <v>505.42809491525429</v>
      </c>
      <c r="P20" s="311">
        <f t="shared" si="5"/>
        <v>101591.04707796611</v>
      </c>
      <c r="Q20" s="156"/>
      <c r="R20">
        <f>P20/21</f>
        <v>4837.6689084745767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125</v>
      </c>
      <c r="H25" s="113">
        <f t="shared" ref="H25" si="9">SUM(H16:H24)</f>
        <v>0</v>
      </c>
      <c r="I25" s="114">
        <f t="shared" ref="I25:M25" si="10">SUM(I16:I24)</f>
        <v>338987</v>
      </c>
      <c r="J25" s="274">
        <f>SUM(J16:J24)</f>
        <v>54237.920000000006</v>
      </c>
      <c r="K25" s="275">
        <f t="shared" si="10"/>
        <v>11864.545000000002</v>
      </c>
      <c r="L25" s="276">
        <f t="shared" si="10"/>
        <v>0</v>
      </c>
      <c r="M25" s="232">
        <f t="shared" si="10"/>
        <v>272884.53499999997</v>
      </c>
      <c r="N25" s="233">
        <f>SUM(N16:N24)</f>
        <v>64067.796610169491</v>
      </c>
      <c r="O25" s="101">
        <f>SUM(O16:O24)</f>
        <v>1684.7616580508475</v>
      </c>
      <c r="P25" s="113">
        <f>SUM(P16:P24)</f>
        <v>338637.09326822031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338987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54237.920000000006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11864.545000000002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272884.53500000003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64067.796610169491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336952.33161016949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1684.7616580508475</v>
      </c>
    </row>
    <row r="35" spans="2:16" ht="15.75" customHeight="1" thickBot="1" x14ac:dyDescent="0.4">
      <c r="N35" s="342" t="s">
        <v>88</v>
      </c>
      <c r="O35" s="343"/>
      <c r="P35" s="297">
        <f>+P33+P34</f>
        <v>338637.09326822031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2026-08-20T11:36:00Z</dcterms:modified>
</cp:coreProperties>
</file>