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22408071-F327-47DC-8E03-59DA62445A5C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59" l="1"/>
  <c r="M16" i="66"/>
  <c r="M20" i="46"/>
  <c r="O20" i="46" s="1"/>
  <c r="P20" i="46" s="1"/>
  <c r="R20" i="46" s="1"/>
  <c r="M21" i="53"/>
  <c r="O21" i="53" s="1"/>
  <c r="P21" i="53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<sst xmlns="http://schemas.openxmlformats.org/spreadsheetml/2006/main" count="3977" uniqueCount="516">
  <si>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</si>
  <si>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</si>
  <si>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</si>
  <si>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</si>
  <si>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</si>
  <si>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</si>
  <si>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</si>
  <si>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</si>
  <si>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</si>
  <si>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</si>
  <si>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</si>
  <si>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</si>
  <si>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</si>
  <si>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</si>
  <si>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</si>
  <si>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</si>
  <si>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</si>
  <si>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</si>
  <si>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</si>
  <si>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</si>
  <si>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</si>
  <si>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</si>
  <si>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</si>
  <si>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</si>
  <si>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</si>
  <si>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</si>
  <si>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</si>
  <si>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</si>
  <si>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</si>
  <si>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</si>
  <si>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</si>
  <si>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</si>
  <si>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</si>
  <si>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</si>
  <si>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</si>
  <si>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</si>
  <si>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</si>
  <si>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</si>
  <si>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</si>
  <si>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</si>
  <si>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</si>
  <si>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</si>
  <si>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</si>
  <si>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</si>
  <si>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</si>
  <si>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</si>
  <si>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</si>
  <si>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</si>
  <si>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</si>
  <si>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</si>
  <si>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</si>
  <si>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</si>
  <si>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</si>
  <si>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</si>
  <si>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</si>
  <si>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</si>
  <si>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</si>
  <si>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</si>
  <si>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</si>
  <si>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</si>
  <si>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</si>
  <si>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</si>
  <si>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</si>
  <si>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</si>
  <si>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</si>
  <si>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</si>
  <si>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</si>
  <si>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</si>
  <si>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</si>
  <si>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</si>
  <si>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</si>
  <si>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</si>
  <si>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</si>
  <si>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</si>
  <si>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</si>
  <si>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</si>
  <si>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</si>
  <si>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</si>
  <si>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</si>
  <si>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</si>
  <si>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</si>
  <si>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</si>
  <si>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</si>
  <si>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</si>
  <si>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</si>
  <si>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</si>
  <si>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</si>
  <si>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</si>
  <si>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</si>
  <si>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</si>
  <si>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</si>
  <si>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</si>
  <si>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</si>
  <si>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</si>
  <si>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</si>
  <si>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</si>
  <si>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</si>
  <si>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</si>
  <si>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</si>
  <si>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</si>
  <si>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</si>
  <si>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</si>
  <si>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</si>
  <si>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</si>
  <si>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</si>
  <si>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</si>
  <si>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</si>
  <si>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</si>
  <si>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</si>
  <si>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</si>
  <si>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</si>
  <si>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</si>
  <si>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</si>
  <si>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</si>
  <si>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</si>
  <si>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</si>
  <si>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</si>
  <si>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</si>
  <si>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</si>
  <si>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</si>
  <si>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</si>
  <si>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</si>
  <si>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</si>
  <si>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</si>
  <si>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</si>
  <si>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</si>
  <si>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</si>
  <si>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</si>
  <si>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</si>
  <si>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</si>
  <si>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</si>
  <si>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</si>
  <si>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</si>
  <si>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</si>
  <si>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</si>
  <si>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</si>
  <si>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</si>
  <si>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</si>
  <si>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</si>
  <si>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</si>
  <si>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</si>
  <si>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</si>
  <si>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</si>
  <si>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</si>
  <si>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</si>
  <si>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</si>
  <si>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</si>
  <si>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</si>
  <si>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</si>
  <si>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</si>
  <si>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</si>
  <si>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</si>
  <si>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</si>
  <si>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</si>
  <si>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</si>
  <si>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</si>
  <si>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</si>
  <si>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</si>
  <si>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</si>
  <si>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</si>
  <si>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</si>
  <si>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</si>
  <si>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</si>
  <si>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</si>
  <si>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</si>
  <si>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</si>
  <si>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</si>
  <si>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</si>
  <si>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</si>
  <si>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</si>
  <si>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</si>
  <si>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</si>
  <si>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</si>
  <si>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</si>
  <si>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</si>
  <si>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</si>
  <si>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</si>
  <si>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</si>
  <si>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</si>
  <si>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</si>
  <si>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</si>
  <si>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</si>
  <si>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</si>
  <si>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</si>
  <si>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</si>
  <si>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</si>
  <si>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</si>
  <si>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</si>
  <si>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</si>
  <si>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</si>
  <si>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</si>
  <si>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</si>
  <si>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</si>
  <si>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</si>
  <si>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</si>
  <si>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</si>
  <si>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</si>
  <si>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</si>
  <si>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</si>
  <si>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</si>
  <si>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</si>
  <si>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</si>
  <si>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</si>
  <si>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</si>
  <si>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</si>
  <si>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</si>
  <si>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</si>
  <si>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</si>
  <si>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</si>
  <si>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</si>
  <si>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</si>
  <si>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</si>
  <si>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</si>
  <si>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</si>
  <si>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</si>
  <si>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</si>
  <si>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</si>
  <si>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</si>
  <si>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</si>
  <si>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</si>
  <si>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</si>
  <si>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</si>
  <si>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</si>
  <si>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</si>
  <si>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</si>
  <si>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</si>
  <si>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</si>
  <si>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</si>
  <si>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</si>
  <si>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</si>
  <si>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</si>
  <si>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</si>
  <si>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</si>
  <si>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</si>
  <si>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</si>
  <si>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</si>
  <si>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</si>
  <si>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</si>
  <si>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</si>
  <si>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</si>
  <si>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</si>
  <si>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</si>
  <si>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</si>
  <si>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</si>
  <si>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</si>
  <si>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</si>
  <si>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</si>
  <si>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</si>
  <si>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</si>
  <si>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</si>
  <si>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</si>
  <si>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</si>
  <si>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</si>
  <si>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</si>
  <si>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</si>
  <si>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</si>
  <si>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</si>
  <si>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</si>
  <si>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</si>
  <si>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</si>
  <si>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</si>
  <si>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</si>
  <si>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</si>
  <si>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</si>
  <si>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</si>
  <si>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</si>
  <si>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</si>
  <si>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</si>
  <si>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</si>
  <si>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</si>
  <si>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</si>
  <si>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</si>
  <si>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</si>
  <si>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</si>
  <si>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</si>
  <si>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</si>
  <si>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</si>
  <si>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</si>
  <si>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</si>
  <si>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</si>
  <si>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</si>
  <si>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</si>
  <si>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</si>
  <si>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</si>
  <si>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</si>
  <si>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</si>
  <si>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</si>
  <si>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</si>
  <si>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</si>
  <si>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</si>
  <si>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</si>
  <si>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</si>
  <si>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</si>
  <si>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</si>
  <si>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</si>
  <si>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</si>
  <si>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</si>
  <si>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</si>
  <si>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</si>
  <si>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</si>
  <si>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</si>
  <si>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</si>
  <si>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</si>
  <si>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</si>
  <si>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</si>
  <si>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</si>
  <si>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</si>
  <si>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</si>
  <si>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</si>
  <si>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</si>
  <si>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</si>
  <si>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</si>
  <si>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</si>
  <si>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</si>
  <si>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</si>
  <si>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</si>
  <si>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</si>
  <si>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</si>
  <si>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</si>
  <si>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</si>
  <si>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</si>
  <si>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</si>
  <si>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</si>
  <si>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</si>
  <si>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</si>
  <si>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</si>
  <si>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</si>
  <si>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</si>
  <si>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</si>
  <si>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</si>
  <si>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</si>
  <si>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</si>
  <si>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</si>
  <si>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</si>
  <si>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</si>
  <si>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</si>
  <si>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</si>
  <si>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</si>
  <si>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</si>
  <si>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</si>
  <si>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</si>
  <si>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</si>
  <si>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</si>
  <si>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</si>
  <si>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</si>
  <si>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</si>
  <si>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</si>
  <si>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</si>
  <si>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</si>
  <si>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</si>
  <si>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</si>
  <si>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</si>
  <si>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</si>
  <si>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</si>
  <si>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</si>
  <si>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</si>
  <si>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</si>
  <si>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</si>
  <si>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</si>
  <si>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</si>
  <si>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</si>
  <si>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</si>
  <si>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</si>
  <si>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</si>
  <si>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</si>
  <si>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</si>
  <si>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</si>
  <si>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</si>
  <si>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</si>
  <si>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</si>
  <si>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</si>
  <si>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</si>
  <si>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</si>
  <si>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</si>
  <si>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</si>
  <si>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</si>
  <si>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</si>
  <si>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</si>
  <si>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</si>
  <si>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</si>
  <si>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</si>
  <si>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</si>
  <si>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</si>
  <si>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</si>
  <si>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</si>
  <si>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</si>
  <si>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</si>
  <si>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</si>
  <si>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</si>
  <si>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</si>
  <si>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</si>
  <si>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</si>
  <si>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</si>
  <si>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</si>
  <si>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</si>
  <si>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</si>
  <si>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</si>
  <si>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</si>
  <si>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</si>
  <si>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</si>
  <si>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</si>
  <si>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</si>
  <si>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</si>
  <si>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</si>
  <si>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</si>
  <si>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</si>
  <si>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</si>
  <si>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</si>
  <si>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</si>
  <si>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</si>
  <si>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</si>
  <si>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</si>
  <si>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</si>
  <si>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</si>
  <si>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</si>
  <si>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</si>
  <si>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</si>
  <si>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</si>
  <si>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</si>
  <si>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</si>
  <si>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</si>
  <si>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</si>
  <si>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</si>
  <si>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</si>
  <si>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</si>
  <si>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</si>
  <si>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</si>
  <si>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</si>
  <si>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</si>
  <si>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</si>
  <si>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</si>
  <si>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</si>
  <si>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</si>
  <si>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</si>
  <si>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</si>
  <si>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</si>
  <si>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</si>
  <si>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</si>
  <si>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</si>
  <si>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</si>
  <si>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</si>
  <si>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</si>
  <si>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</si>
  <si>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</si>
  <si>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</si>
  <si>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</si>
  <si>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</si>
  <si>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</si>
  <si>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</si>
  <si>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</si>
  <si>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</si>
  <si>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</si>
  <si>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</si>
  <si>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</si>
  <si>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</si>
  <si>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</si>
  <si>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</si>
  <si>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</si>
  <si>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</si>
  <si>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</si>
  <si>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</si>
  <si>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</si>
  <si>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</si>
  <si>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</si>
  <si>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</si>
  <si>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</si>
  <si>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</si>
  <si>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</si>
  <si>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</si>
  <si>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</si>
  <si>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</si>
  <si>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</si>
  <si>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</si>
  <si>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</si>
  <si>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</si>
  <si>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</si>
  <si>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</si>
  <si>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</si>
  <si>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</si>
  <si>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</si>
  <si>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</si>
  <si>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</si>
  <si>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</si>
  <si>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</si>
  <si>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</si>
  <si>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</si>
  <si>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</si>
  <si>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</si>
  <si>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</si>
  <si>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</si>
  <si>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</si>
  <si>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</si>
  <si>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</si>
  <si>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</si>
  <si>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</si>
  <si>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</si>
  <si>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</si>
  <si>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</si>
  <si>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</si>
  <si>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</si>
  <si>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</si>
  <si>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</si>
  <si>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</si>
  <si>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</si>
  <si>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</si>
  <si>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</si>
  <si>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</si>
  <si>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</si>
  <si>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</si>
  <si>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</si>
  <si>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</si>
  <si>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</si>
  <si>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 xml:space="preserve">Jalal Sons </t>
  </si>
  <si>
    <t>NTN #: 1010737-1</t>
  </si>
  <si>
    <t>Invoice No # :14613</t>
  </si>
  <si>
    <t xml:space="preserve">Address: Izmir Town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</si>
</sst>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498</v>
      </c>
      <c r="F2" s="354"/>
      <c r="G2" s="354"/>
      <c r="H2" s="351"/>
      <c r="I2" s="351"/>
      <c r="J2" s="352"/>
      <c r="R2" s="348" t="s">
        <v>497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508</v>
      </c>
      <c r="F3" s="358"/>
      <c r="G3" s="358"/>
      <c r="H3" s="355">
        <f ca="1">TODAY()</f>
        <v>46255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 xml:space="preserve">Jalal Sons </v>
      </c>
      <c r="T3" s="301">
        <f>+'1'!P35</f>
        <v>10098.449465847458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Jalal Sons 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 xml:space="preserve">Jalal Sons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 xml:space="preserve">Jalal Sons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Jalal Sons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Jalal Sons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80</v>
      </c>
      <c r="I9" s="236">
        <f t="shared" si="0"/>
        <v>4197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629.54999999999995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146.89500000000001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3420.5550000000003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793.22033898305051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21.068876694915254</v>
      </c>
      <c r="P9" s="311">
        <f t="shared" si="2"/>
        <v>4234.8442156779656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 xml:space="preserve">Jalal Sons 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 xml:space="preserve">Jalal Sons 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40</v>
      </c>
      <c r="I11" s="236">
        <f t="shared" si="0"/>
        <v>2905.6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435.84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101.69600000000001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2368.0639999999999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549.15254237288138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14.586082711864407</v>
      </c>
      <c r="P11" s="311">
        <f t="shared" si="2"/>
        <v>2931.8026250847456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 xml:space="preserve">Jalal Sons 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40</v>
      </c>
      <c r="I12" s="236">
        <f t="shared" si="0"/>
        <v>2905.6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435.84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101.69600000000001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2368.0639999999999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549.15254237288138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14.586082711864407</v>
      </c>
      <c r="P12" s="311">
        <f t="shared" si="2"/>
        <v>2931.8026250847456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 xml:space="preserve">Jalal Sons 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 xml:space="preserve">Jalal Sons 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 xml:space="preserve">Jalal Sons 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 xml:space="preserve">Jalal Sons </v>
      </c>
      <c r="T15" s="301">
        <f>+'13'!P35</f>
        <v>0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4</v>
      </c>
      <c r="H16" s="113">
        <f t="shared" ref="H16:M16" si="3">SUM(H7:H15)</f>
        <v>160</v>
      </c>
      <c r="I16" s="114">
        <f t="shared" si="3"/>
        <v>10008.200000000001</v>
      </c>
      <c r="J16" s="274">
        <f>SUM(J7:J15)</f>
        <v>1501.2299999999998</v>
      </c>
      <c r="K16" s="275">
        <f t="shared" si="3"/>
        <v>350.28700000000003</v>
      </c>
      <c r="L16" s="276">
        <f t="shared" si="3"/>
        <v>0</v>
      </c>
      <c r="M16" s="232">
        <f t="shared" si="3"/>
        <v>8156.6830000000009</v>
      </c>
      <c r="N16" s="233">
        <f>SUM(N7:N15)</f>
        <v>1891.5254237288132</v>
      </c>
      <c r="O16" s="101">
        <f>SUM(O7:O15)</f>
        <v>50.241042118644067</v>
      </c>
      <c r="P16" s="113">
        <f>SUM(P7:P15)</f>
        <v>10098.449465847456</v>
      </c>
      <c r="Q16" s="128">
        <f>SUM(Q7:Q15)</f>
        <v>0</v>
      </c>
      <c r="R16" s="314">
        <v>14</v>
      </c>
      <c r="S16" s="300" t="str">
        <f>+'14'!A6:A6</f>
        <v xml:space="preserve">Jalal Sons 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Jalal Sons 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Jalal Sons </v>
      </c>
      <c r="T18" s="301">
        <f>+'16'!P35</f>
        <v>0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10008.200000000001</v>
      </c>
      <c r="R19" s="299">
        <v>17</v>
      </c>
      <c r="S19" s="300" t="str">
        <f>+'17'!A6:A6</f>
        <v xml:space="preserve">Jalal Sons 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1501.2299999999998</v>
      </c>
      <c r="R20" s="299">
        <v>18</v>
      </c>
      <c r="S20" s="300" t="str">
        <f>+'18'!A6:A6</f>
        <v xml:space="preserve">Jalal Sons 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350.28700000000003</v>
      </c>
      <c r="R21" s="299">
        <v>19</v>
      </c>
      <c r="S21" s="300" t="str">
        <f>+'19'!A6:A6</f>
        <v xml:space="preserve">Jalal Sons 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8156.6830000000009</v>
      </c>
      <c r="R22" s="299">
        <v>20</v>
      </c>
      <c r="S22" s="300" t="str">
        <f>+'20'!A6:A6</f>
        <v xml:space="preserve">Jalal Sons 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1891.5254237288132</v>
      </c>
      <c r="R23" s="299">
        <v>21</v>
      </c>
      <c r="S23" s="300" t="str">
        <f>+'21'!A6:A6</f>
        <v xml:space="preserve">Jalal Sons 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10048.208423728815</v>
      </c>
      <c r="R24" s="299">
        <v>22</v>
      </c>
      <c r="S24" s="300" t="str">
        <f>+'22'!A6:A6</f>
        <v xml:space="preserve">Jalal Sons 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50.241042118644067</v>
      </c>
      <c r="R25" s="299">
        <v>23</v>
      </c>
      <c r="S25" s="300" t="str">
        <f>+'23'!A6:A6</f>
        <v xml:space="preserve">Jalal Sons 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10098.449465847458</v>
      </c>
      <c r="R26" s="299">
        <v>24</v>
      </c>
      <c r="S26" s="300" t="str">
        <f>+'24'!A6:A6</f>
        <v xml:space="preserve">Jalal Sons 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 xml:space="preserve">Jalal Sons 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 xml:space="preserve">Jalal Sons 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 xml:space="preserve">Jalal Sons 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 xml:space="preserve">Jalal Sons 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 xml:space="preserve">Jalal Sons 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 xml:space="preserve">Jalal Sons 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10098.449465847458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19" workbookViewId="0">
      <selection activeCell="F26" sqref="F2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7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514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7.2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500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515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>
        <v>80</v>
      </c>
      <c r="I18" s="236">
        <f t="shared" ref="I18:I21" si="7">(G18*D18)*F18+H18*F18</f>
        <v>4197</v>
      </c>
      <c r="J18" s="272">
        <f t="shared" si="1"/>
        <v>629.54999999999995</v>
      </c>
      <c r="K18" s="128">
        <f t="shared" si="1"/>
        <v>146.89500000000001</v>
      </c>
      <c r="L18" s="119">
        <f t="shared" si="1"/>
        <v>0</v>
      </c>
      <c r="M18" s="230">
        <f t="shared" si="2"/>
        <v>3420.5550000000003</v>
      </c>
      <c r="N18" s="277">
        <f t="shared" si="3"/>
        <v>793.22033898305051</v>
      </c>
      <c r="O18" s="239">
        <f t="shared" si="4"/>
        <v>21.068876694915254</v>
      </c>
      <c r="P18" s="311">
        <f t="shared" si="5"/>
        <v>4234.8442156779656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>
        <v>40</v>
      </c>
      <c r="I20" s="236">
        <f t="shared" si="7"/>
        <v>2905.6</v>
      </c>
      <c r="J20" s="272">
        <f t="shared" si="1"/>
        <v>435.84</v>
      </c>
      <c r="K20" s="128">
        <f t="shared" si="1"/>
        <v>101.69600000000001</v>
      </c>
      <c r="L20" s="119">
        <f t="shared" si="1"/>
        <v>0</v>
      </c>
      <c r="M20" s="230">
        <f t="shared" si="2"/>
        <v>2368.0639999999999</v>
      </c>
      <c r="N20" s="277">
        <f t="shared" si="3"/>
        <v>549.15254237288138</v>
      </c>
      <c r="O20" s="239">
        <f t="shared" si="4"/>
        <v>14.586082711864407</v>
      </c>
      <c r="P20" s="311">
        <f t="shared" si="5"/>
        <v>2931.8026250847456</v>
      </c>
      <c r="Q20" s="156"/>
      <c r="R20">
        <f>P20/21</f>
        <v>139.60964881355932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>
        <v>40</v>
      </c>
      <c r="I21" s="236">
        <f t="shared" si="7"/>
        <v>2905.6</v>
      </c>
      <c r="J21" s="272">
        <f t="shared" si="1"/>
        <v>435.84</v>
      </c>
      <c r="K21" s="128">
        <f t="shared" si="1"/>
        <v>101.69600000000001</v>
      </c>
      <c r="L21" s="119">
        <f t="shared" si="1"/>
        <v>0</v>
      </c>
      <c r="M21" s="230">
        <f t="shared" si="2"/>
        <v>2368.0639999999999</v>
      </c>
      <c r="N21" s="277">
        <f t="shared" si="3"/>
        <v>549.15254237288138</v>
      </c>
      <c r="O21" s="239">
        <f t="shared" si="4"/>
        <v>14.586082711864407</v>
      </c>
      <c r="P21" s="311">
        <f t="shared" si="5"/>
        <v>2931.8026250847456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0</v>
      </c>
      <c r="H25" s="113">
        <f t="shared" ref="H25" si="9">SUM(H16:H24)</f>
        <v>160</v>
      </c>
      <c r="I25" s="114">
        <f t="shared" ref="I25:M25" si="10">SUM(I16:I24)</f>
        <v>10008.200000000001</v>
      </c>
      <c r="J25" s="274">
        <f>SUM(J16:J24)</f>
        <v>1501.2299999999998</v>
      </c>
      <c r="K25" s="275">
        <f t="shared" si="10"/>
        <v>350.28700000000003</v>
      </c>
      <c r="L25" s="276">
        <f t="shared" si="10"/>
        <v>0</v>
      </c>
      <c r="M25" s="232">
        <f t="shared" si="10"/>
        <v>8156.6830000000009</v>
      </c>
      <c r="N25" s="233">
        <f>SUM(N16:N24)</f>
        <v>1891.5254237288132</v>
      </c>
      <c r="O25" s="101">
        <f>SUM(O16:O24)</f>
        <v>50.241042118644067</v>
      </c>
      <c r="P25" s="113">
        <f>SUM(P16:P24)</f>
        <v>10098.449465847456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10008.200000000001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1501.2299999999998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350.28700000000003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8156.6830000000009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1891.5254237288132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10048.208423728815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50.241042118644074</v>
      </c>
    </row>
    <row r="35" spans="2:16" ht="15.75" customHeight="1" thickBot="1" x14ac:dyDescent="0.4">
      <c r="N35" s="342" t="s">
        <v>88</v>
      </c>
      <c r="O35" s="343"/>
      <c r="P35" s="297">
        <f>+P33+P34</f>
        <v>10098.449465847458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502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515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8.7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515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515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515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515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515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515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515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515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515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515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515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515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515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515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515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515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515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8.7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515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515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515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515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515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515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515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515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515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515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515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46256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46255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2026-08-21T04:52:50Z</dcterms:modified>
</cp:coreProperties>
</file>