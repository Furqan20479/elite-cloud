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D0627A-FFE7-410A-B088-62AA1DE5E9A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K12" i="62"/>
  <c r="M21" i="52"/>
  <c r="O21" i="52" s="1"/>
  <c r="P21" i="52" s="1"/>
  <c r="M16" i="48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<sst xmlns="http://schemas.openxmlformats.org/spreadsheetml/2006/main" count="3978" uniqueCount="529">
  <si>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</si>
  <si>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</si>
  <si>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</si>
  <si>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</si>
  <si>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</si>
  <si>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</si>
  <si>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</si>
  <si>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</si>
  <si>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</si>
  <si>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</si>
  <si>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</si>
  <si>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</si>
  <si>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</si>
  <si>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</si>
  <si>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</si>
  <si>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</si>
  <si>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</si>
  <si>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</si>
  <si>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</si>
  <si>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</si>
  <si>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</si>
  <si>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</si>
  <si>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</si>
  <si>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</si>
  <si>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</si>
  <si>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</si>
  <si>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</si>
  <si>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</si>
  <si>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</si>
  <si>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</si>
  <si>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</si>
  <si>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</si>
  <si>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</si>
  <si>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</si>
  <si>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</si>
  <si>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</si>
  <si>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</si>
  <si>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</si>
  <si>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</si>
  <si>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</si>
  <si>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</si>
  <si>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</si>
  <si>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</si>
  <si>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</si>
  <si>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</si>
  <si>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</si>
  <si>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</si>
  <si>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</si>
  <si>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</si>
  <si>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</si>
  <si>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</si>
  <si>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</si>
  <si>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</si>
  <si>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</si>
  <si>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</si>
  <si>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</si>
  <si>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</si>
  <si>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</si>
  <si>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</si>
  <si>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</si>
  <si>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</si>
  <si>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</si>
  <si>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</si>
  <si>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</si>
  <si>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</si>
  <si>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</si>
  <si>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</si>
  <si>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</si>
  <si>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</si>
  <si>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</si>
  <si>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</si>
  <si>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</si>
  <si>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</si>
  <si>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</si>
  <si>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</si>
  <si>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</si>
  <si>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</si>
  <si>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</si>
  <si>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</si>
  <si>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</si>
  <si>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</si>
  <si>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</si>
  <si>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</si>
  <si>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</si>
  <si>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</si>
  <si>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</si>
  <si>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</si>
  <si>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</si>
  <si>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</si>
  <si>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</si>
  <si>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</si>
  <si>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</si>
  <si>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</si>
  <si>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</si>
  <si>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</si>
  <si>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</si>
  <si>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</si>
  <si>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</si>
  <si>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</si>
  <si>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</si>
  <si>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</si>
  <si>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</si>
  <si>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</si>
  <si>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</si>
  <si>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</si>
  <si>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</si>
  <si>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</si>
  <si>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</si>
  <si>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</si>
  <si>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</si>
  <si>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</si>
  <si>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</si>
  <si>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</si>
  <si>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</si>
  <si>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</si>
  <si>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</si>
  <si>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</si>
  <si>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</si>
  <si>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</si>
  <si>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</si>
  <si>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</si>
  <si>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</si>
  <si>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</si>
  <si>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</si>
  <si>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</si>
  <si>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</si>
  <si>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</si>
  <si>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</si>
  <si>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</si>
  <si>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</si>
  <si>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</si>
  <si>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</si>
  <si>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</si>
  <si>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</si>
  <si>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</si>
  <si>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</si>
  <si>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</si>
  <si>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</si>
  <si>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</si>
  <si>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</si>
  <si>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</si>
  <si>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</si>
  <si>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</si>
  <si>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</si>
  <si>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</si>
  <si>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</si>
  <si>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</si>
  <si>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</si>
  <si>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</si>
  <si>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</si>
  <si>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</si>
  <si>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</si>
  <si>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</si>
  <si>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</si>
  <si>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</si>
  <si>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</si>
  <si>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</si>
  <si>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</si>
  <si>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</si>
  <si>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</si>
  <si>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</si>
  <si>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</si>
  <si>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</si>
  <si>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</si>
  <si>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</si>
  <si>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</si>
  <si>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</si>
  <si>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</si>
  <si>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</si>
  <si>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</si>
  <si>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</si>
  <si>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</si>
  <si>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</si>
  <si>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</si>
  <si>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</si>
  <si>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</si>
  <si>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</si>
  <si>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</si>
  <si>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</si>
  <si>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</si>
  <si>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</si>
  <si>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</si>
  <si>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</si>
  <si>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</si>
  <si>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</si>
  <si>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</si>
  <si>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</si>
  <si>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</si>
  <si>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</si>
  <si>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</si>
  <si>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</si>
  <si>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</si>
  <si>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</si>
  <si>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</si>
  <si>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</si>
  <si>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</si>
  <si>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</si>
  <si>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</si>
  <si>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</si>
  <si>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</si>
  <si>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</si>
  <si>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</si>
  <si>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</si>
  <si>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</si>
  <si>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</si>
  <si>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</si>
  <si>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</si>
  <si>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</si>
  <si>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</si>
  <si>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</si>
  <si>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</si>
  <si>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</si>
  <si>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</si>
  <si>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</si>
  <si>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</si>
  <si>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</si>
  <si>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</si>
  <si>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</si>
  <si>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</si>
  <si>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</si>
  <si>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</si>
  <si>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</si>
  <si>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</si>
  <si>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</si>
  <si>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</si>
  <si>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</si>
  <si>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</si>
  <si>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</si>
  <si>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</si>
  <si>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</si>
  <si>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</si>
  <si>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</si>
  <si>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</si>
  <si>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</si>
  <si>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</si>
  <si>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</si>
  <si>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</si>
  <si>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</si>
  <si>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</si>
  <si>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</si>
  <si>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</si>
  <si>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</si>
  <si>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</si>
  <si>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</si>
  <si>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</si>
  <si>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</si>
  <si>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</si>
  <si>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</si>
  <si>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</si>
  <si>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</si>
  <si>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</si>
  <si>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</si>
  <si>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</si>
  <si>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</si>
  <si>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</si>
  <si>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</si>
  <si>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</si>
  <si>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</si>
  <si>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</si>
  <si>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</si>
  <si>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</si>
  <si>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</si>
  <si>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</si>
  <si>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</si>
  <si>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</si>
  <si>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</si>
  <si>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</si>
  <si>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</si>
  <si>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</si>
  <si>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</si>
  <si>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</si>
  <si>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</si>
  <si>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</si>
  <si>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</si>
  <si>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</si>
  <si>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</si>
  <si>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</si>
  <si>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</si>
  <si>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</si>
  <si>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</si>
  <si>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</si>
  <si>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</si>
  <si>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</si>
  <si>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</si>
  <si>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</si>
  <si>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</si>
  <si>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</si>
  <si>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</si>
  <si>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</si>
  <si>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</si>
  <si>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</si>
  <si>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</si>
  <si>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</si>
  <si>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</si>
  <si>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</si>
  <si>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</si>
  <si>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</si>
  <si>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</si>
  <si>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</si>
  <si>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</si>
  <si>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</si>
  <si>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</si>
  <si>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</si>
  <si>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</si>
  <si>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</si>
  <si>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</si>
  <si>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</si>
  <si>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</si>
  <si>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</si>
  <si>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</si>
  <si>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</si>
  <si>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</si>
  <si>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</si>
  <si>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</si>
  <si>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</si>
  <si>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</si>
  <si>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</si>
  <si>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</si>
  <si>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</si>
  <si>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</si>
  <si>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</si>
  <si>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</si>
  <si>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</si>
  <si>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</si>
  <si>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</si>
  <si>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</si>
  <si>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</si>
  <si>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</si>
  <si>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</si>
  <si>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</si>
  <si>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</si>
  <si>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</si>
  <si>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</si>
  <si>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</si>
  <si>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</si>
  <si>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</si>
  <si>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</si>
  <si>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</si>
  <si>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</si>
  <si>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</si>
  <si>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</si>
  <si>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</si>
  <si>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</si>
  <si>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</si>
  <si>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</si>
  <si>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</si>
  <si>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</si>
  <si>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</si>
  <si>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</si>
  <si>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</si>
  <si>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</si>
  <si>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</si>
  <si>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</si>
  <si>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</si>
  <si>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</si>
  <si>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</si>
  <si>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</si>
  <si>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</si>
  <si>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</si>
  <si>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</si>
  <si>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</si>
  <si>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</si>
  <si>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</si>
  <si>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</si>
  <si>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</si>
  <si>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</si>
  <si>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</si>
  <si>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</si>
  <si>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</si>
  <si>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</si>
  <si>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</si>
  <si>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</si>
  <si>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</si>
  <si>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</si>
  <si>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</si>
  <si>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</si>
  <si>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</si>
  <si>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</si>
  <si>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</si>
  <si>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</si>
  <si>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</si>
  <si>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</si>
  <si>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</si>
  <si>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</si>
  <si>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</si>
  <si>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</si>
  <si>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</si>
  <si>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</si>
  <si>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</si>
  <si>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</si>
  <si>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</si>
  <si>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</si>
  <si>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</si>
  <si>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</si>
  <si>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</si>
  <si>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</si>
  <si>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</si>
  <si>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</si>
  <si>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</si>
  <si>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</si>
  <si>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</si>
  <si>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</si>
  <si>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</si>
  <si>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</si>
  <si>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</si>
  <si>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</si>
  <si>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</si>
  <si>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</si>
  <si>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</si>
  <si>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</si>
  <si>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</si>
  <si>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</si>
  <si>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</si>
  <si>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</si>
  <si>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</si>
  <si>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</si>
  <si>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</si>
  <si>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</si>
  <si>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</si>
  <si>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</si>
  <si>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</si>
  <si>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</si>
  <si>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</si>
  <si>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</si>
  <si>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</si>
  <si>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</si>
  <si>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</si>
  <si>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</si>
  <si>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</si>
  <si>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</si>
  <si>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</si>
  <si>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</si>
  <si>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</si>
  <si>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</si>
  <si>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</si>
  <si>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</si>
  <si>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</si>
  <si>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</si>
  <si>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</si>
  <si>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</si>
  <si>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</si>
  <si>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</si>
  <si>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</si>
  <si>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</si>
  <si>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</si>
  <si>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</si>
  <si>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</si>
  <si>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</si>
  <si>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</si>
  <si>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</si>
  <si>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</si>
  <si>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</si>
  <si>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</si>
  <si>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</si>
  <si>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</si>
  <si>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</si>
  <si>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</si>
  <si>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</si>
  <si>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</si>
  <si>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</si>
  <si>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</si>
  <si>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</si>
  <si>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</si>
  <si>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</si>
  <si>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</si>
  <si>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</si>
  <si>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</si>
  <si>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</si>
  <si>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</si>
  <si>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</si>
  <si>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</si>
  <si>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</si>
  <si>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</si>
  <si>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</si>
  <si>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</si>
  <si>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</si>
  <si>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</si>
  <si>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</si>
  <si>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</si>
  <si>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</si>
  <si>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</si>
  <si>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</si>
  <si>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</si>
  <si>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</si>
  <si>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</si>
  <si>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</si>
  <si>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</si>
  <si>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</si>
  <si>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</si>
  <si>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</si>
  <si>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</si>
  <si>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</si>
  <si>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</si>
  <si>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</si>
  <si>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</si>
  <si>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</si>
  <si>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</si>
  <si>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</si>
  <si>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</si>
  <si>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</si>
  <si>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</si>
  <si>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</si>
  <si>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</si>
  <si>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</si>
  <si>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</si>
  <si>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</si>
  <si>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</si>
  <si>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</si>
  <si>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</si>
  <si>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</si>
  <si>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</si>
  <si>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</si>
  <si>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</si>
  <si>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</si>
  <si>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</si>
  <si>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</si>
  <si>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</si>
  <si>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DHA</t>
  </si>
  <si>
    <t xml:space="preserve">S Mart </t>
  </si>
  <si>
    <t>24/7</t>
  </si>
  <si>
    <t>Hafiz Store</t>
  </si>
  <si>
    <t>CV Store</t>
  </si>
  <si>
    <t xml:space="preserve">AM Cash &amp; Carry </t>
  </si>
  <si>
    <t>Address: State Life</t>
  </si>
  <si>
    <t xml:space="preserve">Groccer Express </t>
  </si>
  <si>
    <t>Groccer 2</t>
  </si>
  <si>
    <t xml:space="preserve">Green Mart </t>
  </si>
  <si>
    <t xml:space="preserve">Jalil Mart </t>
  </si>
  <si>
    <t xml:space="preserve">Bravo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</si>
</sst>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S Mart </v>
      </c>
      <c r="T3" s="301">
        <f>+'1'!P35</f>
        <v>391.66748087288136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24/7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Hafiz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CV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 xml:space="preserve">AM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 xml:space="preserve">Groccer Express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Groccer 2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Mart </v>
      </c>
      <c r="T11" s="301">
        <f>+'9'!P35</f>
        <v>24347.534829330507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75</v>
      </c>
      <c r="I12" s="236">
        <f t="shared" si="0"/>
        <v>5448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190.68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4821.4799999999996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1029.6610169491528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29.255705084745763</v>
      </c>
      <c r="P12" s="311">
        <f t="shared" si="2"/>
        <v>5880.3967220338973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24</v>
      </c>
      <c r="R12" s="314">
        <v>10</v>
      </c>
      <c r="S12" s="300" t="str">
        <f>+'10'!A6:A6</f>
        <v xml:space="preserve">Jalil Mart 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339.33950000000004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5397.6557000000012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33.089973415254235</v>
      </c>
      <c r="P13" s="311">
        <f t="shared" si="2"/>
        <v>6651.0846564661024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 xml:space="preserve">Bravo Mart 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13</v>
      </c>
      <c r="H16" s="113">
        <f t="shared" ref="H16:M16" si="3">SUM(H7:H15)</f>
        <v>520</v>
      </c>
      <c r="I16" s="114">
        <f t="shared" si="3"/>
        <v>29602.35</v>
      </c>
      <c r="J16" s="274">
        <f>SUM(J7:J15)</f>
        <v>2205.3834999999999</v>
      </c>
      <c r="K16" s="275">
        <f t="shared" si="3"/>
        <v>1036.0822500000002</v>
      </c>
      <c r="L16" s="276">
        <f t="shared" si="3"/>
        <v>320.11680000000001</v>
      </c>
      <c r="M16" s="232">
        <f t="shared" si="3"/>
        <v>26040.767449999999</v>
      </c>
      <c r="N16" s="233">
        <f>SUM(N7:N15)</f>
        <v>5628.8135593220331</v>
      </c>
      <c r="O16" s="101">
        <f>SUM(O7:O15)</f>
        <v>158.34790504661018</v>
      </c>
      <c r="P16" s="113">
        <f>SUM(P7:P15)</f>
        <v>31827.92891436864</v>
      </c>
      <c r="Q16" s="128">
        <f>SUM(Q7:Q15)</f>
        <v>60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29602.35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2205.3834999999999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1356.1990500000002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26040.767449999999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5628.8135593220331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31669.581009322032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158.34790504661018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31827.92891436864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31827.92891436864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45.114500000000007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313.44770000000005</v>
      </c>
      <c r="N22" s="277">
        <f t="shared" si="3"/>
        <v>76.271186440677923</v>
      </c>
      <c r="O22" s="239">
        <f t="shared" si="4"/>
        <v>1.9485944322033899</v>
      </c>
      <c r="P22" s="311">
        <f t="shared" si="5"/>
        <v>391.66748087288136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45.114500000000007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313.44770000000005</v>
      </c>
      <c r="N25" s="233">
        <f>SUM(N16:N24)</f>
        <v>76.271186440677923</v>
      </c>
      <c r="O25" s="101">
        <f>SUM(O16:O24)</f>
        <v>1.9485944322033899</v>
      </c>
      <c r="P25" s="113">
        <f>SUM(P16:P24)</f>
        <v>391.66748087288136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45.114500000000007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313.44770000000005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389.71888644067798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1.9485944322033899</v>
      </c>
    </row>
    <row r="35" spans="2:16" ht="15.75" customHeight="1" thickBot="1" x14ac:dyDescent="0.4">
      <c r="N35" s="342" t="s">
        <v>88</v>
      </c>
      <c r="O35" s="343"/>
      <c r="P35" s="297">
        <f>+P33+P34</f>
        <v>391.66748087288136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23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</v>
      </c>
      <c r="I16" s="235">
        <f>(G16*D16)*F16+H16*F16</f>
        <v>3147.75</v>
      </c>
      <c r="J16" s="271">
        <f>$I16*S16</f>
        <v>251.82</v>
      </c>
      <c r="K16" s="127">
        <f>$I16*T16</f>
        <v>110.17125000000001</v>
      </c>
      <c r="L16" s="118">
        <f>$I16*U16</f>
        <v>0</v>
      </c>
      <c r="M16" s="229">
        <f>I16-SUM(J16:L16)</f>
        <v>2785.75875</v>
      </c>
      <c r="N16" s="248">
        <f>+(G16*D16+H16)*V16</f>
        <v>594.91525423728785</v>
      </c>
      <c r="O16" s="238">
        <f>(N16+M16)*$O$15</f>
        <v>16.90337002118644</v>
      </c>
      <c r="P16" s="310">
        <f>M16+N16+O16</f>
        <v>3397.5773742584738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</v>
      </c>
      <c r="I17" s="236">
        <f t="shared" ref="I17:I23" si="0">(G17*D17)*F17+H17*F17</f>
        <v>3147.75</v>
      </c>
      <c r="J17" s="272">
        <f t="shared" ref="J17:L24" si="1">$I17*S17</f>
        <v>251.82</v>
      </c>
      <c r="K17" s="128">
        <f>$I17*T17</f>
        <v>110.17125000000001</v>
      </c>
      <c r="L17" s="119">
        <f>$I17*U17</f>
        <v>0</v>
      </c>
      <c r="M17" s="230">
        <f t="shared" ref="M17:M24" si="2">I17-SUM(J17:L17)</f>
        <v>2785.75875</v>
      </c>
      <c r="N17" s="277">
        <f t="shared" ref="N17:N24" si="3">+(G17*D17+H17)*V17</f>
        <v>594.91525423728785</v>
      </c>
      <c r="O17" s="239">
        <f t="shared" ref="O17:O24" si="4">(N17+M17)*$O$15</f>
        <v>16.90337002118644</v>
      </c>
      <c r="P17" s="311">
        <f t="shared" ref="P17:P24" si="5">M17+N17+O17</f>
        <v>3397.5773742584738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</v>
      </c>
      <c r="I19" s="236">
        <f t="shared" si="0"/>
        <v>4358.3999999999996</v>
      </c>
      <c r="J19" s="272">
        <f t="shared" si="1"/>
        <v>348.67199999999997</v>
      </c>
      <c r="K19" s="128">
        <f t="shared" si="1"/>
        <v>152.54400000000001</v>
      </c>
      <c r="L19" s="119">
        <f t="shared" si="1"/>
        <v>0</v>
      </c>
      <c r="M19" s="230">
        <f t="shared" si="2"/>
        <v>3857.1839999999997</v>
      </c>
      <c r="N19" s="277">
        <f t="shared" si="3"/>
        <v>823.72881355932213</v>
      </c>
      <c r="O19" s="239">
        <f t="shared" si="4"/>
        <v>23.40456406779661</v>
      </c>
      <c r="P19" s="311">
        <f t="shared" si="5"/>
        <v>4704.3173776271187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311">
        <f t="shared" si="5"/>
        <v>4704.3173776271187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400</v>
      </c>
      <c r="I25" s="114">
        <f t="shared" si="7"/>
        <v>22625.5</v>
      </c>
      <c r="J25" s="274">
        <f>SUM(J16:J24)</f>
        <v>1668.8120000000001</v>
      </c>
      <c r="K25" s="275">
        <f t="shared" si="7"/>
        <v>791.89250000000015</v>
      </c>
      <c r="L25" s="276">
        <f t="shared" si="7"/>
        <v>240.08760000000001</v>
      </c>
      <c r="M25" s="232">
        <f t="shared" si="7"/>
        <v>19924.707899999998</v>
      </c>
      <c r="N25" s="233">
        <f>SUM(N16:N24)</f>
        <v>4301.6949152542365</v>
      </c>
      <c r="O25" s="101">
        <f>SUM(O16:O24)</f>
        <v>121.13201407627119</v>
      </c>
      <c r="P25" s="113">
        <f>SUM(P16:P24)</f>
        <v>24347.534829330507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22625.5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1668.8120000000001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1031.9801000000002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19924.707899999998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4301.6949152542365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24226.402815254234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121.13201407627118</v>
      </c>
    </row>
    <row r="35" spans="2:16" ht="15.75" customHeight="1" thickBot="1" x14ac:dyDescent="0.4">
      <c r="N35" s="342" t="s">
        <v>88</v>
      </c>
      <c r="O35" s="343"/>
      <c r="P35" s="297">
        <f>+P33+P34</f>
        <v>24347.534829330507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2026-08-21T11:11:45Z</dcterms:modified>
</cp:coreProperties>
</file>