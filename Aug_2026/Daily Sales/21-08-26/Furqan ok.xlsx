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2176D4-3FE1-44BD-B148-467D3CAB02A6}" xr6:coauthVersionLast="47" xr6:coauthVersionMax="47" xr10:uidLastSave="{00000000-0000-0000-0000-000000000000}"/>
  <bookViews>
    <workbookView xWindow="-110" yWindow="-110" windowWidth="19420" windowHeight="10420" tabRatio="594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22" i="51"/>
  <c r="M20" i="46"/>
  <c r="O20" i="46" s="1"/>
  <c r="P20" i="46" s="1"/>
  <c r="R20" i="46" s="1"/>
  <c r="M17" i="44"/>
  <c r="O17" i="44" s="1"/>
  <c r="P17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<sst xmlns="http://schemas.openxmlformats.org/spreadsheetml/2006/main" count="3977" uniqueCount="529">
  <si>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</si>
  <si>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</si>
  <si>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</si>
  <si>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</si>
  <si>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</si>
  <si>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</si>
  <si>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</si>
  <si>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</si>
  <si>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</si>
  <si>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</si>
  <si>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</si>
  <si>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</si>
  <si>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</si>
  <si>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</si>
  <si>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</si>
  <si>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</si>
  <si>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</si>
  <si>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</si>
  <si>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</si>
  <si>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</si>
  <si>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</si>
  <si>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</si>
  <si>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</si>
  <si>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</si>
  <si>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</si>
  <si>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</si>
  <si>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</si>
  <si>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</si>
  <si>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</si>
  <si>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</si>
  <si>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</si>
  <si>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</si>
  <si>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</si>
  <si>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</si>
  <si>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</si>
  <si>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</si>
  <si>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</si>
  <si>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</si>
  <si>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</si>
  <si>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</si>
  <si>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</si>
  <si>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</si>
  <si>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</si>
  <si>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</si>
  <si>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</si>
  <si>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</si>
  <si>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</si>
  <si>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</si>
  <si>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</si>
  <si>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</si>
  <si>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</si>
  <si>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</si>
  <si>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</si>
  <si>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</si>
  <si>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</si>
  <si>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</si>
  <si>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</si>
  <si>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</si>
  <si>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</si>
  <si>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</si>
  <si>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</si>
  <si>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</si>
  <si>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</si>
  <si>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</si>
  <si>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</si>
  <si>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</si>
  <si>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</si>
  <si>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</si>
  <si>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</si>
  <si>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</si>
  <si>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</si>
  <si>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</si>
  <si>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</si>
  <si>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</si>
  <si>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</si>
  <si>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</si>
  <si>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</si>
  <si>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</si>
  <si>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</si>
  <si>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</si>
  <si>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</si>
  <si>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</si>
  <si>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</si>
  <si>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</si>
  <si>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</si>
  <si>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</si>
  <si>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</si>
  <si>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</si>
  <si>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</si>
  <si>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</si>
  <si>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</si>
  <si>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</si>
  <si>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</si>
  <si>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</si>
  <si>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</si>
  <si>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</si>
  <si>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</si>
  <si>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</si>
  <si>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</si>
  <si>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</si>
  <si>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</si>
  <si>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</si>
  <si>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</si>
  <si>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</si>
  <si>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</si>
  <si>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</si>
  <si>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</si>
  <si>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</si>
  <si>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</si>
  <si>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</si>
  <si>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</si>
  <si>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</si>
  <si>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</si>
  <si>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</si>
  <si>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</si>
  <si>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</si>
  <si>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</si>
  <si>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</si>
  <si>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</si>
  <si>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</si>
  <si>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</si>
  <si>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</si>
  <si>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</si>
  <si>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</si>
  <si>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</si>
  <si>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</si>
  <si>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</si>
  <si>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</si>
  <si>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</si>
  <si>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</si>
  <si>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</si>
  <si>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</si>
  <si>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</si>
  <si>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</si>
  <si>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</si>
  <si>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</si>
  <si>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</si>
  <si>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</si>
  <si>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</si>
  <si>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</si>
  <si>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</si>
  <si>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</si>
  <si>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</si>
  <si>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</si>
  <si>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</si>
  <si>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</si>
  <si>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</si>
  <si>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</si>
  <si>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</si>
  <si>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</si>
  <si>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</si>
  <si>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</si>
  <si>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</si>
  <si>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</si>
  <si>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</si>
  <si>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</si>
  <si>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</si>
  <si>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</si>
  <si>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</si>
  <si>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</si>
  <si>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</si>
  <si>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</si>
  <si>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</si>
  <si>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</si>
  <si>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</si>
  <si>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</si>
  <si>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</si>
  <si>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</si>
  <si>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</si>
  <si>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</si>
  <si>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</si>
  <si>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</si>
  <si>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</si>
  <si>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</si>
  <si>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</si>
  <si>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</si>
  <si>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</si>
  <si>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</si>
  <si>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</si>
  <si>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</si>
  <si>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</si>
  <si>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</si>
  <si>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</si>
  <si>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</si>
  <si>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</si>
  <si>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</si>
  <si>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</si>
  <si>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</si>
  <si>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</si>
  <si>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</si>
  <si>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</si>
  <si>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</si>
  <si>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</si>
  <si>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</si>
  <si>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</si>
  <si>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</si>
  <si>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</si>
  <si>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</si>
  <si>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</si>
  <si>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</si>
  <si>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</si>
  <si>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</si>
  <si>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</si>
  <si>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</si>
  <si>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</si>
  <si>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</si>
  <si>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</si>
  <si>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</si>
  <si>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</si>
  <si>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</si>
  <si>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</si>
  <si>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</si>
  <si>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</si>
  <si>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</si>
  <si>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</si>
  <si>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</si>
  <si>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</si>
  <si>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</si>
  <si>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</si>
  <si>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</si>
  <si>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</si>
  <si>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</si>
  <si>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</si>
  <si>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</si>
  <si>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</si>
  <si>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</si>
  <si>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</si>
  <si>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</si>
  <si>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</si>
  <si>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</si>
  <si>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</si>
  <si>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</si>
  <si>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</si>
  <si>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</si>
  <si>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</si>
  <si>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</si>
  <si>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</si>
  <si>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</si>
  <si>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</si>
  <si>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</si>
  <si>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</si>
  <si>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</si>
  <si>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</si>
  <si>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</si>
  <si>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</si>
  <si>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</si>
  <si>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</si>
  <si>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</si>
  <si>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</si>
  <si>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</si>
  <si>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</si>
  <si>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</si>
  <si>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</si>
  <si>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</si>
  <si>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</si>
  <si>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</si>
  <si>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</si>
  <si>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</si>
  <si>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</si>
  <si>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</si>
  <si>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</si>
  <si>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</si>
  <si>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</si>
  <si>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</si>
  <si>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</si>
  <si>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</si>
  <si>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</si>
  <si>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</si>
  <si>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</si>
  <si>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</si>
  <si>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</si>
  <si>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</si>
  <si>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</si>
  <si>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</si>
  <si>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</si>
  <si>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</si>
  <si>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</si>
  <si>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</si>
  <si>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</si>
  <si>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</si>
  <si>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</si>
  <si>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</si>
  <si>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</si>
  <si>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</si>
  <si>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</si>
  <si>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</si>
  <si>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</si>
  <si>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</si>
  <si>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</si>
  <si>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</si>
  <si>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</si>
  <si>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</si>
  <si>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</si>
  <si>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</si>
  <si>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</si>
  <si>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</si>
  <si>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</si>
  <si>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</si>
  <si>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</si>
  <si>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</si>
  <si>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</si>
  <si>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</si>
  <si>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</si>
  <si>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</si>
  <si>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</si>
  <si>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</si>
  <si>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</si>
  <si>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</si>
  <si>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</si>
  <si>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</si>
  <si>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</si>
  <si>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</si>
  <si>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</si>
  <si>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</si>
  <si>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</si>
  <si>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</si>
  <si>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</si>
  <si>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</si>
  <si>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</si>
  <si>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</si>
  <si>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</si>
  <si>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</si>
  <si>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</si>
  <si>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</si>
  <si>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</si>
  <si>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</si>
  <si>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</si>
  <si>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</si>
  <si>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</si>
  <si>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</si>
  <si>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</si>
  <si>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</si>
  <si>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</si>
  <si>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</si>
  <si>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</si>
  <si>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</si>
  <si>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</si>
  <si>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</si>
  <si>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</si>
  <si>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</si>
  <si>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</si>
  <si>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</si>
  <si>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</si>
  <si>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</si>
  <si>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</si>
  <si>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</si>
  <si>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</si>
  <si>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</si>
  <si>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</si>
  <si>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</si>
  <si>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</si>
  <si>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</si>
  <si>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</si>
  <si>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</si>
  <si>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</si>
  <si>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</si>
  <si>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</si>
  <si>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</si>
  <si>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</si>
  <si>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</si>
  <si>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</si>
  <si>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</si>
  <si>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</si>
  <si>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</si>
  <si>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</si>
  <si>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</si>
  <si>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</si>
  <si>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</si>
  <si>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</si>
  <si>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</si>
  <si>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</si>
  <si>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</si>
  <si>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</si>
  <si>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</si>
  <si>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</si>
  <si>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</si>
  <si>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</si>
  <si>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</si>
  <si>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</si>
  <si>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</si>
  <si>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</si>
  <si>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</si>
  <si>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</si>
  <si>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</si>
  <si>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</si>
  <si>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</si>
  <si>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</si>
  <si>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</si>
  <si>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</si>
  <si>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</si>
  <si>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</si>
  <si>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</si>
  <si>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</si>
  <si>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</si>
  <si>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</si>
  <si>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</si>
  <si>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</si>
  <si>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</si>
  <si>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</si>
  <si>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</si>
  <si>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</si>
  <si>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</si>
  <si>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</si>
  <si>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</si>
  <si>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</si>
  <si>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</si>
  <si>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</si>
  <si>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</si>
  <si>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</si>
  <si>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</si>
  <si>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</si>
  <si>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</si>
  <si>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</si>
  <si>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</si>
  <si>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</si>
  <si>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</si>
  <si>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</si>
  <si>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</si>
  <si>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</si>
  <si>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</si>
  <si>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</si>
  <si>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</si>
  <si>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</si>
  <si>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</si>
  <si>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</si>
  <si>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</si>
  <si>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</si>
  <si>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</si>
  <si>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</si>
  <si>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</si>
  <si>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</si>
  <si>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</si>
  <si>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</si>
  <si>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</si>
  <si>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</si>
  <si>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</si>
  <si>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</si>
  <si>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</si>
  <si>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</si>
  <si>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</si>
  <si>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</si>
  <si>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</si>
  <si>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</si>
  <si>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</si>
  <si>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</si>
  <si>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</si>
  <si>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</si>
  <si>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</si>
  <si>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</si>
  <si>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</si>
  <si>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</si>
  <si>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</si>
  <si>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</si>
  <si>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</si>
  <si>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</si>
  <si>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</si>
  <si>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</si>
  <si>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</si>
  <si>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</si>
  <si>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</si>
  <si>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</si>
  <si>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</si>
  <si>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</si>
  <si>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</si>
  <si>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</si>
  <si>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</si>
  <si>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</si>
  <si>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</si>
  <si>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</si>
  <si>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</si>
  <si>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</si>
  <si>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</si>
  <si>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</si>
  <si>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</si>
  <si>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</si>
  <si>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</si>
  <si>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</si>
  <si>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</si>
  <si>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</si>
  <si>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</si>
  <si>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</si>
  <si>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</si>
  <si>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</si>
  <si>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</si>
  <si>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</si>
  <si>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</si>
  <si>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</si>
  <si>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</si>
  <si>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</si>
  <si>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</si>
  <si>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</si>
  <si>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</si>
  <si>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</si>
  <si>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</si>
  <si>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</si>
  <si>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</si>
  <si>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</si>
  <si>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</si>
  <si>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</si>
  <si>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</si>
  <si>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</si>
  <si>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</si>
  <si>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</si>
  <si>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</si>
  <si>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</si>
  <si>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</si>
  <si>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</si>
  <si>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</si>
  <si>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</si>
  <si>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</si>
  <si>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</si>
  <si>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</si>
  <si>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</si>
  <si>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</si>
  <si>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</si>
  <si>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</si>
  <si>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</si>
  <si>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Address:Gopal Nagar</t>
  </si>
  <si>
    <t xml:space="preserve">Friend Mart </t>
  </si>
  <si>
    <t>Fazle Kabeer Store</t>
  </si>
  <si>
    <t xml:space="preserve">Kashmir Bakery </t>
  </si>
  <si>
    <t>Ali Masalajaat</t>
  </si>
  <si>
    <t>Gujjer Store</t>
  </si>
  <si>
    <t xml:space="preserve">Mian &amp; Sons </t>
  </si>
  <si>
    <t>Noorani Store</t>
  </si>
  <si>
    <t>Husnain Store</t>
  </si>
  <si>
    <t>Asif Store</t>
  </si>
  <si>
    <t>Malik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</si>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</sst>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7" workbookViewId="0">
      <selection activeCell="S13" sqref="S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Friend Mart </v>
      </c>
      <c r="T3" s="301">
        <f>+'1'!P35</f>
        <v>1767.6102703538138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Fazle Kabeer Store</v>
      </c>
      <c r="T4" s="301">
        <f>+'2'!P35</f>
        <v>1310.9428492360169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Kashmir Bakery </v>
      </c>
      <c r="T5" s="301">
        <f>+'3'!P35</f>
        <v>1767.6102703538138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Ali Masalajaat</v>
      </c>
      <c r="T6" s="301">
        <f>+'4'!P35</f>
        <v>1237.3271892476691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Gujjer Store</v>
      </c>
      <c r="T7" s="301">
        <f>+'5'!P35</f>
        <v>10206.652666500002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106</v>
      </c>
      <c r="I8" s="236">
        <f t="shared" ref="I8:I14" si="0">(G8*D8)*F8+H8*F8</f>
        <v>5561.0249999999996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444.88199999999995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194.63587500000003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4921.5071250000001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1051.0169491525419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29.862620370762716</v>
      </c>
      <c r="P8" s="311">
        <f t="shared" ref="P8:P15" si="2">M8+N8+O8</f>
        <v>6002.3866945233049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Mian &amp; Sons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Noorani Store</v>
      </c>
      <c r="T9" s="301">
        <f>+'7'!P35</f>
        <v>707.04410814152538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</v>
      </c>
      <c r="I10" s="236">
        <f t="shared" si="0"/>
        <v>3704.64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296.37120000000004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129.66240000000002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3278.6063999999997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700.16949152542372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19.893879457627119</v>
      </c>
      <c r="P10" s="311">
        <f t="shared" si="2"/>
        <v>3998.6697709830505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Husnain Store</v>
      </c>
      <c r="T10" s="301">
        <f>+'8'!P35</f>
        <v>2391.1954828207627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4">
        <v>9</v>
      </c>
      <c r="S11" s="300" t="str">
        <f>+'9'!A6:A6</f>
        <v>Asif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Malik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107</v>
      </c>
      <c r="I13" s="236">
        <f t="shared" si="0"/>
        <v>4197.6100000000006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209.88050000000007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146.91635000000002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214.07810999999998</v>
      </c>
      <c r="M13" s="230">
        <f t="shared" si="1"/>
        <v>3626.7350400000005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816.1016949152538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22.214183674576272</v>
      </c>
      <c r="P13" s="311">
        <f t="shared" si="2"/>
        <v>4465.05091858983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Khan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9.2249999999999996</v>
      </c>
      <c r="H16" s="113">
        <f t="shared" ref="H16:M16" si="3">SUM(H7:H15)</f>
        <v>369</v>
      </c>
      <c r="I16" s="114">
        <f t="shared" si="3"/>
        <v>20586.037499999999</v>
      </c>
      <c r="J16" s="274">
        <f>SUM(J7:J15)</f>
        <v>1520.9547000000002</v>
      </c>
      <c r="K16" s="275">
        <f t="shared" si="3"/>
        <v>720.51131250000003</v>
      </c>
      <c r="L16" s="276">
        <f t="shared" si="3"/>
        <v>214.07810999999998</v>
      </c>
      <c r="M16" s="232">
        <f t="shared" si="3"/>
        <v>18130.493377499999</v>
      </c>
      <c r="N16" s="233">
        <f>SUM(N7:N15)</f>
        <v>3913.4745762711855</v>
      </c>
      <c r="O16" s="101">
        <f>SUM(O7:O15)</f>
        <v>110.21983976885593</v>
      </c>
      <c r="P16" s="113">
        <f>SUM(P7:P15)</f>
        <v>22154.187793540041</v>
      </c>
      <c r="Q16" s="128">
        <f>SUM(Q7:Q15)</f>
        <v>86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20586.037499999999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1520.9547000000002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934.58942249999996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18130.493377499995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3913.4745762711855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22043.967953771182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110.21983976885593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22154.187793540037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22154.187793540044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1643.3250000000003</v>
      </c>
      <c r="J25" s="274">
        <f>SUM(J16:J24)</f>
        <v>119.697</v>
      </c>
      <c r="K25" s="275">
        <f t="shared" si="10"/>
        <v>57.516375000000011</v>
      </c>
      <c r="L25" s="276">
        <f t="shared" si="10"/>
        <v>20.007300000000001</v>
      </c>
      <c r="M25" s="232">
        <f t="shared" si="10"/>
        <v>1446.1043250000002</v>
      </c>
      <c r="N25" s="233">
        <f>SUM(N16:N24)</f>
        <v>312.71186440677957</v>
      </c>
      <c r="O25" s="101">
        <f>SUM(O16:O24)</f>
        <v>8.7940809470338976</v>
      </c>
      <c r="P25" s="113">
        <f>SUM(P16:P24)</f>
        <v>1767.6102703538136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1643.3250000000003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119.697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77.523675000000011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1446.1043250000002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312.71186440677957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1758.8161894067798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8.7940809470338994</v>
      </c>
    </row>
    <row r="35" spans="2:16" ht="15.75" customHeight="1" thickBot="1" x14ac:dyDescent="0.4">
      <c r="N35" s="371" t="s">
        <v>88</v>
      </c>
      <c r="O35" s="372"/>
      <c r="P35" s="297">
        <f>+P33+P34</f>
        <v>1767.6102703538138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1221.375</v>
      </c>
      <c r="J25" s="274">
        <f>SUM(J16:J24)</f>
        <v>83.587199999999996</v>
      </c>
      <c r="K25" s="275">
        <f t="shared" si="7"/>
        <v>42.748125000000009</v>
      </c>
      <c r="L25" s="276">
        <f t="shared" si="7"/>
        <v>24.008760000000002</v>
      </c>
      <c r="M25" s="232">
        <f t="shared" si="7"/>
        <v>1071.030915</v>
      </c>
      <c r="N25" s="233">
        <f>SUM(N16:N24)</f>
        <v>233.38983050847452</v>
      </c>
      <c r="O25" s="101">
        <f>SUM(O16:O24)</f>
        <v>6.5221037275423726</v>
      </c>
      <c r="P25" s="113">
        <f>SUM(P16:P24)</f>
        <v>1310.9428492360169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1221.375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83.587199999999996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66.756885000000011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1071.030915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233.38983050847452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1304.4207455084745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6.5221037275423726</v>
      </c>
    </row>
    <row r="35" spans="2:16" ht="15.75" customHeight="1" thickBot="1" x14ac:dyDescent="0.4">
      <c r="N35" s="371" t="s">
        <v>88</v>
      </c>
      <c r="O35" s="372"/>
      <c r="P35" s="297">
        <f>+P33+P34</f>
        <v>1310.9428492360169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1643.3250000000003</v>
      </c>
      <c r="J25" s="274">
        <f>SUM(J16:J24)</f>
        <v>119.697</v>
      </c>
      <c r="K25" s="275">
        <f t="shared" si="7"/>
        <v>57.516375000000011</v>
      </c>
      <c r="L25" s="276">
        <f t="shared" si="7"/>
        <v>20.007300000000001</v>
      </c>
      <c r="M25" s="232">
        <f t="shared" si="7"/>
        <v>1446.1043250000002</v>
      </c>
      <c r="N25" s="233">
        <f>SUM(N16:N24)</f>
        <v>312.71186440677957</v>
      </c>
      <c r="O25" s="101">
        <f>SUM(O16:O24)</f>
        <v>8.7940809470338976</v>
      </c>
      <c r="P25" s="113">
        <f>SUM(P16:P24)</f>
        <v>1767.6102703538136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1643.3250000000003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119.697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77.523675000000011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1446.1043250000002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312.71186440677957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1758.8161894067798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8.7940809470338994</v>
      </c>
    </row>
    <row r="35" spans="2:16" ht="15.75" customHeight="1" thickBot="1" x14ac:dyDescent="0.4">
      <c r="N35" s="371" t="s">
        <v>88</v>
      </c>
      <c r="O35" s="372"/>
      <c r="P35" s="297">
        <f>+P33+P34</f>
        <v>1767.6102703538138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311">
        <f t="shared" ref="P17:P24" si="5">M17+N17+O17</f>
        <v>396.38402699682206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7</v>
      </c>
      <c r="I22" s="236">
        <f t="shared" si="0"/>
        <v>274.61</v>
      </c>
      <c r="J22" s="272">
        <f t="shared" si="1"/>
        <v>13.730500000000001</v>
      </c>
      <c r="K22" s="128">
        <f t="shared" si="1"/>
        <v>9.6113500000000016</v>
      </c>
      <c r="L22" s="119">
        <f t="shared" si="1"/>
        <v>14.00511</v>
      </c>
      <c r="M22" s="230">
        <f t="shared" si="2"/>
        <v>237.26304000000002</v>
      </c>
      <c r="N22" s="277">
        <f t="shared" si="3"/>
        <v>53.389830508474546</v>
      </c>
      <c r="O22" s="239">
        <f t="shared" si="4"/>
        <v>1.4532643525423727</v>
      </c>
      <c r="P22" s="311">
        <f t="shared" si="5"/>
        <v>292.10613486101693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21</v>
      </c>
      <c r="I25" s="114">
        <f t="shared" si="7"/>
        <v>1150.3274999999999</v>
      </c>
      <c r="J25" s="274">
        <f>SUM(J16:J24)</f>
        <v>83.787900000000008</v>
      </c>
      <c r="K25" s="275">
        <f t="shared" si="7"/>
        <v>40.261462500000007</v>
      </c>
      <c r="L25" s="276">
        <f t="shared" si="7"/>
        <v>14.00511</v>
      </c>
      <c r="M25" s="232">
        <f t="shared" si="7"/>
        <v>1012.2730275000001</v>
      </c>
      <c r="N25" s="233">
        <f>SUM(N16:N24)</f>
        <v>218.89830508474572</v>
      </c>
      <c r="O25" s="101">
        <f>SUM(O16:O24)</f>
        <v>6.1558566629237292</v>
      </c>
      <c r="P25" s="113">
        <f>SUM(P16:P24)</f>
        <v>1237.3271892476696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1150.3274999999999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83.787900000000008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54.266572500000009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1012.2730274999998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218.89830508474572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1231.1713325847454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6.1558566629237275</v>
      </c>
    </row>
    <row r="35" spans="2:16" ht="15.75" customHeight="1" thickBot="1" x14ac:dyDescent="0.4">
      <c r="N35" s="371" t="s">
        <v>88</v>
      </c>
      <c r="O35" s="372"/>
      <c r="P35" s="297">
        <f>+P33+P34</f>
        <v>1237.3271892476691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113">
        <f>SUM(P16:P24)</f>
        <v>10206.6526665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9478.9000000000015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711.23599999999999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411.79070000000007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8355.8733000000011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10155.873300000001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71" t="s">
        <v>88</v>
      </c>
      <c r="O35" s="372"/>
      <c r="P35" s="297">
        <f>+P33+P34</f>
        <v>10206.652666500002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73.447500000000019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657.32999999999993</v>
      </c>
      <c r="J25" s="274">
        <f>SUM(J16:J24)</f>
        <v>47.878800000000005</v>
      </c>
      <c r="K25" s="275">
        <f t="shared" si="7"/>
        <v>23.006550000000001</v>
      </c>
      <c r="L25" s="276">
        <f t="shared" si="7"/>
        <v>8.0029199999999996</v>
      </c>
      <c r="M25" s="232">
        <f t="shared" si="7"/>
        <v>578.44173000000001</v>
      </c>
      <c r="N25" s="233">
        <f>SUM(N16:N24)</f>
        <v>125.08474576271183</v>
      </c>
      <c r="O25" s="101">
        <f>SUM(O16:O24)</f>
        <v>3.5176323788135591</v>
      </c>
      <c r="P25" s="113">
        <f>SUM(P16:P24)</f>
        <v>707.04410814152538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657.32999999999993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47.878800000000005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31.00947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578.44173000000001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125.08474576271183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703.52647576271181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3.5176323788135591</v>
      </c>
    </row>
    <row r="35" spans="2:16" ht="15.75" customHeight="1" thickBot="1" x14ac:dyDescent="0.4">
      <c r="N35" s="371" t="s">
        <v>88</v>
      </c>
      <c r="O35" s="372"/>
      <c r="P35" s="297">
        <f>+P33+P34</f>
        <v>707.04410814152538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14</v>
      </c>
      <c r="I17" s="236">
        <f t="shared" ref="I17:I23" si="0">(G17*D17)*F17+H17*F17</f>
        <v>734.47500000000002</v>
      </c>
      <c r="J17" s="272">
        <f t="shared" ref="J17:L24" si="1">$I17*S17</f>
        <v>58.758000000000003</v>
      </c>
      <c r="K17" s="128">
        <f>$I17*T17</f>
        <v>25.706625000000003</v>
      </c>
      <c r="L17" s="119">
        <f>$I17*U17</f>
        <v>0</v>
      </c>
      <c r="M17" s="230">
        <f t="shared" ref="M17:M24" si="2">I17-SUM(J17:L17)</f>
        <v>650.01037500000007</v>
      </c>
      <c r="N17" s="277">
        <f t="shared" ref="N17:N24" si="3">+(G17*D17+H17)*V17</f>
        <v>138.81355932203383</v>
      </c>
      <c r="O17" s="239">
        <f t="shared" ref="O17:O24" si="4">(N17+M17)*$O$15</f>
        <v>3.9441196716101694</v>
      </c>
      <c r="P17" s="311">
        <f t="shared" ref="P17:P24" si="5">M17+N17+O17</f>
        <v>792.76805399364412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311">
        <f t="shared" si="5"/>
        <v>1097.6740547796612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2222.1950000000002</v>
      </c>
      <c r="J25" s="274">
        <f>SUM(J16:J24)</f>
        <v>163.65280000000001</v>
      </c>
      <c r="K25" s="275">
        <f t="shared" si="7"/>
        <v>77.776825000000002</v>
      </c>
      <c r="L25" s="276">
        <f t="shared" si="7"/>
        <v>24.008760000000002</v>
      </c>
      <c r="M25" s="232">
        <f t="shared" si="7"/>
        <v>1956.7566150000002</v>
      </c>
      <c r="N25" s="233">
        <f>SUM(N16:N24)</f>
        <v>422.54237288135585</v>
      </c>
      <c r="O25" s="101">
        <f>SUM(O16:O24)</f>
        <v>11.89649493940678</v>
      </c>
      <c r="P25" s="113">
        <f>SUM(P16:P24)</f>
        <v>2391.1954828207631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2222.1950000000002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163.65280000000001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101.785585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1956.7566150000002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2379.298987881356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11.89649493940678</v>
      </c>
    </row>
    <row r="35" spans="2:16" ht="15.75" customHeight="1" thickBot="1" x14ac:dyDescent="0.4">
      <c r="N35" s="371" t="s">
        <v>88</v>
      </c>
      <c r="O35" s="372"/>
      <c r="P35" s="297">
        <f>+P33+P34</f>
        <v>2391.1954828207627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/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2026-08-21T11:14:39Z</dcterms:modified>
</cp:coreProperties>
</file>