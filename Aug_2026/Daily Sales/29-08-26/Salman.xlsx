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DA30D5D-F105-456D-9CA2-F0D3E5E1D54F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7" l="1"/>
  <c r="O20" i="47" s="1"/>
  <c r="P20" i="47" s="1"/>
  <c r="R20" i="47" s="1"/>
  <c r="M21" i="47"/>
  <c r="O21" i="47" s="1"/>
  <c r="P21" i="47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<sst xmlns="http://schemas.openxmlformats.org/spreadsheetml/2006/main" count="3948" uniqueCount="532">
  <si>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</si>
  <si>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</si>
  <si>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</si>
  <si>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</si>
  <si>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</si>
  <si>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</si>
  <si>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</si>
  <si>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</si>
  <si>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</si>
  <si>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</si>
  <si>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</si>
  <si>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</si>
  <si>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</si>
  <si>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</si>
  <si>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</si>
  <si>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</si>
  <si>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</si>
  <si>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</si>
  <si>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</si>
  <si>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</si>
  <si>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</si>
  <si>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</si>
  <si>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</si>
  <si>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</si>
  <si>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</si>
  <si>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</si>
  <si>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</si>
  <si>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</si>
  <si>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</si>
  <si>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</si>
  <si>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</si>
  <si>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</si>
  <si>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</si>
  <si>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</si>
  <si>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</si>
  <si>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</si>
  <si>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</si>
  <si>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</si>
  <si>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</si>
  <si>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</si>
  <si>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</si>
  <si>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</si>
  <si>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</si>
  <si>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</si>
  <si>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</si>
  <si>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</si>
  <si>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</si>
  <si>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</si>
  <si>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</si>
  <si>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</si>
  <si>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</si>
  <si>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</si>
  <si>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</si>
  <si>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</si>
  <si>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</si>
  <si>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</si>
  <si>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</si>
  <si>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</si>
  <si>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</si>
  <si>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</si>
  <si>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</si>
  <si>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</si>
  <si>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</si>
  <si>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</si>
  <si>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</si>
  <si>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</si>
  <si>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</si>
  <si>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</si>
  <si>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</si>
  <si>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</si>
  <si>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</si>
  <si>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</si>
  <si>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</si>
  <si>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</si>
  <si>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</si>
  <si>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</si>
  <si>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</si>
  <si>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</si>
  <si>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</si>
  <si>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</si>
  <si>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</si>
  <si>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</si>
  <si>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</si>
  <si>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</si>
  <si>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</si>
  <si>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</si>
  <si>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</si>
  <si>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</si>
  <si>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</si>
  <si>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</si>
  <si>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</si>
  <si>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</si>
  <si>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</si>
  <si>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</si>
  <si>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</si>
  <si>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</si>
  <si>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</si>
  <si>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</si>
  <si>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</si>
  <si>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</si>
  <si>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</si>
  <si>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</si>
  <si>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</si>
  <si>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</si>
  <si>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</si>
  <si>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</si>
  <si>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</si>
  <si>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</si>
  <si>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</si>
  <si>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</si>
  <si>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</si>
  <si>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</si>
  <si>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</si>
  <si>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</si>
  <si>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</si>
  <si>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</si>
  <si>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</si>
  <si>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</si>
  <si>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</si>
  <si>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</si>
  <si>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</si>
  <si>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</si>
  <si>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</si>
  <si>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</si>
  <si>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</si>
  <si>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</si>
  <si>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</si>
  <si>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</si>
  <si>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</si>
  <si>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</si>
  <si>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</si>
  <si>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</si>
  <si>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</si>
  <si>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</si>
  <si>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</si>
  <si>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</si>
  <si>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</si>
  <si>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</si>
  <si>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</si>
  <si>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</si>
  <si>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</si>
  <si>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</si>
  <si>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</si>
  <si>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</si>
  <si>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</si>
  <si>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</si>
  <si>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</si>
  <si>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</si>
  <si>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</si>
  <si>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</si>
  <si>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</si>
  <si>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</si>
  <si>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</si>
  <si>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</si>
  <si>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</si>
  <si>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</si>
  <si>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</si>
  <si>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</si>
  <si>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</si>
  <si>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</si>
  <si>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</si>
  <si>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</si>
  <si>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</si>
  <si>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</si>
  <si>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</si>
  <si>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</si>
  <si>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</si>
  <si>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</si>
  <si>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</si>
  <si>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</si>
  <si>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</si>
  <si>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</si>
  <si>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</si>
  <si>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</si>
  <si>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</si>
  <si>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</si>
  <si>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</si>
  <si>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</si>
  <si>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</si>
  <si>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</si>
  <si>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</si>
  <si>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</si>
  <si>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</si>
  <si>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</si>
  <si>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</si>
  <si>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</si>
  <si>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</si>
  <si>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</si>
  <si>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</si>
  <si>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</si>
  <si>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</si>
  <si>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</si>
  <si>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</si>
  <si>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</si>
  <si>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</si>
  <si>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</si>
  <si>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</si>
  <si>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</si>
  <si>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</si>
  <si>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</si>
  <si>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</si>
  <si>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</si>
  <si>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</si>
  <si>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</si>
  <si>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</si>
  <si>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</si>
  <si>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</si>
  <si>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</si>
  <si>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</si>
  <si>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</si>
  <si>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</si>
  <si>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</si>
  <si>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</si>
  <si>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</si>
  <si>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</si>
  <si>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</si>
  <si>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</si>
  <si>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</si>
  <si>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</si>
  <si>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</si>
  <si>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</si>
  <si>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</si>
  <si>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</si>
  <si>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</si>
  <si>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</si>
  <si>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</si>
  <si>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</si>
  <si>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</si>
  <si>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</si>
  <si>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</si>
  <si>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</si>
  <si>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</si>
  <si>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</si>
  <si>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</si>
  <si>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</si>
  <si>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</si>
  <si>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</si>
  <si>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</si>
  <si>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</si>
  <si>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</si>
  <si>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</si>
  <si>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</si>
  <si>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</si>
  <si>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</si>
  <si>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</si>
  <si>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</si>
  <si>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</si>
  <si>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</si>
  <si>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</si>
  <si>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</si>
  <si>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</si>
  <si>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</si>
  <si>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</si>
  <si>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</si>
  <si>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</si>
  <si>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</si>
  <si>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</si>
  <si>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</si>
  <si>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</si>
  <si>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</si>
  <si>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</si>
  <si>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</si>
  <si>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</si>
  <si>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</si>
  <si>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</si>
  <si>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</si>
  <si>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</si>
  <si>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</si>
  <si>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</si>
  <si>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</si>
  <si>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</si>
  <si>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</si>
  <si>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</si>
  <si>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</si>
  <si>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</si>
  <si>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</si>
  <si>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</si>
  <si>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</si>
  <si>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</si>
  <si>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</si>
  <si>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</si>
  <si>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</si>
  <si>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</si>
  <si>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</si>
  <si>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</si>
  <si>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</si>
  <si>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</si>
  <si>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</si>
  <si>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</si>
  <si>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</si>
  <si>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</si>
  <si>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</si>
  <si>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</si>
  <si>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</si>
  <si>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</si>
  <si>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</si>
  <si>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</si>
  <si>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</si>
  <si>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</si>
  <si>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</si>
  <si>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</si>
  <si>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</si>
  <si>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</si>
  <si>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</si>
  <si>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</si>
  <si>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</si>
  <si>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</si>
  <si>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</si>
  <si>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</si>
  <si>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</si>
  <si>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</si>
  <si>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</si>
  <si>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</si>
  <si>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</si>
  <si>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</si>
  <si>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</si>
  <si>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</si>
  <si>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</si>
  <si>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</si>
  <si>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</si>
  <si>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</si>
  <si>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</si>
  <si>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</si>
  <si>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</si>
  <si>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</si>
  <si>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</si>
  <si>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</si>
  <si>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</si>
  <si>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</si>
  <si>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</si>
  <si>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</si>
  <si>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</si>
  <si>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</si>
  <si>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</si>
  <si>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</si>
  <si>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</si>
  <si>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</si>
  <si>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</si>
  <si>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</si>
  <si>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</si>
  <si>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</si>
  <si>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</si>
  <si>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</si>
  <si>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</si>
  <si>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</si>
  <si>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</si>
  <si>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</si>
  <si>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</si>
  <si>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</si>
  <si>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</si>
  <si>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</si>
  <si>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</si>
  <si>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</si>
  <si>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</si>
  <si>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</si>
  <si>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</si>
  <si>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</si>
  <si>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</si>
  <si>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</si>
  <si>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</si>
  <si>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</si>
  <si>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</si>
  <si>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</si>
  <si>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</si>
  <si>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</si>
  <si>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</si>
  <si>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</si>
  <si>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</si>
  <si>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</si>
  <si>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</si>
  <si>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</si>
  <si>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</si>
  <si>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</si>
  <si>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</si>
  <si>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</si>
  <si>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</si>
  <si>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</si>
  <si>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</si>
  <si>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</si>
  <si>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</si>
  <si>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</si>
  <si>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</si>
  <si>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</si>
  <si>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</si>
  <si>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</si>
  <si>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</si>
  <si>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</si>
  <si>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</si>
  <si>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</si>
  <si>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</si>
  <si>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</si>
  <si>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</si>
  <si>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</si>
  <si>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</si>
  <si>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</si>
  <si>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</si>
  <si>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</si>
  <si>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</si>
  <si>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</si>
  <si>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</si>
  <si>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</si>
  <si>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</si>
  <si>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</si>
  <si>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</si>
  <si>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</si>
  <si>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</si>
  <si>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</si>
  <si>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</si>
  <si>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</si>
  <si>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</si>
  <si>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</si>
  <si>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</si>
  <si>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</si>
  <si>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</si>
  <si>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</si>
  <si>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</si>
  <si>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</si>
  <si>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</si>
  <si>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</si>
  <si>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</si>
  <si>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</si>
  <si>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</si>
  <si>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</si>
  <si>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</si>
  <si>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</si>
  <si>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</si>
  <si>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</si>
  <si>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</si>
  <si>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</si>
  <si>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</si>
  <si>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</si>
  <si>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</si>
  <si>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</si>
  <si>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</si>
  <si>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</si>
  <si>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</si>
  <si>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</si>
  <si>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</si>
  <si>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</si>
  <si>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</si>
  <si>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</si>
  <si>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</si>
  <si>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</si>
  <si>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</si>
  <si>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</si>
  <si>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</si>
  <si>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</si>
  <si>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</si>
  <si>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</si>
  <si>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</si>
  <si>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</si>
  <si>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</si>
  <si>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</si>
  <si>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</si>
  <si>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</si>
  <si>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</si>
  <si>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</si>
  <si>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</si>
  <si>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</si>
  <si>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</si>
  <si>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</si>
  <si>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</si>
  <si>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</si>
  <si>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</si>
  <si>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</si>
  <si>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</si>
  <si>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</si>
  <si>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</si>
  <si>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</si>
  <si>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</si>
  <si>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</si>
  <si>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</si>
  <si>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</si>
  <si>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</si>
  <si>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</si>
  <si>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</si>
  <si>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</si>
  <si>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</si>
  <si>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</si>
  <si>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</si>
  <si>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</si>
  <si>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</si>
  <si>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</si>
  <si>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</si>
  <si>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</si>
  <si>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</si>
  <si>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</si>
  <si>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</si>
  <si>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</si>
  <si>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</si>
  <si>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</si>
  <si>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</si>
  <si>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</si>
  <si>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</si>
  <si>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</si>
  <si>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</si>
  <si>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</si>
  <si>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</si>
  <si>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</si>
  <si>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</si>
  <si>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</si>
  <si>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</si>
  <si>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</si>
  <si>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</si>
  <si>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</si>
  <si>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</si>
  <si>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</si>
  <si>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</si>
  <si>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</si>
  <si>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</si>
  <si>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</si>
  <si>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</si>
  <si>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</si>
  <si>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</si>
  <si>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>Mughal Store</t>
  </si>
  <si>
    <t xml:space="preserve">Address: Tajbagh </t>
  </si>
  <si>
    <t xml:space="preserve">Top Bakers </t>
  </si>
  <si>
    <t>Karam Store</t>
  </si>
  <si>
    <t>Marwa Mart 1</t>
  </si>
  <si>
    <t>Marwa Mart 2</t>
  </si>
  <si>
    <t>Awan Store</t>
  </si>
  <si>
    <t>Sanwal Store</t>
  </si>
  <si>
    <t>Shahid Store</t>
  </si>
  <si>
    <t>Rise Store</t>
  </si>
  <si>
    <t>Quality Store</t>
  </si>
  <si>
    <t xml:space="preserve">Shahid &amp; Sons </t>
  </si>
  <si>
    <t>Baig Store</t>
  </si>
  <si>
    <t>Wahid Store</t>
  </si>
  <si>
    <t>Jazib Store</t>
  </si>
  <si>
    <t xml:space="preserve">Rafique Bakers </t>
  </si>
  <si>
    <t>Nawaz Store</t>
  </si>
  <si>
    <t>Yasir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</si>
</sst>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7" workbookViewId="0">
      <selection activeCell="Q37" sqref="Q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46263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Mughal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Top Bakers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Karam Store</v>
      </c>
      <c r="T5" s="301">
        <f>+'3'!P35</f>
        <v>6272.4231701694926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Marwa Mart 1</v>
      </c>
      <c r="T6" s="301">
        <f>+'4'!P35</f>
        <v>12544.846340338983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Marwa Mart 2</v>
      </c>
      <c r="T7" s="301">
        <f>+'5'!P35</f>
        <v>9408.6347552542375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167.88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1857.1725000000001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11.268913347457627</v>
      </c>
      <c r="P8" s="311">
        <f t="shared" ref="P8:P15" si="2">M8+N8+O8</f>
        <v>2265.051582838983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Awan Store</v>
      </c>
      <c r="T8" s="301">
        <f>+'6'!P35</f>
        <v>3136.2115850847458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Sanwal Store</v>
      </c>
      <c r="T9" s="301">
        <f>+'7'!P35</f>
        <v>491.7786870413135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100</v>
      </c>
      <c r="I10" s="236">
        <f t="shared" si="0"/>
        <v>7264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581.12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254.24000000000004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6428.64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1372.8813559322034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39.007606779661018</v>
      </c>
      <c r="P10" s="311">
        <f t="shared" si="2"/>
        <v>7840.5289627118646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Shahid Store</v>
      </c>
      <c r="T10" s="301">
        <f>+'8'!P35</f>
        <v>208.64723918644069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124</v>
      </c>
      <c r="I11" s="236">
        <f t="shared" si="0"/>
        <v>9007.36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720.58879999999999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315.25760000000002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7971.5136000000002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1702.3728813559323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48.369432406779666</v>
      </c>
      <c r="P11" s="311">
        <f t="shared" si="2"/>
        <v>9722.2559137627122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Rise Store</v>
      </c>
      <c r="T11" s="301">
        <f>+'9'!P35</f>
        <v>417.29447837288137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256</v>
      </c>
      <c r="I12" s="236">
        <f t="shared" si="0"/>
        <v>18595.84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1487.6672000000001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650.85440000000006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16457.3184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3514.5762711864413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99.859473355932224</v>
      </c>
      <c r="P12" s="311">
        <f t="shared" si="2"/>
        <v>20071.754144542374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Quality Store</v>
      </c>
      <c r="T12" s="301">
        <f>+'10'!P35</f>
        <v>417.29447837288137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40</v>
      </c>
      <c r="I13" s="236">
        <f t="shared" si="0"/>
        <v>1569.2000000000003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78.460000000000022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54.922000000000011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80.029200000000003</v>
      </c>
      <c r="M13" s="230">
        <f t="shared" si="1"/>
        <v>1355.7888000000003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305.08474576271169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8.3043677288135598</v>
      </c>
      <c r="P13" s="311">
        <f t="shared" si="2"/>
        <v>1669.1779134915255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Shahid &amp; Sons </v>
      </c>
      <c r="T13" s="301">
        <f>+'11'!P35</f>
        <v>417.29447837288137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Baig Store</v>
      </c>
      <c r="T14" s="301">
        <f>+'12'!P35</f>
        <v>566.26289570974575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Wahid Store</v>
      </c>
      <c r="T15" s="301">
        <f>+'13'!P35</f>
        <v>283.13144785487287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14</v>
      </c>
      <c r="H16" s="113">
        <f t="shared" ref="H16:M16" si="3">SUM(H7:H15)</f>
        <v>560</v>
      </c>
      <c r="I16" s="114">
        <f t="shared" si="3"/>
        <v>38534.899999999994</v>
      </c>
      <c r="J16" s="274">
        <f>SUM(J7:J15)</f>
        <v>3035.7160000000003</v>
      </c>
      <c r="K16" s="275">
        <f t="shared" si="3"/>
        <v>1348.7215000000001</v>
      </c>
      <c r="L16" s="276">
        <f t="shared" si="3"/>
        <v>80.029200000000003</v>
      </c>
      <c r="M16" s="232">
        <f t="shared" si="3"/>
        <v>34070.433300000004</v>
      </c>
      <c r="N16" s="233">
        <f>SUM(N7:N15)</f>
        <v>7291.5254237288136</v>
      </c>
      <c r="O16" s="101">
        <f>SUM(O7:O15)</f>
        <v>206.80979361864408</v>
      </c>
      <c r="P16" s="113">
        <f>SUM(P7:P15)</f>
        <v>41568.76851734746</v>
      </c>
      <c r="Q16" s="128">
        <f>SUM(Q7:Q15)</f>
        <v>0</v>
      </c>
      <c r="R16" s="314">
        <v>14</v>
      </c>
      <c r="S16" s="318" t="str">
        <f>+'14'!A6:A6</f>
        <v>Jazib Store</v>
      </c>
      <c r="T16" s="301">
        <f>+'14'!P35</f>
        <v>283.13144785487287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Rafique Bakers </v>
      </c>
      <c r="T17" s="301">
        <f>+'15'!P35</f>
        <v>283.13144785487287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Nawaz Store</v>
      </c>
      <c r="T18" s="301">
        <f>+'16'!P35</f>
        <v>283.13144785487287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38534.899999999994</v>
      </c>
      <c r="R19" s="299">
        <v>17</v>
      </c>
      <c r="S19" s="300" t="str">
        <f>+'17'!A6:A6</f>
        <v>Yasir Store</v>
      </c>
      <c r="T19" s="301">
        <f>+'17'!P35</f>
        <v>283.13144785487287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3035.7160000000003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1428.7507000000001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34070.433299999997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7291.5254237288136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41361.958723728807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206.80979361864408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41568.768517347453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41568.76851734746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232.44800000000001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232.44800000000001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24</v>
      </c>
      <c r="I20" s="236">
        <f t="shared" si="0"/>
        <v>1743.3600000000001</v>
      </c>
      <c r="J20" s="272">
        <f t="shared" si="1"/>
        <v>139.46880000000002</v>
      </c>
      <c r="K20" s="128">
        <f t="shared" si="1"/>
        <v>61.017600000000009</v>
      </c>
      <c r="L20" s="119">
        <f t="shared" si="1"/>
        <v>0</v>
      </c>
      <c r="M20" s="230">
        <f t="shared" si="2"/>
        <v>1542.8736000000001</v>
      </c>
      <c r="N20" s="277">
        <f t="shared" si="3"/>
        <v>329.49152542372883</v>
      </c>
      <c r="O20" s="239">
        <f t="shared" si="4"/>
        <v>9.3618256271186446</v>
      </c>
      <c r="P20" s="311">
        <f t="shared" si="5"/>
        <v>1881.7269510508474</v>
      </c>
      <c r="Q20" s="156"/>
      <c r="R20">
        <f>P20/21</f>
        <v>89.60604528813559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56</v>
      </c>
      <c r="I21" s="236">
        <f t="shared" si="0"/>
        <v>4067.84</v>
      </c>
      <c r="J21" s="272">
        <f t="shared" si="1"/>
        <v>325.42720000000003</v>
      </c>
      <c r="K21" s="128">
        <f t="shared" si="1"/>
        <v>142.37440000000001</v>
      </c>
      <c r="L21" s="119">
        <f t="shared" si="1"/>
        <v>0</v>
      </c>
      <c r="M21" s="230">
        <f t="shared" si="2"/>
        <v>3600.0384000000004</v>
      </c>
      <c r="N21" s="277">
        <f t="shared" si="3"/>
        <v>768.81355932203394</v>
      </c>
      <c r="O21" s="239">
        <f t="shared" si="4"/>
        <v>21.844259796610171</v>
      </c>
      <c r="P21" s="311">
        <f t="shared" si="5"/>
        <v>4390.6962191186449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5811.2000000000007</v>
      </c>
      <c r="J25" s="274">
        <f>SUM(J16:J24)</f>
        <v>464.89600000000007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6272.4231701694926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5811.2000000000007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464.89600000000007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203.39200000000002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5142.9120000000012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6241.2170847457637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31.206085423728819</v>
      </c>
    </row>
    <row r="35" spans="2:16" ht="15.75" customHeight="1" thickBot="1" x14ac:dyDescent="0.4">
      <c r="N35" s="373" t="s">
        <v>88</v>
      </c>
      <c r="O35" s="374"/>
      <c r="P35" s="297">
        <f>+P33+P34</f>
        <v>6272.4231701694926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311">
        <f t="shared" si="5"/>
        <v>6272.4231701694916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160</v>
      </c>
      <c r="I25" s="114">
        <f t="shared" si="7"/>
        <v>11622.4</v>
      </c>
      <c r="J25" s="274">
        <f>SUM(J16:J24)</f>
        <v>929.79200000000003</v>
      </c>
      <c r="K25" s="275">
        <f t="shared" si="7"/>
        <v>406.78400000000005</v>
      </c>
      <c r="L25" s="276">
        <f t="shared" si="7"/>
        <v>0</v>
      </c>
      <c r="M25" s="232">
        <f t="shared" si="7"/>
        <v>10285.824000000001</v>
      </c>
      <c r="N25" s="233">
        <f>SUM(N16:N24)</f>
        <v>2196.6101694915255</v>
      </c>
      <c r="O25" s="101">
        <f>SUM(O16:O24)</f>
        <v>62.412170847457631</v>
      </c>
      <c r="P25" s="113">
        <f>SUM(P16:P24)</f>
        <v>12544.846340338983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11622.4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929.79200000000003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406.78400000000005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10285.824000000001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2196.6101694915255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12482.434169491526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62.412170847457631</v>
      </c>
    </row>
    <row r="35" spans="2:16" ht="15.75" customHeight="1" thickBot="1" x14ac:dyDescent="0.4">
      <c r="N35" s="373" t="s">
        <v>88</v>
      </c>
      <c r="O35" s="374"/>
      <c r="P35" s="297">
        <f>+P33+P34</f>
        <v>12544.846340338983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8716.7999999999993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697.34400000000005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305.08800000000002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7714.3679999999995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9361.8256271186438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73" t="s">
        <v>88</v>
      </c>
      <c r="O35" s="374"/>
      <c r="P35" s="297">
        <f>+P33+P34</f>
        <v>9408.6347552542375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232.44800000000001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311">
        <f t="shared" ref="P17:P24" si="5">M17+N17+O17</f>
        <v>283.13144785487287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458.46250000000003</v>
      </c>
      <c r="J25" s="274">
        <f>SUM(J16:J24)</f>
        <v>30.792500000000004</v>
      </c>
      <c r="K25" s="275">
        <f t="shared" si="7"/>
        <v>16.046187500000002</v>
      </c>
      <c r="L25" s="276">
        <f t="shared" si="7"/>
        <v>10.00365</v>
      </c>
      <c r="M25" s="232">
        <f t="shared" si="7"/>
        <v>401.62016250000005</v>
      </c>
      <c r="N25" s="233">
        <f>SUM(N16:N24)</f>
        <v>87.711864406779625</v>
      </c>
      <c r="O25" s="101">
        <f>SUM(O16:O24)</f>
        <v>2.4466601345338983</v>
      </c>
      <c r="P25" s="113">
        <f>SUM(P16:P24)</f>
        <v>491.77868704131356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458.46250000000003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30.792500000000004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26.049837500000002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401.62016249999999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87.711864406779625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489.33202690677962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2.4466601345338983</v>
      </c>
    </row>
    <row r="35" spans="2:16" ht="15.75" customHeight="1" thickBot="1" x14ac:dyDescent="0.4">
      <c r="N35" s="373" t="s">
        <v>88</v>
      </c>
      <c r="O35" s="374"/>
      <c r="P35" s="297">
        <f>+P33+P34</f>
        <v>491.7786870413135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196.15000000000003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9.8075000000000028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16.868900000000004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169.47360000000003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207.60919322033899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73" t="s">
        <v>88</v>
      </c>
      <c r="O35" s="374"/>
      <c r="P35" s="297">
        <f>+P33+P34</f>
        <v>208.64723918644069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113">
        <f>SUM(P16:P24)</f>
        <v>566.26289570974575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524.625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41.97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18.361875000000001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464.29312499999997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563.4456673728813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3" t="s">
        <v>88</v>
      </c>
      <c r="O35" s="374"/>
      <c r="P35" s="297">
        <f>+P33+P34</f>
        <v>566.26289570974575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311">
        <f t="shared" ref="P17:P24" si="5">M17+N17+O17</f>
        <v>283.13144785487287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113">
        <f>SUM(P16:P24)</f>
        <v>283.13144785487287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262.3125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20.984999999999999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9.1809375000000006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232.14656249999999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281.72283368644065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3" t="s">
        <v>88</v>
      </c>
      <c r="O35" s="374"/>
      <c r="P35" s="297">
        <f>+P33+P34</f>
        <v>283.13144785487287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311">
        <f t="shared" ref="P17:P24" si="5">M17+N17+O17</f>
        <v>283.13144785487287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113">
        <f>SUM(P16:P24)</f>
        <v>283.13144785487287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262.3125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20.984999999999999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9.1809375000000006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232.14656249999999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281.72283368644065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3" t="s">
        <v>88</v>
      </c>
      <c r="O35" s="374"/>
      <c r="P35" s="297">
        <f>+P33+P34</f>
        <v>283.13144785487287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311">
        <f t="shared" ref="P17:P24" si="5">M17+N17+O17</f>
        <v>283.13144785487287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113">
        <f>SUM(P16:P24)</f>
        <v>283.13144785487287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262.3125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20.984999999999999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9.1809375000000006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232.14656249999999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281.72283368644065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3" t="s">
        <v>88</v>
      </c>
      <c r="O35" s="374"/>
      <c r="P35" s="297">
        <f>+P33+P34</f>
        <v>283.13144785487287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311">
        <f t="shared" ref="P17:P24" si="5">M17+N17+O17</f>
        <v>283.13144785487287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113">
        <f>SUM(P16:P24)</f>
        <v>283.13144785487287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262.3125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20.984999999999999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9.1809375000000006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232.14656249999999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281.72283368644065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3" t="s">
        <v>88</v>
      </c>
      <c r="O35" s="374"/>
      <c r="P35" s="297">
        <f>+P33+P34</f>
        <v>283.13144785487287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311">
        <f t="shared" ref="P17:P24" si="5">M17+N17+O17</f>
        <v>283.13144785487287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113">
        <f>SUM(P16:P24)</f>
        <v>283.13144785487287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262.3125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20.984999999999999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9.1809375000000006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232.14656249999999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281.72283368644065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3" t="s">
        <v>88</v>
      </c>
      <c r="O35" s="374"/>
      <c r="P35" s="297">
        <f>+P33+P34</f>
        <v>283.13144785487287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46262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Salman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46263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46262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2026-08-28T11:47:56Z</dcterms:modified>
</cp:coreProperties>
</file>