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F699B0E-0A55-4B34-B7EB-F71A493D78C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J7" i="62"/>
  <c r="M21" i="53"/>
  <c r="O21" i="53" s="1"/>
  <c r="P21" i="53" s="1"/>
  <c r="M21" i="47"/>
  <c r="O21" i="47" s="1"/>
  <c r="P21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<sst xmlns="http://schemas.openxmlformats.org/spreadsheetml/2006/main" count="3948" uniqueCount="533">
  <si>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</si>
  <si>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</si>
  <si>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</si>
  <si>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</si>
  <si>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</si>
  <si>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</si>
  <si>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</si>
  <si>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</si>
  <si>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</si>
  <si>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</si>
  <si>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</si>
  <si>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</si>
  <si>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</si>
  <si>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</si>
  <si>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</si>
  <si>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</si>
  <si>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</si>
  <si>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</si>
  <si>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</si>
  <si>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</si>
  <si>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</si>
  <si>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</si>
  <si>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</si>
  <si>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</si>
  <si>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</si>
  <si>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</si>
  <si>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</si>
  <si>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</si>
  <si>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</si>
  <si>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</si>
  <si>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</si>
  <si>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</si>
  <si>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</si>
  <si>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</si>
  <si>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</si>
  <si>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</si>
  <si>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</si>
  <si>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</si>
  <si>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</si>
  <si>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</si>
  <si>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</si>
  <si>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</si>
  <si>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</si>
  <si>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</si>
  <si>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</si>
  <si>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</si>
  <si>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</si>
  <si>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</si>
  <si>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</si>
  <si>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</si>
  <si>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</si>
  <si>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</si>
  <si>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</si>
  <si>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</si>
  <si>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</si>
  <si>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</si>
  <si>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</si>
  <si>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</si>
  <si>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</si>
  <si>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</si>
  <si>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</si>
  <si>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</si>
  <si>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</si>
  <si>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</si>
  <si>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</si>
  <si>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</si>
  <si>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</si>
  <si>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</si>
  <si>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</si>
  <si>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</si>
  <si>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</si>
  <si>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</si>
  <si>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</si>
  <si>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</si>
  <si>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</si>
  <si>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</si>
  <si>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</si>
  <si>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</si>
  <si>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</si>
  <si>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</si>
  <si>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</si>
  <si>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</si>
  <si>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</si>
  <si>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</si>
  <si>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</si>
  <si>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</si>
  <si>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</si>
  <si>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</si>
  <si>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</si>
  <si>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</si>
  <si>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</si>
  <si>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</si>
  <si>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</si>
  <si>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</si>
  <si>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</si>
  <si>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</si>
  <si>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</si>
  <si>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</si>
  <si>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</si>
  <si>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</si>
  <si>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</si>
  <si>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</si>
  <si>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</si>
  <si>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</si>
  <si>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</si>
  <si>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</si>
  <si>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</si>
  <si>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</si>
  <si>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</si>
  <si>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</si>
  <si>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</si>
  <si>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</si>
  <si>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</si>
  <si>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</si>
  <si>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</si>
  <si>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</si>
  <si>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</si>
  <si>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</si>
  <si>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</si>
  <si>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</si>
  <si>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</si>
  <si>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</si>
  <si>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</si>
  <si>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</si>
  <si>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</si>
  <si>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</si>
  <si>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</si>
  <si>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</si>
  <si>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</si>
  <si>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</si>
  <si>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</si>
  <si>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</si>
  <si>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</si>
  <si>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</si>
  <si>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</si>
  <si>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</si>
  <si>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</si>
  <si>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</si>
  <si>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</si>
  <si>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</si>
  <si>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</si>
  <si>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</si>
  <si>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</si>
  <si>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</si>
  <si>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</si>
  <si>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</si>
  <si>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</si>
  <si>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</si>
  <si>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</si>
  <si>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</si>
  <si>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</si>
  <si>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</si>
  <si>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</si>
  <si>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</si>
  <si>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</si>
  <si>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</si>
  <si>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</si>
  <si>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</si>
  <si>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</si>
  <si>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</si>
  <si>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</si>
  <si>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</si>
  <si>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</si>
  <si>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</si>
  <si>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</si>
  <si>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</si>
  <si>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</si>
  <si>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</si>
  <si>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</si>
  <si>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</si>
  <si>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</si>
  <si>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</si>
  <si>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</si>
  <si>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</si>
  <si>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</si>
  <si>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</si>
  <si>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</si>
  <si>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</si>
  <si>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</si>
  <si>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</si>
  <si>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</si>
  <si>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</si>
  <si>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</si>
  <si>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</si>
  <si>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</si>
  <si>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</si>
  <si>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</si>
  <si>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</si>
  <si>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</si>
  <si>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</si>
  <si>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</si>
  <si>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</si>
  <si>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</si>
  <si>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</si>
  <si>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</si>
  <si>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</si>
  <si>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</si>
  <si>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</si>
  <si>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</si>
  <si>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</si>
  <si>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</si>
  <si>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</si>
  <si>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</si>
  <si>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</si>
  <si>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</si>
  <si>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</si>
  <si>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</si>
  <si>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</si>
  <si>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</si>
  <si>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</si>
  <si>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</si>
  <si>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</si>
  <si>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</si>
  <si>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</si>
  <si>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</si>
  <si>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</si>
  <si>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</si>
  <si>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</si>
  <si>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</si>
  <si>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</si>
  <si>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</si>
  <si>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</si>
  <si>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</si>
  <si>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</si>
  <si>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</si>
  <si>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</si>
  <si>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</si>
  <si>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</si>
  <si>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</si>
  <si>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</si>
  <si>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</si>
  <si>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</si>
  <si>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</si>
  <si>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</si>
  <si>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</si>
  <si>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</si>
  <si>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</si>
  <si>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</si>
  <si>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</si>
  <si>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</si>
  <si>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</si>
  <si>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</si>
  <si>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</si>
  <si>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</si>
  <si>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</si>
  <si>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</si>
  <si>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</si>
  <si>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</si>
  <si>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</si>
  <si>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</si>
  <si>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</si>
  <si>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</si>
  <si>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</si>
  <si>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</si>
  <si>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</si>
  <si>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</si>
  <si>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</si>
  <si>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</si>
  <si>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</si>
  <si>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</si>
  <si>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</si>
  <si>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</si>
  <si>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</si>
  <si>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</si>
  <si>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</si>
  <si>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</si>
  <si>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</si>
  <si>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</si>
  <si>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</si>
  <si>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</si>
  <si>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</si>
  <si>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</si>
  <si>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</si>
  <si>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</si>
  <si>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</si>
  <si>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</si>
  <si>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</si>
  <si>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</si>
  <si>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</si>
  <si>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</si>
  <si>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</si>
  <si>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</si>
  <si>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</si>
  <si>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</si>
  <si>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</si>
  <si>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</si>
  <si>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</si>
  <si>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</si>
  <si>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</si>
  <si>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</si>
  <si>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</si>
  <si>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</si>
  <si>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</si>
  <si>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</si>
  <si>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</si>
  <si>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</si>
  <si>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</si>
  <si>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</si>
  <si>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</si>
  <si>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</si>
  <si>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</si>
  <si>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</si>
  <si>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</si>
  <si>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</si>
  <si>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</si>
  <si>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</si>
  <si>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</si>
  <si>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</si>
  <si>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</si>
  <si>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</si>
  <si>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</si>
  <si>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</si>
  <si>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</si>
  <si>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</si>
  <si>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</si>
  <si>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</si>
  <si>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</si>
  <si>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</si>
  <si>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</si>
  <si>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</si>
  <si>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</si>
  <si>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</si>
  <si>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</si>
  <si>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</si>
  <si>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</si>
  <si>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</si>
  <si>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</si>
  <si>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</si>
  <si>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</si>
  <si>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</si>
  <si>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</si>
  <si>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</si>
  <si>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</si>
  <si>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</si>
  <si>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</si>
  <si>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</si>
  <si>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</si>
  <si>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</si>
  <si>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</si>
  <si>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</si>
  <si>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</si>
  <si>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</si>
  <si>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</si>
  <si>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</si>
  <si>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</si>
  <si>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</si>
  <si>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</si>
  <si>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</si>
  <si>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</si>
  <si>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</si>
  <si>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</si>
  <si>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</si>
  <si>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</si>
  <si>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</si>
  <si>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</si>
  <si>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</si>
  <si>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</si>
  <si>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</si>
  <si>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</si>
  <si>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</si>
  <si>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</si>
  <si>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</si>
  <si>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</si>
  <si>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</si>
  <si>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</si>
  <si>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</si>
  <si>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</si>
  <si>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</si>
  <si>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</si>
  <si>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</si>
  <si>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</si>
  <si>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</si>
  <si>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</si>
  <si>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</si>
  <si>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</si>
  <si>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</si>
  <si>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</si>
  <si>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</si>
  <si>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</si>
  <si>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</si>
  <si>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</si>
  <si>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</si>
  <si>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</si>
  <si>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</si>
  <si>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</si>
  <si>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</si>
  <si>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</si>
  <si>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</si>
  <si>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</si>
  <si>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</si>
  <si>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</si>
  <si>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</si>
  <si>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</si>
  <si>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</si>
  <si>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</si>
  <si>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</si>
  <si>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</si>
  <si>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</si>
  <si>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</si>
  <si>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</si>
  <si>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</si>
  <si>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</si>
  <si>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</si>
  <si>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</si>
  <si>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</si>
  <si>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</si>
  <si>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</si>
  <si>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</si>
  <si>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</si>
  <si>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</si>
  <si>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</si>
  <si>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</si>
  <si>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</si>
  <si>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</si>
  <si>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</si>
  <si>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</si>
  <si>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</si>
  <si>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</si>
  <si>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</si>
  <si>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</si>
  <si>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</si>
  <si>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</si>
  <si>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</si>
  <si>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</si>
  <si>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</si>
  <si>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</si>
  <si>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</si>
  <si>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</si>
  <si>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</si>
  <si>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</si>
  <si>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</si>
  <si>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</si>
  <si>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</si>
  <si>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</si>
  <si>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</si>
  <si>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</si>
  <si>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</si>
  <si>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</si>
  <si>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</si>
  <si>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</si>
  <si>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</si>
  <si>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</si>
  <si>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</si>
  <si>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</si>
  <si>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</si>
  <si>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</si>
  <si>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</si>
  <si>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</si>
  <si>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</si>
  <si>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</si>
  <si>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</si>
  <si>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</si>
  <si>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</si>
  <si>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</si>
  <si>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</si>
  <si>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</si>
  <si>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</si>
  <si>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</si>
  <si>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</si>
  <si>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</si>
  <si>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</si>
  <si>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</si>
  <si>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</si>
  <si>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</si>
  <si>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</si>
  <si>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</si>
  <si>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</si>
  <si>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</si>
  <si>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</si>
  <si>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</si>
  <si>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</si>
  <si>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</si>
  <si>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</si>
  <si>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</si>
  <si>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</si>
  <si>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</si>
  <si>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</si>
  <si>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</si>
  <si>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</si>
  <si>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</si>
  <si>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</si>
  <si>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</si>
  <si>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</si>
  <si>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</si>
  <si>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</si>
  <si>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</si>
  <si>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</si>
  <si>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</si>
  <si>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</si>
  <si>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</si>
  <si>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</si>
  <si>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</si>
  <si>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</si>
  <si>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</si>
  <si>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</si>
  <si>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</si>
  <si>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</si>
  <si>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</si>
  <si>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</si>
  <si>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</si>
  <si>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</si>
  <si>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</si>
  <si>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</si>
  <si>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</si>
  <si>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</si>
  <si>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</si>
  <si>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</si>
  <si>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</si>
  <si>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</si>
  <si>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</si>
  <si>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</si>
  <si>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</si>
  <si>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</si>
  <si>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Zeshan </t>
  </si>
  <si>
    <t>Address: DHA</t>
  </si>
  <si>
    <t>Groccer Store</t>
  </si>
  <si>
    <t>24 Store</t>
  </si>
  <si>
    <t>My Choice</t>
  </si>
  <si>
    <t>Hafiz Store</t>
  </si>
  <si>
    <t xml:space="preserve">Captain Mart </t>
  </si>
  <si>
    <t xml:space="preserve">Afzal Mart </t>
  </si>
  <si>
    <t>CV Store</t>
  </si>
  <si>
    <t>786 Store</t>
  </si>
  <si>
    <t>Ajwa Store</t>
  </si>
  <si>
    <t>Marwa Store</t>
  </si>
  <si>
    <t>Sadiq Store</t>
  </si>
  <si>
    <t xml:space="preserve">Ali Mart </t>
  </si>
  <si>
    <t>Ab Store</t>
  </si>
  <si>
    <t xml:space="preserve">Bravo Mart </t>
  </si>
  <si>
    <t xml:space="preserve">Rehmat Cash &amp; Carry </t>
  </si>
  <si>
    <t>Waqas Store</t>
  </si>
  <si>
    <t xml:space="preserve">Jalil Mart </t>
  </si>
  <si>
    <t xml:space="preserve">Kashmir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</si>
</sst>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Q36" sqref="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46263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Groccer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24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My Choice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Hafiz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Captain Mart 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311">
        <f t="shared" ref="P8:P15" si="2">M8+N8+O8</f>
        <v>3397.5773742584738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Afzal Mart </v>
      </c>
      <c r="T8" s="301">
        <f>+'6'!P35</f>
        <v>470.43173776271186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311">
        <f t="shared" si="2"/>
        <v>4530.103165677966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CV Store</v>
      </c>
      <c r="T9" s="301">
        <f>+'7'!P35</f>
        <v>470.43173776271186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786 Store</v>
      </c>
      <c r="T10" s="301">
        <f>+'8'!P35</f>
        <v>9408.6347552542375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130</v>
      </c>
      <c r="I11" s="236">
        <f t="shared" si="0"/>
        <v>9443.2000000000007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755.45600000000002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330.512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8357.232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1784.7457627118647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50.709888813559317</v>
      </c>
      <c r="P11" s="311">
        <f t="shared" si="2"/>
        <v>10192.687651525423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Ajwa Store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135</v>
      </c>
      <c r="I12" s="236">
        <f t="shared" si="0"/>
        <v>9806.4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784.51200000000006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343.22399999999999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8678.6639999999989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1853.3898305084749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52.660269152542384</v>
      </c>
      <c r="P12" s="311">
        <f t="shared" si="2"/>
        <v>10584.714099661016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Marwa Store</v>
      </c>
      <c r="T12" s="301">
        <f>+'10'!P35</f>
        <v>470.43173776271186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Sadiq Store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Ali Mart 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Ab Store</v>
      </c>
      <c r="T15" s="301">
        <f>+'13'!P35</f>
        <v>784.05289627118646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15</v>
      </c>
      <c r="H16" s="113">
        <f t="shared" ref="H16:M16" si="3">SUM(H7:H15)</f>
        <v>600</v>
      </c>
      <c r="I16" s="114">
        <f t="shared" si="3"/>
        <v>36875.700000000004</v>
      </c>
      <c r="J16" s="274">
        <f>SUM(J7:J15)</f>
        <v>2855.9040000000005</v>
      </c>
      <c r="K16" s="275">
        <f t="shared" si="3"/>
        <v>1290.6495</v>
      </c>
      <c r="L16" s="276">
        <f t="shared" si="3"/>
        <v>160.05840000000001</v>
      </c>
      <c r="M16" s="232">
        <f t="shared" si="3"/>
        <v>32569.088099999997</v>
      </c>
      <c r="N16" s="233">
        <f>SUM(N7:N15)</f>
        <v>6986.4406779661003</v>
      </c>
      <c r="O16" s="101">
        <f>SUM(O7:O15)</f>
        <v>197.7776438898305</v>
      </c>
      <c r="P16" s="113">
        <f>SUM(P7:P15)</f>
        <v>39753.30642185593</v>
      </c>
      <c r="Q16" s="128">
        <f>SUM(Q7:Q15)</f>
        <v>0</v>
      </c>
      <c r="R16" s="314">
        <v>14</v>
      </c>
      <c r="S16" s="318" t="str">
        <f>+'14'!A6:A6</f>
        <v xml:space="preserve">Bravo Mart 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Rehmat Cash &amp; Carry </v>
      </c>
      <c r="T17" s="301">
        <f>+'15'!P35</f>
        <v>6795.1547485169476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Waqas Store</v>
      </c>
      <c r="T18" s="301">
        <f>+'16'!P35</f>
        <v>784.05289627118646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36875.700000000004</v>
      </c>
      <c r="R19" s="299">
        <v>17</v>
      </c>
      <c r="S19" s="300" t="str">
        <f>+'17'!A6:A6</f>
        <v xml:space="preserve">Jalil Mart </v>
      </c>
      <c r="T19" s="301">
        <f>+'17'!P35</f>
        <v>784.05289627118646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2855.9040000000005</v>
      </c>
      <c r="R20" s="299">
        <v>18</v>
      </c>
      <c r="S20" s="300" t="str">
        <f>+'18'!A6:A6</f>
        <v xml:space="preserve">Kashmir Bakers </v>
      </c>
      <c r="T20" s="301">
        <f>+'18'!P35</f>
        <v>12471.704249338984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1450.7078999999999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32569.088100000001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6986.4406779661003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39555.528777966101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197.7776438898305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39753.30642185593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39753.30642185593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697.34400000000005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305.08800000000002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7714.3679999999995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9361.8256271186438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3" t="s">
        <v>88</v>
      </c>
      <c r="O35" s="374"/>
      <c r="P35" s="297">
        <f>+P33+P34</f>
        <v>9408.6347552542375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503.64</v>
      </c>
      <c r="K25" s="275">
        <f t="shared" si="7"/>
        <v>220.34250000000003</v>
      </c>
      <c r="L25" s="276">
        <f t="shared" si="7"/>
        <v>0</v>
      </c>
      <c r="M25" s="232">
        <f t="shared" si="7"/>
        <v>5571.5174999999999</v>
      </c>
      <c r="N25" s="233">
        <f>SUM(N16:N24)</f>
        <v>1189.8305084745757</v>
      </c>
      <c r="O25" s="101">
        <f>SUM(O16:O24)</f>
        <v>33.80674004237288</v>
      </c>
      <c r="P25" s="113">
        <f>SUM(P16:P24)</f>
        <v>6795.1547485169485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6295.5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503.64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220.34250000000003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5571.5174999999999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6761.3480084745752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33.80674004237288</v>
      </c>
    </row>
    <row r="35" spans="2:16" ht="15.75" customHeight="1" thickBot="1" x14ac:dyDescent="0.4">
      <c r="N35" s="373" t="s">
        <v>88</v>
      </c>
      <c r="O35" s="374"/>
      <c r="P35" s="297">
        <f>+P33+P34</f>
        <v>6795.1547485169476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C27" sqref="C27:I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11577.400000000001</v>
      </c>
      <c r="J25" s="274">
        <f>SUM(J16:J24)</f>
        <v>879.11599999999999</v>
      </c>
      <c r="K25" s="275">
        <f t="shared" si="7"/>
        <v>405.20900000000006</v>
      </c>
      <c r="L25" s="276">
        <f t="shared" si="7"/>
        <v>80.029200000000003</v>
      </c>
      <c r="M25" s="232">
        <f t="shared" si="7"/>
        <v>10213.045800000002</v>
      </c>
      <c r="N25" s="233">
        <f>SUM(N16:N24)</f>
        <v>2196.6101694915251</v>
      </c>
      <c r="O25" s="101">
        <f>SUM(O16:O24)</f>
        <v>62.048279847457621</v>
      </c>
      <c r="P25" s="113">
        <f>SUM(P16:P24)</f>
        <v>12471.704249338984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11577.400000000001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879.11599999999999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485.23820000000006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10213.045800000002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2196.6101694915251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12409.655969491527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62.048279847457636</v>
      </c>
    </row>
    <row r="35" spans="2:16" ht="15.75" customHeight="1" thickBot="1" x14ac:dyDescent="0.4">
      <c r="N35" s="373" t="s">
        <v>88</v>
      </c>
      <c r="O35" s="374"/>
      <c r="P35" s="297">
        <f>+P33+P34</f>
        <v>12471.704249338984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2026-08-28T12:09:46Z</dcterms:modified>
</cp:coreProperties>
</file>