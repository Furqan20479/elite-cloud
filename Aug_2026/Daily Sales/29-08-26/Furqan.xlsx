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DE1199-B79C-4E91-8452-F95D73B3746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<sst xmlns="http://schemas.openxmlformats.org/spreadsheetml/2006/main" count="3948" uniqueCount="523">
  <si>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</si>
  <si>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</si>
  <si>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</si>
  <si>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</si>
  <si>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</si>
  <si>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</si>
  <si>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</si>
  <si>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</si>
  <si>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</si>
  <si>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</si>
  <si>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</si>
  <si>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</si>
  <si>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</si>
  <si>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</si>
  <si>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</si>
  <si>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</si>
  <si>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</si>
  <si>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</si>
  <si>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</si>
  <si>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</si>
  <si>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</si>
  <si>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</si>
  <si>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</si>
  <si>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</si>
  <si>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</si>
  <si>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</si>
  <si>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</si>
  <si>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</si>
  <si>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</si>
  <si>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</si>
  <si>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</si>
  <si>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</si>
  <si>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</si>
  <si>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</si>
  <si>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</si>
  <si>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</si>
  <si>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</si>
  <si>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</si>
  <si>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</si>
  <si>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</si>
  <si>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</si>
  <si>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</si>
  <si>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</si>
  <si>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</si>
  <si>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</si>
  <si>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</si>
  <si>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</si>
  <si>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</si>
  <si>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</si>
  <si>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</si>
  <si>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</si>
  <si>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</si>
  <si>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</si>
  <si>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</si>
  <si>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</si>
  <si>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</si>
  <si>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</si>
  <si>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</si>
  <si>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</si>
  <si>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</si>
  <si>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</si>
  <si>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</si>
  <si>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</si>
  <si>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</si>
  <si>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</si>
  <si>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</si>
  <si>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</si>
  <si>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</si>
  <si>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</si>
  <si>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</si>
  <si>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</si>
  <si>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</si>
  <si>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</si>
  <si>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</si>
  <si>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</si>
  <si>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</si>
  <si>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</si>
  <si>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</si>
  <si>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</si>
  <si>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</si>
  <si>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</si>
  <si>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</si>
  <si>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</si>
  <si>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</si>
  <si>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</si>
  <si>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</si>
  <si>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</si>
  <si>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</si>
  <si>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</si>
  <si>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</si>
  <si>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</si>
  <si>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</si>
  <si>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</si>
  <si>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</si>
  <si>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</si>
  <si>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</si>
  <si>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</si>
  <si>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</si>
  <si>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</si>
  <si>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</si>
  <si>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</si>
  <si>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</si>
  <si>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</si>
  <si>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</si>
  <si>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</si>
  <si>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</si>
  <si>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</si>
  <si>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</si>
  <si>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</si>
  <si>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</si>
  <si>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</si>
  <si>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</si>
  <si>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</si>
  <si>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</si>
  <si>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</si>
  <si>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</si>
  <si>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</si>
  <si>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</si>
  <si>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</si>
  <si>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</si>
  <si>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</si>
  <si>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</si>
  <si>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</si>
  <si>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</si>
  <si>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</si>
  <si>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</si>
  <si>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</si>
  <si>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</si>
  <si>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</si>
  <si>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</si>
  <si>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</si>
  <si>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</si>
  <si>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</si>
  <si>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</si>
  <si>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</si>
  <si>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</si>
  <si>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</si>
  <si>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</si>
  <si>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</si>
  <si>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</si>
  <si>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</si>
  <si>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</si>
  <si>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</si>
  <si>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</si>
  <si>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</si>
  <si>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</si>
  <si>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</si>
  <si>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</si>
  <si>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</si>
  <si>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</si>
  <si>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</si>
  <si>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</si>
  <si>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</si>
  <si>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</si>
  <si>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</si>
  <si>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</si>
  <si>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</si>
  <si>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</si>
  <si>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</si>
  <si>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</si>
  <si>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</si>
  <si>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</si>
  <si>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</si>
  <si>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</si>
  <si>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</si>
  <si>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</si>
  <si>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</si>
  <si>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</si>
  <si>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</si>
  <si>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</si>
  <si>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</si>
  <si>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</si>
  <si>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</si>
  <si>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</si>
  <si>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</si>
  <si>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</si>
  <si>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</si>
  <si>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</si>
  <si>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</si>
  <si>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</si>
  <si>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</si>
  <si>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</si>
  <si>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</si>
  <si>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</si>
  <si>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</si>
  <si>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</si>
  <si>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</si>
  <si>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</si>
  <si>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</si>
  <si>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</si>
  <si>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</si>
  <si>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</si>
  <si>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</si>
  <si>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</si>
  <si>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</si>
  <si>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</si>
  <si>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</si>
  <si>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</si>
  <si>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</si>
  <si>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</si>
  <si>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</si>
  <si>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</si>
  <si>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</si>
  <si>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</si>
  <si>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</si>
  <si>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</si>
  <si>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</si>
  <si>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</si>
  <si>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</si>
  <si>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</si>
  <si>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</si>
  <si>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</si>
  <si>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</si>
  <si>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</si>
  <si>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</si>
  <si>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</si>
  <si>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</si>
  <si>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</si>
  <si>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</si>
  <si>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</si>
  <si>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</si>
  <si>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</si>
  <si>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</si>
  <si>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</si>
  <si>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</si>
  <si>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</si>
  <si>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</si>
  <si>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</si>
  <si>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</si>
  <si>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</si>
  <si>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</si>
  <si>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</si>
  <si>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</si>
  <si>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</si>
  <si>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</si>
  <si>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</si>
  <si>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</si>
  <si>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</si>
  <si>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</si>
  <si>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</si>
  <si>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</si>
  <si>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</si>
  <si>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</si>
  <si>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</si>
  <si>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</si>
  <si>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</si>
  <si>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</si>
  <si>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</si>
  <si>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</si>
  <si>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</si>
  <si>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</si>
  <si>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</si>
  <si>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</si>
  <si>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</si>
  <si>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</si>
  <si>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</si>
  <si>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</si>
  <si>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</si>
  <si>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</si>
  <si>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</si>
  <si>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</si>
  <si>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</si>
  <si>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</si>
  <si>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</si>
  <si>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</si>
  <si>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</si>
  <si>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</si>
  <si>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</si>
  <si>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</si>
  <si>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</si>
  <si>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</si>
  <si>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</si>
  <si>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</si>
  <si>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</si>
  <si>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</si>
  <si>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</si>
  <si>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</si>
  <si>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</si>
  <si>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</si>
  <si>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</si>
  <si>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</si>
  <si>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</si>
  <si>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</si>
  <si>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</si>
  <si>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</si>
  <si>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</si>
  <si>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</si>
  <si>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</si>
  <si>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</si>
  <si>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</si>
  <si>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</si>
  <si>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</si>
  <si>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</si>
  <si>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</si>
  <si>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</si>
  <si>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</si>
  <si>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</si>
  <si>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</si>
  <si>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</si>
  <si>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</si>
  <si>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</si>
  <si>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</si>
  <si>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</si>
  <si>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</si>
  <si>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</si>
  <si>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</si>
  <si>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</si>
  <si>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</si>
  <si>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</si>
  <si>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</si>
  <si>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</si>
  <si>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</si>
  <si>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</si>
  <si>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</si>
  <si>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</si>
  <si>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</si>
  <si>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</si>
  <si>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</si>
  <si>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</si>
  <si>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</si>
  <si>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</si>
  <si>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</si>
  <si>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</si>
  <si>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</si>
  <si>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</si>
  <si>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</si>
  <si>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</si>
  <si>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</si>
  <si>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</si>
  <si>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</si>
  <si>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</si>
  <si>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</si>
  <si>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</si>
  <si>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</si>
  <si>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</si>
  <si>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</si>
  <si>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</si>
  <si>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</si>
  <si>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</si>
  <si>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</si>
  <si>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</si>
  <si>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</si>
  <si>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</si>
  <si>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</si>
  <si>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</si>
  <si>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</si>
  <si>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</si>
  <si>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</si>
  <si>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</si>
  <si>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</si>
  <si>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</si>
  <si>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</si>
  <si>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</si>
  <si>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</si>
  <si>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</si>
  <si>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</si>
  <si>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</si>
  <si>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</si>
  <si>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</si>
  <si>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</si>
  <si>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</si>
  <si>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</si>
  <si>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</si>
  <si>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</si>
  <si>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</si>
  <si>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</si>
  <si>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</si>
  <si>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</si>
  <si>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</si>
  <si>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</si>
  <si>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</si>
  <si>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</si>
  <si>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</si>
  <si>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</si>
  <si>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</si>
  <si>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</si>
  <si>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</si>
  <si>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</si>
  <si>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</si>
  <si>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</si>
  <si>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</si>
  <si>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</si>
  <si>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</si>
  <si>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</si>
  <si>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</si>
  <si>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</si>
  <si>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</si>
  <si>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</si>
  <si>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</si>
  <si>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</si>
  <si>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</si>
  <si>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</si>
  <si>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</si>
  <si>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</si>
  <si>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</si>
  <si>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</si>
  <si>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</si>
  <si>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</si>
  <si>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</si>
  <si>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</si>
  <si>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</si>
  <si>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</si>
  <si>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</si>
  <si>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</si>
  <si>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</si>
  <si>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</si>
  <si>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</si>
  <si>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</si>
  <si>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</si>
  <si>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</si>
  <si>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</si>
  <si>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</si>
  <si>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</si>
  <si>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</si>
  <si>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</si>
  <si>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</si>
  <si>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</si>
  <si>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</si>
  <si>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</si>
  <si>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</si>
  <si>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</si>
  <si>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</si>
  <si>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</si>
  <si>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</si>
  <si>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</si>
  <si>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</si>
  <si>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</si>
  <si>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</si>
  <si>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</si>
  <si>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</si>
  <si>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</si>
  <si>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</si>
  <si>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</si>
  <si>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</si>
  <si>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</si>
  <si>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</si>
  <si>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</si>
  <si>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</si>
  <si>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</si>
  <si>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</si>
  <si>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</si>
  <si>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</si>
  <si>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</si>
  <si>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</si>
  <si>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</si>
  <si>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</si>
  <si>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</si>
  <si>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</si>
  <si>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</si>
  <si>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</si>
  <si>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</si>
  <si>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</si>
  <si>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</si>
  <si>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</si>
  <si>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</si>
  <si>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</si>
  <si>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</si>
  <si>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</si>
  <si>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</si>
  <si>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</si>
  <si>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</si>
  <si>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</si>
  <si>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</si>
  <si>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</si>
  <si>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</si>
  <si>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</si>
  <si>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</si>
  <si>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</si>
  <si>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</si>
  <si>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</si>
  <si>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</si>
  <si>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</si>
  <si>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</si>
  <si>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</si>
  <si>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</si>
  <si>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</si>
  <si>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</si>
  <si>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</si>
  <si>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</si>
  <si>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</si>
  <si>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</si>
  <si>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</si>
  <si>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</si>
  <si>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</si>
  <si>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</si>
  <si>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</si>
  <si>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</si>
  <si>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</si>
  <si>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</si>
  <si>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</si>
  <si>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</si>
  <si>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</si>
  <si>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</si>
  <si>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</si>
  <si>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</si>
  <si>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</si>
  <si>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</si>
  <si>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</si>
  <si>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</si>
  <si>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</si>
  <si>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</si>
  <si>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</si>
  <si>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</si>
  <si>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</si>
  <si>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</si>
  <si>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</si>
  <si>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</si>
  <si>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</si>
  <si>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</si>
  <si>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</si>
  <si>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</si>
  <si>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</si>
  <si>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</si>
  <si>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</si>
  <si>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</si>
  <si>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Khatak Store</t>
  </si>
  <si>
    <t xml:space="preserve">Address: Lda Quators </t>
  </si>
  <si>
    <t>Tayyab Store</t>
  </si>
  <si>
    <t>Address: Madina chowk Qanchi Bazar</t>
  </si>
  <si>
    <t>Tahir Medical Store</t>
  </si>
  <si>
    <t>Address: qanchi Bazar</t>
  </si>
  <si>
    <t>Sarwar Milk Shop</t>
  </si>
  <si>
    <t xml:space="preserve">Address: Qanchi Bazar Gali no 11  near Shamem Masjid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</si>
</sst>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5" workbookViewId="0">
      <selection activeCell="F31" sqref="F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Khatak Store</v>
      </c>
      <c r="T3" s="301">
        <f>+'1'!P35</f>
        <v>1180.2688488991523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Tayyab Store</v>
      </c>
      <c r="T4" s="301">
        <f>+'2'!P35</f>
        <v>834.58895674576274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Tahir Medical Store</v>
      </c>
      <c r="T5" s="301">
        <f>+'3'!P35</f>
        <v>28354.906416661011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Sarwar Milk Shop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92</v>
      </c>
      <c r="I8" s="236">
        <f t="shared" ref="I8:I14" si="0">(G8*D8)*F8+H8*F8</f>
        <v>4826.55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386.12399999999997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168.92925000000002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4271.4967500000002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912.20338983050806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25.918500699152542</v>
      </c>
      <c r="P8" s="311">
        <f t="shared" ref="P8:P15" si="2">M8+N8+O8</f>
        <v>5209.6186405296612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7714.3679999999995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46.80912813559322</v>
      </c>
      <c r="P11" s="311">
        <f t="shared" si="2"/>
        <v>9408.6347552542375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164</v>
      </c>
      <c r="I13" s="236">
        <f t="shared" si="0"/>
        <v>6433.72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321.68600000000004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225.18020000000001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328.11971999999997</v>
      </c>
      <c r="M13" s="230">
        <f t="shared" si="1"/>
        <v>5558.7340800000002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1250.8474576271178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34.047907688135588</v>
      </c>
      <c r="P13" s="311">
        <f t="shared" si="2"/>
        <v>6843.6294453152541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12.4</v>
      </c>
      <c r="H16" s="113">
        <f t="shared" ref="H16:M16" si="3">SUM(H7:H15)</f>
        <v>496</v>
      </c>
      <c r="I16" s="114">
        <f t="shared" si="3"/>
        <v>28693.87</v>
      </c>
      <c r="J16" s="274">
        <f>SUM(J7:J15)</f>
        <v>2102.498</v>
      </c>
      <c r="K16" s="275">
        <f t="shared" si="3"/>
        <v>1004.2854500000001</v>
      </c>
      <c r="L16" s="276">
        <f t="shared" si="3"/>
        <v>328.11971999999997</v>
      </c>
      <c r="M16" s="232">
        <f t="shared" si="3"/>
        <v>25258.966829999998</v>
      </c>
      <c r="N16" s="233">
        <f>SUM(N7:N15)</f>
        <v>5457.966101694914</v>
      </c>
      <c r="O16" s="101">
        <f>SUM(O7:O15)</f>
        <v>153.58466465847457</v>
      </c>
      <c r="P16" s="113">
        <f>SUM(P7:P15)</f>
        <v>30870.517596353391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28693.87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2102.498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1332.40517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25258.966829999998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5457.966101694914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30716.932931694912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153.58466465847457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30870.517596353387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30870.517596353384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1100.31</v>
      </c>
      <c r="J25" s="274">
        <f>SUM(J16:J24)</f>
        <v>73.902000000000001</v>
      </c>
      <c r="K25" s="275">
        <f t="shared" si="10"/>
        <v>38.510850000000005</v>
      </c>
      <c r="L25" s="276">
        <f t="shared" si="10"/>
        <v>24.008760000000002</v>
      </c>
      <c r="M25" s="232">
        <f t="shared" si="10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1100.31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73.902000000000001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62.519610000000007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963.88838999999984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1174.3968645762709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3" t="s">
        <v>88</v>
      </c>
      <c r="O35" s="374"/>
      <c r="P35" s="297">
        <f>+P33+P34</f>
        <v>1180.2688488991523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784.60000000000014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39.230000000000011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67.475600000000014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677.89440000000013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830.43677288135598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3" t="s">
        <v>88</v>
      </c>
      <c r="O35" s="374"/>
      <c r="P35" s="297">
        <f>+P33+P34</f>
        <v>834.58895674576274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311">
        <f t="shared" ref="P17:P24" si="5">M17+N17+O17</f>
        <v>4530.103165677966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697.34399999999994</v>
      </c>
      <c r="K20" s="128">
        <f t="shared" si="1"/>
        <v>305.08800000000002</v>
      </c>
      <c r="L20" s="119">
        <f t="shared" si="1"/>
        <v>0</v>
      </c>
      <c r="M20" s="230">
        <f t="shared" si="2"/>
        <v>7714.3679999999995</v>
      </c>
      <c r="N20" s="277">
        <f t="shared" si="3"/>
        <v>1647.4576271186443</v>
      </c>
      <c r="O20" s="239">
        <f t="shared" si="4"/>
        <v>46.80912813559322</v>
      </c>
      <c r="P20" s="311">
        <f t="shared" si="5"/>
        <v>9408.6347552542375</v>
      </c>
      <c r="Q20" s="156"/>
      <c r="R20">
        <f>P20/21</f>
        <v>448.03022644067795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440</v>
      </c>
      <c r="I25" s="114">
        <f t="shared" si="7"/>
        <v>26338.199999999997</v>
      </c>
      <c r="J25" s="274">
        <f>SUM(J16:J24)</f>
        <v>1965.828</v>
      </c>
      <c r="K25" s="275">
        <f t="shared" si="7"/>
        <v>921.83700000000022</v>
      </c>
      <c r="L25" s="276">
        <f t="shared" si="7"/>
        <v>240.08760000000001</v>
      </c>
      <c r="M25" s="232">
        <f t="shared" si="7"/>
        <v>23210.447399999997</v>
      </c>
      <c r="N25" s="233">
        <f>SUM(N16:N24)</f>
        <v>5003.389830508474</v>
      </c>
      <c r="O25" s="101">
        <f>SUM(O16:O24)</f>
        <v>141.06918615254236</v>
      </c>
      <c r="P25" s="113">
        <f>SUM(P16:P24)</f>
        <v>28354.906416661019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26338.199999999997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1965.828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1161.9246000000003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23210.447399999997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5003.389830508474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28213.83723050847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141.06918615254236</v>
      </c>
    </row>
    <row r="35" spans="2:16" ht="15.75" customHeight="1" thickBot="1" x14ac:dyDescent="0.4">
      <c r="N35" s="373" t="s">
        <v>88</v>
      </c>
      <c r="O35" s="374"/>
      <c r="P35" s="297">
        <f>+P33+P34</f>
        <v>28354.906416661011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2026-08-28T11:37:22Z</dcterms:modified>
</cp:coreProperties>
</file>