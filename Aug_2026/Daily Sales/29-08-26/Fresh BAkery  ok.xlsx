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432F7CF-6E72-40EF-8DF4-2602D2FEC82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<sst xmlns="http://schemas.openxmlformats.org/spreadsheetml/2006/main" count="3949" uniqueCount="518">
  <si>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</si>
  <si>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</si>
  <si>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</si>
  <si>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</si>
  <si>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</si>
  <si>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</si>
  <si>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</si>
  <si>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</si>
  <si>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</si>
  <si>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</si>
  <si>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</si>
  <si>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</si>
  <si>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</si>
  <si>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</si>
  <si>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</si>
  <si>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</si>
  <si>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</si>
  <si>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</si>
  <si>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</si>
  <si>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</si>
  <si>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</si>
  <si>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</si>
  <si>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</si>
  <si>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</si>
  <si>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</si>
  <si>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</si>
  <si>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</si>
  <si>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</si>
  <si>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</si>
  <si>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</si>
  <si>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</si>
  <si>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</si>
  <si>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</si>
  <si>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</si>
  <si>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</si>
  <si>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</si>
  <si>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</si>
  <si>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</si>
  <si>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</si>
  <si>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</si>
  <si>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</si>
  <si>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</si>
  <si>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</si>
  <si>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</si>
  <si>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</si>
  <si>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</si>
  <si>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</si>
  <si>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</si>
  <si>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</si>
  <si>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</si>
  <si>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</si>
  <si>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</si>
  <si>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</si>
  <si>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</si>
  <si>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</si>
  <si>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</si>
  <si>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</si>
  <si>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</si>
  <si>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</si>
  <si>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</si>
  <si>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</si>
  <si>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</si>
  <si>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</si>
  <si>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</si>
  <si>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</si>
  <si>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</si>
  <si>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</si>
  <si>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</si>
  <si>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</si>
  <si>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</si>
  <si>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</si>
  <si>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</si>
  <si>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</si>
  <si>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</si>
  <si>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</si>
  <si>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</si>
  <si>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</si>
  <si>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</si>
  <si>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</si>
  <si>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</si>
  <si>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</si>
  <si>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</si>
  <si>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</si>
  <si>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</si>
  <si>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</si>
  <si>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</si>
  <si>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</si>
  <si>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</si>
  <si>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</si>
  <si>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</si>
  <si>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</si>
  <si>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</si>
  <si>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</si>
  <si>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</si>
  <si>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</si>
  <si>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</si>
  <si>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</si>
  <si>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</si>
  <si>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</si>
  <si>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</si>
  <si>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</si>
  <si>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</si>
  <si>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</si>
  <si>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</si>
  <si>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</si>
  <si>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</si>
  <si>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</si>
  <si>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</si>
  <si>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</si>
  <si>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</si>
  <si>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</si>
  <si>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</si>
  <si>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</si>
  <si>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</si>
  <si>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</si>
  <si>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</si>
  <si>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</si>
  <si>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</si>
  <si>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</si>
  <si>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</si>
  <si>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</si>
  <si>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</si>
  <si>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</si>
  <si>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</si>
  <si>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</si>
  <si>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</si>
  <si>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</si>
  <si>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</si>
  <si>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</si>
  <si>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</si>
  <si>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</si>
  <si>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</si>
  <si>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</si>
  <si>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</si>
  <si>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</si>
  <si>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</si>
  <si>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</si>
  <si>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</si>
  <si>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</si>
  <si>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</si>
  <si>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</si>
  <si>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</si>
  <si>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</si>
  <si>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</si>
  <si>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</si>
  <si>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</si>
  <si>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</si>
  <si>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</si>
  <si>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</si>
  <si>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</si>
  <si>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</si>
  <si>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</si>
  <si>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</si>
  <si>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</si>
  <si>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</si>
  <si>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</si>
  <si>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</si>
  <si>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</si>
  <si>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</si>
  <si>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</si>
  <si>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</si>
  <si>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</si>
  <si>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</si>
  <si>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</si>
  <si>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</si>
  <si>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</si>
  <si>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</si>
  <si>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</si>
  <si>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</si>
  <si>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</si>
  <si>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</si>
  <si>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</si>
  <si>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</si>
  <si>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</si>
  <si>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</si>
  <si>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</si>
  <si>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</si>
  <si>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</si>
  <si>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</si>
  <si>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</si>
  <si>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</si>
  <si>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</si>
  <si>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</si>
  <si>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</si>
  <si>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</si>
  <si>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</si>
  <si>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</si>
  <si>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</si>
  <si>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</si>
  <si>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</si>
  <si>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</si>
  <si>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</si>
  <si>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</si>
  <si>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</si>
  <si>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</si>
  <si>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</si>
  <si>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</si>
  <si>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</si>
  <si>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</si>
  <si>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</si>
  <si>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</si>
  <si>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</si>
  <si>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</si>
  <si>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</si>
  <si>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</si>
  <si>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</si>
  <si>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</si>
  <si>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</si>
  <si>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</si>
  <si>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</si>
  <si>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</si>
  <si>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</si>
  <si>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</si>
  <si>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</si>
  <si>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</si>
  <si>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</si>
  <si>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</si>
  <si>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</si>
  <si>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</si>
  <si>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</si>
  <si>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</si>
  <si>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</si>
  <si>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</si>
  <si>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</si>
  <si>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</si>
  <si>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</si>
  <si>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</si>
  <si>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</si>
  <si>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</si>
  <si>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</si>
  <si>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</si>
  <si>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</si>
  <si>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</si>
  <si>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</si>
  <si>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</si>
  <si>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</si>
  <si>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</si>
  <si>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</si>
  <si>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</si>
  <si>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</si>
  <si>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</si>
  <si>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</si>
  <si>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</si>
  <si>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</si>
  <si>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</si>
  <si>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</si>
  <si>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</si>
  <si>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</si>
  <si>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</si>
  <si>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</si>
  <si>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</si>
  <si>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</si>
  <si>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</si>
  <si>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</si>
  <si>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</si>
  <si>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</si>
  <si>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</si>
  <si>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</si>
  <si>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</si>
  <si>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</si>
  <si>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</si>
  <si>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</si>
  <si>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</si>
  <si>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</si>
  <si>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</si>
  <si>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</si>
  <si>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</si>
  <si>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</si>
  <si>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</si>
  <si>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</si>
  <si>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</si>
  <si>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</si>
  <si>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</si>
  <si>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</si>
  <si>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</si>
  <si>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</si>
  <si>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</si>
  <si>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</si>
  <si>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</si>
  <si>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</si>
  <si>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</si>
  <si>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</si>
  <si>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</si>
  <si>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</si>
  <si>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</si>
  <si>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</si>
  <si>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</si>
  <si>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</si>
  <si>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</si>
  <si>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</si>
  <si>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</si>
  <si>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</si>
  <si>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</si>
  <si>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</si>
  <si>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</si>
  <si>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</si>
  <si>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</si>
  <si>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</si>
  <si>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</si>
  <si>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</si>
  <si>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</si>
  <si>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</si>
  <si>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</si>
  <si>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</si>
  <si>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</si>
  <si>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</si>
  <si>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</si>
  <si>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</si>
  <si>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</si>
  <si>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</si>
  <si>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</si>
  <si>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</si>
  <si>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</si>
  <si>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</si>
  <si>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</si>
  <si>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</si>
  <si>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</si>
  <si>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</si>
  <si>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</si>
  <si>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</si>
  <si>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</si>
  <si>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</si>
  <si>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</si>
  <si>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</si>
  <si>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</si>
  <si>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</si>
  <si>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</si>
  <si>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</si>
  <si>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</si>
  <si>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</si>
  <si>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</si>
  <si>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</si>
  <si>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</si>
  <si>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</si>
  <si>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</si>
  <si>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</si>
  <si>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</si>
  <si>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</si>
  <si>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</si>
  <si>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</si>
  <si>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</si>
  <si>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</si>
  <si>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</si>
  <si>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</si>
  <si>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</si>
  <si>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</si>
  <si>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</si>
  <si>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</si>
  <si>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</si>
  <si>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</si>
  <si>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</si>
  <si>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</si>
  <si>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</si>
  <si>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</si>
  <si>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</si>
  <si>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</si>
  <si>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</si>
  <si>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</si>
  <si>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</si>
  <si>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</si>
  <si>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</si>
  <si>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</si>
  <si>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</si>
  <si>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</si>
  <si>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</si>
  <si>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</si>
  <si>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</si>
  <si>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</si>
  <si>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</si>
  <si>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</si>
  <si>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</si>
  <si>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</si>
  <si>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</si>
  <si>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</si>
  <si>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</si>
  <si>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</si>
  <si>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</si>
  <si>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</si>
  <si>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</si>
  <si>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</si>
  <si>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</si>
  <si>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</si>
  <si>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</si>
  <si>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</si>
  <si>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</si>
  <si>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</si>
  <si>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</si>
  <si>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</si>
  <si>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</si>
  <si>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</si>
  <si>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</si>
  <si>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</si>
  <si>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</si>
  <si>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</si>
  <si>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</si>
  <si>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</si>
  <si>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</si>
  <si>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</si>
  <si>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</si>
  <si>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</si>
  <si>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</si>
  <si>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</si>
  <si>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</si>
  <si>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</si>
  <si>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</si>
  <si>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</si>
  <si>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</si>
  <si>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</si>
  <si>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</si>
  <si>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</si>
  <si>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</si>
  <si>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</si>
  <si>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</si>
  <si>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</si>
  <si>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</si>
  <si>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</si>
  <si>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</si>
  <si>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</si>
  <si>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</si>
  <si>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</si>
  <si>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</si>
  <si>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</si>
  <si>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</si>
  <si>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</si>
  <si>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</si>
  <si>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</si>
  <si>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</si>
  <si>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</si>
  <si>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</si>
  <si>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</si>
  <si>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</si>
  <si>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</si>
  <si>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</si>
  <si>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</si>
  <si>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</si>
  <si>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</si>
  <si>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</si>
  <si>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</si>
  <si>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</si>
  <si>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</si>
  <si>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</si>
  <si>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</si>
  <si>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</si>
  <si>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</si>
  <si>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</si>
  <si>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</si>
  <si>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</si>
  <si>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</si>
  <si>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</si>
  <si>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</si>
  <si>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</si>
  <si>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</si>
  <si>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</si>
  <si>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</si>
  <si>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</si>
  <si>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</si>
  <si>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</si>
  <si>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</si>
  <si>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</si>
  <si>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</si>
  <si>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</si>
  <si>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</si>
  <si>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</si>
  <si>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</si>
  <si>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</si>
  <si>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</si>
  <si>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</si>
  <si>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</si>
  <si>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</si>
  <si>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</si>
  <si>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</si>
  <si>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</si>
  <si>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</si>
  <si>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</si>
  <si>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</si>
  <si>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</si>
  <si>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</si>
  <si>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</si>
  <si>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</si>
  <si>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</si>
  <si>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</si>
  <si>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</si>
  <si>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</si>
  <si>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</si>
  <si>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</si>
  <si>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</si>
  <si>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</si>
  <si>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</si>
  <si>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</si>
  <si>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</si>
  <si>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</si>
  <si>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</si>
  <si>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</si>
  <si>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</si>
  <si>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</si>
  <si>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</si>
  <si>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</si>
  <si>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</si>
  <si>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</si>
  <si>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</si>
  <si>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</si>
  <si>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</si>
  <si>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</si>
  <si>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</si>
  <si>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</si>
  <si>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</si>
  <si>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</si>
  <si>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</si>
  <si>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</si>
  <si>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</si>
  <si>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</si>
  <si>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</si>
  <si>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</si>
  <si>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</si>
  <si>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Fresh Bakery </t>
  </si>
  <si>
    <t>Address: Jinah Hospital</t>
  </si>
  <si>
    <t xml:space="preserve">Zeshan </t>
  </si>
  <si>
    <t xml:space="preserve">Zesahn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</si>
</sst>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J43" sqref="J4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517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Fresh Bakery </v>
      </c>
      <c r="T3" s="301">
        <f>+'1'!P35</f>
        <v>5231.3842992108048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</v>
      </c>
      <c r="I7" s="235">
        <f>(G7*D7)*F7+H7*F7</f>
        <v>472.16249999999997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37.772999999999996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16.5256875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417.86381249999999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89.23728813559319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2.5355055031779661</v>
      </c>
      <c r="P7" s="310">
        <f>M7+N7+O7</f>
        <v>509.63660613877113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</v>
      </c>
      <c r="I8" s="236">
        <f t="shared" ref="I8:I14" si="0">(G8*D8)*F8+H8*F8</f>
        <v>472.16249999999997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37.772999999999996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16.5256875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417.86381249999999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89.23728813559319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2.5355055031779661</v>
      </c>
      <c r="P8" s="311">
        <f t="shared" ref="P8:P15" si="2">M8+N8+O8</f>
        <v>509.63660613877113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19</v>
      </c>
      <c r="I9" s="236">
        <f t="shared" si="0"/>
        <v>996.78750000000002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79.743000000000009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34.887562500000001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882.15693750000003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188.38983050847449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5.3527338400423732</v>
      </c>
      <c r="P9" s="311">
        <f t="shared" si="2"/>
        <v>1075.899501848517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1.925</v>
      </c>
      <c r="H16" s="113">
        <f t="shared" ref="H16:M16" si="3">SUM(H7:H15)</f>
        <v>77</v>
      </c>
      <c r="I16" s="114">
        <f t="shared" si="3"/>
        <v>4846.7124999999996</v>
      </c>
      <c r="J16" s="274">
        <f>SUM(J7:J15)</f>
        <v>387.73699999999997</v>
      </c>
      <c r="K16" s="275">
        <f t="shared" si="3"/>
        <v>169.63493750000004</v>
      </c>
      <c r="L16" s="276">
        <f t="shared" si="3"/>
        <v>0</v>
      </c>
      <c r="M16" s="232">
        <f t="shared" si="3"/>
        <v>4289.3405624999996</v>
      </c>
      <c r="N16" s="233">
        <f>SUM(N7:N15)</f>
        <v>916.01694915254211</v>
      </c>
      <c r="O16" s="101">
        <f>SUM(O7:O15)</f>
        <v>26.026787558262711</v>
      </c>
      <c r="P16" s="113">
        <f>SUM(P7:P15)</f>
        <v>5231.3842992108057</v>
      </c>
      <c r="Q16" s="128">
        <f>SUM(Q7:Q15)</f>
        <v>3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4846.7124999999996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387.73699999999997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169.63493750000004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4289.3405624999996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916.01694915254211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5205.3575116525417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26.026787558262711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5231.3842992108048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5231.3842992108048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516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9</v>
      </c>
      <c r="I16" s="235">
        <f>(G16*D16)*F16+H16*F16</f>
        <v>472.16249999999997</v>
      </c>
      <c r="J16" s="271">
        <f>$I16*S16</f>
        <v>37.772999999999996</v>
      </c>
      <c r="K16" s="127">
        <f>$I16*T16</f>
        <v>16.5256875</v>
      </c>
      <c r="L16" s="118">
        <f>$I16*U16</f>
        <v>0</v>
      </c>
      <c r="M16" s="229">
        <f>I16-SUM(J16:L16)</f>
        <v>417.86381249999999</v>
      </c>
      <c r="N16" s="248">
        <f>+(G16*D16+H16)*V16</f>
        <v>89.23728813559319</v>
      </c>
      <c r="O16" s="238">
        <f>(N16+M16)*$O$15</f>
        <v>2.5355055031779661</v>
      </c>
      <c r="P16" s="310">
        <f>M16+N16+O16</f>
        <v>509.63660613877113</v>
      </c>
      <c r="Q16" s="128">
        <v>1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311">
        <f t="shared" ref="P17:P24" si="5">M17+N17+O17</f>
        <v>509.63660613877113</v>
      </c>
      <c r="Q17" s="414">
        <v>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19</v>
      </c>
      <c r="I18" s="236">
        <f t="shared" ref="I18:I21" si="7">(G18*D18)*F18+H18*F18</f>
        <v>996.78750000000002</v>
      </c>
      <c r="J18" s="272">
        <f t="shared" si="1"/>
        <v>79.743000000000009</v>
      </c>
      <c r="K18" s="128">
        <f t="shared" si="1"/>
        <v>34.887562500000001</v>
      </c>
      <c r="L18" s="119">
        <f t="shared" si="1"/>
        <v>0</v>
      </c>
      <c r="M18" s="230">
        <f t="shared" si="2"/>
        <v>882.15693750000003</v>
      </c>
      <c r="N18" s="277">
        <f t="shared" si="3"/>
        <v>188.38983050847449</v>
      </c>
      <c r="O18" s="239">
        <f t="shared" si="4"/>
        <v>5.3527338400423732</v>
      </c>
      <c r="P18" s="311">
        <f t="shared" si="5"/>
        <v>1075.899501848517</v>
      </c>
      <c r="Q18" s="414">
        <v>1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414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414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414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414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414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77</v>
      </c>
      <c r="I25" s="114">
        <f t="shared" ref="I25:M25" si="10">SUM(I16:I24)</f>
        <v>4846.7124999999996</v>
      </c>
      <c r="J25" s="274">
        <f>SUM(J16:J24)</f>
        <v>387.73699999999997</v>
      </c>
      <c r="K25" s="275">
        <f t="shared" si="10"/>
        <v>169.63493750000004</v>
      </c>
      <c r="L25" s="276">
        <f t="shared" si="10"/>
        <v>0</v>
      </c>
      <c r="M25" s="232">
        <f t="shared" si="10"/>
        <v>4289.3405624999996</v>
      </c>
      <c r="N25" s="233">
        <f>SUM(N16:N24)</f>
        <v>916.01694915254211</v>
      </c>
      <c r="O25" s="101">
        <f>SUM(O16:O24)</f>
        <v>26.026787558262711</v>
      </c>
      <c r="P25" s="113">
        <f>SUM(P16:P24)</f>
        <v>5231.3842992108057</v>
      </c>
      <c r="Q25" s="128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4846.7124999999996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387.73699999999997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169.63493750000004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4289.3405624999996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916.01694915254211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5205.3575116525417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26.026787558262708</v>
      </c>
    </row>
    <row r="35" spans="2:16" ht="15.75" customHeight="1" thickBot="1" x14ac:dyDescent="0.4">
      <c r="N35" s="344" t="s">
        <v>88</v>
      </c>
      <c r="O35" s="345"/>
      <c r="P35" s="297">
        <f>+P33+P34</f>
        <v>5231.3842992108048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Zesahn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2026-08-31T04:22:08Z</dcterms:modified>
</cp:coreProperties>
</file>