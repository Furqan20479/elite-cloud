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CC7CDC8-74AB-4264-A481-B06881DD0C8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<sst xmlns="http://schemas.openxmlformats.org/spreadsheetml/2006/main" count="3948" uniqueCount="519">
  <si>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</si>
  <si>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</si>
  <si>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</si>
  <si>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</si>
  <si>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</si>
  <si>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</si>
  <si>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</si>
  <si>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</si>
  <si>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</si>
  <si>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</si>
  <si>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</si>
  <si>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</si>
  <si>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</si>
  <si>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</si>
  <si>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</si>
  <si>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</si>
  <si>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</si>
  <si>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</si>
  <si>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</si>
  <si>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</si>
  <si>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</si>
  <si>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</si>
  <si>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</si>
  <si>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</si>
  <si>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</si>
  <si>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</si>
  <si>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</si>
  <si>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</si>
  <si>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</si>
  <si>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</si>
  <si>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</si>
  <si>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</si>
  <si>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</si>
  <si>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</si>
  <si>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</si>
  <si>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</si>
  <si>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</si>
  <si>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</si>
  <si>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</si>
  <si>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</si>
  <si>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</si>
  <si>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</si>
  <si>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</si>
  <si>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</si>
  <si>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</si>
  <si>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</si>
  <si>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</si>
  <si>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</si>
  <si>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</si>
  <si>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</si>
  <si>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</si>
  <si>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</si>
  <si>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</si>
  <si>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</si>
  <si>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</si>
  <si>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</si>
  <si>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</si>
  <si>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</si>
  <si>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</si>
  <si>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</si>
  <si>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</si>
  <si>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</si>
  <si>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</si>
  <si>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</si>
  <si>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</si>
  <si>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</si>
  <si>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</si>
  <si>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</si>
  <si>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</si>
  <si>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</si>
  <si>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</si>
  <si>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</si>
  <si>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</si>
  <si>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</si>
  <si>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</si>
  <si>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</si>
  <si>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</si>
  <si>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</si>
  <si>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</si>
  <si>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</si>
  <si>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</si>
  <si>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</si>
  <si>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</si>
  <si>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</si>
  <si>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</si>
  <si>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</si>
  <si>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</si>
  <si>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</si>
  <si>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</si>
  <si>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</si>
  <si>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</si>
  <si>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</si>
  <si>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</si>
  <si>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</si>
  <si>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</si>
  <si>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</si>
  <si>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</si>
  <si>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</si>
  <si>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</si>
  <si>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</si>
  <si>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</si>
  <si>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</si>
  <si>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</si>
  <si>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</si>
  <si>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</si>
  <si>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</si>
  <si>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</si>
  <si>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</si>
  <si>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</si>
  <si>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</si>
  <si>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</si>
  <si>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</si>
  <si>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</si>
  <si>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</si>
  <si>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</si>
  <si>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</si>
  <si>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</si>
  <si>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</si>
  <si>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</si>
  <si>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</si>
  <si>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</si>
  <si>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</si>
  <si>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</si>
  <si>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</si>
  <si>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</si>
  <si>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</si>
  <si>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</si>
  <si>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</si>
  <si>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</si>
  <si>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</si>
  <si>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</si>
  <si>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</si>
  <si>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</si>
  <si>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</si>
  <si>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</si>
  <si>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</si>
  <si>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</si>
  <si>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</si>
  <si>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</si>
  <si>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</si>
  <si>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</si>
  <si>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</si>
  <si>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</si>
  <si>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</si>
  <si>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</si>
  <si>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</si>
  <si>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</si>
  <si>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</si>
  <si>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</si>
  <si>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</si>
  <si>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</si>
  <si>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</si>
  <si>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</si>
  <si>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</si>
  <si>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</si>
  <si>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</si>
  <si>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</si>
  <si>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</si>
  <si>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</si>
  <si>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</si>
  <si>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</si>
  <si>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</si>
  <si>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</si>
  <si>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</si>
  <si>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</si>
  <si>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</si>
  <si>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</si>
  <si>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</si>
  <si>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</si>
  <si>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</si>
  <si>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</si>
  <si>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</si>
  <si>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</si>
  <si>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</si>
  <si>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</si>
  <si>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</si>
  <si>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</si>
  <si>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</si>
  <si>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</si>
  <si>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</si>
  <si>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</si>
  <si>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</si>
  <si>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</si>
  <si>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</si>
  <si>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</si>
  <si>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</si>
  <si>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</si>
  <si>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</si>
  <si>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</si>
  <si>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</si>
  <si>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</si>
  <si>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</si>
  <si>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</si>
  <si>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</si>
  <si>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</si>
  <si>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</si>
  <si>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</si>
  <si>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</si>
  <si>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</si>
  <si>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</si>
  <si>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</si>
  <si>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</si>
  <si>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</si>
  <si>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</si>
  <si>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</si>
  <si>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</si>
  <si>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</si>
  <si>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</si>
  <si>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</si>
  <si>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</si>
  <si>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</si>
  <si>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</si>
  <si>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</si>
  <si>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</si>
  <si>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</si>
  <si>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</si>
  <si>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</si>
  <si>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</si>
  <si>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</si>
  <si>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</si>
  <si>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</si>
  <si>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</si>
  <si>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</si>
  <si>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</si>
  <si>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</si>
  <si>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</si>
  <si>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</si>
  <si>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</si>
  <si>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</si>
  <si>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</si>
  <si>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</si>
  <si>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</si>
  <si>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</si>
  <si>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</si>
  <si>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</si>
  <si>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</si>
  <si>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</si>
  <si>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</si>
  <si>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</si>
  <si>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</si>
  <si>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</si>
  <si>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</si>
  <si>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</si>
  <si>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</si>
  <si>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</si>
  <si>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</si>
  <si>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</si>
  <si>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</si>
  <si>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</si>
  <si>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</si>
  <si>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</si>
  <si>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</si>
  <si>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</si>
  <si>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</si>
  <si>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</si>
  <si>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</si>
  <si>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</si>
  <si>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</si>
  <si>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</si>
  <si>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</si>
  <si>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</si>
  <si>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</si>
  <si>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</si>
  <si>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</si>
  <si>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</si>
  <si>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</si>
  <si>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</si>
  <si>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</si>
  <si>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</si>
  <si>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</si>
  <si>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</si>
  <si>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</si>
  <si>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</si>
  <si>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</si>
  <si>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</si>
  <si>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</si>
  <si>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</si>
  <si>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</si>
  <si>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</si>
  <si>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</si>
  <si>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</si>
  <si>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</si>
  <si>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</si>
  <si>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</si>
  <si>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</si>
  <si>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</si>
  <si>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</si>
  <si>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</si>
  <si>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</si>
  <si>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</si>
  <si>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</si>
  <si>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</si>
  <si>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</si>
  <si>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</si>
  <si>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</si>
  <si>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</si>
  <si>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</si>
  <si>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</si>
  <si>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</si>
  <si>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</si>
  <si>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</si>
  <si>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</si>
  <si>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</si>
  <si>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</si>
  <si>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</si>
  <si>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</si>
  <si>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</si>
  <si>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</si>
  <si>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</si>
  <si>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</si>
  <si>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</si>
  <si>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</si>
  <si>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</si>
  <si>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</si>
  <si>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</si>
  <si>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</si>
  <si>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</si>
  <si>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</si>
  <si>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</si>
  <si>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</si>
  <si>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</si>
  <si>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</si>
  <si>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</si>
  <si>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</si>
  <si>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</si>
  <si>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</si>
  <si>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</si>
  <si>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</si>
  <si>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</si>
  <si>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</si>
  <si>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</si>
  <si>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</si>
  <si>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</si>
  <si>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</si>
  <si>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</si>
  <si>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</si>
  <si>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</si>
  <si>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</si>
  <si>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</si>
  <si>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</si>
  <si>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</si>
  <si>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</si>
  <si>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</si>
  <si>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</si>
  <si>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</si>
  <si>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</si>
  <si>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</si>
  <si>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</si>
  <si>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</si>
  <si>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</si>
  <si>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</si>
  <si>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</si>
  <si>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</si>
  <si>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</si>
  <si>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</si>
  <si>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</si>
  <si>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</si>
  <si>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</si>
  <si>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</si>
  <si>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</si>
  <si>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</si>
  <si>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</si>
  <si>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</si>
  <si>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</si>
  <si>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</si>
  <si>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</si>
  <si>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</si>
  <si>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</si>
  <si>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</si>
  <si>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</si>
  <si>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</si>
  <si>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</si>
  <si>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</si>
  <si>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</si>
  <si>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</si>
  <si>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</si>
  <si>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</si>
  <si>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</si>
  <si>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</si>
  <si>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</si>
  <si>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</si>
  <si>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</si>
  <si>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</si>
  <si>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</si>
  <si>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</si>
  <si>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</si>
  <si>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</si>
  <si>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</si>
  <si>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</si>
  <si>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</si>
  <si>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</si>
  <si>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</si>
  <si>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</si>
  <si>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</si>
  <si>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</si>
  <si>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</si>
  <si>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</si>
  <si>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</si>
  <si>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</si>
  <si>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</si>
  <si>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</si>
  <si>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</si>
  <si>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</si>
  <si>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</si>
  <si>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</si>
  <si>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</si>
  <si>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</si>
  <si>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</si>
  <si>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</si>
  <si>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</si>
  <si>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</si>
  <si>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</si>
  <si>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</si>
  <si>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</si>
  <si>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</si>
  <si>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</si>
  <si>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</si>
  <si>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</si>
  <si>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</si>
  <si>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</si>
  <si>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</si>
  <si>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</si>
  <si>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</si>
  <si>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</si>
  <si>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</si>
  <si>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</si>
  <si>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</si>
  <si>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</si>
  <si>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</si>
  <si>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</si>
  <si>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</si>
  <si>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</si>
  <si>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</si>
  <si>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</si>
  <si>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</si>
  <si>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</si>
  <si>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</si>
  <si>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</si>
  <si>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</si>
  <si>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</si>
  <si>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</si>
  <si>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</si>
  <si>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</si>
  <si>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</si>
  <si>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</si>
  <si>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</si>
  <si>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</si>
  <si>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</si>
  <si>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</si>
  <si>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</si>
  <si>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</si>
  <si>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</si>
  <si>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</si>
  <si>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</si>
  <si>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</si>
  <si>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</si>
  <si>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</si>
  <si>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</si>
  <si>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</si>
  <si>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</si>
  <si>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</si>
  <si>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</si>
  <si>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</si>
  <si>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</si>
  <si>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</si>
  <si>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</si>
  <si>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</si>
  <si>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</si>
  <si>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</si>
  <si>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</si>
  <si>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</si>
  <si>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</si>
  <si>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</si>
  <si>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</si>
  <si>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</si>
  <si>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</si>
  <si>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</si>
  <si>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</si>
  <si>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</si>
  <si>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</si>
  <si>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</si>
  <si>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</si>
  <si>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</si>
  <si>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</si>
  <si>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</si>
  <si>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</si>
  <si>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</si>
  <si>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</si>
  <si>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</si>
  <si>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</si>
  <si>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</si>
  <si>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</si>
  <si>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</si>
  <si>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</si>
  <si>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</si>
  <si>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</si>
  <si>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</si>
  <si>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</si>
  <si>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</si>
  <si>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</si>
  <si>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</si>
  <si>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</si>
  <si>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</si>
  <si>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</si>
  <si>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</si>
  <si>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</si>
  <si>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</si>
  <si>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</si>
  <si>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</si>
  <si>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</si>
  <si>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</si>
  <si>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</si>
  <si>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</si>
  <si>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</si>
  <si>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</si>
  <si>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 xml:space="preserve">NTN : // : A244322-8 </t>
  </si>
  <si>
    <t>Address:  Wapda Town</t>
  </si>
  <si>
    <t>Invoice No # : 721563</t>
  </si>
  <si>
    <t xml:space="preserve">NTN : // : 4920922-6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</si>
</sst>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512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46263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Raheem Store</v>
      </c>
      <c r="T3" s="301">
        <f>+'1'!P35</f>
        <v>67938.690937499996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311">
        <f t="shared" si="2"/>
        <v>6415.5360985169482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2033.9200000000003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11985.599999999999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73.656813559322032</v>
      </c>
      <c r="P10" s="311">
        <f t="shared" si="2"/>
        <v>14805.019525423728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11985.599999999999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73.656813559322032</v>
      </c>
      <c r="P11" s="311">
        <f t="shared" si="2"/>
        <v>14805.019525423728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26</v>
      </c>
      <c r="H16" s="113">
        <f t="shared" ref="H16:M16" si="3">SUM(H7:H15)</f>
        <v>1040</v>
      </c>
      <c r="I16" s="114">
        <f t="shared" si="3"/>
        <v>66667.5</v>
      </c>
      <c r="J16" s="274">
        <f>SUM(J7:J15)</f>
        <v>9333.4500000000007</v>
      </c>
      <c r="K16" s="275">
        <f t="shared" si="3"/>
        <v>2333.3625000000002</v>
      </c>
      <c r="L16" s="276">
        <f t="shared" si="3"/>
        <v>0</v>
      </c>
      <c r="M16" s="232">
        <f t="shared" si="3"/>
        <v>55000.687499999993</v>
      </c>
      <c r="N16" s="233">
        <f>SUM(N7:N15)</f>
        <v>12599.999999999998</v>
      </c>
      <c r="O16" s="101">
        <f>SUM(O7:O15)</f>
        <v>338.00343749999996</v>
      </c>
      <c r="P16" s="113">
        <f>SUM(P7:P15)</f>
        <v>67938.690937499996</v>
      </c>
      <c r="Q16" s="128">
        <f>SUM(Q7:Q15)</f>
        <v>0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66667.5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9333.4500000000007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2333.3625000000002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55000.6875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12599.999999999998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67600.6875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338.00343749999996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67938.690937499996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67938.690937499996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46261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46260</v>
      </c>
      <c r="O5" s="368"/>
      <c r="P5" s="368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518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310">
        <f>M16+N16+O16</f>
        <v>10692.560164194916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311">
        <f t="shared" ref="P17:P24" si="5">M17+N17+O17</f>
        <v>6415.5360985169482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311">
        <f t="shared" si="5"/>
        <v>6415.5360985169482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311">
        <f t="shared" si="5"/>
        <v>14805.019525423728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R20">
        <f>P20/21</f>
        <v>705.00092978208227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1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1040</v>
      </c>
      <c r="I25" s="114">
        <f t="shared" ref="I25:M25" si="10">SUM(I16:I24)</f>
        <v>66667.5</v>
      </c>
      <c r="J25" s="274">
        <f>SUM(J16:J24)</f>
        <v>9333.4500000000007</v>
      </c>
      <c r="K25" s="275">
        <f t="shared" si="10"/>
        <v>2333.3625000000002</v>
      </c>
      <c r="L25" s="276">
        <f t="shared" si="10"/>
        <v>0</v>
      </c>
      <c r="M25" s="232">
        <f t="shared" si="10"/>
        <v>55000.687499999993</v>
      </c>
      <c r="N25" s="233">
        <f>SUM(N16:N24)</f>
        <v>12599.999999999998</v>
      </c>
      <c r="O25" s="101">
        <f>SUM(O16:O24)</f>
        <v>338.00343749999996</v>
      </c>
      <c r="P25" s="113">
        <f>SUM(P16:P24)</f>
        <v>67938.690937499996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66667.5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9333.4500000000007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2333.3625000000002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55000.6875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12599.999999999998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67600.6875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338.00343750000002</v>
      </c>
    </row>
    <row r="35" spans="2:16" ht="15.75" customHeight="1" thickBot="1" x14ac:dyDescent="0.4">
      <c r="N35" s="343" t="s">
        <v>88</v>
      </c>
      <c r="O35" s="344"/>
      <c r="P35" s="297">
        <f>+P33+P34</f>
        <v>67938.690937499996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46264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46263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2026-08-29T08:24:42Z</dcterms:modified>
</cp:coreProperties>
</file>