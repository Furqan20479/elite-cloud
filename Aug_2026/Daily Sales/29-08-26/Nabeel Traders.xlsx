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60538F9-462E-4833-A014-DF133780CBAF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<sst xmlns="http://schemas.openxmlformats.org/spreadsheetml/2006/main" count="3974" uniqueCount="520">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</sst>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505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500</v>
      </c>
      <c r="F3" s="359"/>
      <c r="G3" s="359"/>
      <c r="H3" s="356">
        <f>+'1'!N4:N4</f>
        <v>46234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Nabeel Traders </v>
      </c>
      <c r="T3" s="301">
        <f>+'1'!P35</f>
        <v>842792.39350805082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1237869.1371584744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514</v>
      </c>
      <c r="R5" s="314">
        <v>3</v>
      </c>
      <c r="S5" s="300" t="str">
        <f>+'3'!A6:A6</f>
        <v xml:space="preserve">Nabeel Traders </v>
      </c>
      <c r="T5" s="301">
        <f>+'3'!P35</f>
        <v>870780.40352542361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513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40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83940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13430.4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2937.9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67571.7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15864.406779661011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417.18053389830499</v>
      </c>
      <c r="P7" s="310">
        <f>M7+N7+O7</f>
        <v>83853.287313559311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40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83940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13430.4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2937.9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67571.7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15864.406779661011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417.18053389830499</v>
      </c>
      <c r="P8" s="311">
        <f t="shared" ref="P8:P15" si="2">M8+N8+O8</f>
        <v>83853.287313559311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70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146895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23503.200000000001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5141.3250000000007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118250.47500000001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27762.711864406767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730.06593432203374</v>
      </c>
      <c r="P9" s="311">
        <f t="shared" si="2"/>
        <v>146743.25279872882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270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784512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125521.92000000001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27457.919999999998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631532.15999999992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148271.18644067796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3899.0167322033903</v>
      </c>
      <c r="P10" s="311">
        <f t="shared" si="2"/>
        <v>783702.36317288131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240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697344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111575.04000000001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24407.040000000001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561361.91999999993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131796.61016949153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3465.7926508474575</v>
      </c>
      <c r="P11" s="311">
        <f t="shared" si="2"/>
        <v>696624.32282033889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290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842624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134819.84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29491.840000000004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678312.32000000007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159254.2372881356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4187.8327864406783</v>
      </c>
      <c r="P12" s="311">
        <f t="shared" si="2"/>
        <v>841754.39007457637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200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313840.00000000006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34522.400000000009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10984.400000000003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16005.840000000002</v>
      </c>
      <c r="M13" s="230">
        <f t="shared" si="1"/>
        <v>252327.36000000004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61016.949152542336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1566.7215457627119</v>
      </c>
      <c r="P13" s="311">
        <f t="shared" si="2"/>
        <v>314911.03069830511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0</v>
      </c>
      <c r="H16" s="113">
        <f t="shared" ref="H16:M16" si="3">SUM(H7:H15)</f>
        <v>0</v>
      </c>
      <c r="I16" s="114">
        <f t="shared" si="3"/>
        <v>2953095</v>
      </c>
      <c r="J16" s="274">
        <f>SUM(J7:J15)</f>
        <v>456803.20000000007</v>
      </c>
      <c r="K16" s="275">
        <f t="shared" si="3"/>
        <v>103358.32500000001</v>
      </c>
      <c r="L16" s="276">
        <f t="shared" si="3"/>
        <v>16005.840000000002</v>
      </c>
      <c r="M16" s="232">
        <f t="shared" si="3"/>
        <v>2376927.6349999998</v>
      </c>
      <c r="N16" s="233">
        <f>SUM(N7:N15)</f>
        <v>559830.50847457629</v>
      </c>
      <c r="O16" s="101">
        <f>SUM(O7:O15)</f>
        <v>14683.790717372882</v>
      </c>
      <c r="P16" s="113">
        <f>SUM(P7:P15)</f>
        <v>2951441.9341919487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2953095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456803.20000000007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119364.16500000001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2376927.6349999998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559830.50847457629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2936758.1434745761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14683.790717372882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2951441.9341919487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2951441.9341919487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R27" sqref="R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v>46234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46233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507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50</v>
      </c>
      <c r="H18" s="96"/>
      <c r="I18" s="236">
        <f t="shared" ref="I18:I21" si="7">(G18*D18)*F18+H18*F18</f>
        <v>104925</v>
      </c>
      <c r="J18" s="272">
        <f t="shared" si="1"/>
        <v>16788</v>
      </c>
      <c r="K18" s="128">
        <f t="shared" si="1"/>
        <v>3672.3750000000005</v>
      </c>
      <c r="L18" s="119">
        <f t="shared" si="1"/>
        <v>0</v>
      </c>
      <c r="M18" s="230">
        <f t="shared" si="2"/>
        <v>84464.625</v>
      </c>
      <c r="N18" s="277">
        <f t="shared" si="3"/>
        <v>19830.508474576262</v>
      </c>
      <c r="O18" s="239">
        <f t="shared" si="4"/>
        <v>521.47566737288128</v>
      </c>
      <c r="P18" s="311">
        <f t="shared" si="5"/>
        <v>104816.60914194914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7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7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R20">
        <f>P20/21</f>
        <v>8293.1467002421305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7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350</v>
      </c>
      <c r="H25" s="113">
        <f t="shared" ref="H25" si="9">SUM(H16:H24)</f>
        <v>0</v>
      </c>
      <c r="I25" s="114">
        <f t="shared" ref="I25:M25" si="10">SUM(I16:I24)</f>
        <v>842965</v>
      </c>
      <c r="J25" s="274">
        <f>SUM(J16:J24)</f>
        <v>127028.40000000002</v>
      </c>
      <c r="K25" s="275">
        <f t="shared" si="10"/>
        <v>29503.775000000005</v>
      </c>
      <c r="L25" s="276">
        <f t="shared" si="10"/>
        <v>8002.920000000001</v>
      </c>
      <c r="M25" s="232">
        <f t="shared" si="10"/>
        <v>678429.90500000003</v>
      </c>
      <c r="N25" s="233">
        <f>SUM(N16:N24)</f>
        <v>160169.49152542371</v>
      </c>
      <c r="O25" s="101">
        <f>SUM(O16:O24)</f>
        <v>4192.996982627119</v>
      </c>
      <c r="P25" s="113">
        <f>SUM(P16:P24)</f>
        <v>842792.39350805082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842965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127028.40000000002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37506.695000000007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678429.90500000003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160169.49152542371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838599.39652542374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4192.996982627119</v>
      </c>
    </row>
    <row r="35" spans="2:16" ht="15.75" customHeight="1" thickBot="1" x14ac:dyDescent="0.4">
      <c r="N35" s="343" t="s">
        <v>88</v>
      </c>
      <c r="O35" s="344"/>
      <c r="P35" s="297">
        <f>+P33+P34</f>
        <v>842792.39350805082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509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40</v>
      </c>
      <c r="H16" s="112"/>
      <c r="I16" s="235">
        <f>(G16*D16)*F16+H16*F16</f>
        <v>83940</v>
      </c>
      <c r="J16" s="271">
        <f>$I16*S16</f>
        <v>13430.4</v>
      </c>
      <c r="K16" s="127">
        <f>$I16*T16</f>
        <v>2937.9</v>
      </c>
      <c r="L16" s="118">
        <f>$I16*U16</f>
        <v>0</v>
      </c>
      <c r="M16" s="229">
        <f>I16-SUM(J16:L16)</f>
        <v>67571.7</v>
      </c>
      <c r="N16" s="248">
        <f>+(G16*D16+H16)*V16</f>
        <v>15864.406779661011</v>
      </c>
      <c r="O16" s="238">
        <f>(N16+M16)*$O$15</f>
        <v>417.18053389830499</v>
      </c>
      <c r="P16" s="310">
        <f>M16+N16+O16</f>
        <v>83853.287313559311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40</v>
      </c>
      <c r="H17" s="112"/>
      <c r="I17" s="236">
        <f t="shared" ref="I17:I23" si="0">(G17*D17)*F17+H17*F17</f>
        <v>83940</v>
      </c>
      <c r="J17" s="272">
        <f t="shared" ref="J17:L24" si="1">$I17*S17</f>
        <v>13430.4</v>
      </c>
      <c r="K17" s="128">
        <f>$I17*T17</f>
        <v>2937.9</v>
      </c>
      <c r="L17" s="119">
        <f>$I17*U17</f>
        <v>0</v>
      </c>
      <c r="M17" s="230">
        <f t="shared" ref="M17:M24" si="2">I17-SUM(J17:L17)</f>
        <v>67571.7</v>
      </c>
      <c r="N17" s="277">
        <f t="shared" ref="N17:N24" si="3">+(G17*D17+H17)*V17</f>
        <v>15864.406779661011</v>
      </c>
      <c r="O17" s="239">
        <f t="shared" ref="O17:O24" si="4">(N17+M17)*$O$15</f>
        <v>417.18053389830499</v>
      </c>
      <c r="P17" s="311">
        <f t="shared" ref="P17:P24" si="5">M17+N17+O17</f>
        <v>83853.287313559311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20</v>
      </c>
      <c r="H18" s="112"/>
      <c r="I18" s="236">
        <f t="shared" si="0"/>
        <v>41970</v>
      </c>
      <c r="J18" s="272">
        <f t="shared" si="1"/>
        <v>6715.2</v>
      </c>
      <c r="K18" s="128">
        <f t="shared" si="1"/>
        <v>1468.95</v>
      </c>
      <c r="L18" s="119">
        <f t="shared" si="1"/>
        <v>0</v>
      </c>
      <c r="M18" s="230">
        <f t="shared" si="2"/>
        <v>33785.85</v>
      </c>
      <c r="N18" s="277">
        <f t="shared" si="3"/>
        <v>7932.2033898305053</v>
      </c>
      <c r="O18" s="239">
        <f t="shared" si="4"/>
        <v>208.59026694915249</v>
      </c>
      <c r="P18" s="311">
        <f t="shared" si="5"/>
        <v>41926.643656779655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112"/>
      <c r="I19" s="236">
        <f t="shared" si="0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112"/>
      <c r="I20" s="236">
        <f t="shared" si="0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311">
        <f t="shared" si="5"/>
        <v>232208.10760677967</v>
      </c>
      <c r="Q20" s="156"/>
      <c r="R20">
        <f>P20/21</f>
        <v>11057.528933656175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112"/>
      <c r="I21" s="236">
        <f t="shared" si="0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112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500</v>
      </c>
      <c r="H25" s="113">
        <f t="shared" si="7"/>
        <v>0</v>
      </c>
      <c r="I25" s="114">
        <f t="shared" si="7"/>
        <v>1238450</v>
      </c>
      <c r="J25" s="274">
        <f>SUM(J16:J24)</f>
        <v>190306</v>
      </c>
      <c r="K25" s="275">
        <f t="shared" si="7"/>
        <v>43345.750000000007</v>
      </c>
      <c r="L25" s="276">
        <f t="shared" si="7"/>
        <v>8002.920000000001</v>
      </c>
      <c r="M25" s="232">
        <f t="shared" si="7"/>
        <v>996795.33</v>
      </c>
      <c r="N25" s="233">
        <f>SUM(N16:N24)</f>
        <v>234915.25423728811</v>
      </c>
      <c r="O25" s="101">
        <f>SUM(O16:O24)</f>
        <v>6158.5529211864405</v>
      </c>
      <c r="P25" s="113">
        <f>SUM(P16:P24)</f>
        <v>1237869.1371584744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1238450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190306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51348.670000000006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996795.33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234915.25423728811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1231710.584237288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6158.5529211864405</v>
      </c>
    </row>
    <row r="35" spans="2:16" ht="15.75" customHeight="1" thickBot="1" x14ac:dyDescent="0.4">
      <c r="N35" s="343" t="s">
        <v>88</v>
      </c>
      <c r="O35" s="344"/>
      <c r="P35" s="297">
        <f>+P33+P34</f>
        <v>1237869.1371584744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abSelected="1" workbookViewId="0">
      <selection activeCell="H2" sqref="H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46262</v>
      </c>
      <c r="O5" s="368"/>
      <c r="P5" s="368"/>
      <c r="R5" s="85"/>
      <c r="S5" s="266"/>
    </row>
    <row r="6" spans="1:22 16383:16384" ht="18.7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519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3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0.16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96"/>
      <c r="I19" s="236">
        <f t="shared" si="0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100</v>
      </c>
      <c r="H20" s="96"/>
      <c r="I20" s="236">
        <f t="shared" si="0"/>
        <v>290560</v>
      </c>
      <c r="J20" s="272">
        <f t="shared" si="1"/>
        <v>46489.599999999999</v>
      </c>
      <c r="K20" s="128">
        <f t="shared" si="1"/>
        <v>10169.6</v>
      </c>
      <c r="L20" s="119">
        <f t="shared" si="1"/>
        <v>0</v>
      </c>
      <c r="M20" s="230">
        <f t="shared" si="2"/>
        <v>233900.79999999999</v>
      </c>
      <c r="N20" s="277">
        <f t="shared" si="3"/>
        <v>54915.254237288136</v>
      </c>
      <c r="O20" s="239">
        <f t="shared" si="4"/>
        <v>1444.0802711864408</v>
      </c>
      <c r="P20" s="311">
        <f t="shared" si="5"/>
        <v>290260.13450847456</v>
      </c>
      <c r="Q20" s="156"/>
      <c r="R20">
        <f>P20/21</f>
        <v>13821.911167070217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100</v>
      </c>
      <c r="H21" s="96"/>
      <c r="I21" s="236">
        <f t="shared" si="0"/>
        <v>290560</v>
      </c>
      <c r="J21" s="272">
        <f t="shared" si="1"/>
        <v>46489.599999999999</v>
      </c>
      <c r="K21" s="128">
        <f t="shared" si="1"/>
        <v>10169.6</v>
      </c>
      <c r="L21" s="119">
        <f t="shared" si="1"/>
        <v>0</v>
      </c>
      <c r="M21" s="230">
        <f t="shared" si="2"/>
        <v>233900.79999999999</v>
      </c>
      <c r="N21" s="277">
        <f t="shared" si="3"/>
        <v>54915.254237288136</v>
      </c>
      <c r="O21" s="239">
        <f t="shared" si="4"/>
        <v>1444.0802711864408</v>
      </c>
      <c r="P21" s="311">
        <f t="shared" si="5"/>
        <v>290260.13450847456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300</v>
      </c>
      <c r="H25" s="113">
        <f t="shared" si="7"/>
        <v>0</v>
      </c>
      <c r="I25" s="114">
        <f t="shared" si="7"/>
        <v>871680</v>
      </c>
      <c r="J25" s="274">
        <f>SUM(J16:J24)</f>
        <v>139468.79999999999</v>
      </c>
      <c r="K25" s="275">
        <f t="shared" si="7"/>
        <v>30508.800000000003</v>
      </c>
      <c r="L25" s="276">
        <f t="shared" si="7"/>
        <v>0</v>
      </c>
      <c r="M25" s="232">
        <f t="shared" si="7"/>
        <v>701702.39999999991</v>
      </c>
      <c r="N25" s="233">
        <f>SUM(N16:N24)</f>
        <v>164745.7627118644</v>
      </c>
      <c r="O25" s="101">
        <f>SUM(O16:O24)</f>
        <v>4332.2408135593223</v>
      </c>
      <c r="P25" s="113">
        <f>SUM(P16:P24)</f>
        <v>870780.40352542372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871680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139468.79999999999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30508.800000000003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701702.39999999991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164745.7627118644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866448.16271186434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4332.2408135593214</v>
      </c>
    </row>
    <row r="35" spans="2:16" ht="15.75" customHeight="1" thickBot="1" x14ac:dyDescent="0.4">
      <c r="N35" s="343" t="s">
        <v>88</v>
      </c>
      <c r="O35" s="344"/>
      <c r="P35" s="297">
        <f>+P33+P34</f>
        <v>870780.40352542361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46262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46263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46262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2026-08-28T13:07:12Z</dcterms:modified>
</cp:coreProperties>
</file>