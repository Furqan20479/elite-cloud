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0672F77-0F5D-46DE-8BC5-38BB0D51A825}" xr6:coauthVersionLast="47" xr6:coauthVersionMax="47" xr10:uidLastSave="{00000000-0000-0000-0000-000000000000}"/>
  <bookViews>
    <workbookView xWindow="-110" yWindow="-110" windowWidth="19420" windowHeight="10420" tabRatio="594" firstSheet="3" activeTab="6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11" i="62" l="1"/>
  <c r="H1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2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4" l="1"/>
  <c r="O17" i="44" s="1"/>
  <c r="P17" i="44" s="1"/>
  <c r="J7" i="62"/>
  <c r="M21" i="44"/>
  <c r="O21" i="44" s="1"/>
  <c r="P21" i="44" s="1"/>
  <c r="M16" i="43"/>
  <c r="M20" i="43"/>
  <c r="O20" i="43" s="1"/>
  <c r="P20" i="43" s="1"/>
  <c r="R20" i="43" s="1"/>
  <c r="M21" i="43"/>
  <c r="O21" i="43" s="1"/>
  <c r="P21" i="43" s="1"/>
  <c r="M22" i="43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<sst xmlns="http://schemas.openxmlformats.org/spreadsheetml/2006/main" count="3974" uniqueCount="520">
  <si>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</si>
  <si>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</si>
  <si>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</si>
  <si>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</si>
  <si>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</si>
  <si>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</si>
  <si>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</si>
  <si>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</si>
  <si>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</si>
  <si>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</si>
  <si>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</si>
  <si>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</si>
  <si>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</si>
  <si>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</si>
  <si>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</si>
  <si>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</si>
  <si>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</si>
  <si>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</si>
  <si>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</si>
  <si>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</si>
  <si>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</si>
  <si>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</si>
  <si>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</si>
  <si>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</si>
  <si>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</si>
  <si>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</si>
  <si>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</si>
  <si>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</si>
  <si>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</si>
  <si>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</si>
  <si>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</si>
  <si>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</si>
  <si>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</si>
  <si>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</si>
  <si>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</si>
  <si>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</si>
  <si>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</si>
  <si>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</si>
  <si>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</si>
  <si>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</si>
  <si>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</si>
  <si>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</si>
  <si>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</si>
  <si>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</si>
  <si>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</si>
  <si>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</si>
  <si>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</si>
  <si>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</si>
  <si>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</si>
  <si>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</si>
  <si>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</si>
  <si>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</si>
  <si>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</si>
  <si>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</si>
  <si>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</si>
  <si>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</si>
  <si>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</si>
  <si>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</si>
  <si>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</si>
  <si>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</si>
  <si>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</si>
  <si>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</si>
  <si>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</si>
  <si>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</si>
  <si>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</si>
  <si>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</si>
  <si>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</si>
  <si>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</si>
  <si>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</si>
  <si>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</si>
  <si>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</si>
  <si>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</si>
  <si>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</si>
  <si>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</si>
  <si>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</si>
  <si>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</si>
  <si>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</si>
  <si>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</si>
  <si>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</si>
  <si>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</si>
  <si>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</si>
  <si>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</si>
  <si>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</si>
  <si>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</si>
  <si>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</si>
  <si>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</si>
  <si>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</si>
  <si>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</si>
  <si>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</si>
  <si>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</si>
  <si>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</si>
  <si>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</si>
  <si>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</si>
  <si>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</si>
  <si>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</si>
  <si>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</si>
  <si>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</si>
  <si>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</si>
  <si>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</si>
  <si>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</si>
  <si>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</si>
  <si>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</si>
  <si>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</si>
  <si>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</si>
  <si>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</si>
  <si>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</si>
  <si>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</si>
  <si>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</si>
  <si>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</si>
  <si>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</si>
  <si>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</si>
  <si>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</si>
  <si>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</si>
  <si>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</si>
  <si>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</si>
  <si>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</si>
  <si>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</si>
  <si>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</si>
  <si>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</si>
  <si>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</si>
  <si>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</si>
  <si>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</si>
  <si>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</si>
  <si>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</si>
  <si>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</si>
  <si>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</si>
  <si>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</si>
  <si>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</si>
  <si>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</si>
  <si>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</si>
  <si>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</si>
  <si>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</si>
  <si>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</si>
  <si>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</si>
  <si>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</si>
  <si>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</si>
  <si>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</si>
  <si>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</si>
  <si>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</si>
  <si>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</si>
  <si>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</si>
  <si>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</si>
  <si>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</si>
  <si>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</si>
  <si>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</si>
  <si>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</si>
  <si>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</si>
  <si>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</si>
  <si>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</si>
  <si>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</si>
  <si>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</si>
  <si>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</si>
  <si>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</si>
  <si>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</si>
  <si>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</si>
  <si>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</si>
  <si>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</si>
  <si>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</si>
  <si>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</si>
  <si>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</si>
  <si>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</si>
  <si>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</si>
  <si>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</si>
  <si>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</si>
  <si>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</si>
  <si>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</si>
  <si>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</si>
  <si>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</si>
  <si>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</si>
  <si>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</si>
  <si>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</si>
  <si>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</si>
  <si>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</si>
  <si>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</si>
  <si>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</si>
  <si>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</si>
  <si>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</si>
  <si>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</si>
  <si>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</si>
  <si>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</si>
  <si>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</si>
  <si>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</si>
  <si>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</si>
  <si>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</si>
  <si>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</si>
  <si>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</si>
  <si>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</si>
  <si>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</si>
  <si>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</si>
  <si>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</si>
  <si>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</si>
  <si>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</si>
  <si>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</si>
  <si>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</si>
  <si>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</si>
  <si>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</si>
  <si>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</si>
  <si>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</si>
  <si>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</si>
  <si>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</si>
  <si>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</si>
  <si>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</si>
  <si>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</si>
  <si>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</si>
  <si>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</si>
  <si>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</si>
  <si>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</si>
  <si>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</si>
  <si>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</si>
  <si>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</si>
  <si>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</si>
  <si>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</si>
  <si>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</si>
  <si>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</si>
  <si>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</si>
  <si>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</si>
  <si>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</si>
  <si>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</si>
  <si>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</si>
  <si>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</si>
  <si>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</si>
  <si>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</si>
  <si>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</si>
  <si>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</si>
  <si>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</si>
  <si>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</si>
  <si>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</si>
  <si>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</si>
  <si>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</si>
  <si>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</si>
  <si>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</si>
  <si>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</si>
  <si>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</si>
  <si>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</si>
  <si>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</si>
  <si>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</si>
  <si>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</si>
  <si>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</si>
  <si>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</si>
  <si>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</si>
  <si>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</si>
  <si>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</si>
  <si>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</si>
  <si>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</si>
  <si>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</si>
  <si>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</si>
  <si>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</si>
  <si>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</si>
  <si>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</si>
  <si>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</si>
  <si>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</si>
  <si>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</si>
  <si>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</si>
  <si>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</si>
  <si>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</si>
  <si>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</si>
  <si>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</si>
  <si>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</si>
  <si>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</si>
  <si>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</si>
  <si>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</si>
  <si>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</si>
  <si>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</si>
  <si>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</si>
  <si>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</si>
  <si>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</si>
  <si>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</si>
  <si>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</si>
  <si>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</si>
  <si>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</si>
  <si>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</si>
  <si>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</si>
  <si>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</si>
  <si>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</si>
  <si>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</si>
  <si>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</si>
  <si>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</si>
  <si>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</si>
  <si>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</si>
  <si>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</si>
  <si>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</si>
  <si>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</si>
  <si>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</si>
  <si>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</si>
  <si>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</si>
  <si>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</si>
  <si>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</si>
  <si>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</si>
  <si>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</si>
  <si>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</si>
  <si>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</si>
  <si>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</si>
  <si>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</si>
  <si>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</si>
  <si>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</si>
  <si>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</si>
  <si>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</si>
  <si>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</si>
  <si>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</si>
  <si>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</si>
  <si>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</si>
  <si>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</si>
  <si>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</si>
  <si>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</si>
  <si>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</si>
  <si>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</si>
  <si>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</si>
  <si>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</si>
  <si>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</si>
  <si>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</si>
  <si>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</si>
  <si>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</si>
  <si>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</si>
  <si>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</si>
  <si>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</si>
  <si>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</si>
  <si>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</si>
  <si>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</si>
  <si>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</si>
  <si>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</si>
  <si>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</si>
  <si>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</si>
  <si>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</si>
  <si>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</si>
  <si>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</si>
  <si>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</si>
  <si>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</si>
  <si>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</si>
  <si>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</si>
  <si>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</si>
  <si>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</si>
  <si>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</si>
  <si>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</si>
  <si>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</si>
  <si>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</si>
  <si>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</si>
  <si>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</si>
  <si>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</si>
  <si>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</si>
  <si>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</si>
  <si>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</si>
  <si>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</si>
  <si>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</si>
  <si>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</si>
  <si>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</si>
  <si>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</si>
  <si>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</si>
  <si>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</si>
  <si>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</si>
  <si>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</si>
  <si>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</si>
  <si>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</si>
  <si>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</si>
  <si>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</si>
  <si>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</si>
  <si>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</si>
  <si>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</si>
  <si>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</si>
  <si>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</si>
  <si>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</si>
  <si>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</si>
  <si>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</si>
  <si>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</si>
  <si>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</si>
  <si>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</si>
  <si>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</si>
  <si>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</si>
  <si>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</si>
  <si>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</si>
  <si>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</si>
  <si>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</si>
  <si>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</si>
  <si>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</si>
  <si>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</si>
  <si>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</si>
  <si>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</si>
  <si>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</si>
  <si>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</si>
  <si>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</si>
  <si>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</si>
  <si>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</si>
  <si>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</si>
  <si>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</si>
  <si>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</si>
  <si>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</si>
  <si>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</si>
  <si>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</si>
  <si>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</si>
  <si>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</si>
  <si>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</si>
  <si>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</si>
  <si>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</si>
  <si>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</si>
  <si>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</si>
  <si>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</si>
  <si>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</si>
  <si>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</si>
  <si>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</si>
  <si>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</si>
  <si>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</si>
  <si>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</si>
  <si>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</si>
  <si>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</si>
  <si>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</si>
  <si>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</si>
  <si>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</si>
  <si>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</si>
  <si>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</si>
  <si>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</si>
  <si>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</si>
  <si>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</si>
  <si>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</si>
  <si>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</si>
  <si>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</si>
  <si>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</si>
  <si>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</si>
  <si>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</si>
  <si>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</si>
  <si>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</si>
  <si>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</si>
  <si>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</si>
  <si>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</si>
  <si>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</si>
  <si>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</si>
  <si>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</si>
  <si>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</si>
  <si>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</si>
  <si>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</si>
  <si>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</si>
  <si>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</si>
  <si>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</si>
  <si>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</si>
  <si>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</si>
  <si>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</si>
  <si>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</si>
  <si>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</si>
  <si>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</si>
  <si>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</si>
  <si>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</si>
  <si>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</si>
  <si>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</si>
  <si>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</si>
  <si>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</si>
  <si>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</si>
  <si>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</si>
  <si>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</si>
  <si>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</si>
  <si>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</si>
  <si>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</si>
  <si>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</si>
  <si>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</si>
  <si>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</si>
  <si>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</si>
  <si>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</si>
  <si>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</si>
  <si>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</si>
  <si>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</si>
  <si>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</si>
  <si>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</si>
  <si>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</si>
  <si>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</si>
  <si>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</si>
  <si>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</si>
  <si>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</si>
  <si>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</si>
  <si>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</si>
  <si>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</si>
  <si>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</si>
  <si>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</si>
  <si>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</si>
  <si>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</si>
  <si>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</si>
  <si>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</si>
  <si>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</si>
  <si>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</si>
  <si>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</si>
  <si>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</si>
  <si>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</si>
  <si>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</si>
  <si>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</si>
  <si>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</si>
  <si>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</si>
  <si>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</si>
  <si>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</si>
  <si>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</si>
  <si>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</si>
  <si>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</si>
  <si>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</si>
  <si>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</si>
  <si>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</si>
  <si>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</si>
  <si>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</si>
  <si>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</si>
  <si>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</si>
  <si>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</si>
  <si>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</si>
  <si>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</si>
  <si>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</si>
  <si>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</si>
  <si>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</si>
  <si>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</si>
  <si>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</si>
  <si>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</si>
  <si>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</si>
  <si>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</si>
  <si>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</si>
  <si>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</si>
  <si>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</si>
  <si>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</si>
  <si>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</si>
  <si>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</si>
  <si>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</si>
  <si>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</si>
  <si>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</si>
  <si>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</si>
  <si>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 xml:space="preserve">Nabeel Traders </t>
  </si>
  <si>
    <t xml:space="preserve">Address: Mughalpura </t>
  </si>
  <si>
    <t>Address: Mughalpura</t>
  </si>
  <si>
    <t>Address:Mughalpura</t>
  </si>
  <si>
    <t>Shakoor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</si>
</sst>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C1" sqref="C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499</v>
      </c>
      <c r="F2" s="384"/>
      <c r="G2" s="384"/>
      <c r="H2" s="381" t="s">
        <v>505</v>
      </c>
      <c r="I2" s="381"/>
      <c r="J2" s="382"/>
      <c r="R2" s="378" t="s">
        <v>498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500</v>
      </c>
      <c r="F3" s="388"/>
      <c r="G3" s="388"/>
      <c r="H3" s="385">
        <f>+'1'!N4:N4</f>
        <v>46234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 xml:space="preserve">Nabeel Traders </v>
      </c>
      <c r="T3" s="301">
        <f>+'1'!P35</f>
        <v>842792.39350805082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Nabeel Traders </v>
      </c>
      <c r="T4" s="301">
        <f>+'2'!P35</f>
        <v>1237869.1371584744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514</v>
      </c>
      <c r="R5" s="314">
        <v>3</v>
      </c>
      <c r="S5" s="300" t="str">
        <f>+'3'!A6:A6</f>
        <v xml:space="preserve">Nabeel Traders </v>
      </c>
      <c r="T5" s="301">
        <f>+'3'!P35</f>
        <v>1304271.4467381358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513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70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146895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23503.200000000001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5141.3250000000007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118250.47500000001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27762.711864406767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730.06593432203374</v>
      </c>
      <c r="P7" s="310">
        <f>M7+N7+O7</f>
        <v>146743.25279872882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70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146895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23503.200000000001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5141.3250000000007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118250.47500000001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27762.711864406767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730.06593432203374</v>
      </c>
      <c r="P8" s="311">
        <f t="shared" ref="P8:P15" si="2">M8+N8+O8</f>
        <v>146743.25279872882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110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230835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36933.599999999999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8079.2250000000004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185822.17499999999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43627.118644067777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1147.2464682203388</v>
      </c>
      <c r="P9" s="311">
        <f t="shared" si="2"/>
        <v>230596.54011228812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290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842624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134819.84000000003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29491.84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678312.32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159254.2372881356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4187.8327864406783</v>
      </c>
      <c r="P10" s="311">
        <f t="shared" si="2"/>
        <v>841754.39007457625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250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726400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116224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25424.000000000004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584752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137288.13559322033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3610.2006779661015</v>
      </c>
      <c r="P11" s="311">
        <f t="shared" si="2"/>
        <v>725650.33627118648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310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900736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144117.76000000001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31525.760000000002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725092.48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170237.28813559323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4476.6488406779654</v>
      </c>
      <c r="P12" s="311">
        <f t="shared" si="2"/>
        <v>899806.4169762712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250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392300.00000000006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43153.000000000015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13730.500000000004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20007.300000000003</v>
      </c>
      <c r="M13" s="230">
        <f t="shared" si="1"/>
        <v>315409.20000000007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76271.18644067792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1958.4019322033898</v>
      </c>
      <c r="P13" s="311">
        <f t="shared" si="2"/>
        <v>393638.78837288136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0</v>
      </c>
      <c r="H16" s="113">
        <f t="shared" ref="H16:M16" si="3">SUM(H7:H15)</f>
        <v>0</v>
      </c>
      <c r="I16" s="114">
        <f t="shared" si="3"/>
        <v>3386685</v>
      </c>
      <c r="J16" s="274">
        <f>SUM(J7:J15)</f>
        <v>522254.60000000003</v>
      </c>
      <c r="K16" s="275">
        <f t="shared" si="3"/>
        <v>118533.97500000001</v>
      </c>
      <c r="L16" s="276">
        <f t="shared" si="3"/>
        <v>20007.300000000003</v>
      </c>
      <c r="M16" s="232">
        <f t="shared" si="3"/>
        <v>2725889.125</v>
      </c>
      <c r="N16" s="233">
        <f>SUM(N7:N15)</f>
        <v>642203.38983050839</v>
      </c>
      <c r="O16" s="101">
        <f>SUM(O7:O15)</f>
        <v>16840.462574152541</v>
      </c>
      <c r="P16" s="113">
        <f>SUM(P7:P15)</f>
        <v>3384932.977404661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3386685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522254.60000000003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138541.27500000002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2725889.125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642203.38983050839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3368092.5148305083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16840.462574152541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3384932.977404661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3384932.977404661</v>
      </c>
    </row>
    <row r="44" spans="2:20" x14ac:dyDescent="0.35">
      <c r="B44" t="s">
        <v>507</v>
      </c>
    </row>
    <row r="45" spans="2:20" x14ac:dyDescent="0.35">
      <c r="B45" t="s">
        <v>508</v>
      </c>
    </row>
    <row r="46" spans="2:20" x14ac:dyDescent="0.35">
      <c r="B46" t="s">
        <v>509</v>
      </c>
    </row>
    <row r="47" spans="2:20" x14ac:dyDescent="0.35">
      <c r="B47" t="s">
        <v>510</v>
      </c>
    </row>
    <row r="48" spans="2:20" x14ac:dyDescent="0.35">
      <c r="B48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activeCell="R27" sqref="R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9.36328125" bestFit="1" customWidth="1"/>
    <col min="10" max="12" width="8.36328125" bestFit="1" customWidth="1"/>
    <col min="13" max="13" width="11.9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v>46234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46233</v>
      </c>
      <c r="O5" s="392"/>
      <c r="P5" s="392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507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514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>
        <v>50</v>
      </c>
      <c r="H18" s="96"/>
      <c r="I18" s="236">
        <f t="shared" ref="I18:I21" si="7">(G18*D18)*F18+H18*F18</f>
        <v>104925</v>
      </c>
      <c r="J18" s="272">
        <f t="shared" si="1"/>
        <v>16788</v>
      </c>
      <c r="K18" s="128">
        <f t="shared" si="1"/>
        <v>3672.3750000000005</v>
      </c>
      <c r="L18" s="119">
        <f t="shared" si="1"/>
        <v>0</v>
      </c>
      <c r="M18" s="230">
        <f t="shared" si="2"/>
        <v>84464.625</v>
      </c>
      <c r="N18" s="277">
        <f t="shared" si="3"/>
        <v>19830.508474576262</v>
      </c>
      <c r="O18" s="239">
        <f t="shared" si="4"/>
        <v>521.47566737288128</v>
      </c>
      <c r="P18" s="311">
        <f t="shared" si="5"/>
        <v>104816.60914194914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70</v>
      </c>
      <c r="H19" s="96"/>
      <c r="I19" s="236">
        <f t="shared" si="7"/>
        <v>203392</v>
      </c>
      <c r="J19" s="272">
        <f t="shared" si="1"/>
        <v>32542.720000000001</v>
      </c>
      <c r="K19" s="128">
        <f t="shared" si="1"/>
        <v>7118.72</v>
      </c>
      <c r="L19" s="119">
        <f t="shared" si="1"/>
        <v>0</v>
      </c>
      <c r="M19" s="230">
        <f t="shared" si="2"/>
        <v>163730.56</v>
      </c>
      <c r="N19" s="277">
        <f t="shared" si="3"/>
        <v>38440.677966101699</v>
      </c>
      <c r="O19" s="239">
        <f t="shared" si="4"/>
        <v>1010.8561898305086</v>
      </c>
      <c r="P19" s="311">
        <f t="shared" si="5"/>
        <v>203182.09415593222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60</v>
      </c>
      <c r="H20" s="96"/>
      <c r="I20" s="236">
        <f t="shared" si="7"/>
        <v>174336</v>
      </c>
      <c r="J20" s="272">
        <f t="shared" si="1"/>
        <v>27893.760000000002</v>
      </c>
      <c r="K20" s="128">
        <f t="shared" si="1"/>
        <v>6101.76</v>
      </c>
      <c r="L20" s="119">
        <f t="shared" si="1"/>
        <v>0</v>
      </c>
      <c r="M20" s="230">
        <f t="shared" si="2"/>
        <v>140340.47999999998</v>
      </c>
      <c r="N20" s="277">
        <f t="shared" si="3"/>
        <v>32949.152542372882</v>
      </c>
      <c r="O20" s="239">
        <f t="shared" si="4"/>
        <v>866.44816271186426</v>
      </c>
      <c r="P20" s="311">
        <f t="shared" si="5"/>
        <v>174156.08070508472</v>
      </c>
      <c r="Q20" s="156"/>
      <c r="R20">
        <f>P20/21</f>
        <v>8293.1467002421305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70</v>
      </c>
      <c r="H21" s="96"/>
      <c r="I21" s="236">
        <f t="shared" si="7"/>
        <v>203392</v>
      </c>
      <c r="J21" s="272">
        <f t="shared" si="1"/>
        <v>32542.720000000001</v>
      </c>
      <c r="K21" s="128">
        <f t="shared" si="1"/>
        <v>7118.72</v>
      </c>
      <c r="L21" s="119">
        <f t="shared" si="1"/>
        <v>0</v>
      </c>
      <c r="M21" s="230">
        <f t="shared" si="2"/>
        <v>163730.56</v>
      </c>
      <c r="N21" s="277">
        <f t="shared" si="3"/>
        <v>38440.677966101699</v>
      </c>
      <c r="O21" s="239">
        <f t="shared" si="4"/>
        <v>1010.8561898305086</v>
      </c>
      <c r="P21" s="311">
        <f t="shared" si="5"/>
        <v>203182.09415593222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>
        <v>100</v>
      </c>
      <c r="H22" s="96"/>
      <c r="I22" s="236">
        <f t="shared" si="0"/>
        <v>156920.00000000003</v>
      </c>
      <c r="J22" s="272">
        <f t="shared" si="1"/>
        <v>17261.200000000004</v>
      </c>
      <c r="K22" s="128">
        <f t="shared" si="1"/>
        <v>5492.2000000000016</v>
      </c>
      <c r="L22" s="119">
        <f t="shared" si="1"/>
        <v>8002.920000000001</v>
      </c>
      <c r="M22" s="230">
        <f t="shared" si="2"/>
        <v>126163.68000000002</v>
      </c>
      <c r="N22" s="277">
        <f t="shared" si="3"/>
        <v>30508.474576271168</v>
      </c>
      <c r="O22" s="239">
        <f t="shared" si="4"/>
        <v>783.36077288135596</v>
      </c>
      <c r="P22" s="311">
        <f t="shared" si="5"/>
        <v>157455.51534915256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350</v>
      </c>
      <c r="H25" s="113">
        <f t="shared" ref="H25" si="9">SUM(H16:H24)</f>
        <v>0</v>
      </c>
      <c r="I25" s="114">
        <f t="shared" ref="I25:M25" si="10">SUM(I16:I24)</f>
        <v>842965</v>
      </c>
      <c r="J25" s="274">
        <f>SUM(J16:J24)</f>
        <v>127028.40000000002</v>
      </c>
      <c r="K25" s="275">
        <f t="shared" si="10"/>
        <v>29503.775000000005</v>
      </c>
      <c r="L25" s="276">
        <f t="shared" si="10"/>
        <v>8002.920000000001</v>
      </c>
      <c r="M25" s="232">
        <f t="shared" si="10"/>
        <v>678429.90500000003</v>
      </c>
      <c r="N25" s="233">
        <f>SUM(N16:N24)</f>
        <v>160169.49152542371</v>
      </c>
      <c r="O25" s="101">
        <f>SUM(O16:O24)</f>
        <v>4192.996982627119</v>
      </c>
      <c r="P25" s="113">
        <f>SUM(P16:P24)</f>
        <v>842792.39350805082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842965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127028.40000000002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37506.695000000007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678429.90500000003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160169.49152542371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838599.39652542374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4192.996982627119</v>
      </c>
    </row>
    <row r="35" spans="2:16" ht="15.75" customHeight="1" thickBot="1" x14ac:dyDescent="0.4">
      <c r="N35" s="372" t="s">
        <v>88</v>
      </c>
      <c r="O35" s="373"/>
      <c r="P35" s="297">
        <f>+P33+P34</f>
        <v>842792.39350805082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1" width="8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v>46246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46245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509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>
        <v>40</v>
      </c>
      <c r="H16" s="112"/>
      <c r="I16" s="235">
        <f>(G16*D16)*F16+H16*F16</f>
        <v>83940</v>
      </c>
      <c r="J16" s="271">
        <f>$I16*S16</f>
        <v>13430.4</v>
      </c>
      <c r="K16" s="127">
        <f>$I16*T16</f>
        <v>2937.9</v>
      </c>
      <c r="L16" s="118">
        <f>$I16*U16</f>
        <v>0</v>
      </c>
      <c r="M16" s="229">
        <f>I16-SUM(J16:L16)</f>
        <v>67571.7</v>
      </c>
      <c r="N16" s="248">
        <f>+(G16*D16+H16)*V16</f>
        <v>15864.406779661011</v>
      </c>
      <c r="O16" s="238">
        <f>(N16+M16)*$O$15</f>
        <v>417.18053389830499</v>
      </c>
      <c r="P16" s="310">
        <f>M16+N16+O16</f>
        <v>83853.287313559311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>
        <v>40</v>
      </c>
      <c r="H17" s="112"/>
      <c r="I17" s="236">
        <f t="shared" ref="I17:I23" si="0">(G17*D17)*F17+H17*F17</f>
        <v>83940</v>
      </c>
      <c r="J17" s="272">
        <f t="shared" ref="J17:L24" si="1">$I17*S17</f>
        <v>13430.4</v>
      </c>
      <c r="K17" s="128">
        <f>$I17*T17</f>
        <v>2937.9</v>
      </c>
      <c r="L17" s="119">
        <f>$I17*U17</f>
        <v>0</v>
      </c>
      <c r="M17" s="230">
        <f t="shared" ref="M17:M24" si="2">I17-SUM(J17:L17)</f>
        <v>67571.7</v>
      </c>
      <c r="N17" s="277">
        <f t="shared" ref="N17:N24" si="3">+(G17*D17+H17)*V17</f>
        <v>15864.406779661011</v>
      </c>
      <c r="O17" s="239">
        <f t="shared" ref="O17:O24" si="4">(N17+M17)*$O$15</f>
        <v>417.18053389830499</v>
      </c>
      <c r="P17" s="311">
        <f t="shared" ref="P17:P24" si="5">M17+N17+O17</f>
        <v>83853.287313559311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>
        <v>20</v>
      </c>
      <c r="H18" s="112"/>
      <c r="I18" s="236">
        <f t="shared" si="0"/>
        <v>41970</v>
      </c>
      <c r="J18" s="272">
        <f t="shared" si="1"/>
        <v>6715.2</v>
      </c>
      <c r="K18" s="128">
        <f t="shared" si="1"/>
        <v>1468.95</v>
      </c>
      <c r="L18" s="119">
        <f t="shared" si="1"/>
        <v>0</v>
      </c>
      <c r="M18" s="230">
        <f t="shared" si="2"/>
        <v>33785.85</v>
      </c>
      <c r="N18" s="277">
        <f t="shared" si="3"/>
        <v>7932.2033898305053</v>
      </c>
      <c r="O18" s="239">
        <f t="shared" si="4"/>
        <v>208.59026694915249</v>
      </c>
      <c r="P18" s="311">
        <f t="shared" si="5"/>
        <v>41926.643656779655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100</v>
      </c>
      <c r="H19" s="112"/>
      <c r="I19" s="236">
        <f t="shared" si="0"/>
        <v>290560</v>
      </c>
      <c r="J19" s="272">
        <f t="shared" si="1"/>
        <v>46489.599999999999</v>
      </c>
      <c r="K19" s="128">
        <f t="shared" si="1"/>
        <v>10169.6</v>
      </c>
      <c r="L19" s="119">
        <f t="shared" si="1"/>
        <v>0</v>
      </c>
      <c r="M19" s="230">
        <f t="shared" si="2"/>
        <v>233900.79999999999</v>
      </c>
      <c r="N19" s="277">
        <f t="shared" si="3"/>
        <v>54915.254237288136</v>
      </c>
      <c r="O19" s="239">
        <f t="shared" si="4"/>
        <v>1444.0802711864408</v>
      </c>
      <c r="P19" s="311">
        <f t="shared" si="5"/>
        <v>290260.13450847456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80</v>
      </c>
      <c r="H20" s="112"/>
      <c r="I20" s="236">
        <f t="shared" si="0"/>
        <v>232448</v>
      </c>
      <c r="J20" s="272">
        <f t="shared" si="1"/>
        <v>37191.68</v>
      </c>
      <c r="K20" s="128">
        <f t="shared" si="1"/>
        <v>8135.6800000000012</v>
      </c>
      <c r="L20" s="119">
        <f t="shared" si="1"/>
        <v>0</v>
      </c>
      <c r="M20" s="230">
        <f t="shared" si="2"/>
        <v>187120.64000000001</v>
      </c>
      <c r="N20" s="277">
        <f t="shared" si="3"/>
        <v>43932.203389830509</v>
      </c>
      <c r="O20" s="239">
        <f t="shared" si="4"/>
        <v>1155.2642169491526</v>
      </c>
      <c r="P20" s="311">
        <f t="shared" si="5"/>
        <v>232208.10760677967</v>
      </c>
      <c r="Q20" s="156"/>
      <c r="R20">
        <f>P20/21</f>
        <v>11057.528933656175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120</v>
      </c>
      <c r="H21" s="112"/>
      <c r="I21" s="236">
        <f t="shared" si="0"/>
        <v>348672</v>
      </c>
      <c r="J21" s="272">
        <f t="shared" si="1"/>
        <v>55787.520000000004</v>
      </c>
      <c r="K21" s="128">
        <f t="shared" si="1"/>
        <v>12203.52</v>
      </c>
      <c r="L21" s="119">
        <f t="shared" si="1"/>
        <v>0</v>
      </c>
      <c r="M21" s="230">
        <f t="shared" si="2"/>
        <v>280680.95999999996</v>
      </c>
      <c r="N21" s="277">
        <f t="shared" si="3"/>
        <v>65898.305084745763</v>
      </c>
      <c r="O21" s="239">
        <f t="shared" si="4"/>
        <v>1732.8963254237285</v>
      </c>
      <c r="P21" s="311">
        <f t="shared" si="5"/>
        <v>348312.16141016944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>
        <v>100</v>
      </c>
      <c r="H22" s="112"/>
      <c r="I22" s="236">
        <f t="shared" si="0"/>
        <v>156920.00000000003</v>
      </c>
      <c r="J22" s="272">
        <f t="shared" si="1"/>
        <v>17261.200000000004</v>
      </c>
      <c r="K22" s="128">
        <f t="shared" si="1"/>
        <v>5492.2000000000016</v>
      </c>
      <c r="L22" s="119">
        <f t="shared" si="1"/>
        <v>8002.920000000001</v>
      </c>
      <c r="M22" s="230">
        <f t="shared" si="2"/>
        <v>126163.68000000002</v>
      </c>
      <c r="N22" s="277">
        <f t="shared" si="3"/>
        <v>30508.474576271168</v>
      </c>
      <c r="O22" s="239">
        <f t="shared" si="4"/>
        <v>783.36077288135596</v>
      </c>
      <c r="P22" s="311">
        <f t="shared" si="5"/>
        <v>157455.51534915256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500</v>
      </c>
      <c r="H25" s="113">
        <f t="shared" si="7"/>
        <v>0</v>
      </c>
      <c r="I25" s="114">
        <f t="shared" si="7"/>
        <v>1238450</v>
      </c>
      <c r="J25" s="274">
        <f>SUM(J16:J24)</f>
        <v>190306</v>
      </c>
      <c r="K25" s="275">
        <f t="shared" si="7"/>
        <v>43345.750000000007</v>
      </c>
      <c r="L25" s="276">
        <f t="shared" si="7"/>
        <v>8002.920000000001</v>
      </c>
      <c r="M25" s="232">
        <f t="shared" si="7"/>
        <v>996795.33</v>
      </c>
      <c r="N25" s="233">
        <f>SUM(N16:N24)</f>
        <v>234915.25423728811</v>
      </c>
      <c r="O25" s="101">
        <f>SUM(O16:O24)</f>
        <v>6158.5529211864405</v>
      </c>
      <c r="P25" s="113">
        <f>SUM(P16:P24)</f>
        <v>1237869.1371584744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1238450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190306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51348.670000000006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996795.33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234915.25423728811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1231710.584237288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6158.5529211864405</v>
      </c>
    </row>
    <row r="35" spans="2:16" ht="15.75" customHeight="1" thickBot="1" x14ac:dyDescent="0.4">
      <c r="N35" s="372" t="s">
        <v>88</v>
      </c>
      <c r="O35" s="373"/>
      <c r="P35" s="297">
        <f>+P33+P34</f>
        <v>1237869.1371584744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1" width="8.36328125" bestFit="1" customWidth="1"/>
    <col min="12" max="12" width="7.36328125" bestFit="1" customWidth="1"/>
    <col min="13" max="13" width="7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v>46263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46262</v>
      </c>
      <c r="O5" s="392"/>
      <c r="P5" s="392"/>
      <c r="R5" s="85"/>
      <c r="S5" s="266"/>
    </row>
    <row r="6" spans="1:22 16383:16384" ht="18.7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3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0.16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>
        <v>30</v>
      </c>
      <c r="H16" s="112"/>
      <c r="I16" s="235">
        <f>(G16*D16)*F16+H16*F16</f>
        <v>62955</v>
      </c>
      <c r="J16" s="271">
        <f>$I16*S16</f>
        <v>10072.800000000001</v>
      </c>
      <c r="K16" s="127">
        <f>$I16*T16</f>
        <v>2203.4250000000002</v>
      </c>
      <c r="L16" s="118">
        <f>$I16*U16</f>
        <v>0</v>
      </c>
      <c r="M16" s="229">
        <f>I16-SUM(J16:L16)</f>
        <v>50678.774999999994</v>
      </c>
      <c r="N16" s="248">
        <f>+(G16*D16+H16)*V16</f>
        <v>11898.305084745758</v>
      </c>
      <c r="O16" s="238">
        <f>(N16+M16)*$O$15</f>
        <v>312.88540042372875</v>
      </c>
      <c r="P16" s="310">
        <f>M16+N16+O16</f>
        <v>62889.96548516948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>
        <v>30</v>
      </c>
      <c r="H17" s="96"/>
      <c r="I17" s="236">
        <f t="shared" ref="I17:I23" si="0">(G17*D17)*F17+H17*F17</f>
        <v>62955</v>
      </c>
      <c r="J17" s="272">
        <f t="shared" ref="J17:L24" si="1">$I17*S17</f>
        <v>10072.800000000001</v>
      </c>
      <c r="K17" s="128">
        <f>$I17*T17</f>
        <v>2203.4250000000002</v>
      </c>
      <c r="L17" s="119">
        <f>$I17*U17</f>
        <v>0</v>
      </c>
      <c r="M17" s="230">
        <f t="shared" ref="M17:M24" si="2">I17-SUM(J17:L17)</f>
        <v>50678.774999999994</v>
      </c>
      <c r="N17" s="277">
        <f t="shared" ref="N17:N24" si="3">+(G17*D17+H17)*V17</f>
        <v>11898.305084745758</v>
      </c>
      <c r="O17" s="239">
        <f t="shared" ref="O17:O24" si="4">(N17+M17)*$O$15</f>
        <v>312.88540042372875</v>
      </c>
      <c r="P17" s="311">
        <f t="shared" ref="P17:P24" si="5">M17+N17+O17</f>
        <v>62889.96548516948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>
        <v>40</v>
      </c>
      <c r="H18" s="96"/>
      <c r="I18" s="236">
        <f t="shared" si="0"/>
        <v>83940</v>
      </c>
      <c r="J18" s="272">
        <f t="shared" si="1"/>
        <v>13430.4</v>
      </c>
      <c r="K18" s="128">
        <f t="shared" si="1"/>
        <v>2937.9</v>
      </c>
      <c r="L18" s="119">
        <f t="shared" si="1"/>
        <v>0</v>
      </c>
      <c r="M18" s="230">
        <f t="shared" si="2"/>
        <v>67571.7</v>
      </c>
      <c r="N18" s="277">
        <f t="shared" si="3"/>
        <v>15864.406779661011</v>
      </c>
      <c r="O18" s="239">
        <f t="shared" si="4"/>
        <v>417.18053389830499</v>
      </c>
      <c r="P18" s="311">
        <f t="shared" si="5"/>
        <v>83853.287313559311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120</v>
      </c>
      <c r="H19" s="96"/>
      <c r="I19" s="236">
        <f t="shared" si="0"/>
        <v>348672</v>
      </c>
      <c r="J19" s="272">
        <f t="shared" si="1"/>
        <v>55787.520000000004</v>
      </c>
      <c r="K19" s="128">
        <f t="shared" si="1"/>
        <v>12203.52</v>
      </c>
      <c r="L19" s="119">
        <f t="shared" si="1"/>
        <v>0</v>
      </c>
      <c r="M19" s="230">
        <f t="shared" si="2"/>
        <v>280680.95999999996</v>
      </c>
      <c r="N19" s="277">
        <f t="shared" si="3"/>
        <v>65898.305084745763</v>
      </c>
      <c r="O19" s="239">
        <f t="shared" si="4"/>
        <v>1732.8963254237285</v>
      </c>
      <c r="P19" s="311">
        <f t="shared" si="5"/>
        <v>348312.16141016944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110</v>
      </c>
      <c r="H20" s="96"/>
      <c r="I20" s="236">
        <f t="shared" si="0"/>
        <v>319616</v>
      </c>
      <c r="J20" s="272">
        <f t="shared" si="1"/>
        <v>51138.559999999998</v>
      </c>
      <c r="K20" s="128">
        <f t="shared" si="1"/>
        <v>11186.560000000001</v>
      </c>
      <c r="L20" s="119">
        <f t="shared" si="1"/>
        <v>0</v>
      </c>
      <c r="M20" s="230">
        <f t="shared" si="2"/>
        <v>257290.88</v>
      </c>
      <c r="N20" s="277">
        <f t="shared" si="3"/>
        <v>60406.779661016953</v>
      </c>
      <c r="O20" s="239">
        <f t="shared" si="4"/>
        <v>1588.4882983050848</v>
      </c>
      <c r="P20" s="311">
        <f t="shared" si="5"/>
        <v>319286.14795932203</v>
      </c>
      <c r="Q20" s="156"/>
      <c r="R20">
        <f>P20/21</f>
        <v>15204.10228377724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120</v>
      </c>
      <c r="H21" s="96"/>
      <c r="I21" s="236">
        <f t="shared" si="0"/>
        <v>348672</v>
      </c>
      <c r="J21" s="272">
        <f t="shared" si="1"/>
        <v>55787.520000000004</v>
      </c>
      <c r="K21" s="128">
        <f t="shared" si="1"/>
        <v>12203.52</v>
      </c>
      <c r="L21" s="119">
        <f t="shared" si="1"/>
        <v>0</v>
      </c>
      <c r="M21" s="230">
        <f t="shared" si="2"/>
        <v>280680.95999999996</v>
      </c>
      <c r="N21" s="277">
        <f t="shared" si="3"/>
        <v>65898.305084745763</v>
      </c>
      <c r="O21" s="239">
        <f t="shared" si="4"/>
        <v>1732.8963254237285</v>
      </c>
      <c r="P21" s="311">
        <f t="shared" si="5"/>
        <v>348312.16141016944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>
        <v>50</v>
      </c>
      <c r="H22" s="96"/>
      <c r="I22" s="236">
        <f t="shared" si="0"/>
        <v>78460.000000000015</v>
      </c>
      <c r="J22" s="272">
        <f t="shared" si="1"/>
        <v>8630.6000000000022</v>
      </c>
      <c r="K22" s="128">
        <f t="shared" si="1"/>
        <v>2746.1000000000008</v>
      </c>
      <c r="L22" s="119">
        <f t="shared" si="1"/>
        <v>4001.4600000000005</v>
      </c>
      <c r="M22" s="230">
        <f t="shared" si="2"/>
        <v>63081.840000000011</v>
      </c>
      <c r="N22" s="277">
        <f t="shared" si="3"/>
        <v>15254.237288135584</v>
      </c>
      <c r="O22" s="239">
        <f t="shared" si="4"/>
        <v>391.68038644067798</v>
      </c>
      <c r="P22" s="311">
        <f t="shared" si="5"/>
        <v>78727.757674576278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500</v>
      </c>
      <c r="H25" s="113">
        <f t="shared" si="7"/>
        <v>0</v>
      </c>
      <c r="I25" s="114">
        <f t="shared" si="7"/>
        <v>1305270</v>
      </c>
      <c r="J25" s="274">
        <f>SUM(J16:J24)</f>
        <v>204920.20000000004</v>
      </c>
      <c r="K25" s="275">
        <f t="shared" si="7"/>
        <v>45684.450000000004</v>
      </c>
      <c r="L25" s="276">
        <f t="shared" si="7"/>
        <v>4001.4600000000005</v>
      </c>
      <c r="M25" s="232">
        <f t="shared" si="7"/>
        <v>1050663.8899999999</v>
      </c>
      <c r="N25" s="233">
        <f>SUM(N16:N24)</f>
        <v>247118.64406779659</v>
      </c>
      <c r="O25" s="101">
        <f>SUM(O16:O24)</f>
        <v>6488.9126703389829</v>
      </c>
      <c r="P25" s="113">
        <f>SUM(P16:P24)</f>
        <v>1304271.4467381353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1305270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204920.20000000004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49685.91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1050663.8900000001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247118.64406779659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1297782.5340677968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6488.9126703389838</v>
      </c>
    </row>
    <row r="35" spans="2:16" ht="15.75" customHeight="1" thickBot="1" x14ac:dyDescent="0.4">
      <c r="N35" s="372" t="s">
        <v>88</v>
      </c>
      <c r="O35" s="373"/>
      <c r="P35" s="297">
        <f>+P33+P34</f>
        <v>1304271.4467381358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46264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46263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46264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46263</v>
      </c>
      <c r="O5" s="392"/>
      <c r="P5" s="392"/>
      <c r="R5" s="85"/>
      <c r="S5" s="266"/>
    </row>
    <row r="6" spans="1:22 16383:16384" ht="15" customHeight="1" x14ac:dyDescent="0.4">
      <c r="A6" s="398" t="s">
        <v>501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46264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46263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46264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46263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46264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46263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46264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46263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46264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46263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46264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46263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46264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46263</v>
      </c>
      <c r="O5" s="392"/>
      <c r="P5" s="392"/>
      <c r="R5" s="85"/>
      <c r="S5" s="266"/>
    </row>
    <row r="6" spans="1:22 16383:16384" ht="15" customHeight="1" x14ac:dyDescent="0.4">
      <c r="A6" s="398" t="s">
        <v>502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46264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46263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46264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46263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46264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46263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46264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46263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46264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46263</v>
      </c>
      <c r="O5" s="392"/>
      <c r="P5" s="392"/>
      <c r="R5" s="85"/>
      <c r="S5" s="266"/>
    </row>
    <row r="6" spans="1:22 16383:16384" ht="15" customHeight="1" x14ac:dyDescent="0.4">
      <c r="A6" s="398" t="s">
        <v>503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46264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46263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46264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46263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46264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46263</v>
      </c>
      <c r="O5" s="392"/>
      <c r="P5" s="392"/>
      <c r="R5" s="85"/>
      <c r="S5" s="266"/>
    </row>
    <row r="6" spans="1:22 16383:16384" ht="18.75" customHeight="1" x14ac:dyDescent="0.4">
      <c r="A6" s="398" t="s">
        <v>504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46264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46263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46264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46263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46264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46263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46264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46263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46264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46263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46264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46263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46264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46263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46264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46263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46264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46263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506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46264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46263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512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512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46264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46263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2026-08-29T04:52:43Z</dcterms:modified>
</cp:coreProperties>
</file>