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4CC6A534-0D67-4E43-AACD-0E579B681628}" xr6:coauthVersionLast="47" xr6:coauthVersionMax="47" xr10:uidLastSave="{00000000-0000-0000-0000-000000000000}"/>
  <bookViews>
    <workbookView xWindow="-110" yWindow="-110" windowWidth="19420" windowHeight="10420" tabRatio="872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M23" i="61" s="1"/>
  <c r="O23" i="61" s="1"/>
  <c r="P23" i="61" s="1"/>
  <c r="K23" i="61"/>
  <c r="L23" i="6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M20" i="48" s="1"/>
  <c r="O20" i="48" s="1"/>
  <c r="P20" i="48" s="1"/>
  <c r="R20" i="48" s="1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1" i="47" l="1"/>
  <c r="O21" i="47" s="1"/>
  <c r="P21" i="47" s="1"/>
  <c r="M20" i="47"/>
  <c r="O20" i="47" s="1"/>
  <c r="P20" i="47" s="1"/>
  <c r="R20" i="47" s="1"/>
  <c r="M20" i="46"/>
  <c r="O20" i="46" s="1"/>
  <c r="P20" i="46" s="1"/>
  <c r="R20" i="46" s="1"/>
  <c r="J25" i="61"/>
  <c r="P29" i="61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<sst xmlns="http://schemas.openxmlformats.org/spreadsheetml/2006/main" count="3978" uniqueCount="529">
  <si>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</si>
  <si>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</si>
  <si>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</si>
  <si>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</si>
  <si>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</si>
  <si>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</si>
  <si>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</si>
  <si>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</si>
  <si>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</si>
  <si>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</si>
  <si>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</si>
  <si>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</si>
  <si>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</si>
  <si>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</si>
  <si>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</si>
  <si>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</si>
  <si>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</si>
  <si>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</si>
  <si>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</si>
  <si>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</si>
  <si>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</si>
  <si>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</si>
  <si>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</si>
  <si>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</si>
  <si>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</si>
  <si>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</si>
  <si>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</si>
  <si>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</si>
  <si>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</si>
  <si>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</si>
  <si>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</si>
  <si>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</si>
  <si>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</si>
  <si>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</si>
  <si>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</si>
  <si>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</si>
  <si>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</si>
  <si>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</si>
  <si>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</si>
  <si>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</si>
  <si>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</si>
  <si>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</si>
  <si>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</si>
  <si>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</si>
  <si>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</si>
  <si>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</si>
  <si>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</si>
  <si>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</si>
  <si>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</si>
  <si>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</si>
  <si>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</si>
  <si>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</si>
  <si>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</si>
  <si>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</si>
  <si>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</si>
  <si>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</si>
  <si>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</si>
  <si>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</si>
  <si>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</si>
  <si>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</si>
  <si>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</si>
  <si>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</si>
  <si>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</si>
  <si>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</si>
  <si>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</si>
  <si>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</si>
  <si>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</si>
  <si>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</si>
  <si>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</si>
  <si>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</si>
  <si>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</si>
  <si>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</si>
  <si>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</si>
  <si>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</si>
  <si>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</si>
  <si>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</si>
  <si>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</si>
  <si>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</si>
  <si>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</si>
  <si>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</si>
  <si>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</si>
  <si>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</si>
  <si>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</si>
  <si>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</si>
  <si>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</si>
  <si>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</si>
  <si>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</si>
  <si>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</si>
  <si>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</si>
  <si>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</si>
  <si>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</si>
  <si>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</si>
  <si>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</si>
  <si>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</si>
  <si>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</si>
  <si>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</si>
  <si>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</si>
  <si>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</si>
  <si>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</si>
  <si>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</si>
  <si>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</si>
  <si>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</si>
  <si>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</si>
  <si>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</si>
  <si>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</si>
  <si>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</si>
  <si>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</si>
  <si>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</si>
  <si>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</si>
  <si>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</si>
  <si>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</si>
  <si>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</si>
  <si>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</si>
  <si>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</si>
  <si>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</si>
  <si>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</si>
  <si>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</si>
  <si>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</si>
  <si>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</si>
  <si>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</si>
  <si>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</si>
  <si>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</si>
  <si>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</si>
  <si>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</si>
  <si>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</si>
  <si>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</si>
  <si>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</si>
  <si>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</si>
  <si>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</si>
  <si>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</si>
  <si>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</si>
  <si>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</si>
  <si>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</si>
  <si>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</si>
  <si>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</si>
  <si>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</si>
  <si>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</si>
  <si>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</si>
  <si>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</si>
  <si>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</si>
  <si>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</si>
  <si>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</si>
  <si>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</si>
  <si>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</si>
  <si>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</si>
  <si>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</si>
  <si>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</si>
  <si>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</si>
  <si>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</si>
  <si>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</si>
  <si>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</si>
  <si>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</si>
  <si>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</si>
  <si>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</si>
  <si>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</si>
  <si>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</si>
  <si>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</si>
  <si>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</si>
  <si>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</si>
  <si>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</si>
  <si>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</si>
  <si>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</si>
  <si>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</si>
  <si>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</si>
  <si>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</si>
  <si>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</si>
  <si>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</si>
  <si>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</si>
  <si>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</si>
  <si>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</si>
  <si>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</si>
  <si>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</si>
  <si>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</si>
  <si>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</si>
  <si>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</si>
  <si>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</si>
  <si>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</si>
  <si>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</si>
  <si>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</si>
  <si>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</si>
  <si>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</si>
  <si>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</si>
  <si>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</si>
  <si>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</si>
  <si>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</si>
  <si>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</si>
  <si>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</si>
  <si>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</si>
  <si>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</si>
  <si>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</si>
  <si>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</si>
  <si>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</si>
  <si>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</si>
  <si>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</si>
  <si>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</si>
  <si>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</si>
  <si>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</si>
  <si>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</si>
  <si>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</si>
  <si>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</si>
  <si>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</si>
  <si>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</si>
  <si>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</si>
  <si>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</si>
  <si>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</si>
  <si>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</si>
  <si>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</si>
  <si>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</si>
  <si>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</si>
  <si>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</si>
  <si>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</si>
  <si>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</si>
  <si>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</si>
  <si>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</si>
  <si>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</si>
  <si>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</si>
  <si>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</si>
  <si>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</si>
  <si>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</si>
  <si>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</si>
  <si>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</si>
  <si>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</si>
  <si>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</si>
  <si>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</si>
  <si>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</si>
  <si>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</si>
  <si>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</si>
  <si>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</si>
  <si>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</si>
  <si>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</si>
  <si>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</si>
  <si>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</si>
  <si>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</si>
  <si>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</si>
  <si>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</si>
  <si>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</si>
  <si>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</si>
  <si>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</si>
  <si>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</si>
  <si>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</si>
  <si>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</si>
  <si>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</si>
  <si>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</si>
  <si>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</si>
  <si>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</si>
  <si>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</si>
  <si>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</si>
  <si>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</si>
  <si>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</si>
  <si>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</si>
  <si>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</si>
  <si>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</si>
  <si>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</si>
  <si>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</si>
  <si>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</si>
  <si>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</si>
  <si>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</si>
  <si>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</si>
  <si>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</si>
  <si>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</si>
  <si>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</si>
  <si>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</si>
  <si>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</si>
  <si>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</si>
  <si>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</si>
  <si>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</si>
  <si>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</si>
  <si>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</si>
  <si>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</si>
  <si>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</si>
  <si>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</si>
  <si>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</si>
  <si>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</si>
  <si>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</si>
  <si>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</si>
  <si>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</si>
  <si>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</si>
  <si>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</si>
  <si>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</si>
  <si>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</si>
  <si>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</si>
  <si>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</si>
  <si>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</si>
  <si>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</si>
  <si>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</si>
  <si>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</si>
  <si>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</si>
  <si>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</si>
  <si>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</si>
  <si>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</si>
  <si>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</si>
  <si>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</si>
  <si>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</si>
  <si>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</si>
  <si>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</si>
  <si>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</si>
  <si>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</si>
  <si>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</si>
  <si>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</si>
  <si>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</si>
  <si>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</si>
  <si>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</si>
  <si>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</si>
  <si>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</si>
  <si>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</si>
  <si>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</si>
  <si>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</si>
  <si>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</si>
  <si>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</si>
  <si>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</si>
  <si>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</si>
  <si>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</si>
  <si>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</si>
  <si>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</si>
  <si>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</si>
  <si>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</si>
  <si>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</si>
  <si>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</si>
  <si>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</si>
  <si>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</si>
  <si>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</si>
  <si>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</si>
  <si>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</si>
  <si>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</si>
  <si>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</si>
  <si>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</si>
  <si>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</si>
  <si>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</si>
  <si>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</si>
  <si>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</si>
  <si>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</si>
  <si>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</si>
  <si>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</si>
  <si>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</si>
  <si>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</si>
  <si>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</si>
  <si>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</si>
  <si>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</si>
  <si>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</si>
  <si>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</si>
  <si>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</si>
  <si>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</si>
  <si>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</si>
  <si>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</si>
  <si>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</si>
  <si>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</si>
  <si>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</si>
  <si>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</si>
  <si>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</si>
  <si>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</si>
  <si>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</si>
  <si>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</si>
  <si>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</si>
  <si>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</si>
  <si>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</si>
  <si>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</si>
  <si>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</si>
  <si>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</si>
  <si>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</si>
  <si>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</si>
  <si>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</si>
  <si>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</si>
  <si>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</si>
  <si>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</si>
  <si>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</si>
  <si>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</si>
  <si>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</si>
  <si>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</si>
  <si>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</si>
  <si>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</si>
  <si>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</si>
  <si>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</si>
  <si>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</si>
  <si>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</si>
  <si>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</si>
  <si>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</si>
  <si>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</si>
  <si>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</si>
  <si>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</si>
  <si>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</si>
  <si>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</si>
  <si>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</si>
  <si>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</si>
  <si>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</si>
  <si>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</si>
  <si>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</si>
  <si>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</si>
  <si>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</si>
  <si>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</si>
  <si>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</si>
  <si>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</si>
  <si>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</si>
  <si>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</si>
  <si>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</si>
  <si>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</si>
  <si>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</si>
  <si>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</si>
  <si>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</si>
  <si>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</si>
  <si>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</si>
  <si>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</si>
  <si>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</si>
  <si>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</si>
  <si>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</si>
  <si>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</si>
  <si>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</si>
  <si>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</si>
  <si>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</si>
  <si>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</si>
  <si>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</si>
  <si>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</si>
  <si>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</si>
  <si>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</si>
  <si>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</si>
  <si>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</si>
  <si>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</si>
  <si>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</si>
  <si>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</si>
  <si>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</si>
  <si>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</si>
  <si>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</si>
  <si>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</si>
  <si>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</si>
  <si>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</si>
  <si>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</si>
  <si>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</si>
  <si>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</si>
  <si>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</si>
  <si>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</si>
  <si>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</si>
  <si>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</si>
  <si>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</si>
  <si>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</si>
  <si>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</si>
  <si>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</si>
  <si>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</si>
  <si>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</si>
  <si>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</si>
  <si>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</si>
  <si>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</si>
  <si>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</si>
  <si>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</si>
  <si>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</si>
  <si>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</si>
  <si>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</si>
  <si>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</si>
  <si>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</si>
  <si>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</si>
  <si>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</si>
  <si>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</si>
  <si>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</si>
  <si>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</si>
  <si>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</si>
  <si>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</si>
  <si>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</si>
  <si>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</si>
  <si>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</si>
  <si>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</si>
  <si>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</si>
  <si>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</si>
  <si>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</si>
  <si>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</si>
  <si>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</si>
  <si>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</si>
  <si>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</si>
  <si>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</si>
  <si>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</si>
  <si>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</si>
  <si>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</si>
  <si>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</si>
  <si>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</si>
  <si>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</si>
  <si>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</si>
  <si>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</si>
  <si>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</si>
  <si>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</si>
  <si>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</si>
  <si>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</si>
  <si>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</si>
  <si>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</si>
  <si>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</si>
  <si>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</si>
  <si>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</si>
  <si>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</si>
  <si>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</si>
  <si>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</si>
  <si>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</si>
  <si>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</si>
  <si>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</si>
  <si>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</si>
  <si>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</si>
  <si>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</si>
  <si>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</si>
  <si>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</si>
  <si>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</si>
  <si>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</si>
  <si>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</si>
  <si>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</si>
  <si>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</si>
  <si>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</si>
  <si>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</si>
  <si>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</si>
  <si>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</si>
  <si>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</si>
  <si>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</si>
  <si>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</si>
  <si>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</si>
  <si>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</si>
  <si>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</si>
  <si>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</si>
  <si>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</si>
  <si>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</si>
  <si>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</si>
  <si>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</si>
  <si>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Usama</t>
  </si>
  <si>
    <t>Maher Waqar</t>
  </si>
  <si>
    <t>Umair</t>
  </si>
  <si>
    <t xml:space="preserve">Gulshan Bakers </t>
  </si>
  <si>
    <t>Address: Awan Market</t>
  </si>
  <si>
    <t>Shah taj Store</t>
  </si>
  <si>
    <t xml:space="preserve">Al Makkah </t>
  </si>
  <si>
    <t xml:space="preserve">Hafiz Bakers </t>
  </si>
  <si>
    <t>Address: awan Market</t>
  </si>
  <si>
    <t>Mozzam Store</t>
  </si>
  <si>
    <t>Address: Younaabad</t>
  </si>
  <si>
    <t xml:space="preserve">Kekis  Bakers </t>
  </si>
  <si>
    <t>Address: younabad</t>
  </si>
  <si>
    <t xml:space="preserve">Palace Bakers </t>
  </si>
  <si>
    <t>Address: Kacha Jail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</si>
</sst>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30" workbookViewId="0">
      <selection activeCell="G37" sqref="G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6" t="s">
        <v>91</v>
      </c>
      <c r="B2" s="366"/>
      <c r="C2" s="366"/>
      <c r="E2" s="353" t="s">
        <v>499</v>
      </c>
      <c r="F2" s="354"/>
      <c r="G2" s="354"/>
      <c r="H2" s="351" t="s">
        <v>516</v>
      </c>
      <c r="I2" s="351"/>
      <c r="J2" s="352"/>
      <c r="R2" s="348" t="s">
        <v>498</v>
      </c>
      <c r="S2" s="349"/>
      <c r="T2" s="350"/>
    </row>
    <row r="3" spans="1:20 16377:16378" ht="21.75" customHeight="1" thickBot="1" x14ac:dyDescent="0.4">
      <c r="A3" s="367" t="s">
        <v>92</v>
      </c>
      <c r="B3" s="367"/>
      <c r="C3" s="367"/>
      <c r="E3" s="357" t="s">
        <v>512</v>
      </c>
      <c r="F3" s="358"/>
      <c r="G3" s="358"/>
      <c r="H3" s="355">
        <f ca="1">TODAY()</f>
        <v>46239</v>
      </c>
      <c r="I3" s="355"/>
      <c r="J3" s="356"/>
      <c r="K3" s="368" t="s">
        <v>43</v>
      </c>
      <c r="L3" s="368"/>
      <c r="M3" s="368"/>
      <c r="N3" s="367"/>
      <c r="O3" s="367"/>
      <c r="P3" s="367"/>
      <c r="R3" s="299">
        <v>1</v>
      </c>
      <c r="S3" s="300" t="str">
        <f>+'1'!A6:A6</f>
        <v xml:space="preserve">Gulshan Bakers </v>
      </c>
      <c r="T3" s="301">
        <f>+'1'!P35</f>
        <v>566.26289570974575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Shah taj Store</v>
      </c>
      <c r="T4" s="301">
        <f>+'2'!P35</f>
        <v>1669.1779134915255</v>
      </c>
      <c r="XEX4" t="s">
        <v>105</v>
      </c>
    </row>
    <row r="5" spans="1:20 16377:16378" ht="21.75" customHeight="1" thickBot="1" x14ac:dyDescent="0.4">
      <c r="A5" s="387" t="s">
        <v>51</v>
      </c>
      <c r="B5" s="359"/>
      <c r="C5" s="389" t="s">
        <v>90</v>
      </c>
      <c r="D5" s="115" t="s">
        <v>52</v>
      </c>
      <c r="E5" s="391" t="s">
        <v>58</v>
      </c>
      <c r="F5" s="392"/>
      <c r="G5" s="364" t="s">
        <v>54</v>
      </c>
      <c r="H5" s="365"/>
      <c r="I5" s="393" t="s">
        <v>77</v>
      </c>
      <c r="J5" s="363" t="s">
        <v>55</v>
      </c>
      <c r="K5" s="364"/>
      <c r="L5" s="365"/>
      <c r="M5" s="359" t="s">
        <v>84</v>
      </c>
      <c r="N5" s="361" t="s">
        <v>495</v>
      </c>
      <c r="O5" s="103" t="s">
        <v>89</v>
      </c>
      <c r="P5" s="115" t="s">
        <v>56</v>
      </c>
      <c r="Q5" s="315" t="s">
        <v>511</v>
      </c>
      <c r="R5" s="314">
        <v>3</v>
      </c>
      <c r="S5" s="300" t="str">
        <f>+'3'!A6:A6</f>
        <v xml:space="preserve">Al Makkah </v>
      </c>
      <c r="T5" s="301">
        <f>+'3'!P35</f>
        <v>1669.1779134915255</v>
      </c>
      <c r="XEX5" t="s">
        <v>106</v>
      </c>
    </row>
    <row r="6" spans="1:20 16377:16378" ht="21.75" customHeight="1" thickBot="1" x14ac:dyDescent="0.4">
      <c r="A6" s="388"/>
      <c r="B6" s="360"/>
      <c r="C6" s="39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2"/>
      <c r="J6" s="143" t="s">
        <v>59</v>
      </c>
      <c r="K6" s="144" t="s">
        <v>39</v>
      </c>
      <c r="L6" s="145" t="s">
        <v>493</v>
      </c>
      <c r="M6" s="360"/>
      <c r="N6" s="362"/>
      <c r="O6" s="228" t="e">
        <f>IF(#REF!="Filer",0.5%,2.5%)</f>
        <v>#REF!</v>
      </c>
      <c r="P6" s="111" t="s">
        <v>38</v>
      </c>
      <c r="Q6" s="315" t="s">
        <v>510</v>
      </c>
      <c r="R6" s="314">
        <v>4</v>
      </c>
      <c r="S6" s="300" t="str">
        <f>+'4'!A6:A6</f>
        <v xml:space="preserve">Hafiz Bakers </v>
      </c>
      <c r="T6" s="301">
        <f>+'4'!P35</f>
        <v>705.64760664406776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10</v>
      </c>
      <c r="I7" s="235">
        <f>(G7*D7)*F7+H7*F7</f>
        <v>524.625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41.97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18.361875000000001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464.29312500000003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99.152542372881314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2.8172283368644067</v>
      </c>
      <c r="P7" s="310">
        <f>M7+N7+O7</f>
        <v>566.26289570974575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Mozzam Store</v>
      </c>
      <c r="T7" s="301">
        <f>+'5'!P35</f>
        <v>6272.4231701694916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 xml:space="preserve">Kekis  Bakers </v>
      </c>
      <c r="T8" s="301">
        <f>+'6'!P35</f>
        <v>6272.4231701694916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 xml:space="preserve">Palace Bakers </v>
      </c>
      <c r="T9" s="301">
        <f>+'7'!P35</f>
        <v>4805.3894985762709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98</v>
      </c>
      <c r="I10" s="236">
        <f t="shared" si="0"/>
        <v>7118.72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569.49760000000003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249.15520000000001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6300.0672000000004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1345.4237288135596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38.227454644067798</v>
      </c>
      <c r="P10" s="311">
        <f t="shared" si="2"/>
        <v>7683.7183834576281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33</v>
      </c>
      <c r="I11" s="236">
        <f t="shared" si="0"/>
        <v>2397.12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191.7696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83.899200000000008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2121.4512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453.05084745762713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12.872510237288136</v>
      </c>
      <c r="P11" s="311">
        <f t="shared" si="2"/>
        <v>2587.3745576949154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78</v>
      </c>
      <c r="I12" s="236">
        <f t="shared" si="0"/>
        <v>5665.92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453.27360000000004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198.30720000000002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5014.3392000000003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1070.8474576271187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30.425933288135592</v>
      </c>
      <c r="P12" s="311">
        <f t="shared" si="2"/>
        <v>6115.6125909152543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120</v>
      </c>
      <c r="I13" s="236">
        <f t="shared" si="0"/>
        <v>4707.6000000000004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235.38000000000005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164.76600000000002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240.08760000000001</v>
      </c>
      <c r="M13" s="230">
        <f t="shared" si="1"/>
        <v>4067.3664000000003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915.25423728813507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24.913103186440679</v>
      </c>
      <c r="P13" s="311">
        <f t="shared" si="2"/>
        <v>5007.533740474576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69">
        <f>COUNT(A7:A15)</f>
        <v>0</v>
      </c>
      <c r="B16" s="370"/>
      <c r="C16" s="370" t="s">
        <v>40</v>
      </c>
      <c r="D16" s="370"/>
      <c r="E16" s="370"/>
      <c r="F16" s="371"/>
      <c r="G16" s="117">
        <f>H16/40</f>
        <v>8.4749999999999996</v>
      </c>
      <c r="H16" s="113">
        <f t="shared" ref="H16:M16" si="3">SUM(H7:H15)</f>
        <v>339</v>
      </c>
      <c r="I16" s="114">
        <f t="shared" si="3"/>
        <v>20413.985000000001</v>
      </c>
      <c r="J16" s="274">
        <f>SUM(J7:J15)</f>
        <v>1491.8908000000001</v>
      </c>
      <c r="K16" s="275">
        <f t="shared" si="3"/>
        <v>714.48947500000008</v>
      </c>
      <c r="L16" s="276">
        <f t="shared" si="3"/>
        <v>240.08760000000001</v>
      </c>
      <c r="M16" s="232">
        <f t="shared" si="3"/>
        <v>17967.517125000002</v>
      </c>
      <c r="N16" s="233">
        <f>SUM(N7:N15)</f>
        <v>3883.7288135593217</v>
      </c>
      <c r="O16" s="101">
        <f>SUM(O7:O15)</f>
        <v>109.25622969279662</v>
      </c>
      <c r="P16" s="113">
        <f>SUM(P7:P15)</f>
        <v>21960.502168252122</v>
      </c>
      <c r="Q16" s="128">
        <f>SUM(Q7:Q15)</f>
        <v>0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72" t="s">
        <v>64</v>
      </c>
      <c r="C19" s="373"/>
      <c r="D19" s="373"/>
      <c r="E19" s="373"/>
      <c r="F19" s="373"/>
      <c r="G19" s="373"/>
      <c r="H19" s="373"/>
      <c r="I19" s="373"/>
      <c r="J19" s="373"/>
      <c r="K19" s="373"/>
      <c r="L19" s="374"/>
      <c r="N19" s="381" t="s">
        <v>60</v>
      </c>
      <c r="O19" s="382"/>
      <c r="P19" s="139">
        <f>I16</f>
        <v>20413.985000000001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75"/>
      <c r="C20" s="376"/>
      <c r="D20" s="376"/>
      <c r="E20" s="376"/>
      <c r="F20" s="376"/>
      <c r="G20" s="376"/>
      <c r="H20" s="376"/>
      <c r="I20" s="376"/>
      <c r="J20" s="376"/>
      <c r="K20" s="376"/>
      <c r="L20" s="377"/>
      <c r="N20" s="383" t="s">
        <v>85</v>
      </c>
      <c r="O20" s="384"/>
      <c r="P20" s="140">
        <f>+J16</f>
        <v>1491.8908000000001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75"/>
      <c r="C21" s="376"/>
      <c r="D21" s="376"/>
      <c r="E21" s="376"/>
      <c r="F21" s="376"/>
      <c r="G21" s="376"/>
      <c r="H21" s="376"/>
      <c r="I21" s="376"/>
      <c r="J21" s="376"/>
      <c r="K21" s="376"/>
      <c r="L21" s="377"/>
      <c r="N21" s="383" t="s">
        <v>86</v>
      </c>
      <c r="O21" s="384"/>
      <c r="P21" s="140">
        <f>+K16+L16</f>
        <v>954.57707500000015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75"/>
      <c r="C22" s="376"/>
      <c r="D22" s="376"/>
      <c r="E22" s="376"/>
      <c r="F22" s="376"/>
      <c r="G22" s="376"/>
      <c r="H22" s="376"/>
      <c r="I22" s="376"/>
      <c r="J22" s="376"/>
      <c r="K22" s="376"/>
      <c r="L22" s="377"/>
      <c r="M22" s="131"/>
      <c r="N22" s="383" t="s">
        <v>87</v>
      </c>
      <c r="O22" s="384"/>
      <c r="P22" s="140">
        <f>P19-P20-P21</f>
        <v>17967.517124999998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75"/>
      <c r="C23" s="376"/>
      <c r="D23" s="376"/>
      <c r="E23" s="376"/>
      <c r="F23" s="376"/>
      <c r="G23" s="376"/>
      <c r="H23" s="376"/>
      <c r="I23" s="376"/>
      <c r="J23" s="376"/>
      <c r="K23" s="376"/>
      <c r="L23" s="377"/>
      <c r="M23" s="131"/>
      <c r="N23" s="136" t="s">
        <v>61</v>
      </c>
      <c r="O23" s="133">
        <v>0.18</v>
      </c>
      <c r="P23" s="140">
        <f>+N16</f>
        <v>3883.7288135593217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75"/>
      <c r="C24" s="376"/>
      <c r="D24" s="376"/>
      <c r="E24" s="376"/>
      <c r="F24" s="376"/>
      <c r="G24" s="376"/>
      <c r="H24" s="376"/>
      <c r="I24" s="376"/>
      <c r="J24" s="376"/>
      <c r="K24" s="376"/>
      <c r="L24" s="377"/>
      <c r="M24" s="131"/>
      <c r="N24" s="385" t="s">
        <v>76</v>
      </c>
      <c r="O24" s="386"/>
      <c r="P24" s="140">
        <f>P22+P23</f>
        <v>21851.245938559321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78"/>
      <c r="C25" s="379"/>
      <c r="D25" s="379"/>
      <c r="E25" s="379"/>
      <c r="F25" s="379"/>
      <c r="G25" s="379"/>
      <c r="H25" s="379"/>
      <c r="I25" s="379"/>
      <c r="J25" s="379"/>
      <c r="K25" s="379"/>
      <c r="L25" s="380"/>
      <c r="M25" s="99"/>
      <c r="N25" s="138" t="s">
        <v>83</v>
      </c>
      <c r="O25" s="137" t="e">
        <f>IF(#REF!="Filer",0.5%,2.5%)</f>
        <v>#REF!</v>
      </c>
      <c r="P25" s="140">
        <f>+O16</f>
        <v>109.25622969279662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42" t="s">
        <v>88</v>
      </c>
      <c r="O26" s="343"/>
      <c r="P26" s="297">
        <f>+P24+P25</f>
        <v>21960.502168252118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4"/>
      <c r="D27" s="344"/>
      <c r="E27" s="344"/>
      <c r="F27" s="344"/>
      <c r="G27" s="344"/>
      <c r="H27" s="344"/>
      <c r="I27" s="345"/>
      <c r="J27" s="346"/>
      <c r="K27" s="347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21960.502168252118</v>
      </c>
    </row>
    <row r="44" spans="2:20" x14ac:dyDescent="0.35">
      <c r="B44" t="s">
        <v>504</v>
      </c>
    </row>
    <row r="45" spans="2:20" x14ac:dyDescent="0.35">
      <c r="B45" t="s">
        <v>505</v>
      </c>
    </row>
    <row r="46" spans="2:20" x14ac:dyDescent="0.35">
      <c r="B46" t="s">
        <v>506</v>
      </c>
    </row>
    <row r="47" spans="2:20" x14ac:dyDescent="0.35">
      <c r="B47" t="s">
        <v>507</v>
      </c>
    </row>
    <row r="48" spans="2:20" x14ac:dyDescent="0.35">
      <c r="B48" t="s">
        <v>508</v>
      </c>
    </row>
    <row r="49" spans="2:2" x14ac:dyDescent="0.35">
      <c r="B49" t="s">
        <v>513</v>
      </c>
    </row>
    <row r="50" spans="2:2" x14ac:dyDescent="0.35">
      <c r="B50" t="s">
        <v>514</v>
      </c>
    </row>
    <row r="51" spans="2:2" x14ac:dyDescent="0.35">
      <c r="B51" t="s">
        <v>515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7.25" customHeight="1" x14ac:dyDescent="0.4">
      <c r="A6" s="396" t="s">
        <v>517</v>
      </c>
      <c r="B6" s="396"/>
      <c r="C6" s="396"/>
      <c r="F6" s="85"/>
      <c r="G6" s="86"/>
      <c r="K6" s="368" t="s">
        <v>69</v>
      </c>
      <c r="L6" s="368"/>
      <c r="M6" s="368"/>
      <c r="N6" s="397" t="s">
        <v>506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6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6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310">
        <f>M16+N16+O16</f>
        <v>566.26289570974575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" si="8">SUM(G16:G24)</f>
        <v>0</v>
      </c>
      <c r="H25" s="113">
        <f t="shared" ref="H25" si="9">SUM(H16:H24)</f>
        <v>10</v>
      </c>
      <c r="I25" s="114">
        <f t="shared" ref="I25:M25" si="10">SUM(I16:I24)</f>
        <v>524.625</v>
      </c>
      <c r="J25" s="274">
        <f>SUM(J16:J24)</f>
        <v>41.97</v>
      </c>
      <c r="K25" s="275">
        <f t="shared" si="10"/>
        <v>18.361875000000001</v>
      </c>
      <c r="L25" s="276">
        <f t="shared" si="10"/>
        <v>0</v>
      </c>
      <c r="M25" s="232">
        <f t="shared" si="10"/>
        <v>464.29312500000003</v>
      </c>
      <c r="N25" s="233">
        <f>SUM(N16:N24)</f>
        <v>99.152542372881314</v>
      </c>
      <c r="O25" s="101">
        <f>SUM(O16:O24)</f>
        <v>2.8172283368644067</v>
      </c>
      <c r="P25" s="113">
        <f>SUM(P16:P24)</f>
        <v>566.26289570974575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524.625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41.97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18.361875000000001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464.29312499999997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563.4456673728813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42" t="s">
        <v>88</v>
      </c>
      <c r="O35" s="343"/>
      <c r="P35" s="297">
        <f>+P33+P34</f>
        <v>566.26289570974575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6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519</v>
      </c>
      <c r="B6" s="396"/>
      <c r="C6" s="396"/>
      <c r="F6" s="85"/>
      <c r="G6" s="86"/>
      <c r="K6" s="368" t="s">
        <v>69</v>
      </c>
      <c r="L6" s="368"/>
      <c r="M6" s="368"/>
      <c r="N6" s="397" t="s">
        <v>506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40</v>
      </c>
      <c r="I25" s="114">
        <f t="shared" si="7"/>
        <v>1569.2000000000003</v>
      </c>
      <c r="J25" s="274">
        <f>SUM(J16:J24)</f>
        <v>78.460000000000022</v>
      </c>
      <c r="K25" s="275">
        <f t="shared" si="7"/>
        <v>54.922000000000011</v>
      </c>
      <c r="L25" s="276">
        <f t="shared" si="7"/>
        <v>80.029200000000003</v>
      </c>
      <c r="M25" s="232">
        <f t="shared" si="7"/>
        <v>1355.7888000000003</v>
      </c>
      <c r="N25" s="233">
        <f>SUM(N16:N24)</f>
        <v>305.08474576271169</v>
      </c>
      <c r="O25" s="101">
        <f>SUM(O16:O24)</f>
        <v>8.3043677288135598</v>
      </c>
      <c r="P25" s="113">
        <f>SUM(P16:P24)</f>
        <v>1669.1779134915255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1569.2000000000003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78.460000000000022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134.95120000000003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1355.7888000000003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1660.873545762712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42" t="s">
        <v>88</v>
      </c>
      <c r="O35" s="343"/>
      <c r="P35" s="297">
        <f>+P33+P34</f>
        <v>1669.1779134915255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8.75" customHeight="1" x14ac:dyDescent="0.4">
      <c r="A6" s="396" t="s">
        <v>520</v>
      </c>
      <c r="B6" s="396"/>
      <c r="C6" s="396"/>
      <c r="F6" s="85"/>
      <c r="G6" s="86"/>
      <c r="K6" s="368" t="s">
        <v>69</v>
      </c>
      <c r="L6" s="368"/>
      <c r="M6" s="368"/>
      <c r="N6" s="397" t="s">
        <v>506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40</v>
      </c>
      <c r="I25" s="114">
        <f t="shared" si="7"/>
        <v>1569.2000000000003</v>
      </c>
      <c r="J25" s="274">
        <f>SUM(J16:J24)</f>
        <v>78.460000000000022</v>
      </c>
      <c r="K25" s="275">
        <f t="shared" si="7"/>
        <v>54.922000000000011</v>
      </c>
      <c r="L25" s="276">
        <f t="shared" si="7"/>
        <v>80.029200000000003</v>
      </c>
      <c r="M25" s="232">
        <f t="shared" si="7"/>
        <v>1355.7888000000003</v>
      </c>
      <c r="N25" s="233">
        <f>SUM(N16:N24)</f>
        <v>305.08474576271169</v>
      </c>
      <c r="O25" s="101">
        <f>SUM(O16:O24)</f>
        <v>8.3043677288135598</v>
      </c>
      <c r="P25" s="113">
        <f>SUM(P16:P24)</f>
        <v>1669.1779134915255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1569.2000000000003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78.460000000000022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134.95120000000003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1355.7888000000003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1660.873545762712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42" t="s">
        <v>88</v>
      </c>
      <c r="O35" s="343"/>
      <c r="P35" s="297">
        <f>+P33+P34</f>
        <v>1669.1779134915255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7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521</v>
      </c>
      <c r="B6" s="396"/>
      <c r="C6" s="396"/>
      <c r="F6" s="85"/>
      <c r="G6" s="86"/>
      <c r="K6" s="368" t="s">
        <v>69</v>
      </c>
      <c r="L6" s="368"/>
      <c r="M6" s="368"/>
      <c r="N6" s="397" t="s">
        <v>506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522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3</v>
      </c>
      <c r="I19" s="236">
        <f t="shared" si="0"/>
        <v>217.92000000000002</v>
      </c>
      <c r="J19" s="272">
        <f t="shared" si="1"/>
        <v>17.433600000000002</v>
      </c>
      <c r="K19" s="128">
        <f t="shared" si="1"/>
        <v>7.6272000000000011</v>
      </c>
      <c r="L19" s="119">
        <f t="shared" si="1"/>
        <v>0</v>
      </c>
      <c r="M19" s="230">
        <f t="shared" si="2"/>
        <v>192.85920000000002</v>
      </c>
      <c r="N19" s="277">
        <f t="shared" si="3"/>
        <v>41.186440677966104</v>
      </c>
      <c r="O19" s="239">
        <f t="shared" si="4"/>
        <v>1.1702282033898306</v>
      </c>
      <c r="P19" s="311">
        <f t="shared" si="5"/>
        <v>235.21586888135593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3</v>
      </c>
      <c r="I20" s="236">
        <f t="shared" si="0"/>
        <v>217.92000000000002</v>
      </c>
      <c r="J20" s="272">
        <f t="shared" si="1"/>
        <v>17.433600000000002</v>
      </c>
      <c r="K20" s="128">
        <f t="shared" si="1"/>
        <v>7.6272000000000011</v>
      </c>
      <c r="L20" s="119">
        <f t="shared" si="1"/>
        <v>0</v>
      </c>
      <c r="M20" s="230">
        <f t="shared" si="2"/>
        <v>192.85920000000002</v>
      </c>
      <c r="N20" s="277">
        <f t="shared" si="3"/>
        <v>41.186440677966104</v>
      </c>
      <c r="O20" s="239">
        <f t="shared" si="4"/>
        <v>1.1702282033898306</v>
      </c>
      <c r="P20" s="311">
        <f t="shared" si="5"/>
        <v>235.21586888135593</v>
      </c>
      <c r="Q20" s="156"/>
      <c r="R20">
        <f>P20/21</f>
        <v>11.200755661016949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3</v>
      </c>
      <c r="I21" s="236">
        <f t="shared" si="0"/>
        <v>217.92000000000002</v>
      </c>
      <c r="J21" s="272">
        <f t="shared" si="1"/>
        <v>17.433600000000002</v>
      </c>
      <c r="K21" s="128">
        <f t="shared" si="1"/>
        <v>7.6272000000000011</v>
      </c>
      <c r="L21" s="119">
        <f t="shared" si="1"/>
        <v>0</v>
      </c>
      <c r="M21" s="230">
        <f t="shared" si="2"/>
        <v>192.85920000000002</v>
      </c>
      <c r="N21" s="277">
        <f t="shared" si="3"/>
        <v>41.186440677966104</v>
      </c>
      <c r="O21" s="239">
        <f t="shared" si="4"/>
        <v>1.1702282033898306</v>
      </c>
      <c r="P21" s="311">
        <f t="shared" si="5"/>
        <v>235.21586888135593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9</v>
      </c>
      <c r="I25" s="114">
        <f t="shared" si="7"/>
        <v>653.76</v>
      </c>
      <c r="J25" s="274">
        <f>SUM(J16:J24)</f>
        <v>52.30080000000001</v>
      </c>
      <c r="K25" s="275">
        <f t="shared" si="7"/>
        <v>22.881600000000002</v>
      </c>
      <c r="L25" s="276">
        <f t="shared" si="7"/>
        <v>0</v>
      </c>
      <c r="M25" s="232">
        <f t="shared" si="7"/>
        <v>578.57760000000007</v>
      </c>
      <c r="N25" s="233">
        <f>SUM(N16:N24)</f>
        <v>123.55932203389831</v>
      </c>
      <c r="O25" s="101">
        <f>SUM(O16:O24)</f>
        <v>3.5106846101694917</v>
      </c>
      <c r="P25" s="113">
        <f>SUM(P16:P24)</f>
        <v>705.64760664406776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653.76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52.30080000000001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22.881600000000002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578.57759999999996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123.55932203389831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702.13692203389826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3.5106846101694913</v>
      </c>
    </row>
    <row r="35" spans="2:16" ht="15.75" customHeight="1" thickBot="1" x14ac:dyDescent="0.4">
      <c r="N35" s="342" t="s">
        <v>88</v>
      </c>
      <c r="O35" s="343"/>
      <c r="P35" s="297">
        <f>+P33+P34</f>
        <v>705.64760664406776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5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523</v>
      </c>
      <c r="B6" s="396"/>
      <c r="C6" s="396"/>
      <c r="F6" s="85"/>
      <c r="G6" s="86"/>
      <c r="K6" s="368" t="s">
        <v>69</v>
      </c>
      <c r="L6" s="368"/>
      <c r="M6" s="368"/>
      <c r="N6" s="397" t="s">
        <v>506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524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311">
        <f t="shared" si="5"/>
        <v>3136.2115850847458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311">
        <f t="shared" si="5"/>
        <v>3136.2115850847458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80</v>
      </c>
      <c r="I25" s="114">
        <f t="shared" si="7"/>
        <v>5811.2</v>
      </c>
      <c r="J25" s="274">
        <f>SUM(J16:J24)</f>
        <v>464.89600000000002</v>
      </c>
      <c r="K25" s="275">
        <f t="shared" si="7"/>
        <v>203.39200000000002</v>
      </c>
      <c r="L25" s="276">
        <f t="shared" si="7"/>
        <v>0</v>
      </c>
      <c r="M25" s="232">
        <f t="shared" si="7"/>
        <v>5142.9120000000003</v>
      </c>
      <c r="N25" s="233">
        <f>SUM(N16:N24)</f>
        <v>1098.3050847457628</v>
      </c>
      <c r="O25" s="101">
        <f>SUM(O16:O24)</f>
        <v>31.206085423728815</v>
      </c>
      <c r="P25" s="113">
        <f>SUM(P16:P24)</f>
        <v>6272.4231701694916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5811.2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464.89600000000002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203.39200000000002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5142.9120000000003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6241.2170847457628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31.206085423728815</v>
      </c>
    </row>
    <row r="35" spans="2:16" ht="15.75" customHeight="1" thickBot="1" x14ac:dyDescent="0.4">
      <c r="N35" s="342" t="s">
        <v>88</v>
      </c>
      <c r="O35" s="343"/>
      <c r="P35" s="297">
        <f>+P33+P34</f>
        <v>6272.4231701694916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5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525</v>
      </c>
      <c r="B6" s="396"/>
      <c r="C6" s="396"/>
      <c r="F6" s="85"/>
      <c r="G6" s="86"/>
      <c r="K6" s="368" t="s">
        <v>69</v>
      </c>
      <c r="L6" s="368"/>
      <c r="M6" s="368"/>
      <c r="N6" s="397" t="s">
        <v>506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526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311">
        <f t="shared" si="5"/>
        <v>3136.2115850847458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311">
        <f t="shared" si="5"/>
        <v>1568.1057925423729</v>
      </c>
      <c r="Q20" s="156"/>
      <c r="R20">
        <f>P20/21</f>
        <v>74.671704406779668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311">
        <f t="shared" si="5"/>
        <v>1568.1057925423729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0</v>
      </c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80</v>
      </c>
      <c r="I25" s="114">
        <f t="shared" si="7"/>
        <v>5811.2</v>
      </c>
      <c r="J25" s="274">
        <f>SUM(J16:J24)</f>
        <v>464.89600000000002</v>
      </c>
      <c r="K25" s="275">
        <f t="shared" si="7"/>
        <v>203.39200000000002</v>
      </c>
      <c r="L25" s="276">
        <f t="shared" si="7"/>
        <v>0</v>
      </c>
      <c r="M25" s="232">
        <f t="shared" si="7"/>
        <v>5142.9120000000003</v>
      </c>
      <c r="N25" s="233">
        <f>SUM(N16:N24)</f>
        <v>1098.3050847457628</v>
      </c>
      <c r="O25" s="101">
        <f>SUM(O16:O24)</f>
        <v>31.206085423728815</v>
      </c>
      <c r="P25" s="113">
        <f>SUM(P16:P24)</f>
        <v>6272.4231701694916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5811.2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464.89600000000002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203.39200000000002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5142.9120000000003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6241.2170847457628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31.206085423728815</v>
      </c>
    </row>
    <row r="35" spans="2:16" ht="15.75" customHeight="1" thickBot="1" x14ac:dyDescent="0.4">
      <c r="N35" s="342" t="s">
        <v>88</v>
      </c>
      <c r="O35" s="343"/>
      <c r="P35" s="297">
        <f>+P33+P34</f>
        <v>6272.4231701694916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6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527</v>
      </c>
      <c r="B6" s="396"/>
      <c r="C6" s="396"/>
      <c r="F6" s="85"/>
      <c r="G6" s="86"/>
      <c r="K6" s="368" t="s">
        <v>69</v>
      </c>
      <c r="L6" s="368"/>
      <c r="M6" s="368"/>
      <c r="N6" s="397" t="s">
        <v>506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528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311">
        <f t="shared" si="5"/>
        <v>1176.0793444067797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311">
        <f t="shared" si="5"/>
        <v>1176.0793444067797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80</v>
      </c>
      <c r="I25" s="114">
        <f t="shared" si="7"/>
        <v>4474.8</v>
      </c>
      <c r="J25" s="274">
        <f>SUM(J16:J24)</f>
        <v>310.90800000000002</v>
      </c>
      <c r="K25" s="275">
        <f t="shared" si="7"/>
        <v>156.61799999999999</v>
      </c>
      <c r="L25" s="276">
        <f t="shared" si="7"/>
        <v>80.029200000000003</v>
      </c>
      <c r="M25" s="232">
        <f t="shared" si="7"/>
        <v>3927.2447999999999</v>
      </c>
      <c r="N25" s="233">
        <f>SUM(N16:N24)</f>
        <v>854.23728813559308</v>
      </c>
      <c r="O25" s="101">
        <f>SUM(O16:O24)</f>
        <v>23.907410440677968</v>
      </c>
      <c r="P25" s="113">
        <f>SUM(P16:P24)</f>
        <v>4805.3894985762709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4474.8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310.90800000000002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236.6472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3927.2447999999999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854.23728813559308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4781.4820881355927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23.907410440677964</v>
      </c>
    </row>
    <row r="35" spans="2:16" ht="15.75" customHeight="1" thickBot="1" x14ac:dyDescent="0.4">
      <c r="N35" s="342" t="s">
        <v>88</v>
      </c>
      <c r="O35" s="343"/>
      <c r="P35" s="297">
        <f>+P33+P34</f>
        <v>4805.3894985762709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A4" sqref="A4:C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A4" sqref="A4:C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4" sqref="A4:C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4" sqref="A4:C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4" sqref="A4:C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500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4" sqref="A4:C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4" sqref="A4:C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4" sqref="A4:C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4" sqref="A4:C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4" sqref="A4:C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501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4" sqref="A4:C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topLeftCell="A7" workbookViewId="0">
      <selection activeCell="A4" sqref="A4:C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topLeftCell="A10" workbookViewId="0">
      <selection activeCell="A4" sqref="A4:C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8.75" customHeight="1" x14ac:dyDescent="0.4">
      <c r="A6" s="396" t="s">
        <v>502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4" sqref="A4:C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4" sqref="A4:C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4" sqref="A4:C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4" sqref="A4:C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4" sqref="A4:C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4" sqref="A4:C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4" sqref="A4:C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4" sqref="A4:C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4" sqref="A4:C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4" sqref="A4:C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6" t="s">
        <v>91</v>
      </c>
      <c r="B2" s="366"/>
      <c r="C2" s="366"/>
    </row>
    <row r="3" spans="1:18 16382:16383" ht="15" customHeight="1" x14ac:dyDescent="0.35">
      <c r="A3" s="367" t="s">
        <v>92</v>
      </c>
      <c r="B3" s="367"/>
      <c r="C3" s="367"/>
      <c r="F3" s="85"/>
      <c r="G3" s="1"/>
      <c r="J3" s="368" t="s">
        <v>43</v>
      </c>
      <c r="K3" s="368"/>
      <c r="L3" s="368"/>
      <c r="M3" s="367"/>
      <c r="N3" s="367"/>
      <c r="O3" s="367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7" t="s">
        <v>65</v>
      </c>
      <c r="B4" s="367"/>
      <c r="C4" s="367"/>
      <c r="F4" s="85"/>
      <c r="G4" s="1"/>
      <c r="J4" s="368" t="s">
        <v>44</v>
      </c>
      <c r="K4" s="368"/>
      <c r="L4" s="368"/>
      <c r="M4" s="398">
        <f ca="1">TODAY()+1</f>
        <v>46240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5" t="s">
        <v>93</v>
      </c>
      <c r="B5" s="395"/>
      <c r="C5" s="395"/>
      <c r="F5" s="85"/>
      <c r="G5" s="1"/>
      <c r="J5" s="368" t="s">
        <v>45</v>
      </c>
      <c r="K5" s="368"/>
      <c r="L5" s="368"/>
      <c r="M5" s="398">
        <f ca="1">M4-1</f>
        <v>46239</v>
      </c>
      <c r="N5" s="367"/>
      <c r="O5" s="367"/>
      <c r="Q5" s="85"/>
      <c r="R5" s="1"/>
    </row>
    <row r="6" spans="1:18 16382:16383" ht="15" customHeight="1" x14ac:dyDescent="0.35">
      <c r="A6" s="368" t="s">
        <v>94</v>
      </c>
      <c r="B6" s="368"/>
      <c r="C6" s="368"/>
      <c r="F6" s="85"/>
      <c r="G6" s="86"/>
      <c r="J6" s="368" t="s">
        <v>69</v>
      </c>
      <c r="K6" s="368"/>
      <c r="L6" s="368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8" t="s">
        <v>73</v>
      </c>
      <c r="B7" s="368"/>
      <c r="C7" s="368"/>
      <c r="F7" s="85"/>
      <c r="G7" s="86"/>
      <c r="J7" s="368" t="s">
        <v>66</v>
      </c>
      <c r="K7" s="368"/>
      <c r="L7" s="368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4" t="s">
        <v>95</v>
      </c>
      <c r="B8" s="394"/>
      <c r="C8" s="394"/>
      <c r="F8" s="85"/>
      <c r="G8" s="86"/>
      <c r="J8" s="368" t="s">
        <v>67</v>
      </c>
      <c r="K8" s="368"/>
      <c r="L8" s="368"/>
      <c r="M8" s="397" t="s">
        <v>71</v>
      </c>
      <c r="N8" s="397"/>
      <c r="O8" s="397"/>
      <c r="Q8" s="85"/>
      <c r="R8" s="86"/>
    </row>
    <row r="9" spans="1:18 16382:16383" x14ac:dyDescent="0.35">
      <c r="A9" s="394" t="s">
        <v>96</v>
      </c>
      <c r="B9" s="394"/>
      <c r="C9" s="394"/>
      <c r="F9" s="85"/>
      <c r="G9" s="86"/>
      <c r="J9" s="368" t="s">
        <v>68</v>
      </c>
      <c r="K9" s="368"/>
      <c r="L9" s="368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394" t="s">
        <v>97</v>
      </c>
      <c r="B10" s="394"/>
      <c r="C10" s="394"/>
      <c r="F10" s="85"/>
      <c r="G10" s="1"/>
      <c r="J10" s="368" t="s">
        <v>46</v>
      </c>
      <c r="K10" s="368"/>
      <c r="L10" s="368"/>
      <c r="M10" s="367" t="s">
        <v>47</v>
      </c>
      <c r="N10" s="367"/>
      <c r="O10" s="367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8" t="s">
        <v>48</v>
      </c>
      <c r="K11" s="368"/>
      <c r="L11" s="368"/>
      <c r="M11" s="367" t="s">
        <v>49</v>
      </c>
      <c r="N11" s="367"/>
      <c r="O11" s="367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8" t="s">
        <v>50</v>
      </c>
      <c r="K12" s="368"/>
      <c r="L12" s="368"/>
      <c r="M12" s="367"/>
      <c r="N12" s="367"/>
      <c r="O12" s="367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7" t="s">
        <v>51</v>
      </c>
      <c r="B14" s="359"/>
      <c r="C14" s="389" t="s">
        <v>90</v>
      </c>
      <c r="D14" s="88" t="s">
        <v>52</v>
      </c>
      <c r="E14" s="95" t="s">
        <v>74</v>
      </c>
      <c r="F14" s="115" t="s">
        <v>53</v>
      </c>
      <c r="G14" s="363" t="s">
        <v>54</v>
      </c>
      <c r="H14" s="365"/>
      <c r="I14" s="393" t="s">
        <v>77</v>
      </c>
      <c r="J14" s="364" t="s">
        <v>55</v>
      </c>
      <c r="K14" s="365"/>
      <c r="L14" s="393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8"/>
      <c r="B15" s="360"/>
      <c r="C15" s="39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2"/>
      <c r="J15" s="144" t="s">
        <v>39</v>
      </c>
      <c r="K15" s="145" t="s">
        <v>59</v>
      </c>
      <c r="L15" s="362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4"/>
      <c r="M28" s="381" t="s">
        <v>60</v>
      </c>
      <c r="N28" s="382"/>
      <c r="O28" s="139">
        <f>I25</f>
        <v>1452.8</v>
      </c>
    </row>
    <row r="29" spans="1:18 16383:16383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7"/>
      <c r="M29" s="383" t="s">
        <v>85</v>
      </c>
      <c r="N29" s="384"/>
      <c r="O29" s="140">
        <f>K25</f>
        <v>0</v>
      </c>
    </row>
    <row r="30" spans="1:18 16383:16383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7"/>
      <c r="M30" s="383" t="s">
        <v>86</v>
      </c>
      <c r="N30" s="384"/>
      <c r="O30" s="140">
        <f>J25</f>
        <v>50.848000000000006</v>
      </c>
    </row>
    <row r="31" spans="1:18 16383:16383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7"/>
      <c r="L31" s="131"/>
      <c r="M31" s="383" t="s">
        <v>87</v>
      </c>
      <c r="N31" s="384"/>
      <c r="O31" s="140">
        <f>O28-O29-O30</f>
        <v>1401.952</v>
      </c>
    </row>
    <row r="32" spans="1:18 16383:16383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7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7"/>
      <c r="L33" s="131"/>
      <c r="M33" s="385" t="s">
        <v>76</v>
      </c>
      <c r="N33" s="386"/>
      <c r="O33" s="140">
        <f>O31+O32</f>
        <v>1710.3814400000001</v>
      </c>
    </row>
    <row r="34" spans="2:15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80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2" t="s">
        <v>88</v>
      </c>
      <c r="N35" s="343"/>
      <c r="O35" s="141">
        <f>O28-O29+O31+O34</f>
        <v>2897.511536</v>
      </c>
    </row>
    <row r="36" spans="2:15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1" t="s">
        <v>439</v>
      </c>
      <c r="E1" s="334" t="s">
        <v>58</v>
      </c>
      <c r="F1" s="334"/>
      <c r="G1" s="335" t="s">
        <v>440</v>
      </c>
      <c r="H1" s="335"/>
      <c r="I1" s="408" t="s">
        <v>441</v>
      </c>
      <c r="J1" s="408"/>
      <c r="K1" s="408" t="s">
        <v>442</v>
      </c>
      <c r="L1" s="408"/>
      <c r="M1" s="403" t="s">
        <v>484</v>
      </c>
      <c r="N1" s="404"/>
      <c r="O1" s="405"/>
    </row>
    <row r="2" spans="3:24" ht="29" x14ac:dyDescent="0.35">
      <c r="C2" s="334"/>
      <c r="D2" s="401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2" t="s">
        <v>58</v>
      </c>
      <c r="F7" s="402"/>
      <c r="G7" s="400" t="s">
        <v>440</v>
      </c>
      <c r="H7" s="335"/>
      <c r="I7" s="336" t="s">
        <v>441</v>
      </c>
      <c r="J7" s="337"/>
      <c r="K7" s="336" t="s">
        <v>442</v>
      </c>
      <c r="L7" s="337"/>
      <c r="M7" s="403" t="s">
        <v>484</v>
      </c>
      <c r="N7" s="404"/>
      <c r="O7" s="405"/>
      <c r="P7" s="256" t="s">
        <v>475</v>
      </c>
      <c r="Q7" s="242" t="s">
        <v>473</v>
      </c>
      <c r="R7" s="401" t="s">
        <v>475</v>
      </c>
      <c r="S7" s="401" t="s">
        <v>485</v>
      </c>
      <c r="T7" s="399" t="s">
        <v>486</v>
      </c>
      <c r="U7" s="399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1"/>
      <c r="S8" s="401"/>
      <c r="T8" s="400"/>
      <c r="U8" s="40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403" t="s">
        <v>484</v>
      </c>
      <c r="N13" s="404"/>
      <c r="O13" s="405"/>
      <c r="P13" s="256" t="s">
        <v>475</v>
      </c>
      <c r="Q13" s="242" t="s">
        <v>473</v>
      </c>
      <c r="R13" s="401" t="s">
        <v>475</v>
      </c>
      <c r="S13" s="401" t="s">
        <v>485</v>
      </c>
      <c r="T13" s="399" t="s">
        <v>486</v>
      </c>
      <c r="U13" s="399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1"/>
      <c r="S14" s="401"/>
      <c r="T14" s="400"/>
      <c r="U14" s="40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403" t="s">
        <v>484</v>
      </c>
      <c r="N20" s="404"/>
      <c r="O20" s="405"/>
      <c r="P20" s="256" t="s">
        <v>475</v>
      </c>
      <c r="Q20" s="242" t="s">
        <v>473</v>
      </c>
      <c r="R20" s="401" t="s">
        <v>475</v>
      </c>
      <c r="S20" s="401" t="s">
        <v>485</v>
      </c>
      <c r="T20" s="399" t="s">
        <v>486</v>
      </c>
      <c r="U20" s="399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1"/>
      <c r="S21" s="401"/>
      <c r="T21" s="400"/>
      <c r="U21" s="40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403" t="s">
        <v>484</v>
      </c>
      <c r="N27" s="404"/>
      <c r="O27" s="405"/>
      <c r="P27" s="256" t="s">
        <v>475</v>
      </c>
      <c r="Q27" s="242" t="s">
        <v>473</v>
      </c>
      <c r="R27" s="401" t="s">
        <v>475</v>
      </c>
      <c r="S27" s="401" t="s">
        <v>485</v>
      </c>
      <c r="T27" s="399" t="s">
        <v>486</v>
      </c>
      <c r="U27" s="399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1"/>
      <c r="S28" s="401"/>
      <c r="T28" s="400"/>
      <c r="U28" s="40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1" t="s">
        <v>439</v>
      </c>
      <c r="D1" s="334" t="s">
        <v>58</v>
      </c>
      <c r="E1" s="334"/>
      <c r="F1" s="335" t="s">
        <v>440</v>
      </c>
      <c r="G1" s="335"/>
      <c r="H1" s="408" t="s">
        <v>441</v>
      </c>
      <c r="I1" s="408"/>
      <c r="J1" s="408" t="s">
        <v>442</v>
      </c>
      <c r="K1" s="408"/>
      <c r="L1" s="403" t="s">
        <v>484</v>
      </c>
      <c r="M1" s="404"/>
      <c r="N1" s="405"/>
    </row>
    <row r="2" spans="2:17" ht="29" x14ac:dyDescent="0.35">
      <c r="B2" s="334"/>
      <c r="C2" s="401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1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0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0"/>
      <c r="G60" s="160" t="s">
        <v>195</v>
      </c>
      <c r="H60" s="161" t="s">
        <v>100</v>
      </c>
    </row>
    <row r="61" spans="5:8" x14ac:dyDescent="0.35">
      <c r="E61" s="159" t="s">
        <v>192</v>
      </c>
      <c r="F61" s="410"/>
      <c r="G61" s="160" t="s">
        <v>196</v>
      </c>
      <c r="H61" s="161" t="s">
        <v>98</v>
      </c>
    </row>
    <row r="62" spans="5:8" x14ac:dyDescent="0.35">
      <c r="E62" s="159" t="s">
        <v>192</v>
      </c>
      <c r="F62" s="410"/>
      <c r="G62" s="160" t="s">
        <v>197</v>
      </c>
      <c r="H62" s="161" t="s">
        <v>101</v>
      </c>
    </row>
    <row r="63" spans="5:8" x14ac:dyDescent="0.35">
      <c r="E63" s="159" t="s">
        <v>192</v>
      </c>
      <c r="F63" s="410"/>
      <c r="G63" s="160" t="s">
        <v>198</v>
      </c>
      <c r="H63" s="161" t="s">
        <v>102</v>
      </c>
    </row>
    <row r="64" spans="5:8" x14ac:dyDescent="0.35">
      <c r="E64" s="159" t="s">
        <v>192</v>
      </c>
      <c r="F64" s="410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0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0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0"/>
      <c r="G121" s="160" t="s">
        <v>273</v>
      </c>
      <c r="H121" s="161" t="s">
        <v>98</v>
      </c>
    </row>
    <row r="122" spans="5:8" x14ac:dyDescent="0.35">
      <c r="E122" s="159" t="s">
        <v>269</v>
      </c>
      <c r="F122" s="410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0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0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0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0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0"/>
      <c r="G241" s="160" t="s">
        <v>432</v>
      </c>
      <c r="H241" s="161" t="s">
        <v>98</v>
      </c>
    </row>
    <row r="242" spans="5:8" x14ac:dyDescent="0.35">
      <c r="E242" s="159" t="s">
        <v>428</v>
      </c>
      <c r="F242" s="410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0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0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2026-08-05T12:00:50Z</dcterms:modified>
</cp:coreProperties>
</file>