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986A8F5-8C8B-4363-A7D3-1DFEECEB1BB2}" xr6:coauthVersionLast="47" xr6:coauthVersionMax="47" xr10:uidLastSave="{00000000-0000-0000-0000-000000000000}"/>
  <bookViews>
    <workbookView xWindow="-110" yWindow="-110" windowWidth="19420" windowHeight="10420" tabRatio="872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M22" i="51"/>
  <c r="M21" i="44"/>
  <c r="O21" i="44" s="1"/>
  <c r="P21" i="44" s="1"/>
  <c r="K12" i="62"/>
  <c r="M22" i="43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<sst xmlns="http://schemas.openxmlformats.org/spreadsheetml/2006/main" count="3978" uniqueCount="533">
  <si>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</si>
  <si>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</si>
  <si>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</si>
  <si>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</si>
  <si>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</si>
  <si>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</si>
  <si>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</si>
  <si>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</si>
  <si>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</si>
  <si>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</si>
  <si>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</si>
  <si>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</si>
  <si>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</si>
  <si>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</si>
  <si>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</si>
  <si>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</si>
  <si>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</si>
  <si>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</si>
  <si>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</si>
  <si>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</si>
  <si>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</si>
  <si>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</si>
  <si>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</si>
  <si>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</si>
  <si>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</si>
  <si>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</si>
  <si>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</si>
  <si>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</si>
  <si>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</si>
  <si>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</si>
  <si>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</si>
  <si>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</si>
  <si>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</si>
  <si>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</si>
  <si>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</si>
  <si>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</si>
  <si>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</si>
  <si>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</si>
  <si>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</si>
  <si>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</si>
  <si>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</si>
  <si>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</si>
  <si>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</si>
  <si>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</si>
  <si>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</si>
  <si>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</si>
  <si>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</si>
  <si>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</si>
  <si>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</si>
  <si>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</si>
  <si>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</si>
  <si>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</si>
  <si>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</si>
  <si>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</si>
  <si>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</si>
  <si>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</si>
  <si>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</si>
  <si>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</si>
  <si>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</si>
  <si>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</si>
  <si>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</si>
  <si>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</si>
  <si>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</si>
  <si>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</si>
  <si>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</si>
  <si>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</si>
  <si>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</si>
  <si>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</si>
  <si>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</si>
  <si>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</si>
  <si>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</si>
  <si>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</si>
  <si>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</si>
  <si>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</si>
  <si>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</si>
  <si>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</si>
  <si>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</si>
  <si>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</si>
  <si>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</si>
  <si>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</si>
  <si>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</si>
  <si>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</si>
  <si>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</si>
  <si>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</si>
  <si>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</si>
  <si>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</si>
  <si>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</si>
  <si>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</si>
  <si>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</si>
  <si>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</si>
  <si>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</si>
  <si>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</si>
  <si>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</si>
  <si>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</si>
  <si>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</si>
  <si>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</si>
  <si>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</si>
  <si>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</si>
  <si>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</si>
  <si>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</si>
  <si>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</si>
  <si>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</si>
  <si>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</si>
  <si>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</si>
  <si>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</si>
  <si>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</si>
  <si>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</si>
  <si>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</si>
  <si>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</si>
  <si>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</si>
  <si>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</si>
  <si>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</si>
  <si>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</si>
  <si>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</si>
  <si>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</si>
  <si>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</si>
  <si>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</si>
  <si>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</si>
  <si>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</si>
  <si>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</si>
  <si>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</si>
  <si>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</si>
  <si>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</si>
  <si>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</si>
  <si>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</si>
  <si>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</si>
  <si>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</si>
  <si>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</si>
  <si>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</si>
  <si>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</si>
  <si>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</si>
  <si>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</si>
  <si>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</si>
  <si>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</si>
  <si>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</si>
  <si>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</si>
  <si>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</si>
  <si>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</si>
  <si>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</si>
  <si>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</si>
  <si>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</si>
  <si>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</si>
  <si>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</si>
  <si>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</si>
  <si>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</si>
  <si>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</si>
  <si>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</si>
  <si>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</si>
  <si>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</si>
  <si>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</si>
  <si>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</si>
  <si>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</si>
  <si>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</si>
  <si>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</si>
  <si>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</si>
  <si>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</si>
  <si>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</si>
  <si>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</si>
  <si>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</si>
  <si>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</si>
  <si>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</si>
  <si>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</si>
  <si>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</si>
  <si>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</si>
  <si>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</si>
  <si>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</si>
  <si>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</si>
  <si>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</si>
  <si>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</si>
  <si>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</si>
  <si>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</si>
  <si>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</si>
  <si>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</si>
  <si>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</si>
  <si>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</si>
  <si>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</si>
  <si>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</si>
  <si>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</si>
  <si>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</si>
  <si>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</si>
  <si>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</si>
  <si>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</si>
  <si>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</si>
  <si>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</si>
  <si>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</si>
  <si>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</si>
  <si>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</si>
  <si>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</si>
  <si>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</si>
  <si>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</si>
  <si>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</si>
  <si>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</si>
  <si>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</si>
  <si>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</si>
  <si>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</si>
  <si>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</si>
  <si>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</si>
  <si>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</si>
  <si>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</si>
  <si>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</si>
  <si>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</si>
  <si>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</si>
  <si>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</si>
  <si>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</si>
  <si>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</si>
  <si>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</si>
  <si>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</si>
  <si>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</si>
  <si>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</si>
  <si>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</si>
  <si>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</si>
  <si>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</si>
  <si>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</si>
  <si>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</si>
  <si>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</si>
  <si>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</si>
  <si>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</si>
  <si>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</si>
  <si>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</si>
  <si>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</si>
  <si>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</si>
  <si>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</si>
  <si>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</si>
  <si>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</si>
  <si>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</si>
  <si>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</si>
  <si>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</si>
  <si>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</si>
  <si>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</si>
  <si>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</si>
  <si>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</si>
  <si>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</si>
  <si>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</si>
  <si>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</si>
  <si>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</si>
  <si>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</si>
  <si>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</si>
  <si>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</si>
  <si>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</si>
  <si>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</si>
  <si>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</si>
  <si>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</si>
  <si>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</si>
  <si>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</si>
  <si>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</si>
  <si>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</si>
  <si>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</si>
  <si>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</si>
  <si>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</si>
  <si>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</si>
  <si>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</si>
  <si>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</si>
  <si>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</si>
  <si>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</si>
  <si>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</si>
  <si>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</si>
  <si>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</si>
  <si>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</si>
  <si>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</si>
  <si>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</si>
  <si>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</si>
  <si>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</si>
  <si>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</si>
  <si>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</si>
  <si>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</si>
  <si>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</si>
  <si>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</si>
  <si>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</si>
  <si>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</si>
  <si>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</si>
  <si>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</si>
  <si>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</si>
  <si>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</si>
  <si>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</si>
  <si>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</si>
  <si>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</si>
  <si>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</si>
  <si>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</si>
  <si>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</si>
  <si>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</si>
  <si>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</si>
  <si>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</si>
  <si>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</si>
  <si>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</si>
  <si>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</si>
  <si>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</si>
  <si>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</si>
  <si>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</si>
  <si>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</si>
  <si>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</si>
  <si>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</si>
  <si>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</si>
  <si>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</si>
  <si>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</si>
  <si>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</si>
  <si>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</si>
  <si>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</si>
  <si>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</si>
  <si>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</si>
  <si>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</si>
  <si>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</si>
  <si>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</si>
  <si>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</si>
  <si>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</si>
  <si>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</si>
  <si>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</si>
  <si>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</si>
  <si>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</si>
  <si>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</si>
  <si>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</si>
  <si>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</si>
  <si>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</si>
  <si>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</si>
  <si>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</si>
  <si>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</si>
  <si>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</si>
  <si>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</si>
  <si>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</si>
  <si>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</si>
  <si>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</si>
  <si>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</si>
  <si>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</si>
  <si>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</si>
  <si>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</si>
  <si>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</si>
  <si>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</si>
  <si>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</si>
  <si>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</si>
  <si>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</si>
  <si>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</si>
  <si>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</si>
  <si>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</si>
  <si>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</si>
  <si>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</si>
  <si>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</si>
  <si>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</si>
  <si>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</si>
  <si>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</si>
  <si>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</si>
  <si>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</si>
  <si>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</si>
  <si>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</si>
  <si>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</si>
  <si>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</si>
  <si>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</si>
  <si>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</si>
  <si>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</si>
  <si>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</si>
  <si>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</si>
  <si>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</si>
  <si>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</si>
  <si>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</si>
  <si>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</si>
  <si>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</si>
  <si>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</si>
  <si>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</si>
  <si>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</si>
  <si>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</si>
  <si>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</si>
  <si>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</si>
  <si>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</si>
  <si>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</si>
  <si>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</si>
  <si>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</si>
  <si>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</si>
  <si>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</si>
  <si>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</si>
  <si>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</si>
  <si>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</si>
  <si>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</si>
  <si>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</si>
  <si>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</si>
  <si>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</si>
  <si>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</si>
  <si>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</si>
  <si>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</si>
  <si>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</si>
  <si>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</si>
  <si>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</si>
  <si>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</si>
  <si>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</si>
  <si>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</si>
  <si>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</si>
  <si>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</si>
  <si>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</si>
  <si>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</si>
  <si>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</si>
  <si>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</si>
  <si>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</si>
  <si>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</si>
  <si>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</si>
  <si>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</si>
  <si>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</si>
  <si>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</si>
  <si>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</si>
  <si>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</si>
  <si>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</si>
  <si>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</si>
  <si>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</si>
  <si>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</si>
  <si>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</si>
  <si>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</si>
  <si>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</si>
  <si>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</si>
  <si>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</si>
  <si>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</si>
  <si>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</si>
  <si>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</si>
  <si>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</si>
  <si>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</si>
  <si>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</si>
  <si>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</si>
  <si>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</si>
  <si>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</si>
  <si>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</si>
  <si>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</si>
  <si>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</si>
  <si>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</si>
  <si>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</si>
  <si>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</si>
  <si>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</si>
  <si>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</si>
  <si>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</si>
  <si>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</si>
  <si>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</si>
  <si>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</si>
  <si>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</si>
  <si>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</si>
  <si>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</si>
  <si>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</si>
  <si>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</si>
  <si>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</si>
  <si>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</si>
  <si>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</si>
  <si>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</si>
  <si>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</si>
  <si>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</si>
  <si>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</si>
  <si>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</si>
  <si>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</si>
  <si>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</si>
  <si>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</si>
  <si>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</si>
  <si>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</si>
  <si>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</si>
  <si>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</si>
  <si>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</si>
  <si>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</si>
  <si>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</si>
  <si>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</si>
  <si>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</si>
  <si>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</si>
  <si>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</si>
  <si>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</si>
  <si>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</si>
  <si>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</si>
  <si>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</si>
  <si>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</si>
  <si>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</si>
  <si>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</si>
  <si>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</si>
  <si>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</si>
  <si>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</si>
  <si>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</si>
  <si>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</si>
  <si>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</si>
  <si>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</si>
  <si>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</si>
  <si>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</si>
  <si>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</si>
  <si>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</si>
  <si>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</si>
  <si>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</si>
  <si>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</si>
  <si>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</si>
  <si>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</si>
  <si>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</si>
  <si>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</si>
  <si>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</si>
  <si>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</si>
  <si>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</si>
  <si>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</si>
  <si>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</si>
  <si>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</si>
  <si>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</si>
  <si>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</si>
  <si>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</si>
  <si>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</si>
  <si>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</si>
  <si>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</si>
  <si>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</si>
  <si>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</si>
  <si>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</si>
  <si>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</si>
  <si>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</si>
  <si>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</si>
  <si>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</si>
  <si>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</si>
  <si>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</si>
  <si>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</si>
  <si>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</si>
  <si>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</si>
  <si>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</si>
  <si>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</si>
  <si>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</si>
  <si>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</si>
  <si>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</si>
  <si>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</si>
  <si>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</si>
  <si>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</si>
  <si>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</si>
  <si>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</si>
  <si>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</si>
  <si>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</si>
  <si>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</si>
  <si>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Zeshan </t>
  </si>
  <si>
    <t>Pakistan Store</t>
  </si>
  <si>
    <t>Address: DHA</t>
  </si>
  <si>
    <t>Trust Store</t>
  </si>
  <si>
    <t xml:space="preserve">Bravo Mart </t>
  </si>
  <si>
    <t>Maharaja Store</t>
  </si>
  <si>
    <t>Hafiz store</t>
  </si>
  <si>
    <t xml:space="preserve">Besta Mart </t>
  </si>
  <si>
    <t xml:space="preserve">KS Mart </t>
  </si>
  <si>
    <t xml:space="preserve">Choice Mart </t>
  </si>
  <si>
    <t>Al Rehman Store</t>
  </si>
  <si>
    <t>786 Store</t>
  </si>
  <si>
    <t xml:space="preserve">Al Ghani </t>
  </si>
  <si>
    <t>Bilal Store</t>
  </si>
  <si>
    <t xml:space="preserve">Tariq Mart </t>
  </si>
  <si>
    <t xml:space="preserve">MHT Mart </t>
  </si>
  <si>
    <t xml:space="preserve">D Mart </t>
  </si>
  <si>
    <t>Abdullah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</si>
</sst>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I38" sqref="I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46239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Pakistan Store</v>
      </c>
      <c r="T3" s="301">
        <f>+'1'!P35</f>
        <v>2341.1873751635594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Trust Store</v>
      </c>
      <c r="T4" s="301">
        <f>+'2'!P35</f>
        <v>1201.3473746440677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 xml:space="preserve">Bravo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Maharaja Store</v>
      </c>
      <c r="T6" s="301">
        <f>+'4'!P35</f>
        <v>3516.9350179576272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46</v>
      </c>
      <c r="I7" s="235">
        <f>(G7*D7)*F7+H7*F7</f>
        <v>2413.2750000000001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193.06200000000001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84.464625000000012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2135.7483750000001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456.10169491525403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12.959250349576271</v>
      </c>
      <c r="P7" s="310">
        <f>M7+N7+O7</f>
        <v>2604.8093202648306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Hafiz store</v>
      </c>
      <c r="T7" s="301">
        <f>+'5'!P35</f>
        <v>3934.229496330508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46</v>
      </c>
      <c r="I8" s="236">
        <f t="shared" ref="I8:I14" si="0">(G8*D8)*F8+H8*F8</f>
        <v>2413.2750000000001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193.06200000000001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84.464625000000012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2135.7483750000001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456.10169491525403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12.959250349576271</v>
      </c>
      <c r="P8" s="311">
        <f t="shared" ref="P8:P15" si="2">M8+N8+O8</f>
        <v>2604.8093202648306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Besta Mart </v>
      </c>
      <c r="T8" s="301">
        <f>+'6'!P35</f>
        <v>417.29447837288137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KS Mart </v>
      </c>
      <c r="T9" s="301">
        <f>+'7'!P35</f>
        <v>417.29447837288137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81</v>
      </c>
      <c r="I10" s="236">
        <f t="shared" si="0"/>
        <v>5883.84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470.7072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205.93440000000004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5207.1984000000002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1112.0338983050847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31.596161491525425</v>
      </c>
      <c r="P10" s="311">
        <f t="shared" si="2"/>
        <v>6350.8284597966103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Choice Mart 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66</v>
      </c>
      <c r="I11" s="236">
        <f t="shared" si="0"/>
        <v>4794.24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383.53920000000005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167.79840000000002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4242.9023999999999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906.10169491525426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25.745020474576272</v>
      </c>
      <c r="P11" s="311">
        <f t="shared" si="2"/>
        <v>5174.7491153898309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Al Rehman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121</v>
      </c>
      <c r="I12" s="236">
        <f t="shared" si="0"/>
        <v>8789.44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703.15520000000004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307.63040000000007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7778.6544000000004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1661.1864406779659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47.199204203389833</v>
      </c>
      <c r="P12" s="311">
        <f t="shared" si="2"/>
        <v>9487.0400448813562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786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136</v>
      </c>
      <c r="I13" s="236">
        <f t="shared" si="0"/>
        <v>5335.2800000000007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266.76400000000007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186.73480000000004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272.09927999999996</v>
      </c>
      <c r="M13" s="230">
        <f t="shared" si="1"/>
        <v>4609.6819200000009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1037.2881355932195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28.234850277966103</v>
      </c>
      <c r="P13" s="311">
        <f t="shared" si="2"/>
        <v>5675.2049058711864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Al Ghani 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Bilal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Tariq Mart </v>
      </c>
      <c r="T15" s="301">
        <f>+'13'!P35</f>
        <v>784.05289627118646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12.4</v>
      </c>
      <c r="H16" s="113">
        <f t="shared" ref="H16:M16" si="3">SUM(H7:H15)</f>
        <v>496</v>
      </c>
      <c r="I16" s="114">
        <f t="shared" si="3"/>
        <v>29629.35</v>
      </c>
      <c r="J16" s="274">
        <f>SUM(J7:J15)</f>
        <v>2210.2896000000005</v>
      </c>
      <c r="K16" s="275">
        <f t="shared" si="3"/>
        <v>1037.0272500000001</v>
      </c>
      <c r="L16" s="276">
        <f t="shared" si="3"/>
        <v>272.09927999999996</v>
      </c>
      <c r="M16" s="232">
        <f t="shared" si="3"/>
        <v>26109.933870000001</v>
      </c>
      <c r="N16" s="233">
        <f>SUM(N7:N15)</f>
        <v>5628.8135593220322</v>
      </c>
      <c r="O16" s="101">
        <f>SUM(O7:O15)</f>
        <v>158.69373714661018</v>
      </c>
      <c r="P16" s="113">
        <f>SUM(P7:P15)</f>
        <v>31897.441166468645</v>
      </c>
      <c r="Q16" s="128">
        <f>SUM(Q7:Q15)</f>
        <v>0</v>
      </c>
      <c r="R16" s="314">
        <v>14</v>
      </c>
      <c r="S16" s="300" t="str">
        <f>+'14'!A6:A6</f>
        <v xml:space="preserve">MHT Mart 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D Mart </v>
      </c>
      <c r="T17" s="301">
        <f>+'15'!P35</f>
        <v>9408.6347552542375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Abdullah Store</v>
      </c>
      <c r="T18" s="301">
        <f>+'16'!P35</f>
        <v>3136.2115850847458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29629.35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2210.2896000000005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1309.12653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26109.933869999997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5628.8135593220322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31738.747429322029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158.69373714661018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31897.441166468641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31897.441166468649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513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36</v>
      </c>
      <c r="I25" s="114">
        <f t="shared" ref="I25:M25" si="10">SUM(I16:I24)</f>
        <v>2172.4500000000003</v>
      </c>
      <c r="J25" s="274">
        <f>SUM(J16:J24)</f>
        <v>166.7346</v>
      </c>
      <c r="K25" s="275">
        <f t="shared" si="10"/>
        <v>76.035750000000007</v>
      </c>
      <c r="L25" s="276">
        <f t="shared" si="10"/>
        <v>12.004380000000001</v>
      </c>
      <c r="M25" s="232">
        <f t="shared" si="10"/>
        <v>1917.67527</v>
      </c>
      <c r="N25" s="233">
        <f>SUM(N16:N24)</f>
        <v>411.86440677966101</v>
      </c>
      <c r="O25" s="101">
        <f>SUM(O16:O24)</f>
        <v>11.647698383898305</v>
      </c>
      <c r="P25" s="113">
        <f>SUM(P16:P24)</f>
        <v>2341.187375163559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2172.4500000000003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166.7346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88.040130000000005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1917.6752700000002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411.86440677966101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2329.539676779661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11.647698383898305</v>
      </c>
    </row>
    <row r="35" spans="2:16" ht="15.75" customHeight="1" thickBot="1" x14ac:dyDescent="0.4">
      <c r="N35" s="342" t="s">
        <v>88</v>
      </c>
      <c r="O35" s="343"/>
      <c r="P35" s="297">
        <f>+P33+P34</f>
        <v>2341.1873751635594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1118.7</v>
      </c>
      <c r="J25" s="274">
        <f>SUM(J16:J24)</f>
        <v>77.727000000000004</v>
      </c>
      <c r="K25" s="275">
        <f t="shared" si="7"/>
        <v>39.154500000000006</v>
      </c>
      <c r="L25" s="276">
        <f t="shared" si="7"/>
        <v>20.007300000000001</v>
      </c>
      <c r="M25" s="232">
        <f t="shared" si="7"/>
        <v>981.8112000000001</v>
      </c>
      <c r="N25" s="233">
        <f>SUM(N16:N24)</f>
        <v>213.55932203389827</v>
      </c>
      <c r="O25" s="101">
        <f>SUM(O16:O24)</f>
        <v>5.9768526101694919</v>
      </c>
      <c r="P25" s="113">
        <f>SUM(P16:P24)</f>
        <v>1201.3473746440677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1118.7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77.727000000000004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59.161800000000007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981.81119999999999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213.55932203389827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1195.3705220338982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5.976852610169491</v>
      </c>
    </row>
    <row r="35" spans="2:16" ht="15.75" customHeight="1" thickBot="1" x14ac:dyDescent="0.4">
      <c r="N35" s="342" t="s">
        <v>88</v>
      </c>
      <c r="O35" s="343"/>
      <c r="P35" s="297">
        <f>+P33+P34</f>
        <v>1201.3473746440677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30</v>
      </c>
      <c r="I22" s="236">
        <f t="shared" si="0"/>
        <v>1176.9000000000001</v>
      </c>
      <c r="J22" s="272">
        <f t="shared" si="1"/>
        <v>58.845000000000006</v>
      </c>
      <c r="K22" s="128">
        <f t="shared" si="1"/>
        <v>41.191500000000005</v>
      </c>
      <c r="L22" s="119">
        <f t="shared" si="1"/>
        <v>60.021900000000002</v>
      </c>
      <c r="M22" s="230">
        <f t="shared" si="2"/>
        <v>1016.8416000000001</v>
      </c>
      <c r="N22" s="277">
        <f t="shared" si="3"/>
        <v>228.81355932203377</v>
      </c>
      <c r="O22" s="239">
        <f t="shared" si="4"/>
        <v>6.2282757966101689</v>
      </c>
      <c r="P22" s="311">
        <f t="shared" si="5"/>
        <v>1251.883435118644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70</v>
      </c>
      <c r="I25" s="114">
        <f t="shared" si="7"/>
        <v>3275.4</v>
      </c>
      <c r="J25" s="274">
        <f>SUM(J16:J24)</f>
        <v>226.72499999999999</v>
      </c>
      <c r="K25" s="275">
        <f t="shared" si="7"/>
        <v>114.63900000000001</v>
      </c>
      <c r="L25" s="276">
        <f t="shared" si="7"/>
        <v>60.021900000000002</v>
      </c>
      <c r="M25" s="232">
        <f t="shared" si="7"/>
        <v>2874.0141000000003</v>
      </c>
      <c r="N25" s="233">
        <f>SUM(N16:N24)</f>
        <v>625.42372881355902</v>
      </c>
      <c r="O25" s="101">
        <f>SUM(O16:O24)</f>
        <v>17.497189144067796</v>
      </c>
      <c r="P25" s="113">
        <f>SUM(P16:P24)</f>
        <v>3516.9350179576268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3275.4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226.72499999999999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174.66090000000003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2874.0141000000003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625.42372881355902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3499.4378288135595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17.497189144067796</v>
      </c>
    </row>
    <row r="35" spans="2:16" ht="15.75" customHeight="1" thickBot="1" x14ac:dyDescent="0.4">
      <c r="N35" s="342" t="s">
        <v>88</v>
      </c>
      <c r="O35" s="343"/>
      <c r="P35" s="297">
        <f>+P33+P34</f>
        <v>3516.9350179576272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3667.7000000000003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246.34000000000003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208.39870000000002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3212.9612999999999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3914.6562152542369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42" t="s">
        <v>88</v>
      </c>
      <c r="O35" s="343"/>
      <c r="P35" s="297">
        <f>+P33+P34</f>
        <v>3934.229496330508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532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46239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2026-08-05T11:53:35Z</dcterms:modified>
</cp:coreProperties>
</file>