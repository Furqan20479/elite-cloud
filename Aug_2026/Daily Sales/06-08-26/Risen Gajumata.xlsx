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EC3635-6A0B-4137-A86A-3D4DAD3A0141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<sst xmlns="http://schemas.openxmlformats.org/spreadsheetml/2006/main" count="3948" uniqueCount="516">
  <si>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</si>
  <si>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</si>
  <si>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</si>
  <si>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</si>
  <si>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</si>
  <si>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</si>
  <si>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</si>
  <si>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</si>
  <si>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</si>
  <si>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</si>
  <si>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</si>
  <si>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</si>
  <si>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</si>
  <si>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</si>
  <si>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</si>
  <si>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</si>
  <si>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</si>
  <si>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</si>
  <si>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</si>
  <si>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</si>
  <si>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</si>
  <si>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</si>
  <si>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</si>
  <si>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</si>
  <si>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</si>
  <si>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</si>
  <si>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</si>
  <si>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</si>
  <si>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</si>
  <si>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</si>
  <si>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</si>
  <si>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</si>
  <si>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</si>
  <si>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</si>
  <si>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</si>
  <si>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</si>
  <si>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</si>
  <si>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</si>
  <si>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</si>
  <si>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</si>
  <si>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</si>
  <si>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</si>
  <si>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</si>
  <si>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</si>
  <si>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</si>
  <si>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</si>
  <si>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</si>
  <si>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</si>
  <si>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</si>
  <si>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</si>
  <si>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</si>
  <si>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</si>
  <si>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</si>
  <si>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</si>
  <si>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</si>
  <si>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</si>
  <si>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</si>
  <si>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</si>
  <si>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</si>
  <si>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</si>
  <si>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</si>
  <si>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</si>
  <si>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</si>
  <si>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</si>
  <si>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</si>
  <si>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</si>
  <si>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</si>
  <si>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</si>
  <si>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</si>
  <si>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</si>
  <si>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</si>
  <si>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</si>
  <si>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</si>
  <si>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</si>
  <si>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</si>
  <si>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</si>
  <si>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</si>
  <si>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</si>
  <si>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</si>
  <si>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</si>
  <si>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</si>
  <si>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</si>
  <si>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</si>
  <si>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</si>
  <si>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</si>
  <si>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</si>
  <si>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</si>
  <si>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</si>
  <si>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</si>
  <si>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</si>
  <si>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</si>
  <si>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</si>
  <si>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</si>
  <si>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</si>
  <si>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</si>
  <si>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</si>
  <si>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</si>
  <si>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</si>
  <si>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</si>
  <si>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</si>
  <si>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</si>
  <si>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</si>
  <si>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</si>
  <si>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</si>
  <si>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</si>
  <si>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</si>
  <si>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</si>
  <si>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</si>
  <si>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</si>
  <si>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</si>
  <si>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</si>
  <si>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</si>
  <si>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</si>
  <si>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</si>
  <si>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</si>
  <si>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</si>
  <si>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</si>
  <si>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</si>
  <si>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</si>
  <si>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</si>
  <si>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</si>
  <si>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</si>
  <si>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</si>
  <si>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</si>
  <si>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</si>
  <si>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</si>
  <si>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</si>
  <si>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</si>
  <si>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</si>
  <si>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</si>
  <si>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</si>
  <si>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</si>
  <si>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</si>
  <si>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</si>
  <si>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</si>
  <si>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</si>
  <si>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</si>
  <si>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</si>
  <si>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</si>
  <si>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</si>
  <si>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</si>
  <si>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</si>
  <si>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</si>
  <si>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</si>
  <si>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</si>
  <si>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</si>
  <si>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</si>
  <si>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</si>
  <si>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</si>
  <si>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</si>
  <si>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</si>
  <si>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</si>
  <si>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</si>
  <si>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</si>
  <si>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</si>
  <si>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</si>
  <si>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</si>
  <si>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</si>
  <si>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</si>
  <si>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</si>
  <si>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</si>
  <si>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</si>
  <si>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</si>
  <si>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</si>
  <si>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</si>
  <si>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</si>
  <si>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</si>
  <si>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</si>
  <si>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</si>
  <si>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</si>
  <si>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</si>
  <si>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</si>
  <si>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</si>
  <si>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</si>
  <si>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</si>
  <si>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</si>
  <si>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</si>
  <si>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</si>
  <si>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</si>
  <si>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</si>
  <si>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</si>
  <si>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</si>
  <si>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</si>
  <si>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</si>
  <si>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</si>
  <si>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</si>
  <si>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</si>
  <si>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</si>
  <si>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</si>
  <si>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</si>
  <si>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</si>
  <si>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</si>
  <si>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</si>
  <si>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</si>
  <si>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</si>
  <si>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</si>
  <si>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</si>
  <si>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</si>
  <si>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</si>
  <si>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</si>
  <si>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</si>
  <si>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</si>
  <si>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</si>
  <si>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</si>
  <si>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</si>
  <si>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</si>
  <si>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</si>
  <si>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</si>
  <si>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</si>
  <si>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</si>
  <si>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</si>
  <si>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</si>
  <si>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</si>
  <si>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</si>
  <si>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</si>
  <si>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</si>
  <si>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</si>
  <si>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</si>
  <si>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</si>
  <si>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</si>
  <si>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</si>
  <si>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</si>
  <si>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</si>
  <si>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</si>
  <si>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</si>
  <si>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</si>
  <si>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</si>
  <si>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</si>
  <si>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</si>
  <si>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</si>
  <si>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</si>
  <si>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</si>
  <si>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</si>
  <si>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</si>
  <si>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</si>
  <si>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</si>
  <si>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</si>
  <si>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</si>
  <si>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</si>
  <si>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</si>
  <si>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</si>
  <si>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</si>
  <si>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</si>
  <si>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</si>
  <si>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</si>
  <si>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</si>
  <si>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</si>
  <si>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</si>
  <si>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</si>
  <si>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</si>
  <si>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</si>
  <si>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</si>
  <si>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</si>
  <si>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</si>
  <si>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</si>
  <si>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</si>
  <si>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</si>
  <si>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</si>
  <si>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</si>
  <si>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</si>
  <si>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</si>
  <si>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</si>
  <si>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</si>
  <si>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</si>
  <si>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</si>
  <si>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</si>
  <si>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</si>
  <si>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</si>
  <si>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</si>
  <si>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</si>
  <si>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</si>
  <si>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</si>
  <si>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</si>
  <si>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</si>
  <si>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</si>
  <si>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</si>
  <si>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</si>
  <si>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</si>
  <si>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</si>
  <si>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</si>
  <si>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</si>
  <si>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</si>
  <si>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</si>
  <si>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</si>
  <si>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</si>
  <si>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</si>
  <si>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</si>
  <si>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</si>
  <si>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</si>
  <si>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</si>
  <si>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</si>
  <si>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</si>
  <si>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</si>
  <si>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</si>
  <si>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</si>
  <si>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</si>
  <si>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</si>
  <si>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</si>
  <si>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</si>
  <si>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</si>
  <si>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</si>
  <si>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</si>
  <si>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</si>
  <si>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</si>
  <si>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</si>
  <si>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</si>
  <si>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</si>
  <si>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</si>
  <si>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</si>
  <si>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</si>
  <si>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</si>
  <si>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</si>
  <si>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</si>
  <si>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</si>
  <si>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</si>
  <si>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</si>
  <si>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</si>
  <si>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</si>
  <si>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</si>
  <si>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</si>
  <si>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</si>
  <si>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</si>
  <si>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</si>
  <si>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</si>
  <si>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</si>
  <si>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</si>
  <si>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</si>
  <si>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</si>
  <si>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</si>
  <si>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</si>
  <si>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</si>
  <si>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</si>
  <si>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</si>
  <si>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</si>
  <si>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</si>
  <si>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</si>
  <si>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</si>
  <si>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</si>
  <si>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</si>
  <si>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</si>
  <si>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</si>
  <si>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</si>
  <si>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</si>
  <si>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</si>
  <si>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</si>
  <si>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</si>
  <si>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</si>
  <si>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</si>
  <si>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</si>
  <si>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</si>
  <si>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</si>
  <si>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</si>
  <si>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</si>
  <si>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</si>
  <si>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</si>
  <si>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</si>
  <si>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</si>
  <si>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</si>
  <si>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</si>
  <si>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</si>
  <si>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</si>
  <si>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</si>
  <si>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</si>
  <si>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</si>
  <si>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</si>
  <si>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</si>
  <si>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</si>
  <si>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</si>
  <si>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</si>
  <si>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</si>
  <si>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</si>
  <si>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</si>
  <si>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</si>
  <si>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</si>
  <si>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</si>
  <si>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</si>
  <si>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</si>
  <si>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</si>
  <si>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</si>
  <si>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</si>
  <si>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</si>
  <si>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</si>
  <si>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</si>
  <si>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</si>
  <si>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</si>
  <si>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</si>
  <si>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</si>
  <si>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</si>
  <si>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</si>
  <si>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</si>
  <si>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</si>
  <si>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</si>
  <si>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</si>
  <si>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</si>
  <si>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</si>
  <si>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</si>
  <si>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</si>
  <si>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</si>
  <si>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</si>
  <si>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</si>
  <si>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</si>
  <si>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</si>
  <si>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</si>
  <si>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</si>
  <si>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</si>
  <si>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</si>
  <si>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</si>
  <si>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</si>
  <si>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</si>
  <si>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</si>
  <si>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</si>
  <si>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</si>
  <si>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</si>
  <si>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</si>
  <si>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</si>
  <si>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</si>
  <si>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</si>
  <si>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</si>
  <si>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</si>
  <si>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</si>
  <si>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</si>
  <si>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</si>
  <si>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</si>
  <si>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</si>
  <si>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</si>
  <si>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</si>
  <si>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</si>
  <si>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</si>
  <si>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</si>
  <si>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</si>
  <si>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</si>
  <si>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</si>
  <si>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</si>
  <si>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</si>
  <si>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</si>
  <si>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</si>
  <si>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</si>
  <si>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</si>
  <si>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</si>
  <si>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</si>
  <si>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</si>
  <si>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</si>
  <si>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</si>
  <si>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</si>
  <si>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</si>
  <si>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</si>
  <si>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</si>
  <si>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</si>
  <si>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</si>
  <si>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</si>
  <si>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</si>
  <si>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</si>
  <si>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</si>
  <si>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</si>
  <si>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</si>
  <si>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</si>
  <si>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</si>
  <si>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</si>
  <si>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</si>
  <si>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</si>
  <si>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</si>
  <si>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</si>
  <si>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</si>
  <si>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</si>
  <si>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</si>
  <si>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</si>
  <si>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</si>
  <si>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</si>
  <si>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</si>
  <si>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</si>
  <si>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</si>
  <si>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</si>
  <si>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</si>
  <si>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</si>
  <si>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</si>
  <si>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</si>
  <si>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</si>
  <si>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</si>
  <si>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</si>
  <si>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</si>
  <si>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</si>
  <si>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</si>
  <si>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</si>
  <si>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</si>
  <si>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</si>
  <si>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</si>
  <si>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</si>
  <si>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</si>
  <si>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</si>
  <si>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</si>
  <si>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</si>
  <si>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</si>
  <si>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</si>
  <si>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</si>
  <si>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</si>
  <si>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</si>
  <si>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</si>
  <si>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</si>
  <si>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</si>
  <si>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</si>
  <si>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</si>
  <si>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</si>
  <si>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</si>
  <si>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</si>
  <si>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</si>
  <si>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</si>
  <si>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</si>
  <si>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</si>
  <si>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</si>
  <si>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</si>
  <si>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</si>
  <si>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</si>
  <si>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 #: 4692648-8</t>
  </si>
  <si>
    <t>Address:Gajjumata</t>
  </si>
  <si>
    <t xml:space="preserve"> _FR TRADERS (Risen)</t>
  </si>
  <si>
    <t>Invoice No # :9991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</si>
</sst>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Q4" sqref="Q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514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 _FR TRADERS (Risen)</v>
      </c>
      <c r="T3" s="301">
        <f>+'1'!P35</f>
        <v>39973.635631144069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 _FR TRADERS (Risen)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 _FR TRADERS (Risen)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 _FR TRADERS (Risen)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 _FR TRADERS (Risen)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 _FR TRADERS (Risen)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 _FR TRADERS (Risen)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311">
        <f t="shared" si="2"/>
        <v>8883.0117152542352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 _FR TRADERS (Risen)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 _FR TRADERS (Risen)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311">
        <f t="shared" si="2"/>
        <v>11844.015620338982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 _FR TRADERS (Risen)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 _FR TRADERS (Risen)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 _FR TRADERS (Risen)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 _FR TRADERS (Risen)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16</v>
      </c>
      <c r="H16" s="113">
        <f t="shared" ref="H16:M16" si="3">SUM(H7:H15)</f>
        <v>640</v>
      </c>
      <c r="I16" s="114">
        <f t="shared" si="3"/>
        <v>39225.699999999997</v>
      </c>
      <c r="J16" s="274">
        <f>SUM(J7:J15)</f>
        <v>5491.5980000000009</v>
      </c>
      <c r="K16" s="275">
        <f t="shared" si="3"/>
        <v>1372.8995000000002</v>
      </c>
      <c r="L16" s="276">
        <f t="shared" si="3"/>
        <v>0</v>
      </c>
      <c r="M16" s="232">
        <f t="shared" si="3"/>
        <v>32361.202499999996</v>
      </c>
      <c r="N16" s="233">
        <f>SUM(N7:N15)</f>
        <v>7413.5593220338978</v>
      </c>
      <c r="O16" s="101">
        <f>SUM(O7:O15)</f>
        <v>198.87380911016947</v>
      </c>
      <c r="P16" s="113">
        <f>SUM(P7:P15)</f>
        <v>39973.635631144061</v>
      </c>
      <c r="Q16" s="128">
        <f>SUM(Q7:Q15)</f>
        <v>0</v>
      </c>
      <c r="R16" s="314">
        <v>14</v>
      </c>
      <c r="S16" s="300" t="str">
        <f>+'14'!A6:A6</f>
        <v xml:space="preserve"> _FR TRADERS (Risen)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 _FR TRADERS (Risen)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 _FR TRADERS (Risen)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39225.699999999997</v>
      </c>
      <c r="R19" s="299">
        <v>17</v>
      </c>
      <c r="S19" s="300" t="str">
        <f>+'17'!A6:A6</f>
        <v xml:space="preserve"> _FR TRADERS (Risen)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5491.5980000000009</v>
      </c>
      <c r="R20" s="299">
        <v>18</v>
      </c>
      <c r="S20" s="300" t="str">
        <f>+'18'!A6:A6</f>
        <v xml:space="preserve"> _FR TRADERS (Risen)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1372.8995000000002</v>
      </c>
      <c r="R21" s="299">
        <v>19</v>
      </c>
      <c r="S21" s="300" t="str">
        <f>+'19'!A6:A6</f>
        <v xml:space="preserve"> _FR TRADERS (Risen)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32361.202499999999</v>
      </c>
      <c r="R22" s="299">
        <v>20</v>
      </c>
      <c r="S22" s="300" t="str">
        <f>+'20'!A6:A6</f>
        <v xml:space="preserve"> _FR TRADERS (Risen)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7413.5593220338978</v>
      </c>
      <c r="R23" s="299">
        <v>21</v>
      </c>
      <c r="S23" s="300" t="str">
        <f>+'21'!A6:A6</f>
        <v xml:space="preserve"> _FR TRADERS (Risen)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39774.761822033899</v>
      </c>
      <c r="R24" s="299">
        <v>22</v>
      </c>
      <c r="S24" s="300" t="str">
        <f>+'22'!A6:A6</f>
        <v xml:space="preserve"> _FR TRADERS (Risen)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198.87380911016947</v>
      </c>
      <c r="R25" s="299">
        <v>23</v>
      </c>
      <c r="S25" s="300" t="str">
        <f>+'23'!A6:A6</f>
        <v xml:space="preserve"> _FR TRADERS (Risen)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39973.635631144069</v>
      </c>
      <c r="R26" s="299">
        <v>24</v>
      </c>
      <c r="S26" s="300" t="str">
        <f>+'24'!A6:A6</f>
        <v xml:space="preserve"> _FR TRADERS (Risen)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 _FR TRADERS (Risen)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 _FR TRADERS (Risen)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 _FR TRADERS (Risen)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 _FR TRADERS (Risen)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 _FR TRADERS (Risen)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 _FR TRADERS (Risen)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39973.635631144069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5" sqref="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515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1">
        <f t="shared" si="5"/>
        <v>11844.015620338982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640</v>
      </c>
      <c r="I25" s="114">
        <f t="shared" ref="I25:M25" si="10">SUM(I16:I24)</f>
        <v>39225.699999999997</v>
      </c>
      <c r="J25" s="274">
        <f>SUM(J16:J24)</f>
        <v>5491.5980000000009</v>
      </c>
      <c r="K25" s="275">
        <f t="shared" si="10"/>
        <v>1372.8995000000002</v>
      </c>
      <c r="L25" s="276">
        <f t="shared" si="10"/>
        <v>0</v>
      </c>
      <c r="M25" s="232">
        <f t="shared" si="10"/>
        <v>32361.202499999996</v>
      </c>
      <c r="N25" s="233">
        <f>SUM(N16:N24)</f>
        <v>7413.5593220338978</v>
      </c>
      <c r="O25" s="101">
        <f>SUM(O16:O24)</f>
        <v>198.87380911016947</v>
      </c>
      <c r="P25" s="113">
        <f>SUM(P16:P24)</f>
        <v>39973.635631144061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39225.699999999997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5491.5980000000009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1372.8995000000002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32361.202499999999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7413.5593220338978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39774.761822033899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198.8738091101695</v>
      </c>
    </row>
    <row r="35" spans="2:16" ht="15.75" customHeight="1" thickBot="1" x14ac:dyDescent="0.4">
      <c r="N35" s="342" t="s">
        <v>88</v>
      </c>
      <c r="O35" s="343"/>
      <c r="P35" s="297">
        <f>+P33+P34</f>
        <v>39973.635631144069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412">
        <v>0.14000000000000001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2026-08-05T13:02:09Z</dcterms:modified>
</cp:coreProperties>
</file>