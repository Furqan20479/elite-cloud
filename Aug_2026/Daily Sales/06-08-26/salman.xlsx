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3AA59FD-EC61-4FC7-967B-893840E10EF2}" xr6:coauthVersionLast="47" xr6:coauthVersionMax="47" xr10:uidLastSave="{00000000-0000-0000-0000-000000000000}"/>
  <bookViews>
    <workbookView xWindow="-110" yWindow="-110" windowWidth="19420" windowHeight="10420" tabRatio="872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18" i="48"/>
  <c r="M17" i="44"/>
  <c r="O17" i="44" s="1"/>
  <c r="P17" i="44" s="1"/>
  <c r="M16" i="44"/>
  <c r="O16" i="44" s="1"/>
  <c r="J7" i="62"/>
  <c r="M22" i="43"/>
  <c r="M20" i="43"/>
  <c r="O20" i="43" s="1"/>
  <c r="P20" i="43" s="1"/>
  <c r="R20" i="43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<sst xmlns="http://schemas.openxmlformats.org/spreadsheetml/2006/main" count="3978" uniqueCount="525">
  <si>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</si>
  <si>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</si>
  <si>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</si>
  <si>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</si>
  <si>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</si>
  <si>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</si>
  <si>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</si>
  <si>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</si>
  <si>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</si>
  <si>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</si>
  <si>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</si>
  <si>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</si>
  <si>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</si>
  <si>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</si>
  <si>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</si>
  <si>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</si>
  <si>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</si>
  <si>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</si>
  <si>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</si>
  <si>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</si>
  <si>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</si>
  <si>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</si>
  <si>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</si>
  <si>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</si>
  <si>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</si>
  <si>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</si>
  <si>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</si>
  <si>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</si>
  <si>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</si>
  <si>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</si>
  <si>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</si>
  <si>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</si>
  <si>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</si>
  <si>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</si>
  <si>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</si>
  <si>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</si>
  <si>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</si>
  <si>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</si>
  <si>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</si>
  <si>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</si>
  <si>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</si>
  <si>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</si>
  <si>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</si>
  <si>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</si>
  <si>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</si>
  <si>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</si>
  <si>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</si>
  <si>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</si>
  <si>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</si>
  <si>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</si>
  <si>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</si>
  <si>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</si>
  <si>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</si>
  <si>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</si>
  <si>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</si>
  <si>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</si>
  <si>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</si>
  <si>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</si>
  <si>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</si>
  <si>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</si>
  <si>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</si>
  <si>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</si>
  <si>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</si>
  <si>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</si>
  <si>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</si>
  <si>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</si>
  <si>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</si>
  <si>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</si>
  <si>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</si>
  <si>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</si>
  <si>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</si>
  <si>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</si>
  <si>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</si>
  <si>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</si>
  <si>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</si>
  <si>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</si>
  <si>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</si>
  <si>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</si>
  <si>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</si>
  <si>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</si>
  <si>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</si>
  <si>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</si>
  <si>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</si>
  <si>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</si>
  <si>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</si>
  <si>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</si>
  <si>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</si>
  <si>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</si>
  <si>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</si>
  <si>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</si>
  <si>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</si>
  <si>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</si>
  <si>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</si>
  <si>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</si>
  <si>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</si>
  <si>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</si>
  <si>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</si>
  <si>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</si>
  <si>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</si>
  <si>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</si>
  <si>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</si>
  <si>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</si>
  <si>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</si>
  <si>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</si>
  <si>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</si>
  <si>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</si>
  <si>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</si>
  <si>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</si>
  <si>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</si>
  <si>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</si>
  <si>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</si>
  <si>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</si>
  <si>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</si>
  <si>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</si>
  <si>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</si>
  <si>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</si>
  <si>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</si>
  <si>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</si>
  <si>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</si>
  <si>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</si>
  <si>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</si>
  <si>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</si>
  <si>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</si>
  <si>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</si>
  <si>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</si>
  <si>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</si>
  <si>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</si>
  <si>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</si>
  <si>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</si>
  <si>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</si>
  <si>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</si>
  <si>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</si>
  <si>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</si>
  <si>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</si>
  <si>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</si>
  <si>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</si>
  <si>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</si>
  <si>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</si>
  <si>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</si>
  <si>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</si>
  <si>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</si>
  <si>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</si>
  <si>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</si>
  <si>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</si>
  <si>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</si>
  <si>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</si>
  <si>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</si>
  <si>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</si>
  <si>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</si>
  <si>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</si>
  <si>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</si>
  <si>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</si>
  <si>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</si>
  <si>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</si>
  <si>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</si>
  <si>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</si>
  <si>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</si>
  <si>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</si>
  <si>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</si>
  <si>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</si>
  <si>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</si>
  <si>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</si>
  <si>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</si>
  <si>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</si>
  <si>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</si>
  <si>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</si>
  <si>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</si>
  <si>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</si>
  <si>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</si>
  <si>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</si>
  <si>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</si>
  <si>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</si>
  <si>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</si>
  <si>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</si>
  <si>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</si>
  <si>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</si>
  <si>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</si>
  <si>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</si>
  <si>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</si>
  <si>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</si>
  <si>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</si>
  <si>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</si>
  <si>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</si>
  <si>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</si>
  <si>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</si>
  <si>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</si>
  <si>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</si>
  <si>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</si>
  <si>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</si>
  <si>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</si>
  <si>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</si>
  <si>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</si>
  <si>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</si>
  <si>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</si>
  <si>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</si>
  <si>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</si>
  <si>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</si>
  <si>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</si>
  <si>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</si>
  <si>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</si>
  <si>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</si>
  <si>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</si>
  <si>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</si>
  <si>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</si>
  <si>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</si>
  <si>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</si>
  <si>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</si>
  <si>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</si>
  <si>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</si>
  <si>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</si>
  <si>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</si>
  <si>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</si>
  <si>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</si>
  <si>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</si>
  <si>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</si>
  <si>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</si>
  <si>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</si>
  <si>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</si>
  <si>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</si>
  <si>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</si>
  <si>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</si>
  <si>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</si>
  <si>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</si>
  <si>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</si>
  <si>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</si>
  <si>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</si>
  <si>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</si>
  <si>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</si>
  <si>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</si>
  <si>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</si>
  <si>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</si>
  <si>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</si>
  <si>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</si>
  <si>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</si>
  <si>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</si>
  <si>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</si>
  <si>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</si>
  <si>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</si>
  <si>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</si>
  <si>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</si>
  <si>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</si>
  <si>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</si>
  <si>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</si>
  <si>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</si>
  <si>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</si>
  <si>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</si>
  <si>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</si>
  <si>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</si>
  <si>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</si>
  <si>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</si>
  <si>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</si>
  <si>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</si>
  <si>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</si>
  <si>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</si>
  <si>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</si>
  <si>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</si>
  <si>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</si>
  <si>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</si>
  <si>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</si>
  <si>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</si>
  <si>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</si>
  <si>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</si>
  <si>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</si>
  <si>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</si>
  <si>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</si>
  <si>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</si>
  <si>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</si>
  <si>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</si>
  <si>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</si>
  <si>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</si>
  <si>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</si>
  <si>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</si>
  <si>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</si>
  <si>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</si>
  <si>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</si>
  <si>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</si>
  <si>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</si>
  <si>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</si>
  <si>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</si>
  <si>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</si>
  <si>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</si>
  <si>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</si>
  <si>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</si>
  <si>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</si>
  <si>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</si>
  <si>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</si>
  <si>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</si>
  <si>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</si>
  <si>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</si>
  <si>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</si>
  <si>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</si>
  <si>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</si>
  <si>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</si>
  <si>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</si>
  <si>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</si>
  <si>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</si>
  <si>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</si>
  <si>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</si>
  <si>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</si>
  <si>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</si>
  <si>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</si>
  <si>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</si>
  <si>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</si>
  <si>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</si>
  <si>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</si>
  <si>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</si>
  <si>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</si>
  <si>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</si>
  <si>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</si>
  <si>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</si>
  <si>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</si>
  <si>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</si>
  <si>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</si>
  <si>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</si>
  <si>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</si>
  <si>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</si>
  <si>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</si>
  <si>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</si>
  <si>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</si>
  <si>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</si>
  <si>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</si>
  <si>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</si>
  <si>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</si>
  <si>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</si>
  <si>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</si>
  <si>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</si>
  <si>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</si>
  <si>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</si>
  <si>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</si>
  <si>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</si>
  <si>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</si>
  <si>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</si>
  <si>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</si>
  <si>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</si>
  <si>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</si>
  <si>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</si>
  <si>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</si>
  <si>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</si>
  <si>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</si>
  <si>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</si>
  <si>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</si>
  <si>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</si>
  <si>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</si>
  <si>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</si>
  <si>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</si>
  <si>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</si>
  <si>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</si>
  <si>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</si>
  <si>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</si>
  <si>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</si>
  <si>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</si>
  <si>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</si>
  <si>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</si>
  <si>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</si>
  <si>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</si>
  <si>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</si>
  <si>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</si>
  <si>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</si>
  <si>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</si>
  <si>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</si>
  <si>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</si>
  <si>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</si>
  <si>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</si>
  <si>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</si>
  <si>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</si>
  <si>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</si>
  <si>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</si>
  <si>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</si>
  <si>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</si>
  <si>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</si>
  <si>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</si>
  <si>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</si>
  <si>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</si>
  <si>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</si>
  <si>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</si>
  <si>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</si>
  <si>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</si>
  <si>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</si>
  <si>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</si>
  <si>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</si>
  <si>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</si>
  <si>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</si>
  <si>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</si>
  <si>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</si>
  <si>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</si>
  <si>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</si>
  <si>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</si>
  <si>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</si>
  <si>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</si>
  <si>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</si>
  <si>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</si>
  <si>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</si>
  <si>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</si>
  <si>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</si>
  <si>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</si>
  <si>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</si>
  <si>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</si>
  <si>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</si>
  <si>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</si>
  <si>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</si>
  <si>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</si>
  <si>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</si>
  <si>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</si>
  <si>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</si>
  <si>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</si>
  <si>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</si>
  <si>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</si>
  <si>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</si>
  <si>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</si>
  <si>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</si>
  <si>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</si>
  <si>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</si>
  <si>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</si>
  <si>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</si>
  <si>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</si>
  <si>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</si>
  <si>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</si>
  <si>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</si>
  <si>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</si>
  <si>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</si>
  <si>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</si>
  <si>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</si>
  <si>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</si>
  <si>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</si>
  <si>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</si>
  <si>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</si>
  <si>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</si>
  <si>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</si>
  <si>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</si>
  <si>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</si>
  <si>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</si>
  <si>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</si>
  <si>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</si>
  <si>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</si>
  <si>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</si>
  <si>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</si>
  <si>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</si>
  <si>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</si>
  <si>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</si>
  <si>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</si>
  <si>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</si>
  <si>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</si>
  <si>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</si>
  <si>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</si>
  <si>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</si>
  <si>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</si>
  <si>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</si>
  <si>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</si>
  <si>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</si>
  <si>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</si>
  <si>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</si>
  <si>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</si>
  <si>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</si>
  <si>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</si>
  <si>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</si>
  <si>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</si>
  <si>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</si>
  <si>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</si>
  <si>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</si>
  <si>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</si>
  <si>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</si>
  <si>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</si>
  <si>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</si>
  <si>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</si>
  <si>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</si>
  <si>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</si>
  <si>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</si>
  <si>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</si>
  <si>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</si>
  <si>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</si>
  <si>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</si>
  <si>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</si>
  <si>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</si>
  <si>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</si>
  <si>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</si>
  <si>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</si>
  <si>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</si>
  <si>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</si>
  <si>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</si>
  <si>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</si>
  <si>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</si>
  <si>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</si>
  <si>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</si>
  <si>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</si>
  <si>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</si>
  <si>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</si>
  <si>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</si>
  <si>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</si>
  <si>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</si>
  <si>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</si>
  <si>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</si>
  <si>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</si>
  <si>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</si>
  <si>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</si>
  <si>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</si>
  <si>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</si>
  <si>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</si>
  <si>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</si>
  <si>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</si>
  <si>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</si>
  <si>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</si>
  <si>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</si>
  <si>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</si>
  <si>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</si>
  <si>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</si>
  <si>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</si>
  <si>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</si>
  <si>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</si>
  <si>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</si>
  <si>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</si>
  <si>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</si>
  <si>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</si>
  <si>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</si>
  <si>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</si>
  <si>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</si>
  <si>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</si>
  <si>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Ahmad Usman Mart </t>
  </si>
  <si>
    <t>Address: Cavelery Ground</t>
  </si>
  <si>
    <t xml:space="preserve">Al falah Bakers </t>
  </si>
  <si>
    <t>Wali Super Store</t>
  </si>
  <si>
    <t xml:space="preserve">Shahid &amp; Sons </t>
  </si>
  <si>
    <t xml:space="preserve">K Mart </t>
  </si>
  <si>
    <t>Al Fateh Store</t>
  </si>
  <si>
    <t>Ali General Store</t>
  </si>
  <si>
    <t xml:space="preserve">Salman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</si>
</sst>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8" sqref="U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524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46239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Ahmad Usman Mart </v>
      </c>
      <c r="T3" s="301">
        <f>+'1'!P35</f>
        <v>11339.178457919492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Al falah Bakers 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Wali Super Store</v>
      </c>
      <c r="T5" s="301">
        <f>+'3'!P35</f>
        <v>3099.640539584746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Shahid &amp; Sons </v>
      </c>
      <c r="T6" s="301">
        <f>+'4'!P35</f>
        <v>1635.5397685194919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109</v>
      </c>
      <c r="I7" s="235">
        <f>(G7*D7)*F7+H7*F7</f>
        <v>5718.4124999999995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457.47300000000001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200.14443750000001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5060.7950624999994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1080.7627118644064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30.707788871822032</v>
      </c>
      <c r="P7" s="310">
        <f>M7+N7+O7</f>
        <v>6172.2655632362284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K Mart </v>
      </c>
      <c r="T7" s="301">
        <f>+'5'!P35</f>
        <v>10105.580545550847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88</v>
      </c>
      <c r="I8" s="236">
        <f t="shared" ref="I8:I14" si="0">(G8*D8)*F8+H8*F8</f>
        <v>4616.7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369.33599999999996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161.58449999999999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4085.7794999999996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872.5423728813555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24.791609364406781</v>
      </c>
      <c r="P8" s="311">
        <f t="shared" ref="P8:P15" si="2">M8+N8+O8</f>
        <v>4983.1134822457625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Al Fateh Store</v>
      </c>
      <c r="T8" s="301">
        <f>+'6'!P35</f>
        <v>1967.114748165254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Ali General Store</v>
      </c>
      <c r="T9" s="301">
        <f>+'7'!P35</f>
        <v>2265.051582838983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78</v>
      </c>
      <c r="I10" s="236">
        <f t="shared" si="0"/>
        <v>5665.92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453.27359999999999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198.30720000000002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5014.3392000000003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1070.8474576271187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30.425933288135596</v>
      </c>
      <c r="P10" s="311">
        <f t="shared" si="2"/>
        <v>6115.6125909152543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73</v>
      </c>
      <c r="I11" s="236">
        <f t="shared" si="0"/>
        <v>5302.72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424.21760000000006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185.59520000000003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4692.9071999999996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1002.2033898305085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28.475552949152544</v>
      </c>
      <c r="P11" s="311">
        <f t="shared" si="2"/>
        <v>5723.5861427796608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78</v>
      </c>
      <c r="I12" s="236">
        <f t="shared" si="0"/>
        <v>5665.92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453.27359999999999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198.30720000000002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5014.3392000000003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1070.8474576271187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30.425933288135596</v>
      </c>
      <c r="P12" s="311">
        <f t="shared" si="2"/>
        <v>6115.6125909152543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126</v>
      </c>
      <c r="I13" s="236">
        <f t="shared" si="0"/>
        <v>4942.9800000000005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247.14900000000009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173.00430000000006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252.09198000000001</v>
      </c>
      <c r="M13" s="230">
        <f t="shared" si="1"/>
        <v>4270.7347200000004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961.01694915254177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26.158758345762713</v>
      </c>
      <c r="P13" s="311">
        <f t="shared" si="2"/>
        <v>5257.9104274983056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14.175000000000001</v>
      </c>
      <c r="H16" s="113">
        <f t="shared" ref="H16:M16" si="3">SUM(H7:H15)</f>
        <v>567</v>
      </c>
      <c r="I16" s="114">
        <f t="shared" si="3"/>
        <v>32699.59</v>
      </c>
      <c r="J16" s="274">
        <f>SUM(J7:J15)</f>
        <v>2467.6777999999999</v>
      </c>
      <c r="K16" s="275">
        <f t="shared" si="3"/>
        <v>1144.4856500000001</v>
      </c>
      <c r="L16" s="276">
        <f t="shared" si="3"/>
        <v>252.09198000000001</v>
      </c>
      <c r="M16" s="232">
        <f t="shared" si="3"/>
        <v>28835.334569999999</v>
      </c>
      <c r="N16" s="233">
        <f>SUM(N7:N15)</f>
        <v>6206.9491525423718</v>
      </c>
      <c r="O16" s="101">
        <f>SUM(O7:O15)</f>
        <v>175.21141861271187</v>
      </c>
      <c r="P16" s="113">
        <f>SUM(P7:P15)</f>
        <v>35217.495141155079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32699.59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2467.6777999999999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1396.57763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28835.334569999999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6206.9491525423718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35042.283722542372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175.21141861271187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35217.495141155086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35217.495141155079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180</v>
      </c>
      <c r="I25" s="114">
        <f t="shared" ref="I25:M25" si="10">SUM(I16:I24)</f>
        <v>10528.150000000001</v>
      </c>
      <c r="J25" s="274">
        <f>SUM(J16:J24)</f>
        <v>795.17600000000016</v>
      </c>
      <c r="K25" s="275">
        <f t="shared" si="10"/>
        <v>368.48525000000006</v>
      </c>
      <c r="L25" s="276">
        <f t="shared" si="10"/>
        <v>80.029200000000003</v>
      </c>
      <c r="M25" s="232">
        <f t="shared" si="10"/>
        <v>9284.4595499999996</v>
      </c>
      <c r="N25" s="233">
        <f>SUM(N16:N24)</f>
        <v>1998.3050847457623</v>
      </c>
      <c r="O25" s="101">
        <f>SUM(O16:O24)</f>
        <v>56.413823173728815</v>
      </c>
      <c r="P25" s="113">
        <f>SUM(P16:P24)</f>
        <v>11339.178457919492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10528.150000000001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795.17600000000016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448.51445000000007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9284.4595500000014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1998.3050847457623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11282.764634745763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56.413823173728815</v>
      </c>
    </row>
    <row r="35" spans="2:16" ht="15.75" customHeight="1" thickBot="1" x14ac:dyDescent="0.4">
      <c r="N35" s="342" t="s">
        <v>88</v>
      </c>
      <c r="O35" s="343"/>
      <c r="P35" s="297">
        <f>+P33+P34</f>
        <v>11339.178457919492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60</v>
      </c>
      <c r="I25" s="114">
        <f t="shared" si="7"/>
        <v>2883.1000000000004</v>
      </c>
      <c r="J25" s="274">
        <f>SUM(J16:J24)</f>
        <v>207.11</v>
      </c>
      <c r="K25" s="275">
        <f t="shared" si="7"/>
        <v>100.9085</v>
      </c>
      <c r="L25" s="276">
        <f t="shared" si="7"/>
        <v>40.014600000000002</v>
      </c>
      <c r="M25" s="232">
        <f t="shared" si="7"/>
        <v>2535.0669000000003</v>
      </c>
      <c r="N25" s="233">
        <f>SUM(N16:N24)</f>
        <v>549.15254237288104</v>
      </c>
      <c r="O25" s="101">
        <f>SUM(O16:O24)</f>
        <v>15.421097211864407</v>
      </c>
      <c r="P25" s="113">
        <f>SUM(P16:P24)</f>
        <v>3099.640539584746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2883.1000000000004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207.11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140.92310000000001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2535.0669000000003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549.15254237288104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3084.2194423728815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15.421097211864408</v>
      </c>
    </row>
    <row r="35" spans="2:16" ht="15.75" customHeight="1" thickBot="1" x14ac:dyDescent="0.4">
      <c r="N35" s="342" t="s">
        <v>88</v>
      </c>
      <c r="O35" s="343"/>
      <c r="P35" s="297">
        <f>+P33+P34</f>
        <v>3099.640539584746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311">
        <f t="shared" si="5"/>
        <v>235.21586888135593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27</v>
      </c>
      <c r="I25" s="114">
        <f t="shared" si="7"/>
        <v>1518.6900000000003</v>
      </c>
      <c r="J25" s="274">
        <f>SUM(J16:J24)</f>
        <v>114.43380000000001</v>
      </c>
      <c r="K25" s="275">
        <f t="shared" si="7"/>
        <v>53.154150000000008</v>
      </c>
      <c r="L25" s="276">
        <f t="shared" si="7"/>
        <v>12.004380000000001</v>
      </c>
      <c r="M25" s="232">
        <f t="shared" si="7"/>
        <v>1339.0976700000001</v>
      </c>
      <c r="N25" s="233">
        <f>SUM(N16:N24)</f>
        <v>288.30508474576266</v>
      </c>
      <c r="O25" s="101">
        <f>SUM(O16:O24)</f>
        <v>8.137013773728814</v>
      </c>
      <c r="P25" s="113">
        <f>SUM(P16:P24)</f>
        <v>1635.5397685194914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1518.6900000000003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114.43380000000001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65.158530000000013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1339.0976700000003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288.30508474576266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1627.4027547457631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8.1370137737288157</v>
      </c>
    </row>
    <row r="35" spans="2:16" ht="15.75" customHeight="1" thickBot="1" x14ac:dyDescent="0.4">
      <c r="N35" s="342" t="s">
        <v>88</v>
      </c>
      <c r="O35" s="343"/>
      <c r="P35" s="297">
        <f>+P33+P34</f>
        <v>1635.5397685194919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140</v>
      </c>
      <c r="I25" s="114">
        <f t="shared" si="7"/>
        <v>9362.5</v>
      </c>
      <c r="J25" s="274">
        <f>SUM(J16:J24)</f>
        <v>749</v>
      </c>
      <c r="K25" s="275">
        <f t="shared" si="7"/>
        <v>327.68750000000006</v>
      </c>
      <c r="L25" s="276">
        <f t="shared" si="7"/>
        <v>0</v>
      </c>
      <c r="M25" s="232">
        <f t="shared" si="7"/>
        <v>8285.8125</v>
      </c>
      <c r="N25" s="233">
        <f>SUM(N16:N24)</f>
        <v>1769.4915254237285</v>
      </c>
      <c r="O25" s="101">
        <f>SUM(O16:O24)</f>
        <v>50.276520127118644</v>
      </c>
      <c r="P25" s="113">
        <f>SUM(P16:P24)</f>
        <v>10105.580545550847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9362.5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749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327.68750000000006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8285.8125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1769.4915254237285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10055.304025423728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50.276520127118637</v>
      </c>
    </row>
    <row r="35" spans="2:16" ht="15.75" customHeight="1" thickBot="1" x14ac:dyDescent="0.4">
      <c r="N35" s="342" t="s">
        <v>88</v>
      </c>
      <c r="O35" s="343"/>
      <c r="P35" s="297">
        <f>+P33+P34</f>
        <v>10105.580545550847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1833.8500000000001</v>
      </c>
      <c r="J25" s="274">
        <f>SUM(J16:J24)</f>
        <v>123.17000000000002</v>
      </c>
      <c r="K25" s="275">
        <f t="shared" si="7"/>
        <v>64.184750000000008</v>
      </c>
      <c r="L25" s="276">
        <f t="shared" si="7"/>
        <v>40.014600000000002</v>
      </c>
      <c r="M25" s="232">
        <f t="shared" si="7"/>
        <v>1606.4806500000002</v>
      </c>
      <c r="N25" s="233">
        <f>SUM(N16:N24)</f>
        <v>350.8474576271185</v>
      </c>
      <c r="O25" s="101">
        <f>SUM(O16:O24)</f>
        <v>9.7866405381355932</v>
      </c>
      <c r="P25" s="113">
        <f>SUM(P16:P24)</f>
        <v>1967.1147481652542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1833.8500000000001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123.17000000000002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104.19935000000001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1606.48065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350.8474576271185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1957.3281076271185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9.7866405381355932</v>
      </c>
    </row>
    <row r="35" spans="2:16" ht="15.75" customHeight="1" thickBot="1" x14ac:dyDescent="0.4">
      <c r="N35" s="342" t="s">
        <v>88</v>
      </c>
      <c r="O35" s="343"/>
      <c r="P35" s="297">
        <f>+P33+P34</f>
        <v>1967.114748165254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9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310">
        <f>M16+N16+O16</f>
        <v>736.14176442266944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46239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46239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2026-08-05T11:12:02Z</dcterms:modified>
</cp:coreProperties>
</file>