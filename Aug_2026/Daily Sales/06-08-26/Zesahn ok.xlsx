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01DF0A-DEA2-49F7-AD4D-91147526661C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2" i="51"/>
  <c r="M21" i="44"/>
  <c r="O21" i="44" s="1"/>
  <c r="P21" i="44" s="1"/>
  <c r="K12" i="62"/>
  <c r="M22" i="43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<sst xmlns="http://schemas.openxmlformats.org/spreadsheetml/2006/main" count="3978" uniqueCount="533">
  <si>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</si>
  <si>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</si>
  <si>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</si>
  <si>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</si>
  <si>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</si>
  <si>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</si>
  <si>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</si>
  <si>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</si>
  <si>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</si>
  <si>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</si>
  <si>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</si>
  <si>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</si>
  <si>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</si>
  <si>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</si>
  <si>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</si>
  <si>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</si>
  <si>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</si>
  <si>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</si>
  <si>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</si>
  <si>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</si>
  <si>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</si>
  <si>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</si>
  <si>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</si>
  <si>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</si>
  <si>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</si>
  <si>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</si>
  <si>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</si>
  <si>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</si>
  <si>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</si>
  <si>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</si>
  <si>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</si>
  <si>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</si>
  <si>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</si>
  <si>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</si>
  <si>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</si>
  <si>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</si>
  <si>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</si>
  <si>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</si>
  <si>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</si>
  <si>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</si>
  <si>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</si>
  <si>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</si>
  <si>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</si>
  <si>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</si>
  <si>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</si>
  <si>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</si>
  <si>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</si>
  <si>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</si>
  <si>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</si>
  <si>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</si>
  <si>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</si>
  <si>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</si>
  <si>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</si>
  <si>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</si>
  <si>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</si>
  <si>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</si>
  <si>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</si>
  <si>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</si>
  <si>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</si>
  <si>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</si>
  <si>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</si>
  <si>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</si>
  <si>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</si>
  <si>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</si>
  <si>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</si>
  <si>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</si>
  <si>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</si>
  <si>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</si>
  <si>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</si>
  <si>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</si>
  <si>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</si>
  <si>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</si>
  <si>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</si>
  <si>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</si>
  <si>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</si>
  <si>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</si>
  <si>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</si>
  <si>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</si>
  <si>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</si>
  <si>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</si>
  <si>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</si>
  <si>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</si>
  <si>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</si>
  <si>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</si>
  <si>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</si>
  <si>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</si>
  <si>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</si>
  <si>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</si>
  <si>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</si>
  <si>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</si>
  <si>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</si>
  <si>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</si>
  <si>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</si>
  <si>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</si>
  <si>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</si>
  <si>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</si>
  <si>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</si>
  <si>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</si>
  <si>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</si>
  <si>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</si>
  <si>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</si>
  <si>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</si>
  <si>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</si>
  <si>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</si>
  <si>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</si>
  <si>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</si>
  <si>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</si>
  <si>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</si>
  <si>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</si>
  <si>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</si>
  <si>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</si>
  <si>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</si>
  <si>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</si>
  <si>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</si>
  <si>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</si>
  <si>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</si>
  <si>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</si>
  <si>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</si>
  <si>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</si>
  <si>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</si>
  <si>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</si>
  <si>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</si>
  <si>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</si>
  <si>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</si>
  <si>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</si>
  <si>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</si>
  <si>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</si>
  <si>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</si>
  <si>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</si>
  <si>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</si>
  <si>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</si>
  <si>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</si>
  <si>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</si>
  <si>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</si>
  <si>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</si>
  <si>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</si>
  <si>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</si>
  <si>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</si>
  <si>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</si>
  <si>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</si>
  <si>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</si>
  <si>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</si>
  <si>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</si>
  <si>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</si>
  <si>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</si>
  <si>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</si>
  <si>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</si>
  <si>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</si>
  <si>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</si>
  <si>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</si>
  <si>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</si>
  <si>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</si>
  <si>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</si>
  <si>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</si>
  <si>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</si>
  <si>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</si>
  <si>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</si>
  <si>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</si>
  <si>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</si>
  <si>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</si>
  <si>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</si>
  <si>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</si>
  <si>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</si>
  <si>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</si>
  <si>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</si>
  <si>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</si>
  <si>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</si>
  <si>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</si>
  <si>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</si>
  <si>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</si>
  <si>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</si>
  <si>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</si>
  <si>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</si>
  <si>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</si>
  <si>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</si>
  <si>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</si>
  <si>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</si>
  <si>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</si>
  <si>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</si>
  <si>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</si>
  <si>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</si>
  <si>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</si>
  <si>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</si>
  <si>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</si>
  <si>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</si>
  <si>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</si>
  <si>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</si>
  <si>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</si>
  <si>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</si>
  <si>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</si>
  <si>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</si>
  <si>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</si>
  <si>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</si>
  <si>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</si>
  <si>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</si>
  <si>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</si>
  <si>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</si>
  <si>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</si>
  <si>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</si>
  <si>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</si>
  <si>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</si>
  <si>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</si>
  <si>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</si>
  <si>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</si>
  <si>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</si>
  <si>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</si>
  <si>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</si>
  <si>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</si>
  <si>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</si>
  <si>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</si>
  <si>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</si>
  <si>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</si>
  <si>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</si>
  <si>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</si>
  <si>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</si>
  <si>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</si>
  <si>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</si>
  <si>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</si>
  <si>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</si>
  <si>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</si>
  <si>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</si>
  <si>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</si>
  <si>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</si>
  <si>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</si>
  <si>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</si>
  <si>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</si>
  <si>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</si>
  <si>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</si>
  <si>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</si>
  <si>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</si>
  <si>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</si>
  <si>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</si>
  <si>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</si>
  <si>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</si>
  <si>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</si>
  <si>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</si>
  <si>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</si>
  <si>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</si>
  <si>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</si>
  <si>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</si>
  <si>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</si>
  <si>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</si>
  <si>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</si>
  <si>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</si>
  <si>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</si>
  <si>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</si>
  <si>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</si>
  <si>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</si>
  <si>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</si>
  <si>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</si>
  <si>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</si>
  <si>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</si>
  <si>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</si>
  <si>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</si>
  <si>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</si>
  <si>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</si>
  <si>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</si>
  <si>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</si>
  <si>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</si>
  <si>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</si>
  <si>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</si>
  <si>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</si>
  <si>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</si>
  <si>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</si>
  <si>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</si>
  <si>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</si>
  <si>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</si>
  <si>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</si>
  <si>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</si>
  <si>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</si>
  <si>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</si>
  <si>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</si>
  <si>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</si>
  <si>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</si>
  <si>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</si>
  <si>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</si>
  <si>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</si>
  <si>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</si>
  <si>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</si>
  <si>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</si>
  <si>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</si>
  <si>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</si>
  <si>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</si>
  <si>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</si>
  <si>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</si>
  <si>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</si>
  <si>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</si>
  <si>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</si>
  <si>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</si>
  <si>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</si>
  <si>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</si>
  <si>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</si>
  <si>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</si>
  <si>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</si>
  <si>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</si>
  <si>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</si>
  <si>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</si>
  <si>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</si>
  <si>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</si>
  <si>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</si>
  <si>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</si>
  <si>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</si>
  <si>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</si>
  <si>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</si>
  <si>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</si>
  <si>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</si>
  <si>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</si>
  <si>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</si>
  <si>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</si>
  <si>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</si>
  <si>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</si>
  <si>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</si>
  <si>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</si>
  <si>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</si>
  <si>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</si>
  <si>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</si>
  <si>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</si>
  <si>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</si>
  <si>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</si>
  <si>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</si>
  <si>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</si>
  <si>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</si>
  <si>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</si>
  <si>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</si>
  <si>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</si>
  <si>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</si>
  <si>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</si>
  <si>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</si>
  <si>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</si>
  <si>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</si>
  <si>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</si>
  <si>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</si>
  <si>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</si>
  <si>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</si>
  <si>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</si>
  <si>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</si>
  <si>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</si>
  <si>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</si>
  <si>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</si>
  <si>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</si>
  <si>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</si>
  <si>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</si>
  <si>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</si>
  <si>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</si>
  <si>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</si>
  <si>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</si>
  <si>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</si>
  <si>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</si>
  <si>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</si>
  <si>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</si>
  <si>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</si>
  <si>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</si>
  <si>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</si>
  <si>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</si>
  <si>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</si>
  <si>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</si>
  <si>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</si>
  <si>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</si>
  <si>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</si>
  <si>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</si>
  <si>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</si>
  <si>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</si>
  <si>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</si>
  <si>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</si>
  <si>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</si>
  <si>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</si>
  <si>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</si>
  <si>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</si>
  <si>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</si>
  <si>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</si>
  <si>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</si>
  <si>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</si>
  <si>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</si>
  <si>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</si>
  <si>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</si>
  <si>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</si>
  <si>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</si>
  <si>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</si>
  <si>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</si>
  <si>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</si>
  <si>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</si>
  <si>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</si>
  <si>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</si>
  <si>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</si>
  <si>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</si>
  <si>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</si>
  <si>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</si>
  <si>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</si>
  <si>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</si>
  <si>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</si>
  <si>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</si>
  <si>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</si>
  <si>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</si>
  <si>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</si>
  <si>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</si>
  <si>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</si>
  <si>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</si>
  <si>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</si>
  <si>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</si>
  <si>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</si>
  <si>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</si>
  <si>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</si>
  <si>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</si>
  <si>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</si>
  <si>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</si>
  <si>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</si>
  <si>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</si>
  <si>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</si>
  <si>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</si>
  <si>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</si>
  <si>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</si>
  <si>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</si>
  <si>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</si>
  <si>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</si>
  <si>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</si>
  <si>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</si>
  <si>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</si>
  <si>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</si>
  <si>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</si>
  <si>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</si>
  <si>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</si>
  <si>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</si>
  <si>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</si>
  <si>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</si>
  <si>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</si>
  <si>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</si>
  <si>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</si>
  <si>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</si>
  <si>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</si>
  <si>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</si>
  <si>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</si>
  <si>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</si>
  <si>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</si>
  <si>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</si>
  <si>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</si>
  <si>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</si>
  <si>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</si>
  <si>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</si>
  <si>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</si>
  <si>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</si>
  <si>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</si>
  <si>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</si>
  <si>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</si>
  <si>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</si>
  <si>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</si>
  <si>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</si>
  <si>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</si>
  <si>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</si>
  <si>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</si>
  <si>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</si>
  <si>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</si>
  <si>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</si>
  <si>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</si>
  <si>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</si>
  <si>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</si>
  <si>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</si>
  <si>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</si>
  <si>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</si>
  <si>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</si>
  <si>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</si>
  <si>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</si>
  <si>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</si>
  <si>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</si>
  <si>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</si>
  <si>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</si>
  <si>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</si>
  <si>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</si>
  <si>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</si>
  <si>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</si>
  <si>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</si>
  <si>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</si>
  <si>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</si>
  <si>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</si>
  <si>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</si>
  <si>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</si>
  <si>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</si>
  <si>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</si>
  <si>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</si>
  <si>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</si>
  <si>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</si>
  <si>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</si>
  <si>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</si>
  <si>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</si>
  <si>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</si>
  <si>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</si>
  <si>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</si>
  <si>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</si>
  <si>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</si>
  <si>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</si>
  <si>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</si>
  <si>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</si>
  <si>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</si>
  <si>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</si>
  <si>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</si>
  <si>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</si>
  <si>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</si>
  <si>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</si>
  <si>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</si>
  <si>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</si>
  <si>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</si>
  <si>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</si>
  <si>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</si>
  <si>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</si>
  <si>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</si>
  <si>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</si>
  <si>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</si>
  <si>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</si>
  <si>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</si>
  <si>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</si>
  <si>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</si>
  <si>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</si>
  <si>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</si>
  <si>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</si>
  <si>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</si>
  <si>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</si>
  <si>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Zeshan </t>
  </si>
  <si>
    <t>Pakistan Store</t>
  </si>
  <si>
    <t>Address: DHA</t>
  </si>
  <si>
    <t>Trust Store</t>
  </si>
  <si>
    <t xml:space="preserve">Bravo Mart </t>
  </si>
  <si>
    <t>Maharaja Store</t>
  </si>
  <si>
    <t>Hafiz store</t>
  </si>
  <si>
    <t xml:space="preserve">Besta Mart </t>
  </si>
  <si>
    <t xml:space="preserve">KS Mart </t>
  </si>
  <si>
    <t xml:space="preserve">Choice Mart </t>
  </si>
  <si>
    <t>Al Rehman Store</t>
  </si>
  <si>
    <t>786 Store</t>
  </si>
  <si>
    <t xml:space="preserve">Al Ghani </t>
  </si>
  <si>
    <t>Bilal Store</t>
  </si>
  <si>
    <t xml:space="preserve">Tariq Mart </t>
  </si>
  <si>
    <t xml:space="preserve">MHT Mart </t>
  </si>
  <si>
    <t xml:space="preserve">D Mart </t>
  </si>
  <si>
    <t>Abdullah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</si>
</sst>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9" sqref="U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Pakistan Store</v>
      </c>
      <c r="T3" s="301">
        <f>+'1'!P35</f>
        <v>2341.1873751635594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Trust Store</v>
      </c>
      <c r="T4" s="301">
        <f>+'2'!P35</f>
        <v>1201.3473746440677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Bravo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Maharaja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26</v>
      </c>
      <c r="I7" s="235">
        <f>(G7*D7)*F7+H7*F7</f>
        <v>1364.0249999999999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109.122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47.740875000000003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1207.1621249999998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257.79661016949143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7.3247936758474577</v>
      </c>
      <c r="P7" s="310">
        <f>M7+N7+O7</f>
        <v>1472.2835288453389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4">
        <v>5</v>
      </c>
      <c r="S7" s="300" t="str">
        <f>+'5'!A6:A6</f>
        <v>Hafiz store</v>
      </c>
      <c r="T7" s="301">
        <f>+'5'!P35</f>
        <v>3934.229496330508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</v>
      </c>
      <c r="I8" s="236">
        <f t="shared" ref="I8:I14" si="0">(G8*D8)*F8+H8*F8</f>
        <v>1364.0249999999999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109.122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47.740875000000003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1207.1621249999998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257.79661016949143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7.3247936758474577</v>
      </c>
      <c r="P8" s="311">
        <f t="shared" ref="P8:P15" si="2">M8+N8+O8</f>
        <v>1472.2835288453389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4">
        <v>6</v>
      </c>
      <c r="S8" s="300" t="str">
        <f>+'6'!A6:A6</f>
        <v xml:space="preserve">Besta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KS Mart 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41</v>
      </c>
      <c r="I10" s="236">
        <f t="shared" si="0"/>
        <v>2978.2400000000002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238.25919999999999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104.23840000000001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2635.7424000000001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562.88135593220341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15.993118779661017</v>
      </c>
      <c r="P10" s="311">
        <f t="shared" si="2"/>
        <v>3214.6168747118645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 xml:space="preserve">Choice Mart 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Al Rehman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81</v>
      </c>
      <c r="I12" s="236">
        <f t="shared" si="0"/>
        <v>5883.84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470.7072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205.93440000000004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5207.1984000000002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1112.0338983050847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31.596161491525425</v>
      </c>
      <c r="P12" s="311">
        <f t="shared" si="2"/>
        <v>6350.8284597966103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120</v>
      </c>
      <c r="R12" s="314">
        <v>10</v>
      </c>
      <c r="S12" s="300" t="str">
        <f>+'10'!A6:A6</f>
        <v>786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96</v>
      </c>
      <c r="I13" s="236">
        <f t="shared" si="0"/>
        <v>3766.0800000000004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188.30400000000006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131.81280000000004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192.07007999999996</v>
      </c>
      <c r="M13" s="230">
        <f t="shared" si="1"/>
        <v>3253.8931200000002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732.20338983050806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19.930482549152543</v>
      </c>
      <c r="P13" s="311">
        <f t="shared" si="2"/>
        <v>4006.0269923796609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 xml:space="preserve">Al Ghani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Bilal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Tariq Mart </v>
      </c>
      <c r="T15" s="301">
        <f>+'13'!P35</f>
        <v>784.05289627118646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7.4</v>
      </c>
      <c r="H16" s="113">
        <f t="shared" ref="H16:M16" si="3">SUM(H7:H15)</f>
        <v>296</v>
      </c>
      <c r="I16" s="114">
        <f t="shared" si="3"/>
        <v>17244.850000000002</v>
      </c>
      <c r="J16" s="274">
        <f>SUM(J7:J15)</f>
        <v>1266.6056000000001</v>
      </c>
      <c r="K16" s="275">
        <f t="shared" si="3"/>
        <v>603.56975000000011</v>
      </c>
      <c r="L16" s="276">
        <f t="shared" si="3"/>
        <v>192.07007999999996</v>
      </c>
      <c r="M16" s="232">
        <f t="shared" si="3"/>
        <v>15182.60457</v>
      </c>
      <c r="N16" s="233">
        <f>SUM(N7:N15)</f>
        <v>3279.6610169491519</v>
      </c>
      <c r="O16" s="101">
        <f>SUM(O7:O15)</f>
        <v>92.311327934745762</v>
      </c>
      <c r="P16" s="113">
        <f>SUM(P7:P15)</f>
        <v>18554.576914883899</v>
      </c>
      <c r="Q16" s="128">
        <f>SUM(Q7:Q15)</f>
        <v>262</v>
      </c>
      <c r="R16" s="314">
        <v>14</v>
      </c>
      <c r="S16" s="300" t="str">
        <f>+'14'!A6:A6</f>
        <v xml:space="preserve">MHT Mart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D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Abdullah Store</v>
      </c>
      <c r="T18" s="301">
        <f>+'16'!P35</f>
        <v>3136.2115850847458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17244.850000000002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1266.6056000000001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795.63983000000007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15182.604570000001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3279.6610169491519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18462.265586949154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92.311327934745762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18554.576914883899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18554.576914883903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2172.4500000000003</v>
      </c>
      <c r="J25" s="274">
        <f>SUM(J16:J24)</f>
        <v>166.7346</v>
      </c>
      <c r="K25" s="275">
        <f t="shared" si="10"/>
        <v>76.035750000000007</v>
      </c>
      <c r="L25" s="276">
        <f t="shared" si="10"/>
        <v>12.004380000000001</v>
      </c>
      <c r="M25" s="232">
        <f t="shared" si="10"/>
        <v>1917.67527</v>
      </c>
      <c r="N25" s="233">
        <f>SUM(N16:N24)</f>
        <v>411.86440677966101</v>
      </c>
      <c r="O25" s="101">
        <f>SUM(O16:O24)</f>
        <v>11.647698383898305</v>
      </c>
      <c r="P25" s="113">
        <f>SUM(P16:P24)</f>
        <v>2341.187375163559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2172.4500000000003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166.7346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88.040130000000005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1917.6752700000002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411.86440677966101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2329.539676779661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11.647698383898305</v>
      </c>
    </row>
    <row r="35" spans="2:16" ht="15.75" customHeight="1" thickBot="1" x14ac:dyDescent="0.4">
      <c r="N35" s="342" t="s">
        <v>88</v>
      </c>
      <c r="O35" s="343"/>
      <c r="P35" s="297">
        <f>+P33+P34</f>
        <v>2341.1873751635594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1118.7</v>
      </c>
      <c r="J25" s="274">
        <f>SUM(J16:J24)</f>
        <v>77.727000000000004</v>
      </c>
      <c r="K25" s="275">
        <f t="shared" si="7"/>
        <v>39.154500000000006</v>
      </c>
      <c r="L25" s="276">
        <f t="shared" si="7"/>
        <v>20.007300000000001</v>
      </c>
      <c r="M25" s="232">
        <f t="shared" si="7"/>
        <v>981.8112000000001</v>
      </c>
      <c r="N25" s="233">
        <f>SUM(N16:N24)</f>
        <v>213.55932203389827</v>
      </c>
      <c r="O25" s="101">
        <f>SUM(O16:O24)</f>
        <v>5.9768526101694919</v>
      </c>
      <c r="P25" s="113">
        <f>SUM(P16:P24)</f>
        <v>1201.3473746440677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1118.7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77.727000000000004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59.161800000000007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981.81119999999999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213.55932203389827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1195.3705220338982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5.976852610169491</v>
      </c>
    </row>
    <row r="35" spans="2:16" ht="15.75" customHeight="1" thickBot="1" x14ac:dyDescent="0.4">
      <c r="N35" s="342" t="s">
        <v>88</v>
      </c>
      <c r="O35" s="343"/>
      <c r="P35" s="297">
        <f>+P33+P34</f>
        <v>1201.3473746440677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2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30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52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1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2026-08-06T11:34:27Z</dcterms:modified>
</cp:coreProperties>
</file>