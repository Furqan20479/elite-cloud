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176E1B-C56C-4C54-AC9E-8854827BD633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J15" i="62" l="1"/>
  <c r="S16" i="62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O16" i="59" s="1"/>
  <c r="P16" i="59" s="1"/>
  <c r="M20" i="46"/>
  <c r="O20" i="46" s="1"/>
  <c r="P20" i="46" s="1"/>
  <c r="R20" i="46" s="1"/>
  <c r="M21" i="53"/>
  <c r="O21" i="53" s="1"/>
  <c r="P21" i="53" s="1"/>
  <c r="M16" i="52"/>
  <c r="M17" i="60"/>
  <c r="O17" i="60" s="1"/>
  <c r="P17" i="60" s="1"/>
  <c r="M16" i="66"/>
  <c r="J7" i="62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<sst xmlns="http://schemas.openxmlformats.org/spreadsheetml/2006/main" count="3948" uniqueCount="517">
  <si>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</si>
  <si>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</si>
  <si>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</si>
  <si>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</si>
  <si>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</si>
  <si>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</si>
  <si>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</si>
  <si>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</si>
  <si>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</si>
  <si>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</si>
  <si>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</si>
  <si>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</si>
  <si>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</si>
  <si>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</si>
  <si>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</si>
  <si>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</si>
  <si>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</si>
  <si>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</si>
  <si>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</si>
  <si>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</si>
  <si>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</si>
  <si>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</si>
  <si>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</si>
  <si>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</si>
  <si>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</si>
  <si>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</si>
  <si>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</si>
  <si>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</si>
  <si>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</si>
  <si>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</si>
  <si>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</si>
  <si>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</si>
  <si>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</si>
  <si>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</si>
  <si>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</si>
  <si>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</si>
  <si>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</si>
  <si>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</si>
  <si>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</si>
  <si>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</si>
  <si>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</si>
  <si>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</si>
  <si>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</si>
  <si>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</si>
  <si>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</si>
  <si>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</si>
  <si>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</si>
  <si>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</si>
  <si>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</si>
  <si>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</si>
  <si>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</si>
  <si>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</si>
  <si>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</si>
  <si>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</si>
  <si>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</si>
  <si>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</si>
  <si>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</si>
  <si>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</si>
  <si>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</si>
  <si>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</si>
  <si>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</si>
  <si>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</si>
  <si>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</si>
  <si>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</si>
  <si>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</si>
  <si>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</si>
  <si>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</si>
  <si>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</si>
  <si>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</si>
  <si>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</si>
  <si>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</si>
  <si>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</si>
  <si>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</si>
  <si>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</si>
  <si>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</si>
  <si>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</si>
  <si>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</si>
  <si>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</si>
  <si>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</si>
  <si>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</si>
  <si>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</si>
  <si>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</si>
  <si>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</si>
  <si>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</si>
  <si>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</si>
  <si>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</si>
  <si>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</si>
  <si>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</si>
  <si>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</si>
  <si>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</si>
  <si>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</si>
  <si>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</si>
  <si>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</si>
  <si>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</si>
  <si>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</si>
  <si>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</si>
  <si>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</si>
  <si>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</si>
  <si>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</si>
  <si>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</si>
  <si>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</si>
  <si>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</si>
  <si>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</si>
  <si>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</si>
  <si>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</si>
  <si>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</si>
  <si>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</si>
  <si>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</si>
  <si>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</si>
  <si>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</si>
  <si>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</si>
  <si>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</si>
  <si>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</si>
  <si>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</si>
  <si>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</si>
  <si>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</si>
  <si>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</si>
  <si>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</si>
  <si>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</si>
  <si>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</si>
  <si>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</si>
  <si>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</si>
  <si>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</si>
  <si>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</si>
  <si>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</si>
  <si>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</si>
  <si>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</si>
  <si>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</si>
  <si>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</si>
  <si>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</si>
  <si>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</si>
  <si>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</si>
  <si>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</si>
  <si>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</si>
  <si>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</si>
  <si>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</si>
  <si>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</si>
  <si>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</si>
  <si>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</si>
  <si>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</si>
  <si>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</si>
  <si>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</si>
  <si>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</si>
  <si>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</si>
  <si>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</si>
  <si>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</si>
  <si>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</si>
  <si>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</si>
  <si>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</si>
  <si>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</si>
  <si>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</si>
  <si>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</si>
  <si>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</si>
  <si>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</si>
  <si>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</si>
  <si>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</si>
  <si>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</si>
  <si>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</si>
  <si>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</si>
  <si>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</si>
  <si>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</si>
  <si>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</si>
  <si>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</si>
  <si>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</si>
  <si>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</si>
  <si>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</si>
  <si>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</si>
  <si>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</si>
  <si>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</si>
  <si>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</si>
  <si>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</si>
  <si>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</si>
  <si>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</si>
  <si>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</si>
  <si>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</si>
  <si>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</si>
  <si>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</si>
  <si>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</si>
  <si>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</si>
  <si>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</si>
  <si>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</si>
  <si>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</si>
  <si>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</si>
  <si>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</si>
  <si>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</si>
  <si>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</si>
  <si>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</si>
  <si>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</si>
  <si>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</si>
  <si>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</si>
  <si>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</si>
  <si>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</si>
  <si>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</si>
  <si>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</si>
  <si>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</si>
  <si>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</si>
  <si>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</si>
  <si>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</si>
  <si>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</si>
  <si>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</si>
  <si>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</si>
  <si>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</si>
  <si>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</si>
  <si>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</si>
  <si>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</si>
  <si>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</si>
  <si>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</si>
  <si>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</si>
  <si>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</si>
  <si>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</si>
  <si>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</si>
  <si>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</si>
  <si>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</si>
  <si>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</si>
  <si>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</si>
  <si>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</si>
  <si>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</si>
  <si>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</si>
  <si>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</si>
  <si>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</si>
  <si>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</si>
  <si>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</si>
  <si>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</si>
  <si>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</si>
  <si>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</si>
  <si>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</si>
  <si>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</si>
  <si>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</si>
  <si>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</si>
  <si>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</si>
  <si>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</si>
  <si>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</si>
  <si>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</si>
  <si>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</si>
  <si>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</si>
  <si>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</si>
  <si>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</si>
  <si>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</si>
  <si>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</si>
  <si>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</si>
  <si>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</si>
  <si>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</si>
  <si>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</si>
  <si>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</si>
  <si>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</si>
  <si>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</si>
  <si>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</si>
  <si>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</si>
  <si>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</si>
  <si>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</si>
  <si>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</si>
  <si>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</si>
  <si>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</si>
  <si>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</si>
  <si>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</si>
  <si>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</si>
  <si>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</si>
  <si>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</si>
  <si>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</si>
  <si>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</si>
  <si>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</si>
  <si>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</si>
  <si>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</si>
  <si>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</si>
  <si>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</si>
  <si>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</si>
  <si>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</si>
  <si>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</si>
  <si>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</si>
  <si>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</si>
  <si>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</si>
  <si>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</si>
  <si>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</si>
  <si>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</si>
  <si>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</si>
  <si>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</si>
  <si>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</si>
  <si>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</si>
  <si>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</si>
  <si>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</si>
  <si>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</si>
  <si>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</si>
  <si>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</si>
  <si>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</si>
  <si>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</si>
  <si>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</si>
  <si>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</si>
  <si>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</si>
  <si>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</si>
  <si>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</si>
  <si>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</si>
  <si>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</si>
  <si>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</si>
  <si>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</si>
  <si>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</si>
  <si>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</si>
  <si>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</si>
  <si>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</si>
  <si>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</si>
  <si>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</si>
  <si>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</si>
  <si>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</si>
  <si>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</si>
  <si>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</si>
  <si>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</si>
  <si>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</si>
  <si>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</si>
  <si>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</si>
  <si>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</si>
  <si>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</si>
  <si>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</si>
  <si>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</si>
  <si>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</si>
  <si>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</si>
  <si>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</si>
  <si>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</si>
  <si>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</si>
  <si>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</si>
  <si>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</si>
  <si>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</si>
  <si>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</si>
  <si>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</si>
  <si>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</si>
  <si>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</si>
  <si>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</si>
  <si>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</si>
  <si>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</si>
  <si>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</si>
  <si>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</si>
  <si>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</si>
  <si>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</si>
  <si>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</si>
  <si>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</si>
  <si>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</si>
  <si>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</si>
  <si>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</si>
  <si>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</si>
  <si>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</si>
  <si>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</si>
  <si>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</si>
  <si>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</si>
  <si>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</si>
  <si>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</si>
  <si>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</si>
  <si>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</si>
  <si>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</si>
  <si>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</si>
  <si>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</si>
  <si>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</si>
  <si>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</si>
  <si>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</si>
  <si>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</si>
  <si>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</si>
  <si>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</si>
  <si>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</si>
  <si>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</si>
  <si>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</si>
  <si>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</si>
  <si>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</si>
  <si>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</si>
  <si>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</si>
  <si>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</si>
  <si>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</si>
  <si>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</si>
  <si>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</si>
  <si>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</si>
  <si>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</si>
  <si>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</si>
  <si>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</si>
  <si>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</si>
  <si>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</si>
  <si>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</si>
  <si>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</si>
  <si>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</si>
  <si>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</si>
  <si>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</si>
  <si>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</si>
  <si>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</si>
  <si>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</si>
  <si>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</si>
  <si>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</si>
  <si>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</si>
  <si>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</si>
  <si>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</si>
  <si>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</si>
  <si>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</si>
  <si>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</si>
  <si>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</si>
  <si>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</si>
  <si>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</si>
  <si>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</si>
  <si>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</si>
  <si>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</si>
  <si>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</si>
  <si>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</si>
  <si>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</si>
  <si>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</si>
  <si>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</si>
  <si>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</si>
  <si>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</si>
  <si>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</si>
  <si>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</si>
  <si>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</si>
  <si>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</si>
  <si>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</si>
  <si>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</si>
  <si>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</si>
  <si>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</si>
  <si>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</si>
  <si>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</si>
  <si>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</si>
  <si>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</si>
  <si>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</si>
  <si>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</si>
  <si>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</si>
  <si>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</si>
  <si>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</si>
  <si>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</si>
  <si>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</si>
  <si>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</si>
  <si>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</si>
  <si>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</si>
  <si>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</si>
  <si>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</si>
  <si>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</si>
  <si>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</si>
  <si>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</si>
  <si>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</si>
  <si>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</si>
  <si>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</si>
  <si>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</si>
  <si>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</si>
  <si>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</si>
  <si>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</si>
  <si>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</si>
  <si>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</si>
  <si>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</si>
  <si>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</si>
  <si>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</si>
  <si>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</si>
  <si>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</si>
  <si>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</si>
  <si>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</si>
  <si>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</si>
  <si>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</si>
  <si>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</si>
  <si>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</si>
  <si>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</si>
  <si>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</si>
  <si>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</si>
  <si>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</si>
  <si>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</si>
  <si>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</si>
  <si>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</si>
  <si>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</si>
  <si>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</si>
  <si>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</si>
  <si>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</si>
  <si>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</si>
  <si>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</si>
  <si>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</si>
  <si>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</si>
  <si>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</si>
  <si>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</si>
  <si>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</si>
  <si>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</si>
  <si>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</si>
  <si>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</si>
  <si>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</si>
  <si>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</si>
  <si>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</si>
  <si>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</si>
  <si>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</si>
  <si>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</si>
  <si>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</si>
  <si>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</si>
  <si>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</si>
  <si>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</si>
  <si>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</si>
  <si>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</si>
  <si>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</si>
  <si>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</si>
  <si>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</si>
  <si>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</si>
  <si>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</si>
  <si>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</si>
  <si>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</si>
  <si>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</si>
  <si>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</si>
  <si>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</si>
  <si>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</si>
  <si>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</si>
  <si>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</si>
  <si>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</si>
  <si>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</si>
  <si>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</si>
  <si>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</si>
  <si>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</si>
  <si>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</si>
  <si>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</si>
  <si>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</si>
  <si>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</si>
  <si>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</si>
  <si>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</si>
  <si>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</si>
  <si>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</si>
  <si>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</si>
  <si>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</si>
  <si>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</si>
  <si>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</si>
  <si>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</si>
  <si>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</si>
  <si>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Cario Mart </t>
  </si>
  <si>
    <t>Address: Sabzazaar</t>
  </si>
  <si>
    <t>SS DEPARTMENTAL STORE (Cario Mart)</t>
  </si>
  <si>
    <t>NTN: // 8526774-3</t>
  </si>
  <si>
    <t>Invoice No # :9991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</si>
</sst>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512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SS DEPARTMENTAL STORE (Cario Mart)</v>
      </c>
      <c r="T3" s="301">
        <f>+'1'!P35</f>
        <v>15415.981687322032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SS DEPARTMENTAL STORE (Cario Mart)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SS DEPARTMENTAL STORE (Cario Mart)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SS DEPARTMENTAL STORE (Cario Mart)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SS DEPARTMENTAL STORE (Cario Mart)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SS DEPARTMENTAL STORE (Cario Mart)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SS DEPARTMENTAL STORE (Cario Mart)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SS DEPARTMENTAL STORE (Cario Mart)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SS DEPARTMENTAL STORE (Cario Mart)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SS DEPARTMENTAL STORE (Cario Mart)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SS DEPARTMENTAL STORE (Cario Mart)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SS DEPARTMENTAL STORE (Cario Mart)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SS DEPARTMENTAL STORE (Cario Mart)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</v>
      </c>
      <c r="H16" s="113">
        <f t="shared" ref="H16:M16" si="3">SUM(H7:H15)</f>
        <v>240</v>
      </c>
      <c r="I16" s="114">
        <f t="shared" si="3"/>
        <v>14760.8</v>
      </c>
      <c r="J16" s="274">
        <f>SUM(J7:J15)</f>
        <v>1551.6079999999999</v>
      </c>
      <c r="K16" s="275">
        <f t="shared" si="3"/>
        <v>516.62800000000004</v>
      </c>
      <c r="L16" s="276">
        <f t="shared" si="3"/>
        <v>160.05840000000001</v>
      </c>
      <c r="M16" s="232">
        <f t="shared" si="3"/>
        <v>12532.5056</v>
      </c>
      <c r="N16" s="233">
        <f>SUM(N7:N15)</f>
        <v>2806.7796610169489</v>
      </c>
      <c r="O16" s="101">
        <f>SUM(O7:O15)</f>
        <v>76.696426305084742</v>
      </c>
      <c r="P16" s="113">
        <f>SUM(P7:P15)</f>
        <v>15415.981687322033</v>
      </c>
      <c r="Q16" s="128">
        <f>SUM(Q7:Q15)</f>
        <v>0</v>
      </c>
      <c r="R16" s="314">
        <v>14</v>
      </c>
      <c r="S16" s="300" t="str">
        <f>+'14'!A6:A6</f>
        <v>SS DEPARTMENTAL STORE (Cario Mart)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SS DEPARTMENTAL STORE (Cario Mart)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SS DEPARTMENTAL STORE (Cario Mart)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14760.8</v>
      </c>
      <c r="R19" s="299">
        <v>17</v>
      </c>
      <c r="S19" s="300" t="str">
        <f>+'17'!A6:A6</f>
        <v>SS DEPARTMENTAL STORE (Cario Mart)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1551.6079999999999</v>
      </c>
      <c r="R20" s="299">
        <v>18</v>
      </c>
      <c r="S20" s="300" t="str">
        <f>+'18'!A6:A6</f>
        <v>SS DEPARTMENTAL STORE (Cario Mart)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676.68640000000005</v>
      </c>
      <c r="R21" s="299">
        <v>19</v>
      </c>
      <c r="S21" s="300" t="str">
        <f>+'19'!A6:A6</f>
        <v>SS DEPARTMENTAL STORE (Cario Mart)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12532.505599999999</v>
      </c>
      <c r="R22" s="299">
        <v>20</v>
      </c>
      <c r="S22" s="300" t="str">
        <f>+'20'!A6:A6</f>
        <v>SS DEPARTMENTAL STORE (Cario Mart)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2806.7796610169489</v>
      </c>
      <c r="R23" s="299">
        <v>21</v>
      </c>
      <c r="S23" s="300" t="str">
        <f>+'21'!A6:A6</f>
        <v>SS DEPARTMENTAL STORE (Cario Mart)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15339.285261016947</v>
      </c>
      <c r="R24" s="299">
        <v>22</v>
      </c>
      <c r="S24" s="300" t="str">
        <f>+'22'!A6:A6</f>
        <v>SS DEPARTMENTAL STORE (Cario Mart)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76.696426305084742</v>
      </c>
      <c r="R25" s="299">
        <v>23</v>
      </c>
      <c r="S25" s="300" t="str">
        <f>+'23'!A6:A6</f>
        <v>SS DEPARTMENTAL STORE (Cario Mart)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15415.981687322032</v>
      </c>
      <c r="R26" s="299">
        <v>24</v>
      </c>
      <c r="S26" s="300" t="str">
        <f>+'24'!A6:A6</f>
        <v>SS DEPARTMENTAL STORE (Cario Mart)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SS DEPARTMENTAL STORE (Cario Mart)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SS DEPARTMENTAL STORE (Cario Mart)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SS DEPARTMENTAL STORE (Cario Mart)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SS DEPARTMENTAL STORE (Cario Mart)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SS DEPARTMENTAL STORE (Cario Mart)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SS DEPARTMENTAL STORE (Cario Mart)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15415.981687322032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14760.8</v>
      </c>
      <c r="J25" s="274">
        <f>SUM(J16:J24)</f>
        <v>1551.6079999999999</v>
      </c>
      <c r="K25" s="275">
        <f t="shared" si="10"/>
        <v>516.62800000000004</v>
      </c>
      <c r="L25" s="276">
        <f t="shared" si="10"/>
        <v>160.05840000000001</v>
      </c>
      <c r="M25" s="232">
        <f t="shared" si="10"/>
        <v>12532.5056</v>
      </c>
      <c r="N25" s="233">
        <f>SUM(N16:N24)</f>
        <v>2806.7796610169489</v>
      </c>
      <c r="O25" s="101">
        <f>SUM(O16:O24)</f>
        <v>76.696426305084742</v>
      </c>
      <c r="P25" s="113">
        <f>SUM(P16:P24)</f>
        <v>15415.981687322033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14760.8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1551.6079999999999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676.68640000000005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12532.505599999999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2806.7796610169489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15339.285261016947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76.696426305084728</v>
      </c>
    </row>
    <row r="35" spans="2:16" ht="15.75" customHeight="1" thickBot="1" x14ac:dyDescent="0.4">
      <c r="N35" s="342" t="s">
        <v>88</v>
      </c>
      <c r="O35" s="343"/>
      <c r="P35" s="297">
        <f>+P33+P34</f>
        <v>15415.981687322032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0.12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2026-08-05T12:45:31Z</dcterms:modified>
</cp:coreProperties>
</file>