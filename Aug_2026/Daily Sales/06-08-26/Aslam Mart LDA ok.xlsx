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81CD41B-5334-47D7-8FCF-26AEE4D29B49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56" l="1"/>
  <c r="O17" i="56" s="1"/>
  <c r="P17" i="56" s="1"/>
  <c r="M21" i="44"/>
  <c r="O21" i="44" s="1"/>
  <c r="P21" i="44" s="1"/>
  <c r="M20" i="57"/>
  <c r="O20" i="57" s="1"/>
  <c r="P20" i="57" s="1"/>
  <c r="R20" i="57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66"/>
  <c r="J7" i="62"/>
  <c r="M16" i="59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<sst xmlns="http://schemas.openxmlformats.org/spreadsheetml/2006/main" count="3977" uniqueCount="515">
  <si>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</si>
  <si>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</si>
  <si>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</si>
  <si>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</si>
  <si>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</si>
  <si>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</si>
  <si>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</si>
  <si>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</si>
  <si>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</si>
  <si>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</si>
  <si>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</si>
  <si>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</si>
  <si>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</si>
  <si>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</si>
  <si>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</si>
  <si>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</si>
  <si>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</si>
  <si>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</si>
  <si>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</si>
  <si>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</si>
  <si>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</si>
  <si>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</si>
  <si>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</si>
  <si>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</si>
  <si>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</si>
  <si>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</si>
  <si>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</si>
  <si>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</si>
  <si>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</si>
  <si>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</si>
  <si>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</si>
  <si>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</si>
  <si>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</si>
  <si>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</si>
  <si>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</si>
  <si>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</si>
  <si>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</si>
  <si>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</si>
  <si>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</si>
  <si>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</si>
  <si>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</si>
  <si>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</si>
  <si>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</si>
  <si>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</si>
  <si>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</si>
  <si>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</si>
  <si>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</si>
  <si>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</si>
  <si>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</si>
  <si>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</si>
  <si>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</si>
  <si>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</si>
  <si>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</si>
  <si>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</si>
  <si>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</si>
  <si>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</si>
  <si>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</si>
  <si>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</si>
  <si>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</si>
  <si>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</si>
  <si>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</si>
  <si>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</si>
  <si>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</si>
  <si>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</si>
  <si>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</si>
  <si>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</si>
  <si>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</si>
  <si>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</si>
  <si>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</si>
  <si>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</si>
  <si>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</si>
  <si>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</si>
  <si>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</si>
  <si>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</si>
  <si>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</si>
  <si>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</si>
  <si>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</si>
  <si>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</si>
  <si>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</si>
  <si>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</si>
  <si>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</si>
  <si>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</si>
  <si>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</si>
  <si>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</si>
  <si>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</si>
  <si>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</si>
  <si>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</si>
  <si>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</si>
  <si>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</si>
  <si>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</si>
  <si>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</si>
  <si>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</si>
  <si>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</si>
  <si>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</si>
  <si>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</si>
  <si>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</si>
  <si>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</si>
  <si>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</si>
  <si>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</si>
  <si>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</si>
  <si>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</si>
  <si>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</si>
  <si>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</si>
  <si>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</si>
  <si>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</si>
  <si>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</si>
  <si>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</si>
  <si>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</si>
  <si>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</si>
  <si>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</si>
  <si>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</si>
  <si>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</si>
  <si>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</si>
  <si>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</si>
  <si>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</si>
  <si>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</si>
  <si>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</si>
  <si>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</si>
  <si>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</si>
  <si>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</si>
  <si>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</si>
  <si>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</si>
  <si>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</si>
  <si>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</si>
  <si>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</si>
  <si>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</si>
  <si>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</si>
  <si>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</si>
  <si>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</si>
  <si>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</si>
  <si>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</si>
  <si>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</si>
  <si>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</si>
  <si>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</si>
  <si>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</si>
  <si>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</si>
  <si>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</si>
  <si>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</si>
  <si>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</si>
  <si>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</si>
  <si>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</si>
  <si>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</si>
  <si>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</si>
  <si>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</si>
  <si>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</si>
  <si>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</si>
  <si>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</si>
  <si>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</si>
  <si>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</si>
  <si>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</si>
  <si>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</si>
  <si>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</si>
  <si>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</si>
  <si>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</si>
  <si>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</si>
  <si>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</si>
  <si>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</si>
  <si>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</si>
  <si>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</si>
  <si>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</si>
  <si>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</si>
  <si>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</si>
  <si>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</si>
  <si>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</si>
  <si>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</si>
  <si>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</si>
  <si>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</si>
  <si>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</si>
  <si>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</si>
  <si>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</si>
  <si>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</si>
  <si>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</si>
  <si>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</si>
  <si>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</si>
  <si>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</si>
  <si>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</si>
  <si>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</si>
  <si>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</si>
  <si>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</si>
  <si>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</si>
  <si>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</si>
  <si>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</si>
  <si>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</si>
  <si>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</si>
  <si>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</si>
  <si>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</si>
  <si>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</si>
  <si>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</si>
  <si>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</si>
  <si>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</si>
  <si>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</si>
  <si>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</si>
  <si>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</si>
  <si>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</si>
  <si>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</si>
  <si>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</si>
  <si>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</si>
  <si>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</si>
  <si>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</si>
  <si>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</si>
  <si>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</si>
  <si>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</si>
  <si>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</si>
  <si>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</si>
  <si>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</si>
  <si>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</si>
  <si>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</si>
  <si>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</si>
  <si>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</si>
  <si>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</si>
  <si>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</si>
  <si>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</si>
  <si>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</si>
  <si>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</si>
  <si>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</si>
  <si>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</si>
  <si>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</si>
  <si>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</si>
  <si>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</si>
  <si>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</si>
  <si>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</si>
  <si>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</si>
  <si>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</si>
  <si>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</si>
  <si>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</si>
  <si>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</si>
  <si>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</si>
  <si>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</si>
  <si>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</si>
  <si>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</si>
  <si>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</si>
  <si>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</si>
  <si>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</si>
  <si>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</si>
  <si>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</si>
  <si>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</si>
  <si>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</si>
  <si>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</si>
  <si>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</si>
  <si>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</si>
  <si>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</si>
  <si>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</si>
  <si>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</si>
  <si>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</si>
  <si>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</si>
  <si>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</si>
  <si>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</si>
  <si>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</si>
  <si>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</si>
  <si>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</si>
  <si>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</si>
  <si>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</si>
  <si>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</si>
  <si>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</si>
  <si>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</si>
  <si>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</si>
  <si>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</si>
  <si>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</si>
  <si>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</si>
  <si>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</si>
  <si>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</si>
  <si>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</si>
  <si>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</si>
  <si>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</si>
  <si>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</si>
  <si>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</si>
  <si>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</si>
  <si>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</si>
  <si>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</si>
  <si>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</si>
  <si>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</si>
  <si>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</si>
  <si>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</si>
  <si>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</si>
  <si>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</si>
  <si>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</si>
  <si>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</si>
  <si>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</si>
  <si>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</si>
  <si>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</si>
  <si>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</si>
  <si>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</si>
  <si>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</si>
  <si>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</si>
  <si>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</si>
  <si>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</si>
  <si>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</si>
  <si>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</si>
  <si>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</si>
  <si>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</si>
  <si>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</si>
  <si>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</si>
  <si>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</si>
  <si>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</si>
  <si>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</si>
  <si>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</si>
  <si>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</si>
  <si>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</si>
  <si>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</si>
  <si>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</si>
  <si>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</si>
  <si>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</si>
  <si>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</si>
  <si>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</si>
  <si>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</si>
  <si>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</si>
  <si>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</si>
  <si>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</si>
  <si>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</si>
  <si>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</si>
  <si>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</si>
  <si>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</si>
  <si>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</si>
  <si>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</si>
  <si>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</si>
  <si>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</si>
  <si>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</si>
  <si>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</si>
  <si>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</si>
  <si>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</si>
  <si>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</si>
  <si>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</si>
  <si>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</si>
  <si>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</si>
  <si>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</si>
  <si>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</si>
  <si>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</si>
  <si>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</si>
  <si>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</si>
  <si>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</si>
  <si>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</si>
  <si>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</si>
  <si>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</si>
  <si>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</si>
  <si>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</si>
  <si>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</si>
  <si>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</si>
  <si>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</si>
  <si>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</si>
  <si>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</si>
  <si>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</si>
  <si>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</si>
  <si>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</si>
  <si>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</si>
  <si>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</si>
  <si>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</si>
  <si>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</si>
  <si>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</si>
  <si>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</si>
  <si>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</si>
  <si>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</si>
  <si>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</si>
  <si>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</si>
  <si>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</si>
  <si>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</si>
  <si>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</si>
  <si>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</si>
  <si>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</si>
  <si>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</si>
  <si>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</si>
  <si>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</si>
  <si>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</si>
  <si>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</si>
  <si>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</si>
  <si>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</si>
  <si>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</si>
  <si>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</si>
  <si>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</si>
  <si>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</si>
  <si>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</si>
  <si>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</si>
  <si>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</si>
  <si>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</si>
  <si>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</si>
  <si>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</si>
  <si>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</si>
  <si>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</si>
  <si>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</si>
  <si>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</si>
  <si>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</si>
  <si>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</si>
  <si>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</si>
  <si>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</si>
  <si>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</si>
  <si>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</si>
  <si>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</si>
  <si>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</si>
  <si>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</si>
  <si>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</si>
  <si>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</si>
  <si>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</si>
  <si>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</si>
  <si>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</si>
  <si>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</si>
  <si>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</si>
  <si>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</si>
  <si>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</si>
  <si>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</si>
  <si>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</si>
  <si>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</si>
  <si>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</si>
  <si>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</si>
  <si>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</si>
  <si>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</si>
  <si>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</si>
  <si>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</si>
  <si>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</si>
  <si>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</si>
  <si>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</si>
  <si>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</si>
  <si>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</si>
  <si>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</si>
  <si>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</si>
  <si>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</si>
  <si>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</si>
  <si>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</si>
  <si>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</si>
  <si>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</si>
  <si>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</si>
  <si>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</si>
  <si>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</si>
  <si>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</si>
  <si>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</si>
  <si>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</si>
  <si>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</si>
  <si>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</si>
  <si>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</si>
  <si>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</si>
  <si>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</si>
  <si>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</si>
  <si>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</si>
  <si>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</si>
  <si>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</si>
  <si>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</si>
  <si>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</si>
  <si>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</si>
  <si>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</si>
  <si>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</si>
  <si>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</si>
  <si>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</si>
  <si>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</si>
  <si>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</si>
  <si>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</si>
  <si>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</si>
  <si>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</si>
  <si>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</si>
  <si>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</si>
  <si>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</si>
  <si>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</si>
  <si>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</si>
  <si>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</si>
  <si>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</si>
  <si>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</si>
  <si>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</si>
  <si>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</si>
  <si>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</si>
  <si>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</si>
  <si>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</si>
  <si>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</si>
  <si>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</si>
  <si>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</si>
  <si>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</si>
  <si>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</si>
  <si>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</si>
  <si>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</si>
  <si>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</si>
  <si>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</si>
  <si>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</si>
  <si>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</si>
  <si>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</si>
  <si>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</si>
  <si>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</si>
  <si>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</si>
  <si>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</si>
  <si>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</si>
  <si>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</si>
  <si>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</si>
  <si>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</si>
  <si>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</si>
  <si>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</si>
  <si>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</si>
  <si>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</si>
  <si>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</si>
  <si>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</si>
  <si>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</si>
  <si>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</si>
  <si>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</si>
  <si>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</si>
  <si>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</si>
  <si>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</si>
  <si>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</si>
  <si>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</si>
  <si>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</si>
  <si>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</si>
  <si>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</si>
  <si>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</si>
  <si>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</si>
  <si>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</si>
  <si>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</si>
  <si>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</si>
  <si>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</si>
  <si>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</si>
  <si>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</si>
  <si>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</si>
  <si>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</si>
  <si>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</si>
  <si>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</si>
  <si>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</si>
  <si>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</si>
  <si>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</si>
  <si>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</si>
  <si>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</si>
  <si>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Aslam Mart LDA</t>
  </si>
  <si>
    <t>Address: LDA Avenue</t>
  </si>
  <si>
    <t>NTN #: 8538860-2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</si>
</sst>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/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46240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Aslam Mart LDA</v>
      </c>
      <c r="T3" s="301">
        <f>+'1'!P35</f>
        <v>86347.364786313556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Aslam Mart LDA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Aslam Mart LDA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Aslam Mart LDA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1259.0999999999999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8866.1625000000004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54.246066737288132</v>
      </c>
      <c r="P7" s="310">
        <f>M7+N7+O7</f>
        <v>10903.459414194915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Aslam Mart LDA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1259.0999999999999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8866.1625000000004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54.246066737288132</v>
      </c>
      <c r="P8" s="311">
        <f t="shared" ref="P8:P15" si="2">M8+N8+O8</f>
        <v>10903.459414194915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Aslam Mart LDA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1259.0999999999999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8866.1625000000004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54.246066737288132</v>
      </c>
      <c r="P9" s="311">
        <f t="shared" si="2"/>
        <v>10903.459414194915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Aslam Mart LDA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1743.36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12276.16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75.109613559322028</v>
      </c>
      <c r="P10" s="311">
        <f t="shared" si="2"/>
        <v>15097.032325423728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Aslam Mart LDA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1743.36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12276.16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75.109613559322028</v>
      </c>
      <c r="P11" s="311">
        <f t="shared" si="2"/>
        <v>15097.032325423728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Aslam Mart LDA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1743.36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12276.16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75.109613559322028</v>
      </c>
      <c r="P12" s="311">
        <f t="shared" si="2"/>
        <v>15097.032325423728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Aslam Mart LDA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200</v>
      </c>
      <c r="I13" s="236">
        <f t="shared" si="0"/>
        <v>7846.0000000000009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392.30000000000007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274.61000000000007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400.14600000000002</v>
      </c>
      <c r="M13" s="230">
        <f t="shared" si="1"/>
        <v>6778.9440000000013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1525.4237288135585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41.521838644067806</v>
      </c>
      <c r="P13" s="311">
        <f t="shared" si="2"/>
        <v>8345.8895674576288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Aslam Mart LDA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Aslam Mart LDA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Aslam Mart LDA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35</v>
      </c>
      <c r="H16" s="113">
        <f t="shared" ref="H16:M16" si="3">SUM(H7:H15)</f>
        <v>1400</v>
      </c>
      <c r="I16" s="114">
        <f t="shared" si="3"/>
        <v>82907.5</v>
      </c>
      <c r="J16" s="274">
        <f>SUM(J7:J15)</f>
        <v>9399.6799999999985</v>
      </c>
      <c r="K16" s="275">
        <f t="shared" si="3"/>
        <v>2901.7625000000003</v>
      </c>
      <c r="L16" s="276">
        <f t="shared" si="3"/>
        <v>400.14600000000002</v>
      </c>
      <c r="M16" s="232">
        <f t="shared" si="3"/>
        <v>70205.911500000017</v>
      </c>
      <c r="N16" s="233">
        <f>SUM(N7:N15)</f>
        <v>15711.864406779659</v>
      </c>
      <c r="O16" s="101">
        <f>SUM(O7:O15)</f>
        <v>429.58887953389836</v>
      </c>
      <c r="P16" s="113">
        <f>SUM(P7:P15)</f>
        <v>86347.36478631357</v>
      </c>
      <c r="Q16" s="128">
        <f>SUM(Q7:Q15)</f>
        <v>0</v>
      </c>
      <c r="R16" s="314">
        <v>14</v>
      </c>
      <c r="S16" s="300" t="str">
        <f>+'14'!A6:A6</f>
        <v>Aslam Mart LDA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Aslam Mart LDA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Aslam Mart LDA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82907.5</v>
      </c>
      <c r="R19" s="299">
        <v>17</v>
      </c>
      <c r="S19" s="300" t="str">
        <f>+'17'!A6:A6</f>
        <v>Aslam Mart LDA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9399.6799999999985</v>
      </c>
      <c r="R20" s="299">
        <v>18</v>
      </c>
      <c r="S20" s="300" t="str">
        <f>+'18'!A6:A6</f>
        <v>Aslam Mart LDA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3301.9085000000005</v>
      </c>
      <c r="R21" s="299">
        <v>19</v>
      </c>
      <c r="S21" s="300" t="str">
        <f>+'19'!A6:A6</f>
        <v>Aslam Mart LDA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70205.911500000002</v>
      </c>
      <c r="R22" s="299">
        <v>20</v>
      </c>
      <c r="S22" s="300" t="str">
        <f>+'20'!A6:A6</f>
        <v>Aslam Mart LDA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15711.864406779659</v>
      </c>
      <c r="R23" s="299">
        <v>21</v>
      </c>
      <c r="S23" s="300" t="str">
        <f>+'21'!A6:A6</f>
        <v>Aslam Mart LDA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85917.775906779658</v>
      </c>
      <c r="R24" s="299">
        <v>22</v>
      </c>
      <c r="S24" s="300" t="str">
        <f>+'22'!A6:A6</f>
        <v>Aslam Mart LDA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429.58887953389836</v>
      </c>
      <c r="R25" s="299">
        <v>23</v>
      </c>
      <c r="S25" s="300" t="str">
        <f>+'23'!A6:A6</f>
        <v>Aslam Mart LDA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86347.364786313556</v>
      </c>
      <c r="R26" s="299">
        <v>24</v>
      </c>
      <c r="S26" s="300" t="str">
        <f>+'24'!A6:A6</f>
        <v>Aslam Mart LDA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Aslam Mart LDA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Aslam Mart LDA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Aslam Mart LDA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Aslam Mart LDA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Aslam Mart LDA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Aslam Mart LDA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86347.364786313556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1259.0999999999999</v>
      </c>
      <c r="K16" s="127">
        <f>$I16*T16</f>
        <v>367.23750000000001</v>
      </c>
      <c r="L16" s="118">
        <f>$I16*U16</f>
        <v>0</v>
      </c>
      <c r="M16" s="229">
        <f>I16-SUM(J16:L16)</f>
        <v>8866.1625000000004</v>
      </c>
      <c r="N16" s="248">
        <f>+(G16*D16+H16)*V16</f>
        <v>1983.0508474576263</v>
      </c>
      <c r="O16" s="238">
        <f>(N16+M16)*$O$15</f>
        <v>54.246066737288132</v>
      </c>
      <c r="P16" s="310">
        <f>M16+N16+O16</f>
        <v>10903.459414194915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200</v>
      </c>
      <c r="I17" s="236">
        <f t="shared" ref="I17:I23" si="0">(G17*D17)*F17+H17*F17</f>
        <v>10492.5</v>
      </c>
      <c r="J17" s="272">
        <f t="shared" ref="J17:L24" si="1">$I17*S17</f>
        <v>1259.0999999999999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8866.1625000000004</v>
      </c>
      <c r="N17" s="277">
        <f t="shared" ref="N17:N24" si="3">+(G17*D17+H17)*V17</f>
        <v>1983.0508474576263</v>
      </c>
      <c r="O17" s="239">
        <f t="shared" ref="O17:O24" si="4">(N17+M17)*$O$15</f>
        <v>54.246066737288132</v>
      </c>
      <c r="P17" s="311">
        <f t="shared" ref="P17:P24" si="5">M17+N17+O17</f>
        <v>10903.459414194915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200</v>
      </c>
      <c r="I18" s="236">
        <f t="shared" ref="I18:I21" si="7">(G18*D18)*F18+H18*F18</f>
        <v>10492.5</v>
      </c>
      <c r="J18" s="272">
        <f t="shared" si="1"/>
        <v>1259.0999999999999</v>
      </c>
      <c r="K18" s="128">
        <f t="shared" si="1"/>
        <v>367.23750000000001</v>
      </c>
      <c r="L18" s="119">
        <f t="shared" si="1"/>
        <v>0</v>
      </c>
      <c r="M18" s="230">
        <f t="shared" si="2"/>
        <v>8866.1625000000004</v>
      </c>
      <c r="N18" s="277">
        <f t="shared" si="3"/>
        <v>1983.0508474576263</v>
      </c>
      <c r="O18" s="239">
        <f t="shared" si="4"/>
        <v>54.246066737288132</v>
      </c>
      <c r="P18" s="311">
        <f t="shared" si="5"/>
        <v>10903.459414194915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200</v>
      </c>
      <c r="I19" s="236">
        <f t="shared" si="7"/>
        <v>14528</v>
      </c>
      <c r="J19" s="272">
        <f t="shared" si="1"/>
        <v>1743.36</v>
      </c>
      <c r="K19" s="128">
        <f t="shared" si="1"/>
        <v>508.48000000000008</v>
      </c>
      <c r="L19" s="119">
        <f t="shared" si="1"/>
        <v>0</v>
      </c>
      <c r="M19" s="230">
        <f t="shared" si="2"/>
        <v>12276.16</v>
      </c>
      <c r="N19" s="277">
        <f t="shared" si="3"/>
        <v>2745.7627118644068</v>
      </c>
      <c r="O19" s="239">
        <f t="shared" si="4"/>
        <v>75.109613559322028</v>
      </c>
      <c r="P19" s="311">
        <f t="shared" si="5"/>
        <v>15097.032325423728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200</v>
      </c>
      <c r="I20" s="236">
        <f t="shared" si="7"/>
        <v>14528</v>
      </c>
      <c r="J20" s="272">
        <f t="shared" si="1"/>
        <v>1743.36</v>
      </c>
      <c r="K20" s="128">
        <f t="shared" si="1"/>
        <v>508.48000000000008</v>
      </c>
      <c r="L20" s="119">
        <f t="shared" si="1"/>
        <v>0</v>
      </c>
      <c r="M20" s="230">
        <f t="shared" si="2"/>
        <v>12276.16</v>
      </c>
      <c r="N20" s="277">
        <f t="shared" si="3"/>
        <v>2745.7627118644068</v>
      </c>
      <c r="O20" s="239">
        <f t="shared" si="4"/>
        <v>75.109613559322028</v>
      </c>
      <c r="P20" s="311">
        <f t="shared" si="5"/>
        <v>15097.032325423728</v>
      </c>
      <c r="Q20" s="156"/>
      <c r="R20">
        <f>P20/21</f>
        <v>718.90630121065374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200</v>
      </c>
      <c r="I21" s="236">
        <f t="shared" si="7"/>
        <v>14528</v>
      </c>
      <c r="J21" s="272">
        <f t="shared" si="1"/>
        <v>1743.36</v>
      </c>
      <c r="K21" s="128">
        <f t="shared" si="1"/>
        <v>508.48000000000008</v>
      </c>
      <c r="L21" s="119">
        <f t="shared" si="1"/>
        <v>0</v>
      </c>
      <c r="M21" s="230">
        <f t="shared" si="2"/>
        <v>12276.16</v>
      </c>
      <c r="N21" s="277">
        <f t="shared" si="3"/>
        <v>2745.7627118644068</v>
      </c>
      <c r="O21" s="239">
        <f t="shared" si="4"/>
        <v>75.109613559322028</v>
      </c>
      <c r="P21" s="311">
        <f t="shared" si="5"/>
        <v>15097.032325423728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12">
        <v>200</v>
      </c>
      <c r="I22" s="236">
        <f t="shared" si="0"/>
        <v>7846.0000000000009</v>
      </c>
      <c r="J22" s="272">
        <f t="shared" si="1"/>
        <v>392.30000000000007</v>
      </c>
      <c r="K22" s="128">
        <f t="shared" si="1"/>
        <v>274.61000000000007</v>
      </c>
      <c r="L22" s="119">
        <f t="shared" si="1"/>
        <v>400.14600000000002</v>
      </c>
      <c r="M22" s="230">
        <f t="shared" si="2"/>
        <v>6778.9440000000013</v>
      </c>
      <c r="N22" s="277">
        <f t="shared" si="3"/>
        <v>1525.4237288135585</v>
      </c>
      <c r="O22" s="239">
        <f t="shared" si="4"/>
        <v>41.521838644067806</v>
      </c>
      <c r="P22" s="311">
        <f t="shared" si="5"/>
        <v>8345.8895674576288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1400</v>
      </c>
      <c r="I25" s="114">
        <f t="shared" ref="I25:M25" si="10">SUM(I16:I24)</f>
        <v>82907.5</v>
      </c>
      <c r="J25" s="274">
        <f>SUM(J16:J24)</f>
        <v>9399.6799999999985</v>
      </c>
      <c r="K25" s="275">
        <f t="shared" si="10"/>
        <v>2901.7625000000003</v>
      </c>
      <c r="L25" s="276">
        <f t="shared" si="10"/>
        <v>400.14600000000002</v>
      </c>
      <c r="M25" s="232">
        <f t="shared" si="10"/>
        <v>70205.911500000017</v>
      </c>
      <c r="N25" s="233">
        <f>SUM(N16:N24)</f>
        <v>15711.864406779659</v>
      </c>
      <c r="O25" s="101">
        <f>SUM(O16:O24)</f>
        <v>429.58887953389836</v>
      </c>
      <c r="P25" s="113">
        <f>SUM(P16:P24)</f>
        <v>86347.36478631357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82907.5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9399.6799999999985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3301.9085000000005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70205.911500000002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15711.864406779659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85917.775906779658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429.58887953389831</v>
      </c>
    </row>
    <row r="35" spans="2:16" ht="15.75" customHeight="1" thickBot="1" x14ac:dyDescent="0.4">
      <c r="N35" s="371" t="s">
        <v>88</v>
      </c>
      <c r="O35" s="372"/>
      <c r="P35" s="297">
        <f>+P33+P34</f>
        <v>86347.364786313556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>
        <v>9991</v>
      </c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46240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46239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514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513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46241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46240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2026-08-06T12:05:40Z</dcterms:modified>
</cp:coreProperties>
</file>