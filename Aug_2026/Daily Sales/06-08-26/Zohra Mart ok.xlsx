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478CEA-5EB1-47FD-8DF5-08515E3D1307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<sst xmlns="http://schemas.openxmlformats.org/spreadsheetml/2006/main" count="3976" uniqueCount="516">
  <si>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</si>
  <si>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</si>
  <si>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</si>
  <si>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</si>
  <si>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</si>
  <si>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</si>
  <si>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</si>
  <si>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</si>
  <si>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</si>
  <si>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</si>
  <si>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</si>
  <si>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</si>
  <si>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</si>
  <si>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</si>
  <si>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</si>
  <si>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</si>
  <si>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</si>
  <si>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</si>
  <si>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</si>
  <si>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</si>
  <si>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</si>
  <si>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</si>
  <si>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</si>
  <si>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</si>
  <si>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</si>
  <si>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</si>
  <si>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</si>
  <si>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</si>
  <si>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</si>
  <si>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</si>
  <si>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</si>
  <si>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</si>
  <si>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</si>
  <si>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</si>
  <si>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</si>
  <si>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</si>
  <si>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</si>
  <si>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</si>
  <si>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</si>
  <si>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</si>
  <si>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</si>
  <si>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</si>
  <si>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</si>
  <si>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</si>
  <si>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</si>
  <si>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</si>
  <si>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</si>
  <si>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</si>
  <si>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</si>
  <si>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</si>
  <si>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</si>
  <si>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</si>
  <si>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</si>
  <si>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</si>
  <si>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</si>
  <si>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</si>
  <si>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</si>
  <si>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</si>
  <si>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</si>
  <si>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</si>
  <si>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</si>
  <si>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</si>
  <si>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</si>
  <si>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</si>
  <si>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</si>
  <si>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</si>
  <si>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</si>
  <si>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</si>
  <si>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</si>
  <si>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</si>
  <si>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</si>
  <si>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</si>
  <si>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</si>
  <si>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</si>
  <si>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</si>
  <si>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</si>
  <si>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</si>
  <si>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</si>
  <si>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</si>
  <si>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</si>
  <si>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</si>
  <si>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</si>
  <si>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</si>
  <si>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</si>
  <si>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</si>
  <si>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</si>
  <si>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</si>
  <si>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</si>
  <si>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</si>
  <si>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</si>
  <si>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</si>
  <si>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</si>
  <si>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</si>
  <si>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</si>
  <si>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</si>
  <si>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</si>
  <si>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</si>
  <si>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</si>
  <si>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</si>
  <si>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</si>
  <si>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</si>
  <si>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</si>
  <si>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</si>
  <si>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</si>
  <si>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</si>
  <si>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</si>
  <si>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</si>
  <si>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</si>
  <si>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</si>
  <si>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</si>
  <si>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</si>
  <si>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</si>
  <si>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</si>
  <si>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</si>
  <si>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</si>
  <si>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</si>
  <si>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</si>
  <si>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</si>
  <si>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</si>
  <si>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</si>
  <si>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</si>
  <si>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</si>
  <si>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</si>
  <si>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</si>
  <si>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</si>
  <si>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</si>
  <si>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</si>
  <si>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</si>
  <si>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</si>
  <si>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</si>
  <si>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</si>
  <si>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</si>
  <si>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</si>
  <si>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</si>
  <si>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</si>
  <si>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</si>
  <si>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</si>
  <si>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</si>
  <si>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</si>
  <si>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</si>
  <si>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</si>
  <si>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</si>
  <si>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</si>
  <si>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</si>
  <si>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</si>
  <si>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</si>
  <si>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</si>
  <si>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</si>
  <si>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</si>
  <si>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</si>
  <si>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</si>
  <si>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</si>
  <si>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</si>
  <si>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</si>
  <si>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</si>
  <si>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</si>
  <si>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</si>
  <si>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</si>
  <si>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</si>
  <si>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</si>
  <si>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</si>
  <si>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</si>
  <si>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</si>
  <si>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</si>
  <si>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</si>
  <si>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</si>
  <si>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</si>
  <si>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</si>
  <si>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</si>
  <si>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</si>
  <si>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</si>
  <si>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</si>
  <si>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</si>
  <si>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</si>
  <si>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</si>
  <si>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</si>
  <si>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</si>
  <si>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</si>
  <si>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</si>
  <si>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</si>
  <si>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</si>
  <si>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</si>
  <si>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</si>
  <si>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</si>
  <si>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</si>
  <si>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</si>
  <si>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</si>
  <si>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</si>
  <si>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</si>
  <si>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</si>
  <si>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</si>
  <si>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</si>
  <si>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</si>
  <si>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</si>
  <si>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</si>
  <si>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</si>
  <si>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</si>
  <si>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</si>
  <si>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</si>
  <si>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</si>
  <si>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</si>
  <si>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</si>
  <si>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</si>
  <si>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</si>
  <si>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</si>
  <si>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</si>
  <si>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</si>
  <si>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</si>
  <si>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</si>
  <si>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</si>
  <si>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</si>
  <si>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</si>
  <si>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</si>
  <si>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</si>
  <si>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</si>
  <si>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</si>
  <si>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</si>
  <si>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</si>
  <si>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</si>
  <si>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</si>
  <si>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</si>
  <si>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</si>
  <si>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</si>
  <si>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</si>
  <si>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</si>
  <si>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</si>
  <si>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</si>
  <si>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</si>
  <si>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</si>
  <si>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</si>
  <si>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</si>
  <si>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</si>
  <si>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</si>
  <si>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</si>
  <si>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</si>
  <si>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</si>
  <si>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</si>
  <si>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</si>
  <si>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</si>
  <si>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</si>
  <si>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</si>
  <si>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</si>
  <si>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</si>
  <si>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</si>
  <si>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</si>
  <si>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</si>
  <si>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</si>
  <si>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</si>
  <si>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</si>
  <si>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</si>
  <si>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</si>
  <si>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</si>
  <si>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</si>
  <si>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</si>
  <si>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</si>
  <si>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</si>
  <si>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</si>
  <si>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</si>
  <si>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</si>
  <si>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</si>
  <si>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</si>
  <si>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</si>
  <si>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</si>
  <si>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</si>
  <si>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</si>
  <si>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</si>
  <si>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</si>
  <si>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</si>
  <si>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</si>
  <si>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</si>
  <si>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</si>
  <si>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</si>
  <si>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</si>
  <si>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</si>
  <si>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</si>
  <si>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</si>
  <si>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</si>
  <si>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</si>
  <si>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</si>
  <si>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</si>
  <si>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</si>
  <si>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</si>
  <si>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</si>
  <si>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</si>
  <si>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</si>
  <si>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</si>
  <si>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</si>
  <si>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</si>
  <si>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</si>
  <si>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</si>
  <si>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</si>
  <si>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</si>
  <si>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</si>
  <si>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</si>
  <si>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</si>
  <si>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</si>
  <si>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</si>
  <si>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</si>
  <si>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</si>
  <si>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</si>
  <si>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</si>
  <si>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</si>
  <si>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</si>
  <si>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</si>
  <si>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</si>
  <si>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</si>
  <si>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</si>
  <si>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</si>
  <si>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</si>
  <si>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</si>
  <si>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</si>
  <si>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</si>
  <si>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</si>
  <si>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</si>
  <si>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</si>
  <si>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</si>
  <si>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</si>
  <si>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</si>
  <si>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</si>
  <si>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</si>
  <si>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</si>
  <si>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</si>
  <si>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</si>
  <si>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</si>
  <si>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</si>
  <si>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</si>
  <si>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</si>
  <si>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</si>
  <si>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</si>
  <si>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</si>
  <si>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</si>
  <si>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</si>
  <si>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</si>
  <si>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</si>
  <si>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</si>
  <si>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</si>
  <si>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</si>
  <si>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</si>
  <si>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</si>
  <si>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</si>
  <si>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</si>
  <si>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</si>
  <si>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</si>
  <si>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</si>
  <si>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</si>
  <si>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</si>
  <si>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</si>
  <si>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</si>
  <si>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</si>
  <si>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</si>
  <si>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</si>
  <si>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</si>
  <si>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</si>
  <si>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</si>
  <si>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</si>
  <si>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</si>
  <si>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</si>
  <si>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</si>
  <si>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</si>
  <si>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</si>
  <si>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</si>
  <si>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</si>
  <si>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</si>
  <si>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</si>
  <si>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</si>
  <si>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</si>
  <si>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</si>
  <si>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</si>
  <si>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</si>
  <si>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</si>
  <si>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</si>
  <si>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</si>
  <si>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</si>
  <si>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</si>
  <si>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</si>
  <si>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</si>
  <si>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</si>
  <si>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</si>
  <si>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</si>
  <si>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</si>
  <si>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</si>
  <si>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</si>
  <si>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</si>
  <si>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</si>
  <si>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</si>
  <si>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</si>
  <si>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</si>
  <si>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</si>
  <si>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</si>
  <si>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</si>
  <si>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</si>
  <si>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</si>
  <si>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</si>
  <si>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</si>
  <si>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</si>
  <si>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</si>
  <si>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</si>
  <si>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</si>
  <si>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</si>
  <si>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</si>
  <si>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</si>
  <si>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</si>
  <si>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</si>
  <si>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</si>
  <si>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</si>
  <si>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</si>
  <si>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</si>
  <si>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</si>
  <si>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</si>
  <si>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</si>
  <si>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</si>
  <si>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</si>
  <si>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</si>
  <si>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</si>
  <si>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</si>
  <si>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</si>
  <si>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</si>
  <si>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</si>
  <si>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</si>
  <si>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</si>
  <si>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</si>
  <si>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</si>
  <si>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</si>
  <si>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</si>
  <si>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</si>
  <si>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</si>
  <si>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</si>
  <si>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</si>
  <si>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</si>
  <si>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</si>
  <si>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</si>
  <si>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</si>
  <si>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</si>
  <si>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</si>
  <si>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</si>
  <si>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</si>
  <si>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</si>
  <si>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</si>
  <si>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</si>
  <si>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</si>
  <si>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</si>
  <si>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</si>
  <si>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</si>
  <si>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</si>
  <si>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</si>
  <si>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</si>
  <si>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</si>
  <si>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</si>
  <si>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</si>
  <si>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</si>
  <si>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</si>
  <si>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</si>
  <si>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</si>
  <si>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</si>
  <si>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</si>
  <si>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</si>
  <si>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</si>
  <si>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</si>
  <si>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</si>
  <si>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</si>
  <si>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</si>
  <si>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</si>
  <si>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</si>
  <si>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</si>
  <si>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</si>
  <si>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</si>
  <si>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</si>
  <si>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</si>
  <si>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</si>
  <si>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</si>
  <si>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</si>
  <si>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</si>
  <si>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</si>
  <si>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</si>
  <si>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</si>
  <si>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</si>
  <si>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</si>
  <si>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</si>
  <si>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</si>
  <si>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</si>
  <si>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</si>
  <si>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</si>
  <si>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</si>
  <si>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</si>
  <si>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</si>
  <si>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</si>
  <si>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</si>
  <si>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</si>
  <si>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</si>
  <si>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</si>
  <si>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</si>
  <si>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</si>
  <si>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</si>
  <si>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</si>
  <si>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</si>
  <si>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</si>
  <si>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</si>
  <si>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</si>
  <si>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</si>
  <si>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</si>
  <si>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</si>
  <si>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</si>
  <si>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</si>
  <si>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</si>
  <si>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</si>
  <si>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</si>
  <si>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</si>
  <si>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</si>
  <si>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</si>
  <si>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</si>
  <si>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</si>
  <si>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</si>
  <si>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8971267-4</t>
  </si>
  <si>
    <t xml:space="preserve">Zohra Mart </t>
  </si>
  <si>
    <t>Invoice No # : 9991</t>
  </si>
  <si>
    <t xml:space="preserve">Address: Izmir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</si>
</sst>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46240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Zohra Mart </v>
      </c>
      <c r="T3" s="301">
        <f>+'1'!P35</f>
        <v>27700.281225762708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Zohra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Zohra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Zohra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Zohra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Zohra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Zohra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Zohra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7540.0319999999992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45.937448135593222</v>
      </c>
      <c r="P11" s="311">
        <f t="shared" si="2"/>
        <v>9233.4270752542379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Zohra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Zohra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Zohra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Zohra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Zohra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9</v>
      </c>
      <c r="H16" s="113">
        <f t="shared" ref="H16:M16" si="3">SUM(H7:H15)</f>
        <v>360</v>
      </c>
      <c r="I16" s="114">
        <f t="shared" si="3"/>
        <v>26150.399999999998</v>
      </c>
      <c r="J16" s="274">
        <f>SUM(J7:J15)</f>
        <v>2615.04</v>
      </c>
      <c r="K16" s="275">
        <f t="shared" si="3"/>
        <v>915.26400000000012</v>
      </c>
      <c r="L16" s="276">
        <f t="shared" si="3"/>
        <v>0</v>
      </c>
      <c r="M16" s="232">
        <f t="shared" si="3"/>
        <v>22620.095999999998</v>
      </c>
      <c r="N16" s="233">
        <f>SUM(N7:N15)</f>
        <v>4942.3728813559328</v>
      </c>
      <c r="O16" s="101">
        <f>SUM(O7:O15)</f>
        <v>137.81234440677966</v>
      </c>
      <c r="P16" s="113">
        <f>SUM(P7:P15)</f>
        <v>27700.281225762716</v>
      </c>
      <c r="Q16" s="128">
        <f>SUM(Q7:Q15)</f>
        <v>0</v>
      </c>
      <c r="R16" s="314">
        <v>14</v>
      </c>
      <c r="S16" s="300" t="str">
        <f>+'14'!A6:A6</f>
        <v xml:space="preserve">Zohra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Zohra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Zohra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26150.399999999998</v>
      </c>
      <c r="R19" s="299">
        <v>17</v>
      </c>
      <c r="S19" s="300" t="str">
        <f>+'17'!A6:A6</f>
        <v xml:space="preserve">Zohra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2615.04</v>
      </c>
      <c r="R20" s="299">
        <v>18</v>
      </c>
      <c r="S20" s="300" t="str">
        <f>+'18'!A6:A6</f>
        <v xml:space="preserve">Zohra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915.26400000000012</v>
      </c>
      <c r="R21" s="299">
        <v>19</v>
      </c>
      <c r="S21" s="300" t="str">
        <f>+'19'!A6:A6</f>
        <v xml:space="preserve">Zohra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22620.095999999998</v>
      </c>
      <c r="R22" s="299">
        <v>20</v>
      </c>
      <c r="S22" s="300" t="str">
        <f>+'20'!A6:A6</f>
        <v xml:space="preserve">Zohra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4942.3728813559328</v>
      </c>
      <c r="R23" s="299">
        <v>21</v>
      </c>
      <c r="S23" s="300" t="str">
        <f>+'21'!A6:A6</f>
        <v xml:space="preserve">Zohra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27562.46888135593</v>
      </c>
      <c r="R24" s="299">
        <v>22</v>
      </c>
      <c r="S24" s="300" t="str">
        <f>+'22'!A6:A6</f>
        <v xml:space="preserve">Zohra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137.81234440677966</v>
      </c>
      <c r="R25" s="299">
        <v>23</v>
      </c>
      <c r="S25" s="300" t="str">
        <f>+'23'!A6:A6</f>
        <v xml:space="preserve">Zohra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27700.281225762708</v>
      </c>
      <c r="R26" s="299">
        <v>24</v>
      </c>
      <c r="S26" s="300" t="str">
        <f>+'24'!A6:A6</f>
        <v xml:space="preserve">Zohra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Zohra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Zohra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Zohra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Zohra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Zohra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Zohra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27700.281225762708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871.68</v>
      </c>
      <c r="K20" s="128">
        <f t="shared" si="1"/>
        <v>305.08800000000002</v>
      </c>
      <c r="L20" s="119">
        <f t="shared" si="1"/>
        <v>0</v>
      </c>
      <c r="M20" s="230">
        <f t="shared" si="2"/>
        <v>7540.0319999999992</v>
      </c>
      <c r="N20" s="277">
        <f t="shared" si="3"/>
        <v>1647.4576271186443</v>
      </c>
      <c r="O20" s="239">
        <f t="shared" si="4"/>
        <v>45.937448135593222</v>
      </c>
      <c r="P20" s="311">
        <f t="shared" si="5"/>
        <v>9233.4270752542379</v>
      </c>
      <c r="Q20" s="156"/>
      <c r="R20">
        <f>P20/21</f>
        <v>439.68700358353516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311">
        <f t="shared" si="5"/>
        <v>9233.4270752542379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26150.399999999998</v>
      </c>
      <c r="J25" s="274">
        <f>SUM(J16:J24)</f>
        <v>2615.04</v>
      </c>
      <c r="K25" s="275">
        <f t="shared" si="10"/>
        <v>915.26400000000012</v>
      </c>
      <c r="L25" s="276">
        <f t="shared" si="10"/>
        <v>0</v>
      </c>
      <c r="M25" s="232">
        <f t="shared" si="10"/>
        <v>22620.095999999998</v>
      </c>
      <c r="N25" s="233">
        <f>SUM(N16:N24)</f>
        <v>4942.3728813559328</v>
      </c>
      <c r="O25" s="101">
        <f>SUM(O16:O24)</f>
        <v>137.81234440677966</v>
      </c>
      <c r="P25" s="113">
        <f>SUM(P16:P24)</f>
        <v>27700.281225762716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26150.399999999998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2615.04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915.26400000000012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22620.095999999998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4942.3728813559328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27562.46888135593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137.81234440677966</v>
      </c>
    </row>
    <row r="35" spans="2:16" ht="15.75" customHeight="1" thickBot="1" x14ac:dyDescent="0.4">
      <c r="N35" s="343" t="s">
        <v>88</v>
      </c>
      <c r="O35" s="344"/>
      <c r="P35" s="297">
        <f>+P33+P34</f>
        <v>27700.281225762708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46240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2026-08-06T04:41:02Z</dcterms:modified>
</cp:coreProperties>
</file>