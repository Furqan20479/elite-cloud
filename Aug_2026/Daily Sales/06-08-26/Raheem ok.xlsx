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6B3ED6-F276-4800-8AD4-3172082D374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J16" i="11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<sst xmlns="http://schemas.openxmlformats.org/spreadsheetml/2006/main" count="3948" uniqueCount="517">
  <si>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</si>
  <si>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</si>
  <si>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</si>
  <si>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</si>
  <si>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</si>
  <si>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</si>
  <si>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</si>
  <si>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</si>
  <si>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</si>
  <si>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</si>
  <si>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</si>
  <si>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</si>
  <si>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</si>
  <si>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</si>
  <si>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</si>
  <si>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</si>
  <si>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</si>
  <si>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</si>
  <si>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</si>
  <si>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</si>
  <si>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</si>
  <si>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</si>
  <si>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</si>
  <si>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</si>
  <si>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</si>
  <si>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</si>
  <si>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</si>
  <si>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</si>
  <si>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</si>
  <si>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</si>
  <si>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</si>
  <si>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</si>
  <si>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</si>
  <si>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</si>
  <si>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</si>
  <si>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</si>
  <si>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</si>
  <si>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</si>
  <si>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</si>
  <si>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</si>
  <si>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</si>
  <si>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</si>
  <si>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</si>
  <si>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</si>
  <si>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</si>
  <si>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</si>
  <si>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</si>
  <si>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</si>
  <si>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</si>
  <si>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</si>
  <si>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</si>
  <si>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</si>
  <si>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</si>
  <si>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</si>
  <si>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</si>
  <si>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</si>
  <si>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</si>
  <si>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</si>
  <si>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</si>
  <si>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</si>
  <si>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</si>
  <si>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</si>
  <si>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</si>
  <si>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</si>
  <si>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</si>
  <si>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</si>
  <si>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</si>
  <si>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</si>
  <si>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</si>
  <si>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</si>
  <si>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</si>
  <si>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</si>
  <si>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</si>
  <si>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</si>
  <si>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</si>
  <si>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</si>
  <si>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</si>
  <si>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</si>
  <si>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</si>
  <si>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</si>
  <si>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</si>
  <si>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</si>
  <si>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</si>
  <si>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</si>
  <si>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</si>
  <si>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</si>
  <si>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</si>
  <si>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</si>
  <si>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</si>
  <si>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</si>
  <si>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</si>
  <si>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</si>
  <si>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</si>
  <si>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</si>
  <si>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</si>
  <si>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</si>
  <si>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</si>
  <si>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</si>
  <si>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</si>
  <si>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</si>
  <si>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</si>
  <si>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</si>
  <si>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</si>
  <si>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</si>
  <si>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</si>
  <si>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</si>
  <si>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</si>
  <si>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</si>
  <si>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</si>
  <si>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</si>
  <si>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</si>
  <si>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</si>
  <si>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</si>
  <si>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</si>
  <si>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</si>
  <si>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</si>
  <si>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</si>
  <si>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</si>
  <si>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</si>
  <si>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</si>
  <si>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</si>
  <si>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</si>
  <si>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</si>
  <si>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</si>
  <si>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</si>
  <si>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</si>
  <si>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</si>
  <si>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</si>
  <si>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</si>
  <si>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</si>
  <si>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</si>
  <si>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</si>
  <si>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</si>
  <si>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</si>
  <si>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</si>
  <si>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</si>
  <si>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</si>
  <si>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</si>
  <si>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</si>
  <si>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</si>
  <si>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</si>
  <si>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</si>
  <si>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</si>
  <si>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</si>
  <si>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</si>
  <si>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</si>
  <si>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</si>
  <si>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</si>
  <si>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</si>
  <si>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</si>
  <si>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</si>
  <si>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</si>
  <si>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</si>
  <si>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</si>
  <si>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</si>
  <si>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</si>
  <si>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</si>
  <si>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</si>
  <si>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</si>
  <si>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</si>
  <si>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</si>
  <si>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</si>
  <si>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</si>
  <si>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</si>
  <si>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</si>
  <si>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</si>
  <si>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</si>
  <si>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</si>
  <si>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</si>
  <si>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</si>
  <si>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</si>
  <si>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</si>
  <si>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</si>
  <si>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</si>
  <si>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</si>
  <si>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</si>
  <si>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</si>
  <si>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</si>
  <si>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</si>
  <si>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</si>
  <si>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</si>
  <si>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</si>
  <si>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</si>
  <si>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</si>
  <si>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</si>
  <si>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</si>
  <si>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</si>
  <si>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</si>
  <si>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</si>
  <si>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</si>
  <si>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</si>
  <si>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</si>
  <si>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</si>
  <si>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</si>
  <si>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</si>
  <si>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</si>
  <si>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</si>
  <si>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</si>
  <si>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</si>
  <si>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</si>
  <si>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</si>
  <si>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</si>
  <si>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</si>
  <si>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</si>
  <si>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</si>
  <si>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</si>
  <si>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</si>
  <si>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</si>
  <si>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</si>
  <si>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</si>
  <si>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</si>
  <si>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</si>
  <si>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</si>
  <si>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</si>
  <si>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</si>
  <si>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</si>
  <si>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</si>
  <si>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</si>
  <si>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</si>
  <si>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</si>
  <si>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</si>
  <si>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</si>
  <si>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</si>
  <si>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</si>
  <si>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</si>
  <si>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</si>
  <si>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</si>
  <si>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</si>
  <si>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</si>
  <si>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</si>
  <si>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</si>
  <si>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</si>
  <si>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</si>
  <si>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</si>
  <si>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</si>
  <si>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</si>
  <si>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</si>
  <si>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</si>
  <si>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</si>
  <si>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</si>
  <si>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</si>
  <si>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</si>
  <si>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</si>
  <si>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</si>
  <si>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</si>
  <si>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</si>
  <si>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</si>
  <si>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</si>
  <si>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</si>
  <si>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</si>
  <si>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</si>
  <si>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</si>
  <si>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</si>
  <si>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</si>
  <si>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</si>
  <si>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</si>
  <si>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</si>
  <si>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</si>
  <si>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</si>
  <si>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</si>
  <si>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</si>
  <si>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</si>
  <si>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</si>
  <si>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</si>
  <si>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</si>
  <si>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</si>
  <si>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</si>
  <si>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</si>
  <si>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</si>
  <si>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</si>
  <si>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</si>
  <si>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</si>
  <si>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</si>
  <si>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</si>
  <si>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</si>
  <si>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</si>
  <si>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</si>
  <si>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</si>
  <si>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</si>
  <si>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</si>
  <si>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</si>
  <si>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</si>
  <si>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</si>
  <si>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</si>
  <si>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</si>
  <si>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</si>
  <si>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</si>
  <si>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</si>
  <si>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</si>
  <si>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</si>
  <si>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</si>
  <si>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</si>
  <si>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</si>
  <si>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</si>
  <si>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</si>
  <si>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</si>
  <si>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</si>
  <si>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</si>
  <si>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</si>
  <si>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</si>
  <si>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</si>
  <si>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</si>
  <si>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</si>
  <si>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</si>
  <si>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</si>
  <si>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</si>
  <si>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</si>
  <si>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</si>
  <si>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</si>
  <si>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</si>
  <si>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</si>
  <si>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</si>
  <si>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</si>
  <si>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</si>
  <si>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</si>
  <si>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</si>
  <si>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</si>
  <si>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</si>
  <si>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</si>
  <si>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</si>
  <si>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</si>
  <si>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</si>
  <si>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</si>
  <si>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</si>
  <si>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</si>
  <si>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</si>
  <si>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</si>
  <si>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</si>
  <si>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</si>
  <si>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</si>
  <si>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</si>
  <si>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</si>
  <si>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</si>
  <si>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</si>
  <si>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</si>
  <si>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</si>
  <si>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</si>
  <si>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</si>
  <si>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</si>
  <si>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</si>
  <si>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</si>
  <si>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</si>
  <si>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</si>
  <si>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</si>
  <si>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</si>
  <si>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</si>
  <si>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</si>
  <si>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</si>
  <si>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</si>
  <si>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</si>
  <si>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</si>
  <si>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</si>
  <si>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</si>
  <si>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</si>
  <si>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</si>
  <si>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</si>
  <si>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</si>
  <si>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</si>
  <si>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</si>
  <si>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</si>
  <si>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</si>
  <si>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</si>
  <si>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</si>
  <si>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</si>
  <si>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</si>
  <si>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</si>
  <si>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</si>
  <si>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</si>
  <si>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</si>
  <si>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</si>
  <si>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</si>
  <si>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</si>
  <si>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</si>
  <si>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</si>
  <si>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</si>
  <si>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</si>
  <si>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</si>
  <si>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</si>
  <si>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</si>
  <si>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</si>
  <si>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</si>
  <si>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</si>
  <si>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</si>
  <si>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</si>
  <si>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</si>
  <si>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</si>
  <si>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</si>
  <si>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</si>
  <si>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</si>
  <si>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</si>
  <si>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</si>
  <si>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</si>
  <si>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</si>
  <si>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</si>
  <si>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</si>
  <si>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</si>
  <si>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</si>
  <si>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</si>
  <si>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</si>
  <si>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</si>
  <si>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</si>
  <si>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</si>
  <si>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</si>
  <si>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</si>
  <si>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</si>
  <si>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</si>
  <si>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</si>
  <si>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</si>
  <si>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</si>
  <si>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</si>
  <si>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</si>
  <si>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</si>
  <si>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</si>
  <si>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</si>
  <si>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</si>
  <si>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</si>
  <si>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</si>
  <si>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</si>
  <si>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</si>
  <si>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</si>
  <si>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</si>
  <si>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</si>
  <si>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</si>
  <si>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</si>
  <si>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</si>
  <si>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</si>
  <si>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</si>
  <si>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</si>
  <si>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</si>
  <si>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</si>
  <si>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</si>
  <si>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</si>
  <si>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</si>
  <si>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</si>
  <si>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</si>
  <si>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</si>
  <si>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</si>
  <si>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</si>
  <si>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</si>
  <si>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</si>
  <si>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</si>
  <si>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</si>
  <si>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</si>
  <si>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</si>
  <si>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</si>
  <si>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</si>
  <si>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</si>
  <si>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</si>
  <si>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</si>
  <si>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</si>
  <si>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</si>
  <si>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</si>
  <si>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</si>
  <si>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</si>
  <si>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</si>
  <si>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</si>
  <si>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</si>
  <si>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</si>
  <si>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</si>
  <si>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</si>
  <si>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</si>
  <si>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</si>
  <si>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</si>
  <si>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</si>
  <si>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</si>
  <si>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</si>
  <si>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</si>
  <si>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</si>
  <si>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</si>
  <si>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</si>
  <si>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</si>
  <si>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</si>
  <si>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</si>
  <si>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</si>
  <si>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</si>
  <si>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</si>
  <si>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</si>
  <si>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</si>
  <si>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</si>
  <si>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</si>
  <si>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</si>
  <si>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</si>
  <si>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</si>
  <si>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</si>
  <si>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</si>
  <si>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</si>
  <si>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</si>
  <si>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</si>
  <si>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</si>
  <si>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</si>
  <si>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</si>
  <si>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</si>
  <si>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</si>
  <si>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</si>
  <si>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</si>
  <si>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</si>
  <si>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</si>
  <si>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</si>
  <si>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</si>
  <si>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</si>
  <si>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</si>
  <si>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</si>
  <si>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</si>
  <si>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</si>
  <si>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</si>
  <si>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</si>
  <si>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</si>
  <si>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</si>
  <si>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</si>
  <si>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</si>
  <si>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</si>
  <si>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</si>
  <si>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</si>
  <si>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</si>
  <si>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</si>
  <si>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>Invoice No # : 72621</t>
  </si>
  <si>
    <t xml:space="preserve">NTN : // : A244322-8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</si>
</sst>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46240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Raheem Store</v>
      </c>
      <c r="T3" s="301">
        <f>+'1'!P35</f>
        <v>128092.36281506886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240</v>
      </c>
      <c r="I8" s="236">
        <f t="shared" ref="I8:I14" si="0">(G8*D8)*F8+H8*F8</f>
        <v>12591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1762.7400000000002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440.68500000000006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10387.575000000001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2379.6610169491514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63.836180084745756</v>
      </c>
      <c r="P8" s="311">
        <f t="shared" ref="P8:P15" si="2">M8+N8+O8</f>
        <v>12831.072197033896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239</v>
      </c>
      <c r="I9" s="236">
        <f t="shared" si="0"/>
        <v>12538.5375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1755.3952500000003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438.84881250000007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10344.2934375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2369.7457627118633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63.570196001059323</v>
      </c>
      <c r="P9" s="311">
        <f t="shared" si="2"/>
        <v>12777.609396212923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311">
        <f t="shared" si="2"/>
        <v>23688.031240677963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3254.2720000000004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19176.96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117.85090169491525</v>
      </c>
      <c r="P11" s="311">
        <f t="shared" si="2"/>
        <v>23688.031240677963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600</v>
      </c>
      <c r="I12" s="236">
        <f t="shared" si="0"/>
        <v>43584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6101.76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1525.44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35956.800000000003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8237.2881355932204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220.97044067796611</v>
      </c>
      <c r="P12" s="311">
        <f t="shared" si="2"/>
        <v>44415.058576271185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47.975000000000001</v>
      </c>
      <c r="H16" s="113">
        <f t="shared" ref="H16:M16" si="3">SUM(H7:H15)</f>
        <v>1919</v>
      </c>
      <c r="I16" s="114">
        <f t="shared" si="3"/>
        <v>125695.6375</v>
      </c>
      <c r="J16" s="274">
        <f>SUM(J7:J15)</f>
        <v>17597.38925</v>
      </c>
      <c r="K16" s="275">
        <f t="shared" si="3"/>
        <v>4399.3473125</v>
      </c>
      <c r="L16" s="276">
        <f t="shared" si="3"/>
        <v>0</v>
      </c>
      <c r="M16" s="232">
        <f t="shared" si="3"/>
        <v>103698.9009375</v>
      </c>
      <c r="N16" s="233">
        <f>SUM(N7:N15)</f>
        <v>23756.186440677964</v>
      </c>
      <c r="O16" s="101">
        <f>SUM(O7:O15)</f>
        <v>637.27543689088975</v>
      </c>
      <c r="P16" s="113">
        <f>SUM(P7:P15)</f>
        <v>128092.36281506885</v>
      </c>
      <c r="Q16" s="128">
        <f>SUM(Q7:Q15)</f>
        <v>1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125695.6375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17597.38925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4399.3473125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103698.9009375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23756.186440677964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127455.08737817797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637.27543689088975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128092.36281506886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128092.36281506886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9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515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310">
        <f>M16+N16+O16</f>
        <v>10692.560164194916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240</v>
      </c>
      <c r="I17" s="236">
        <f t="shared" ref="I17:I23" si="0">(G17*D17)*F17+H17*F17</f>
        <v>12591</v>
      </c>
      <c r="J17" s="272">
        <f t="shared" ref="J17:L24" si="1">$I17*S17</f>
        <v>1762.7400000000002</v>
      </c>
      <c r="K17" s="128">
        <f>$I17*T17</f>
        <v>440.68500000000006</v>
      </c>
      <c r="L17" s="119">
        <f>$I17*U17</f>
        <v>0</v>
      </c>
      <c r="M17" s="230">
        <f t="shared" ref="M17:M24" si="2">I17-SUM(J17:L17)</f>
        <v>10387.575000000001</v>
      </c>
      <c r="N17" s="277">
        <f t="shared" ref="N17:N24" si="3">+(G17*D17+H17)*V17</f>
        <v>2379.6610169491514</v>
      </c>
      <c r="O17" s="239">
        <f t="shared" ref="O17:O24" si="4">(N17+M17)*$O$15</f>
        <v>63.836180084745756</v>
      </c>
      <c r="P17" s="311">
        <f t="shared" ref="P17:P24" si="5">M17+N17+O17</f>
        <v>12831.072197033896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239</v>
      </c>
      <c r="I18" s="236">
        <f t="shared" ref="I18:I21" si="7">(G18*D18)*F18+H18*F18</f>
        <v>12538.5375</v>
      </c>
      <c r="J18" s="272">
        <f t="shared" si="1"/>
        <v>1755.3952500000003</v>
      </c>
      <c r="K18" s="128">
        <f t="shared" si="1"/>
        <v>438.84881250000007</v>
      </c>
      <c r="L18" s="119">
        <f t="shared" si="1"/>
        <v>0</v>
      </c>
      <c r="M18" s="230">
        <f t="shared" si="2"/>
        <v>10344.2934375</v>
      </c>
      <c r="N18" s="277">
        <f t="shared" si="3"/>
        <v>2369.7457627118633</v>
      </c>
      <c r="O18" s="239">
        <f t="shared" si="4"/>
        <v>63.570196001059323</v>
      </c>
      <c r="P18" s="311">
        <f t="shared" si="5"/>
        <v>12777.609396212923</v>
      </c>
      <c r="Q18" s="156">
        <v>1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320</v>
      </c>
      <c r="I19" s="236">
        <f t="shared" si="7"/>
        <v>23244.799999999999</v>
      </c>
      <c r="J19" s="272">
        <f t="shared" si="1"/>
        <v>3254.2720000000004</v>
      </c>
      <c r="K19" s="128">
        <f t="shared" si="1"/>
        <v>813.5680000000001</v>
      </c>
      <c r="L19" s="119">
        <f t="shared" si="1"/>
        <v>0</v>
      </c>
      <c r="M19" s="230">
        <f t="shared" si="2"/>
        <v>19176.96</v>
      </c>
      <c r="N19" s="277">
        <f t="shared" si="3"/>
        <v>4393.2203389830511</v>
      </c>
      <c r="O19" s="239">
        <f t="shared" si="4"/>
        <v>117.85090169491525</v>
      </c>
      <c r="P19" s="311">
        <f t="shared" si="5"/>
        <v>23688.031240677963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320</v>
      </c>
      <c r="I20" s="236">
        <f t="shared" si="7"/>
        <v>23244.799999999999</v>
      </c>
      <c r="J20" s="272">
        <f t="shared" si="1"/>
        <v>3254.2720000000004</v>
      </c>
      <c r="K20" s="128">
        <f t="shared" si="1"/>
        <v>813.5680000000001</v>
      </c>
      <c r="L20" s="119">
        <f t="shared" si="1"/>
        <v>0</v>
      </c>
      <c r="M20" s="230">
        <f t="shared" si="2"/>
        <v>19176.96</v>
      </c>
      <c r="N20" s="277">
        <f t="shared" si="3"/>
        <v>4393.2203389830511</v>
      </c>
      <c r="O20" s="239">
        <f t="shared" si="4"/>
        <v>117.85090169491525</v>
      </c>
      <c r="P20" s="311">
        <f t="shared" si="5"/>
        <v>23688.031240677963</v>
      </c>
      <c r="Q20" s="156"/>
      <c r="R20">
        <f>P20/21</f>
        <v>1128.0014876513317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600</v>
      </c>
      <c r="I21" s="236">
        <f t="shared" si="7"/>
        <v>43584</v>
      </c>
      <c r="J21" s="272">
        <f t="shared" si="1"/>
        <v>6101.76</v>
      </c>
      <c r="K21" s="128">
        <f t="shared" si="1"/>
        <v>1525.44</v>
      </c>
      <c r="L21" s="119">
        <f t="shared" si="1"/>
        <v>0</v>
      </c>
      <c r="M21" s="230">
        <f t="shared" si="2"/>
        <v>35956.800000000003</v>
      </c>
      <c r="N21" s="277">
        <f t="shared" si="3"/>
        <v>8237.2881355932204</v>
      </c>
      <c r="O21" s="239">
        <f t="shared" si="4"/>
        <v>220.97044067796611</v>
      </c>
      <c r="P21" s="311">
        <f t="shared" si="5"/>
        <v>44415.058576271185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1919</v>
      </c>
      <c r="I25" s="114">
        <f t="shared" ref="I25:M25" si="10">SUM(I16:I24)</f>
        <v>125695.6375</v>
      </c>
      <c r="J25" s="274">
        <f>SUM(J16:J24)</f>
        <v>17597.38925</v>
      </c>
      <c r="K25" s="275">
        <f t="shared" si="10"/>
        <v>4399.3473125</v>
      </c>
      <c r="L25" s="276">
        <f t="shared" si="10"/>
        <v>0</v>
      </c>
      <c r="M25" s="232">
        <f t="shared" si="10"/>
        <v>103698.9009375</v>
      </c>
      <c r="N25" s="233">
        <f>SUM(N16:N24)</f>
        <v>23756.186440677964</v>
      </c>
      <c r="O25" s="101">
        <f>SUM(O16:O24)</f>
        <v>637.27543689088975</v>
      </c>
      <c r="P25" s="113">
        <f>SUM(P16:P24)</f>
        <v>128092.36281506885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125695.6375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17597.38925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4399.3473125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103698.9009375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23756.186440677964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127455.08737817797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637.27543689088986</v>
      </c>
    </row>
    <row r="35" spans="2:16" ht="15.75" customHeight="1" thickBot="1" x14ac:dyDescent="0.4">
      <c r="N35" s="343" t="s">
        <v>88</v>
      </c>
      <c r="O35" s="344"/>
      <c r="P35" s="297">
        <f>+P33+P34</f>
        <v>128092.36281506886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46240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2026-08-06T12:02:38Z</dcterms:modified>
</cp:coreProperties>
</file>