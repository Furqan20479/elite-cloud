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ED68B5B-1653-46CF-94A1-B3A464FC90DE}" xr6:coauthVersionLast="47" xr6:coauthVersionMax="47" xr10:uidLastSave="{00000000-0000-0000-0000-000000000000}"/>
  <bookViews>
    <workbookView xWindow="-110" yWindow="-110" windowWidth="19420" windowHeight="10420" tabRatio="872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M20" i="47"/>
  <c r="O20" i="47" s="1"/>
  <c r="P20" i="47" s="1"/>
  <c r="R20" i="47" s="1"/>
  <c r="M20" i="46"/>
  <c r="O20" i="46" s="1"/>
  <c r="P20" i="46" s="1"/>
  <c r="R20" i="4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<sst xmlns="http://schemas.openxmlformats.org/spreadsheetml/2006/main" count="3978" uniqueCount="529">
  <si>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</si>
  <si>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</si>
  <si>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</si>
  <si>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</si>
  <si>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</si>
  <si>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</si>
  <si>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</si>
  <si>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</si>
  <si>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</si>
  <si>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</si>
  <si>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</si>
  <si>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</si>
  <si>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</si>
  <si>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</si>
  <si>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</si>
  <si>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</si>
  <si>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</si>
  <si>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</si>
  <si>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</si>
  <si>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</si>
  <si>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</si>
  <si>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</si>
  <si>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</si>
  <si>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</si>
  <si>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</si>
  <si>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</si>
  <si>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</si>
  <si>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</si>
  <si>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</si>
  <si>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</si>
  <si>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</si>
  <si>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</si>
  <si>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</si>
  <si>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</si>
  <si>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</si>
  <si>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</si>
  <si>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</si>
  <si>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</si>
  <si>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</si>
  <si>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</si>
  <si>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</si>
  <si>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</si>
  <si>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</si>
  <si>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</si>
  <si>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</si>
  <si>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</si>
  <si>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</si>
  <si>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</si>
  <si>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</si>
  <si>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</si>
  <si>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</si>
  <si>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</si>
  <si>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</si>
  <si>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</si>
  <si>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</si>
  <si>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</si>
  <si>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</si>
  <si>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</si>
  <si>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</si>
  <si>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</si>
  <si>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</si>
  <si>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</si>
  <si>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</si>
  <si>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</si>
  <si>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</si>
  <si>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</si>
  <si>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</si>
  <si>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</si>
  <si>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</si>
  <si>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</si>
  <si>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</si>
  <si>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</si>
  <si>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</si>
  <si>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</si>
  <si>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</si>
  <si>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</si>
  <si>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</si>
  <si>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</si>
  <si>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</si>
  <si>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</si>
  <si>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</si>
  <si>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</si>
  <si>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</si>
  <si>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</si>
  <si>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</si>
  <si>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</si>
  <si>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</si>
  <si>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</si>
  <si>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</si>
  <si>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</si>
  <si>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</si>
  <si>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</si>
  <si>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</si>
  <si>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</si>
  <si>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</si>
  <si>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</si>
  <si>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</si>
  <si>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</si>
  <si>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</si>
  <si>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</si>
  <si>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</si>
  <si>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</si>
  <si>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</si>
  <si>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</si>
  <si>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</si>
  <si>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</si>
  <si>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</si>
  <si>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</si>
  <si>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</si>
  <si>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</si>
  <si>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</si>
  <si>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</si>
  <si>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</si>
  <si>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</si>
  <si>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</si>
  <si>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</si>
  <si>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</si>
  <si>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</si>
  <si>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</si>
  <si>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</si>
  <si>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</si>
  <si>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</si>
  <si>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</si>
  <si>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</si>
  <si>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</si>
  <si>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</si>
  <si>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</si>
  <si>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</si>
  <si>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</si>
  <si>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</si>
  <si>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</si>
  <si>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</si>
  <si>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</si>
  <si>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</si>
  <si>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</si>
  <si>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</si>
  <si>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</si>
  <si>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</si>
  <si>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</si>
  <si>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</si>
  <si>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</si>
  <si>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</si>
  <si>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</si>
  <si>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</si>
  <si>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</si>
  <si>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</si>
  <si>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</si>
  <si>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</si>
  <si>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</si>
  <si>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</si>
  <si>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</si>
  <si>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</si>
  <si>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</si>
  <si>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</si>
  <si>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</si>
  <si>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</si>
  <si>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</si>
  <si>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</si>
  <si>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</si>
  <si>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</si>
  <si>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</si>
  <si>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</si>
  <si>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</si>
  <si>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</si>
  <si>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</si>
  <si>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</si>
  <si>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</si>
  <si>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</si>
  <si>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</si>
  <si>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</si>
  <si>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</si>
  <si>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</si>
  <si>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</si>
  <si>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</si>
  <si>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</si>
  <si>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</si>
  <si>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</si>
  <si>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</si>
  <si>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</si>
  <si>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</si>
  <si>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</si>
  <si>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</si>
  <si>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</si>
  <si>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</si>
  <si>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</si>
  <si>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</si>
  <si>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</si>
  <si>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</si>
  <si>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</si>
  <si>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</si>
  <si>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</si>
  <si>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</si>
  <si>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</si>
  <si>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</si>
  <si>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</si>
  <si>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</si>
  <si>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</si>
  <si>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</si>
  <si>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</si>
  <si>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</si>
  <si>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</si>
  <si>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</si>
  <si>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</si>
  <si>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</si>
  <si>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</si>
  <si>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</si>
  <si>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</si>
  <si>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</si>
  <si>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</si>
  <si>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</si>
  <si>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</si>
  <si>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</si>
  <si>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</si>
  <si>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</si>
  <si>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</si>
  <si>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</si>
  <si>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</si>
  <si>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</si>
  <si>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</si>
  <si>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</si>
  <si>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</si>
  <si>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</si>
  <si>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</si>
  <si>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</si>
  <si>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</si>
  <si>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</si>
  <si>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</si>
  <si>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</si>
  <si>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</si>
  <si>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</si>
  <si>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</si>
  <si>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</si>
  <si>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</si>
  <si>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</si>
  <si>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</si>
  <si>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</si>
  <si>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</si>
  <si>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</si>
  <si>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</si>
  <si>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</si>
  <si>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</si>
  <si>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</si>
  <si>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</si>
  <si>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</si>
  <si>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</si>
  <si>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</si>
  <si>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</si>
  <si>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</si>
  <si>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</si>
  <si>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</si>
  <si>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</si>
  <si>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</si>
  <si>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</si>
  <si>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</si>
  <si>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</si>
  <si>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</si>
  <si>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</si>
  <si>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</si>
  <si>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</si>
  <si>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</si>
  <si>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</si>
  <si>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</si>
  <si>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</si>
  <si>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</si>
  <si>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</si>
  <si>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</si>
  <si>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</si>
  <si>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</si>
  <si>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</si>
  <si>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</si>
  <si>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</si>
  <si>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</si>
  <si>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</si>
  <si>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</si>
  <si>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</si>
  <si>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</si>
  <si>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</si>
  <si>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</si>
  <si>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</si>
  <si>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</si>
  <si>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</si>
  <si>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</si>
  <si>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</si>
  <si>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</si>
  <si>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</si>
  <si>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</si>
  <si>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</si>
  <si>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</si>
  <si>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</si>
  <si>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</si>
  <si>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</si>
  <si>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</si>
  <si>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</si>
  <si>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</si>
  <si>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</si>
  <si>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</si>
  <si>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</si>
  <si>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</si>
  <si>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</si>
  <si>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</si>
  <si>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</si>
  <si>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</si>
  <si>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</si>
  <si>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</si>
  <si>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</si>
  <si>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</si>
  <si>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</si>
  <si>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</si>
  <si>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</si>
  <si>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</si>
  <si>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</si>
  <si>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</si>
  <si>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</si>
  <si>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</si>
  <si>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</si>
  <si>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</si>
  <si>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</si>
  <si>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</si>
  <si>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</si>
  <si>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</si>
  <si>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</si>
  <si>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</si>
  <si>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</si>
  <si>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</si>
  <si>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</si>
  <si>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</si>
  <si>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</si>
  <si>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</si>
  <si>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</si>
  <si>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</si>
  <si>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</si>
  <si>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</si>
  <si>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</si>
  <si>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</si>
  <si>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</si>
  <si>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</si>
  <si>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</si>
  <si>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</si>
  <si>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</si>
  <si>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</si>
  <si>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</si>
  <si>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</si>
  <si>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</si>
  <si>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</si>
  <si>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</si>
  <si>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</si>
  <si>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</si>
  <si>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</si>
  <si>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</si>
  <si>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</si>
  <si>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</si>
  <si>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</si>
  <si>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</si>
  <si>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</si>
  <si>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</si>
  <si>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</si>
  <si>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</si>
  <si>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</si>
  <si>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</si>
  <si>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</si>
  <si>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</si>
  <si>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</si>
  <si>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</si>
  <si>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</si>
  <si>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</si>
  <si>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</si>
  <si>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</si>
  <si>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</si>
  <si>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</si>
  <si>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</si>
  <si>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</si>
  <si>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</si>
  <si>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</si>
  <si>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</si>
  <si>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</si>
  <si>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</si>
  <si>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</si>
  <si>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</si>
  <si>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</si>
  <si>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</si>
  <si>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</si>
  <si>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</si>
  <si>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</si>
  <si>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</si>
  <si>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</si>
  <si>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</si>
  <si>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</si>
  <si>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</si>
  <si>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</si>
  <si>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</si>
  <si>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</si>
  <si>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</si>
  <si>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</si>
  <si>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</si>
  <si>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</si>
  <si>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</si>
  <si>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</si>
  <si>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</si>
  <si>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</si>
  <si>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</si>
  <si>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</si>
  <si>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</si>
  <si>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</si>
  <si>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</si>
  <si>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</si>
  <si>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</si>
  <si>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</si>
  <si>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</si>
  <si>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</si>
  <si>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</si>
  <si>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</si>
  <si>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</si>
  <si>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</si>
  <si>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</si>
  <si>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</si>
  <si>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</si>
  <si>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</si>
  <si>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</si>
  <si>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</si>
  <si>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</si>
  <si>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</si>
  <si>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</si>
  <si>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</si>
  <si>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</si>
  <si>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</si>
  <si>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</si>
  <si>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</si>
  <si>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</si>
  <si>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</si>
  <si>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</si>
  <si>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</si>
  <si>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</si>
  <si>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</si>
  <si>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</si>
  <si>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</si>
  <si>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</si>
  <si>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</si>
  <si>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</si>
  <si>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</si>
  <si>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</si>
  <si>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</si>
  <si>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</si>
  <si>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</si>
  <si>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</si>
  <si>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</si>
  <si>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</si>
  <si>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</si>
  <si>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</si>
  <si>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</si>
  <si>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</si>
  <si>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</si>
  <si>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</si>
  <si>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</si>
  <si>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</si>
  <si>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</si>
  <si>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</si>
  <si>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</si>
  <si>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</si>
  <si>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</si>
  <si>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</si>
  <si>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</si>
  <si>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</si>
  <si>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</si>
  <si>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</si>
  <si>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</si>
  <si>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</si>
  <si>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</si>
  <si>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</si>
  <si>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</si>
  <si>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</si>
  <si>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</si>
  <si>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</si>
  <si>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</si>
  <si>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</si>
  <si>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</si>
  <si>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</si>
  <si>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</si>
  <si>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</si>
  <si>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</si>
  <si>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</si>
  <si>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</si>
  <si>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</si>
  <si>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</si>
  <si>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</si>
  <si>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</si>
  <si>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</si>
  <si>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</si>
  <si>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</si>
  <si>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</si>
  <si>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</si>
  <si>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</si>
  <si>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</si>
  <si>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</si>
  <si>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</si>
  <si>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</si>
  <si>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</si>
  <si>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</si>
  <si>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</si>
  <si>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</si>
  <si>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</si>
  <si>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</si>
  <si>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</si>
  <si>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</si>
  <si>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</si>
  <si>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</si>
  <si>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</si>
  <si>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</si>
  <si>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</si>
  <si>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</si>
  <si>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</si>
  <si>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</si>
  <si>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</si>
  <si>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</si>
  <si>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</si>
  <si>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</si>
  <si>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</si>
  <si>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Umair</t>
  </si>
  <si>
    <t xml:space="preserve">Gulshan Bakers </t>
  </si>
  <si>
    <t>Address: Awan Market</t>
  </si>
  <si>
    <t>Shah taj Store</t>
  </si>
  <si>
    <t xml:space="preserve">Al Makkah </t>
  </si>
  <si>
    <t xml:space="preserve">Hafiz Bakers </t>
  </si>
  <si>
    <t>Address: awan Market</t>
  </si>
  <si>
    <t>Mozzam Store</t>
  </si>
  <si>
    <t>Address: Younaabad</t>
  </si>
  <si>
    <t xml:space="preserve">Kekis  Bakers </t>
  </si>
  <si>
    <t>Address: younabad</t>
  </si>
  <si>
    <t xml:space="preserve">Palace Bakers </t>
  </si>
  <si>
    <t>Address: Kacha Jail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</si>
</sst>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7" workbookViewId="0">
      <selection activeCell="U11" sqref="U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46240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Gulshan Bakers 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Shah taj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Al Makkah 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Hafiz Bakers </v>
      </c>
      <c r="T6" s="301">
        <f>+'4'!P35</f>
        <v>705.64760664406776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Mozzam Store</v>
      </c>
      <c r="T7" s="301">
        <f>+'5'!P35</f>
        <v>6272.4231701694916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Kekis  Bakers 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Palace Bakers </v>
      </c>
      <c r="T9" s="301">
        <f>+'7'!P35</f>
        <v>4805.3894985762709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98</v>
      </c>
      <c r="I10" s="236">
        <f t="shared" si="0"/>
        <v>7118.72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569.49760000000003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249.15520000000001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6300.0672000000004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1345.4237288135596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38.227454644067798</v>
      </c>
      <c r="P10" s="311">
        <f t="shared" si="2"/>
        <v>7683.7183834576281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33</v>
      </c>
      <c r="I11" s="236">
        <f t="shared" si="0"/>
        <v>2397.12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191.7696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83.899200000000008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2121.4512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453.05084745762713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12.872510237288136</v>
      </c>
      <c r="P11" s="311">
        <f t="shared" si="2"/>
        <v>2587.3745576949154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78</v>
      </c>
      <c r="I12" s="236">
        <f t="shared" si="0"/>
        <v>5665.92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453.27360000000004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198.30720000000002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5014.3392000000003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1070.8474576271187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30.425933288135592</v>
      </c>
      <c r="P12" s="311">
        <f t="shared" si="2"/>
        <v>6115.6125909152543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8.4749999999999996</v>
      </c>
      <c r="H16" s="113">
        <f t="shared" ref="H16:M16" si="3">SUM(H7:H15)</f>
        <v>339</v>
      </c>
      <c r="I16" s="114">
        <f t="shared" si="3"/>
        <v>20413.985000000001</v>
      </c>
      <c r="J16" s="274">
        <f>SUM(J7:J15)</f>
        <v>1491.8908000000001</v>
      </c>
      <c r="K16" s="275">
        <f t="shared" si="3"/>
        <v>714.48947500000008</v>
      </c>
      <c r="L16" s="276">
        <f t="shared" si="3"/>
        <v>240.08760000000001</v>
      </c>
      <c r="M16" s="232">
        <f t="shared" si="3"/>
        <v>17967.517125000002</v>
      </c>
      <c r="N16" s="233">
        <f>SUM(N7:N15)</f>
        <v>3883.7288135593217</v>
      </c>
      <c r="O16" s="101">
        <f>SUM(O7:O15)</f>
        <v>109.25622969279662</v>
      </c>
      <c r="P16" s="113">
        <f>SUM(P7:P15)</f>
        <v>21960.502168252122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20413.985000000001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1491.8908000000001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954.57707500000015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17967.517124999998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3883.7288135593217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21851.245938559321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109.25622969279662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21960.502168252118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21960.502168252118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524.625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41.97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18.361875000000001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464.29312499999997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563.4456673728813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1" t="s">
        <v>88</v>
      </c>
      <c r="O35" s="372"/>
      <c r="P35" s="297">
        <f>+P33+P34</f>
        <v>566.26289570974575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9</v>
      </c>
      <c r="I25" s="114">
        <f t="shared" si="7"/>
        <v>653.76</v>
      </c>
      <c r="J25" s="274">
        <f>SUM(J16:J24)</f>
        <v>52.30080000000001</v>
      </c>
      <c r="K25" s="275">
        <f t="shared" si="7"/>
        <v>22.881600000000002</v>
      </c>
      <c r="L25" s="276">
        <f t="shared" si="7"/>
        <v>0</v>
      </c>
      <c r="M25" s="232">
        <f t="shared" si="7"/>
        <v>578.57760000000007</v>
      </c>
      <c r="N25" s="233">
        <f>SUM(N16:N24)</f>
        <v>123.55932203389831</v>
      </c>
      <c r="O25" s="101">
        <f>SUM(O16:O24)</f>
        <v>3.5106846101694917</v>
      </c>
      <c r="P25" s="113">
        <f>SUM(P16:P24)</f>
        <v>705.64760664406776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653.76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52.30080000000001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22.881600000000002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578.57759999999996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702.13692203389826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71" t="s">
        <v>88</v>
      </c>
      <c r="O35" s="372"/>
      <c r="P35" s="297">
        <f>+P33+P34</f>
        <v>705.64760664406776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524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0</v>
      </c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46241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46240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2026-08-06T11:30:33Z</dcterms:modified>
</cp:coreProperties>
</file>