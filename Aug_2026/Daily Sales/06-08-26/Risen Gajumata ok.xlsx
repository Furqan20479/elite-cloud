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3D9240-C788-46E9-A647-E82846E099E2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<sst xmlns="http://schemas.openxmlformats.org/spreadsheetml/2006/main" count="3948" uniqueCount="516">
  <si>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</si>
  <si>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</si>
  <si>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</si>
  <si>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</si>
  <si>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</si>
  <si>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</si>
  <si>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</si>
  <si>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</si>
  <si>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</si>
  <si>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</si>
  <si>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</si>
  <si>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</si>
  <si>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</si>
  <si>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</si>
  <si>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</si>
  <si>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</si>
  <si>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</si>
  <si>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</si>
  <si>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</si>
  <si>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</si>
  <si>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</si>
  <si>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</si>
  <si>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</si>
  <si>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</si>
  <si>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</si>
  <si>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</si>
  <si>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</si>
  <si>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</si>
  <si>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</si>
  <si>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</si>
  <si>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</si>
  <si>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</si>
  <si>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</si>
  <si>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</si>
  <si>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</si>
  <si>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</si>
  <si>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</si>
  <si>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</si>
  <si>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</si>
  <si>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</si>
  <si>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</si>
  <si>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</si>
  <si>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</si>
  <si>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</si>
  <si>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</si>
  <si>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</si>
  <si>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</si>
  <si>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</si>
  <si>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</si>
  <si>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</si>
  <si>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</si>
  <si>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</si>
  <si>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</si>
  <si>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</si>
  <si>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</si>
  <si>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</si>
  <si>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</si>
  <si>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</si>
  <si>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</si>
  <si>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</si>
  <si>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</si>
  <si>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</si>
  <si>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</si>
  <si>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</si>
  <si>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</si>
  <si>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</si>
  <si>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</si>
  <si>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</si>
  <si>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</si>
  <si>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</si>
  <si>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</si>
  <si>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</si>
  <si>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</si>
  <si>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</si>
  <si>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</si>
  <si>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</si>
  <si>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</si>
  <si>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</si>
  <si>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</si>
  <si>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</si>
  <si>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</si>
  <si>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</si>
  <si>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</si>
  <si>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</si>
  <si>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</si>
  <si>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</si>
  <si>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</si>
  <si>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</si>
  <si>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</si>
  <si>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</si>
  <si>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</si>
  <si>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</si>
  <si>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</si>
  <si>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</si>
  <si>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</si>
  <si>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</si>
  <si>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</si>
  <si>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</si>
  <si>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</si>
  <si>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</si>
  <si>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</si>
  <si>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</si>
  <si>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</si>
  <si>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</si>
  <si>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</si>
  <si>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</si>
  <si>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</si>
  <si>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</si>
  <si>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</si>
  <si>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</si>
  <si>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</si>
  <si>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</si>
  <si>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</si>
  <si>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</si>
  <si>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</si>
  <si>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</si>
  <si>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</si>
  <si>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</si>
  <si>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</si>
  <si>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</si>
  <si>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</si>
  <si>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</si>
  <si>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</si>
  <si>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</si>
  <si>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</si>
  <si>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</si>
  <si>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</si>
  <si>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</si>
  <si>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</si>
  <si>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</si>
  <si>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</si>
  <si>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</si>
  <si>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</si>
  <si>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</si>
  <si>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</si>
  <si>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</si>
  <si>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</si>
  <si>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</si>
  <si>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</si>
  <si>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</si>
  <si>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</si>
  <si>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</si>
  <si>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</si>
  <si>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</si>
  <si>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</si>
  <si>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</si>
  <si>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</si>
  <si>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</si>
  <si>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</si>
  <si>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</si>
  <si>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</si>
  <si>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</si>
  <si>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</si>
  <si>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</si>
  <si>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</si>
  <si>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</si>
  <si>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</si>
  <si>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</si>
  <si>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</si>
  <si>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</si>
  <si>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</si>
  <si>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</si>
  <si>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</si>
  <si>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</si>
  <si>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</si>
  <si>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</si>
  <si>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</si>
  <si>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</si>
  <si>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</si>
  <si>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</si>
  <si>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</si>
  <si>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</si>
  <si>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</si>
  <si>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</si>
  <si>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</si>
  <si>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</si>
  <si>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</si>
  <si>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</si>
  <si>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</si>
  <si>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</si>
  <si>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</si>
  <si>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</si>
  <si>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</si>
  <si>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</si>
  <si>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</si>
  <si>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</si>
  <si>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</si>
  <si>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</si>
  <si>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</si>
  <si>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</si>
  <si>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</si>
  <si>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</si>
  <si>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</si>
  <si>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</si>
  <si>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</si>
  <si>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</si>
  <si>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</si>
  <si>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</si>
  <si>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</si>
  <si>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</si>
  <si>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</si>
  <si>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</si>
  <si>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</si>
  <si>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</si>
  <si>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</si>
  <si>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</si>
  <si>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</si>
  <si>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</si>
  <si>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</si>
  <si>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</si>
  <si>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</si>
  <si>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</si>
  <si>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</si>
  <si>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</si>
  <si>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</si>
  <si>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</si>
  <si>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</si>
  <si>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</si>
  <si>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</si>
  <si>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</si>
  <si>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</si>
  <si>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</si>
  <si>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</si>
  <si>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</si>
  <si>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</si>
  <si>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</si>
  <si>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</si>
  <si>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</si>
  <si>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</si>
  <si>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</si>
  <si>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</si>
  <si>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</si>
  <si>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</si>
  <si>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</si>
  <si>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</si>
  <si>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</si>
  <si>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</si>
  <si>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</si>
  <si>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</si>
  <si>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</si>
  <si>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</si>
  <si>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</si>
  <si>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</si>
  <si>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</si>
  <si>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</si>
  <si>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</si>
  <si>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</si>
  <si>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</si>
  <si>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</si>
  <si>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</si>
  <si>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</si>
  <si>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</si>
  <si>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</si>
  <si>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</si>
  <si>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</si>
  <si>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</si>
  <si>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</si>
  <si>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</si>
  <si>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</si>
  <si>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</si>
  <si>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</si>
  <si>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</si>
  <si>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</si>
  <si>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</si>
  <si>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</si>
  <si>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</si>
  <si>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</si>
  <si>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</si>
  <si>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</si>
  <si>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</si>
  <si>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</si>
  <si>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</si>
  <si>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</si>
  <si>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</si>
  <si>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</si>
  <si>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</si>
  <si>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</si>
  <si>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</si>
  <si>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</si>
  <si>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</si>
  <si>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</si>
  <si>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</si>
  <si>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</si>
  <si>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</si>
  <si>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</si>
  <si>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</si>
  <si>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</si>
  <si>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</si>
  <si>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</si>
  <si>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</si>
  <si>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</si>
  <si>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</si>
  <si>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</si>
  <si>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</si>
  <si>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</si>
  <si>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</si>
  <si>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</si>
  <si>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</si>
  <si>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</si>
  <si>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</si>
  <si>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</si>
  <si>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</si>
  <si>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</si>
  <si>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</si>
  <si>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</si>
  <si>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</si>
  <si>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</si>
  <si>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</si>
  <si>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</si>
  <si>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</si>
  <si>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</si>
  <si>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</si>
  <si>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</si>
  <si>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</si>
  <si>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</si>
  <si>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</si>
  <si>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</si>
  <si>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</si>
  <si>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</si>
  <si>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</si>
  <si>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</si>
  <si>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</si>
  <si>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</si>
  <si>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</si>
  <si>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</si>
  <si>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</si>
  <si>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</si>
  <si>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</si>
  <si>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</si>
  <si>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</si>
  <si>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</si>
  <si>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</si>
  <si>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</si>
  <si>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</si>
  <si>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</si>
  <si>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</si>
  <si>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</si>
  <si>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</si>
  <si>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</si>
  <si>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</si>
  <si>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</si>
  <si>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</si>
  <si>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</si>
  <si>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</si>
  <si>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</si>
  <si>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</si>
  <si>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</si>
  <si>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</si>
  <si>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</si>
  <si>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</si>
  <si>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</si>
  <si>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</si>
  <si>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</si>
  <si>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</si>
  <si>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</si>
  <si>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</si>
  <si>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</si>
  <si>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</si>
  <si>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</si>
  <si>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</si>
  <si>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</si>
  <si>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</si>
  <si>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</si>
  <si>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</si>
  <si>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</si>
  <si>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</si>
  <si>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</si>
  <si>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</si>
  <si>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</si>
  <si>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</si>
  <si>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</si>
  <si>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</si>
  <si>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</si>
  <si>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</si>
  <si>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</si>
  <si>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</si>
  <si>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</si>
  <si>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</si>
  <si>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</si>
  <si>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</si>
  <si>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</si>
  <si>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</si>
  <si>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</si>
  <si>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</si>
  <si>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</si>
  <si>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</si>
  <si>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</si>
  <si>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</si>
  <si>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</si>
  <si>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</si>
  <si>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</si>
  <si>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</si>
  <si>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</si>
  <si>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</si>
  <si>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</si>
  <si>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</si>
  <si>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</si>
  <si>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</si>
  <si>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</si>
  <si>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</si>
  <si>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</si>
  <si>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</si>
  <si>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</si>
  <si>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</si>
  <si>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</si>
  <si>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</si>
  <si>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</si>
  <si>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</si>
  <si>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</si>
  <si>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</si>
  <si>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</si>
  <si>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</si>
  <si>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</si>
  <si>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</si>
  <si>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</si>
  <si>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</si>
  <si>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</si>
  <si>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</si>
  <si>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</si>
  <si>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</si>
  <si>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</si>
  <si>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</si>
  <si>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</si>
  <si>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</si>
  <si>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</si>
  <si>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</si>
  <si>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</si>
  <si>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</si>
  <si>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</si>
  <si>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</si>
  <si>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</si>
  <si>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</si>
  <si>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</si>
  <si>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</si>
  <si>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</si>
  <si>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</si>
  <si>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</si>
  <si>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</si>
  <si>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</si>
  <si>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</si>
  <si>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</si>
  <si>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</si>
  <si>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</si>
  <si>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</si>
  <si>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</si>
  <si>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</si>
  <si>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</si>
  <si>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</si>
  <si>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</si>
  <si>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</si>
  <si>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</si>
  <si>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</si>
  <si>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</si>
  <si>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</si>
  <si>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</si>
  <si>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</si>
  <si>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</si>
  <si>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</si>
  <si>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</si>
  <si>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</si>
  <si>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</si>
  <si>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</si>
  <si>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</si>
  <si>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</si>
  <si>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</si>
  <si>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</si>
  <si>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</si>
  <si>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</si>
  <si>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</si>
  <si>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</si>
  <si>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</si>
  <si>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</si>
  <si>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</si>
  <si>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</si>
  <si>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</si>
  <si>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</si>
  <si>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</si>
  <si>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</si>
  <si>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</si>
  <si>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</si>
  <si>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</si>
  <si>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</si>
  <si>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</si>
  <si>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</si>
  <si>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</si>
  <si>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</si>
  <si>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</si>
  <si>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</si>
  <si>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</si>
  <si>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</si>
  <si>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</si>
  <si>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</si>
  <si>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</si>
  <si>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</si>
  <si>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</si>
  <si>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</si>
  <si>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</si>
  <si>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</si>
  <si>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</si>
  <si>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</si>
  <si>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</si>
  <si>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</si>
  <si>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</si>
  <si>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</si>
  <si>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</si>
  <si>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</si>
  <si>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</si>
  <si>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</si>
  <si>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</si>
  <si>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</si>
  <si>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</si>
  <si>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</si>
  <si>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 #: 4692648-8</t>
  </si>
  <si>
    <t>Address:Gajjumata</t>
  </si>
  <si>
    <t xml:space="preserve"> _FR TRADERS (Risen)</t>
  </si>
  <si>
    <t>Invoice No # :9991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</si>
</sst>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Q4" sqref="Q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514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46240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 _FR TRADERS (Risen)</v>
      </c>
      <c r="T3" s="301">
        <f>+'1'!P35</f>
        <v>39718.659834247876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 _FR TRADERS (Risen)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 _FR TRADERS (Risen)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 _FR TRADERS (Risen)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198</v>
      </c>
      <c r="I7" s="235">
        <f>(G7*D7)*F7+H7*F7</f>
        <v>10387.574999999999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1454.2605000000001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363.56512500000002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8569.7493749999994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1963.2203389830499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52.66484856991525</v>
      </c>
      <c r="P7" s="310">
        <f>M7+N7+O7</f>
        <v>10585.634562552965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4">
        <v>5</v>
      </c>
      <c r="S7" s="300" t="str">
        <f>+'5'!A6:A6</f>
        <v xml:space="preserve"> _FR TRADERS (Risen)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 _FR TRADERS (Risen)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 _FR TRADERS (Risen)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 _FR TRADERS (Risen)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 _FR TRADERS (Risen)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158</v>
      </c>
      <c r="I12" s="236">
        <f t="shared" si="0"/>
        <v>11477.12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1606.7968000000003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401.69920000000008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9468.6239999999998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2169.1525423728813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58.188882711864409</v>
      </c>
      <c r="P12" s="311">
        <f t="shared" si="2"/>
        <v>11695.965425084745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</v>
      </c>
      <c r="R12" s="314">
        <v>10</v>
      </c>
      <c r="S12" s="300" t="str">
        <f>+'10'!A6:A6</f>
        <v xml:space="preserve"> _FR TRADERS (Risen)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 _FR TRADERS (Risen)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 _FR TRADERS (Risen)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 _FR TRADERS (Risen)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15.9</v>
      </c>
      <c r="H16" s="113">
        <f t="shared" ref="H16:M16" si="3">SUM(H7:H15)</f>
        <v>636</v>
      </c>
      <c r="I16" s="114">
        <f t="shared" si="3"/>
        <v>38975.494999999995</v>
      </c>
      <c r="J16" s="274">
        <f>SUM(J7:J15)</f>
        <v>5456.5693000000001</v>
      </c>
      <c r="K16" s="275">
        <f t="shared" si="3"/>
        <v>1364.142325</v>
      </c>
      <c r="L16" s="276">
        <f t="shared" si="3"/>
        <v>0</v>
      </c>
      <c r="M16" s="232">
        <f t="shared" si="3"/>
        <v>32154.783374999995</v>
      </c>
      <c r="N16" s="233">
        <f>SUM(N7:N15)</f>
        <v>7366.2711864406774</v>
      </c>
      <c r="O16" s="101">
        <f>SUM(O7:O15)</f>
        <v>197.60527280720336</v>
      </c>
      <c r="P16" s="113">
        <f>SUM(P7:P15)</f>
        <v>39718.659834247876</v>
      </c>
      <c r="Q16" s="128">
        <f>SUM(Q7:Q15)</f>
        <v>4</v>
      </c>
      <c r="R16" s="314">
        <v>14</v>
      </c>
      <c r="S16" s="300" t="str">
        <f>+'14'!A6:A6</f>
        <v xml:space="preserve"> _FR TRADERS (Risen)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 _FR TRADERS (Risen)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 _FR TRADERS (Risen)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38975.494999999995</v>
      </c>
      <c r="R19" s="299">
        <v>17</v>
      </c>
      <c r="S19" s="300" t="str">
        <f>+'17'!A6:A6</f>
        <v xml:space="preserve"> _FR TRADERS (Risen)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5456.5693000000001</v>
      </c>
      <c r="R20" s="299">
        <v>18</v>
      </c>
      <c r="S20" s="300" t="str">
        <f>+'18'!A6:A6</f>
        <v xml:space="preserve"> _FR TRADERS (Risen)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1364.142325</v>
      </c>
      <c r="R21" s="299">
        <v>19</v>
      </c>
      <c r="S21" s="300" t="str">
        <f>+'19'!A6:A6</f>
        <v xml:space="preserve"> _FR TRADERS (Risen)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32154.783374999992</v>
      </c>
      <c r="R22" s="299">
        <v>20</v>
      </c>
      <c r="S22" s="300" t="str">
        <f>+'20'!A6:A6</f>
        <v xml:space="preserve"> _FR TRADERS (Risen)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7366.2711864406774</v>
      </c>
      <c r="R23" s="299">
        <v>21</v>
      </c>
      <c r="S23" s="300" t="str">
        <f>+'21'!A6:A6</f>
        <v xml:space="preserve"> _FR TRADERS (Risen)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39521.054561440673</v>
      </c>
      <c r="R24" s="299">
        <v>22</v>
      </c>
      <c r="S24" s="300" t="str">
        <f>+'22'!A6:A6</f>
        <v xml:space="preserve"> _FR TRADERS (Risen)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197.60527280720336</v>
      </c>
      <c r="R25" s="299">
        <v>23</v>
      </c>
      <c r="S25" s="300" t="str">
        <f>+'23'!A6:A6</f>
        <v xml:space="preserve"> _FR TRADERS (Risen)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39718.659834247876</v>
      </c>
      <c r="R26" s="299">
        <v>24</v>
      </c>
      <c r="S26" s="300" t="str">
        <f>+'24'!A6:A6</f>
        <v xml:space="preserve"> _FR TRADERS (Risen)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 _FR TRADERS (Risen)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 _FR TRADERS (Risen)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 _FR TRADERS (Risen)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 _FR TRADERS (Risen)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 _FR TRADERS (Risen)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 _FR TRADERS (Risen)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39718.659834247876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1" workbookViewId="0">
      <selection activeCell="R29" sqref="R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515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198</v>
      </c>
      <c r="I16" s="235">
        <f>(G16*D16)*F16+H16*F16</f>
        <v>10387.574999999999</v>
      </c>
      <c r="J16" s="271">
        <f>$I16*S16</f>
        <v>1454.2605000000001</v>
      </c>
      <c r="K16" s="127">
        <f>$I16*T16</f>
        <v>363.56512500000002</v>
      </c>
      <c r="L16" s="118">
        <f>$I16*U16</f>
        <v>0</v>
      </c>
      <c r="M16" s="229">
        <f>I16-SUM(J16:L16)</f>
        <v>8569.7493749999994</v>
      </c>
      <c r="N16" s="248">
        <f>+(G16*D16+H16)*V16</f>
        <v>1963.2203389830499</v>
      </c>
      <c r="O16" s="238">
        <f>(N16+M16)*$O$15</f>
        <v>52.66484856991525</v>
      </c>
      <c r="P16" s="310">
        <f>M16+N16+O16</f>
        <v>10585.634562552965</v>
      </c>
      <c r="Q16" s="313">
        <v>2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311">
        <f t="shared" si="5"/>
        <v>8554.0481313559321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158</v>
      </c>
      <c r="I21" s="236">
        <f t="shared" si="7"/>
        <v>11477.12</v>
      </c>
      <c r="J21" s="272">
        <f t="shared" si="1"/>
        <v>1606.7968000000003</v>
      </c>
      <c r="K21" s="128">
        <f t="shared" si="1"/>
        <v>401.69920000000008</v>
      </c>
      <c r="L21" s="119">
        <f t="shared" si="1"/>
        <v>0</v>
      </c>
      <c r="M21" s="230">
        <f t="shared" si="2"/>
        <v>9468.6239999999998</v>
      </c>
      <c r="N21" s="277">
        <f t="shared" si="3"/>
        <v>2169.1525423728813</v>
      </c>
      <c r="O21" s="239">
        <f t="shared" si="4"/>
        <v>58.188882711864409</v>
      </c>
      <c r="P21" s="311">
        <f t="shared" si="5"/>
        <v>11695.965425084745</v>
      </c>
      <c r="Q21" s="156">
        <v>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636</v>
      </c>
      <c r="I25" s="114">
        <f t="shared" ref="I25:M25" si="10">SUM(I16:I24)</f>
        <v>38975.494999999995</v>
      </c>
      <c r="J25" s="274">
        <f>SUM(J16:J24)</f>
        <v>5456.5693000000001</v>
      </c>
      <c r="K25" s="275">
        <f t="shared" si="10"/>
        <v>1364.142325</v>
      </c>
      <c r="L25" s="276">
        <f t="shared" si="10"/>
        <v>0</v>
      </c>
      <c r="M25" s="232">
        <f t="shared" si="10"/>
        <v>32154.783374999995</v>
      </c>
      <c r="N25" s="233">
        <f>SUM(N16:N24)</f>
        <v>7366.2711864406774</v>
      </c>
      <c r="O25" s="101">
        <f>SUM(O16:O24)</f>
        <v>197.60527280720336</v>
      </c>
      <c r="P25" s="113">
        <f>SUM(P16:P24)</f>
        <v>39718.659834247876</v>
      </c>
      <c r="Q25" s="128">
        <f>SUM(Q16:Q24)</f>
        <v>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38975.494999999995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5456.5693000000001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1364.142325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32154.783374999992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7366.2711864406774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39521.054561440673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197.60527280720336</v>
      </c>
    </row>
    <row r="35" spans="2:16" ht="15.75" customHeight="1" thickBot="1" x14ac:dyDescent="0.4">
      <c r="N35" s="372" t="s">
        <v>88</v>
      </c>
      <c r="O35" s="373"/>
      <c r="P35" s="297">
        <f>+P33+P34</f>
        <v>39718.659834247876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46241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46240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2026-08-06T12:03:34Z</dcterms:modified>
</cp:coreProperties>
</file>