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1FF4C0F-FBD0-4CF9-B0AB-1BAD6BD68A78}" xr6:coauthVersionLast="47" xr6:coauthVersionMax="47" xr10:uidLastSave="{00000000-0000-0000-0000-000000000000}"/>
  <bookViews>
    <workbookView xWindow="-110" yWindow="-110" windowWidth="19420" windowHeight="10420" tabRatio="872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 s="1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2" i="43" l="1"/>
  <c r="J25" i="61"/>
  <c r="P29" i="61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<sst xmlns="http://schemas.openxmlformats.org/spreadsheetml/2006/main" count="3978" uniqueCount="524">
  <si>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</si>
  <si>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</si>
  <si>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</si>
  <si>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</si>
  <si>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</si>
  <si>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</si>
  <si>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</si>
  <si>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</si>
  <si>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</si>
  <si>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</si>
  <si>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</si>
  <si>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</si>
  <si>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</si>
  <si>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</si>
  <si>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</si>
  <si>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</si>
  <si>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</si>
  <si>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</si>
  <si>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</si>
  <si>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</si>
  <si>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</si>
  <si>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</si>
  <si>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</si>
  <si>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</si>
  <si>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</si>
  <si>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</si>
  <si>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</si>
  <si>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</si>
  <si>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</si>
  <si>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</si>
  <si>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</si>
  <si>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</si>
  <si>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</si>
  <si>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</si>
  <si>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</si>
  <si>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</si>
  <si>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</si>
  <si>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</si>
  <si>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</si>
  <si>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</si>
  <si>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</si>
  <si>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</si>
  <si>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</si>
  <si>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</si>
  <si>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</si>
  <si>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</si>
  <si>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</si>
  <si>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</si>
  <si>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</si>
  <si>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</si>
  <si>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</si>
  <si>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</si>
  <si>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</si>
  <si>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</si>
  <si>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</si>
  <si>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</si>
  <si>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</si>
  <si>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</si>
  <si>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</si>
  <si>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</si>
  <si>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</si>
  <si>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</si>
  <si>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</si>
  <si>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</si>
  <si>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</si>
  <si>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</si>
  <si>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</si>
  <si>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</si>
  <si>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</si>
  <si>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</si>
  <si>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</si>
  <si>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</si>
  <si>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</si>
  <si>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</si>
  <si>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</si>
  <si>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</si>
  <si>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</si>
  <si>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</si>
  <si>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</si>
  <si>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</si>
  <si>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</si>
  <si>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</si>
  <si>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</si>
  <si>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</si>
  <si>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</si>
  <si>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</si>
  <si>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</si>
  <si>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</si>
  <si>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</si>
  <si>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</si>
  <si>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</si>
  <si>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</si>
  <si>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</si>
  <si>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</si>
  <si>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</si>
  <si>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</si>
  <si>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</si>
  <si>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</si>
  <si>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</si>
  <si>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</si>
  <si>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</si>
  <si>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</si>
  <si>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</si>
  <si>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</si>
  <si>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</si>
  <si>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</si>
  <si>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</si>
  <si>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</si>
  <si>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</si>
  <si>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</si>
  <si>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</si>
  <si>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</si>
  <si>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</si>
  <si>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</si>
  <si>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</si>
  <si>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</si>
  <si>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</si>
  <si>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</si>
  <si>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</si>
  <si>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</si>
  <si>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</si>
  <si>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</si>
  <si>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</si>
  <si>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</si>
  <si>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</si>
  <si>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</si>
  <si>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</si>
  <si>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</si>
  <si>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</si>
  <si>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</si>
  <si>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</si>
  <si>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</si>
  <si>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</si>
  <si>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</si>
  <si>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</si>
  <si>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</si>
  <si>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</si>
  <si>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</si>
  <si>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</si>
  <si>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</si>
  <si>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</si>
  <si>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</si>
  <si>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</si>
  <si>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</si>
  <si>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</si>
  <si>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</si>
  <si>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</si>
  <si>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</si>
  <si>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</si>
  <si>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</si>
  <si>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</si>
  <si>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</si>
  <si>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</si>
  <si>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</si>
  <si>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</si>
  <si>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</si>
  <si>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</si>
  <si>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</si>
  <si>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</si>
  <si>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</si>
  <si>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</si>
  <si>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</si>
  <si>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</si>
  <si>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</si>
  <si>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</si>
  <si>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</si>
  <si>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</si>
  <si>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</si>
  <si>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</si>
  <si>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</si>
  <si>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</si>
  <si>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</si>
  <si>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</si>
  <si>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</si>
  <si>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</si>
  <si>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</si>
  <si>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</si>
  <si>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</si>
  <si>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</si>
  <si>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</si>
  <si>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</si>
  <si>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</si>
  <si>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</si>
  <si>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</si>
  <si>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</si>
  <si>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</si>
  <si>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</si>
  <si>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</si>
  <si>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</si>
  <si>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</si>
  <si>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</si>
  <si>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</si>
  <si>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</si>
  <si>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</si>
  <si>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</si>
  <si>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</si>
  <si>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</si>
  <si>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</si>
  <si>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</si>
  <si>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</si>
  <si>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</si>
  <si>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</si>
  <si>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</si>
  <si>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</si>
  <si>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</si>
  <si>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</si>
  <si>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</si>
  <si>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</si>
  <si>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</si>
  <si>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</si>
  <si>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</si>
  <si>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</si>
  <si>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</si>
  <si>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</si>
  <si>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</si>
  <si>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</si>
  <si>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</si>
  <si>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</si>
  <si>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</si>
  <si>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</si>
  <si>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</si>
  <si>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</si>
  <si>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</si>
  <si>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</si>
  <si>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</si>
  <si>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</si>
  <si>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</si>
  <si>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</si>
  <si>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</si>
  <si>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</si>
  <si>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</si>
  <si>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</si>
  <si>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</si>
  <si>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</si>
  <si>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</si>
  <si>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</si>
  <si>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</si>
  <si>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</si>
  <si>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</si>
  <si>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</si>
  <si>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</si>
  <si>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</si>
  <si>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</si>
  <si>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</si>
  <si>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</si>
  <si>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</si>
  <si>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</si>
  <si>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</si>
  <si>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</si>
  <si>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</si>
  <si>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</si>
  <si>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</si>
  <si>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</si>
  <si>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</si>
  <si>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</si>
  <si>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</si>
  <si>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</si>
  <si>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</si>
  <si>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</si>
  <si>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</si>
  <si>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</si>
  <si>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</si>
  <si>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</si>
  <si>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</si>
  <si>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</si>
  <si>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</si>
  <si>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</si>
  <si>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</si>
  <si>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</si>
  <si>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</si>
  <si>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</si>
  <si>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</si>
  <si>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</si>
  <si>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</si>
  <si>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</si>
  <si>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</si>
  <si>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</si>
  <si>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</si>
  <si>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</si>
  <si>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</si>
  <si>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</si>
  <si>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</si>
  <si>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</si>
  <si>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</si>
  <si>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</si>
  <si>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</si>
  <si>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</si>
  <si>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</si>
  <si>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</si>
  <si>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</si>
  <si>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</si>
  <si>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</si>
  <si>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</si>
  <si>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</si>
  <si>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</si>
  <si>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</si>
  <si>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</si>
  <si>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</si>
  <si>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</si>
  <si>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</si>
  <si>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</si>
  <si>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</si>
  <si>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</si>
  <si>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</si>
  <si>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</si>
  <si>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</si>
  <si>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</si>
  <si>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</si>
  <si>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</si>
  <si>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</si>
  <si>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</si>
  <si>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</si>
  <si>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</si>
  <si>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</si>
  <si>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</si>
  <si>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</si>
  <si>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</si>
  <si>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</si>
  <si>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</si>
  <si>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</si>
  <si>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</si>
  <si>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</si>
  <si>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</si>
  <si>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</si>
  <si>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</si>
  <si>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</si>
  <si>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</si>
  <si>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</si>
  <si>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</si>
  <si>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</si>
  <si>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</si>
  <si>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</si>
  <si>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</si>
  <si>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</si>
  <si>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</si>
  <si>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</si>
  <si>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</si>
  <si>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</si>
  <si>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</si>
  <si>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</si>
  <si>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</si>
  <si>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</si>
  <si>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</si>
  <si>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</si>
  <si>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</si>
  <si>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</si>
  <si>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</si>
  <si>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</si>
  <si>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</si>
  <si>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</si>
  <si>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</si>
  <si>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</si>
  <si>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</si>
  <si>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</si>
  <si>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</si>
  <si>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</si>
  <si>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</si>
  <si>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</si>
  <si>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</si>
  <si>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</si>
  <si>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</si>
  <si>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</si>
  <si>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</si>
  <si>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</si>
  <si>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</si>
  <si>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</si>
  <si>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</si>
  <si>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</si>
  <si>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</si>
  <si>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</si>
  <si>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</si>
  <si>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</si>
  <si>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</si>
  <si>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</si>
  <si>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</si>
  <si>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</si>
  <si>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</si>
  <si>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</si>
  <si>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</si>
  <si>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</si>
  <si>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</si>
  <si>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</si>
  <si>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</si>
  <si>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</si>
  <si>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</si>
  <si>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</si>
  <si>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</si>
  <si>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</si>
  <si>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</si>
  <si>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</si>
  <si>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</si>
  <si>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</si>
  <si>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</si>
  <si>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</si>
  <si>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</si>
  <si>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</si>
  <si>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</si>
  <si>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</si>
  <si>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</si>
  <si>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</si>
  <si>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</si>
  <si>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</si>
  <si>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</si>
  <si>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</si>
  <si>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</si>
  <si>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</si>
  <si>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</si>
  <si>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</si>
  <si>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</si>
  <si>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</si>
  <si>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</si>
  <si>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</si>
  <si>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</si>
  <si>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</si>
  <si>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</si>
  <si>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</si>
  <si>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</si>
  <si>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</si>
  <si>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</si>
  <si>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</si>
  <si>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</si>
  <si>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</si>
  <si>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</si>
  <si>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</si>
  <si>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</si>
  <si>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</si>
  <si>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</si>
  <si>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</si>
  <si>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</si>
  <si>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</si>
  <si>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</si>
  <si>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</si>
  <si>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</si>
  <si>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</si>
  <si>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</si>
  <si>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</si>
  <si>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</si>
  <si>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</si>
  <si>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</si>
  <si>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</si>
  <si>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</si>
  <si>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</si>
  <si>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</si>
  <si>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</si>
  <si>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</si>
  <si>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</si>
  <si>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</si>
  <si>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</si>
  <si>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</si>
  <si>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</si>
  <si>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</si>
  <si>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</si>
  <si>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</si>
  <si>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</si>
  <si>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</si>
  <si>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</si>
  <si>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</si>
  <si>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</si>
  <si>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</si>
  <si>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</si>
  <si>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</si>
  <si>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</si>
  <si>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</si>
  <si>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</si>
  <si>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</si>
  <si>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</si>
  <si>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</si>
  <si>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</si>
  <si>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</si>
  <si>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</si>
  <si>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</si>
  <si>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</si>
  <si>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</si>
  <si>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</si>
  <si>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</si>
  <si>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</si>
  <si>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</si>
  <si>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</si>
  <si>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</si>
  <si>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</si>
  <si>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</si>
  <si>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</si>
  <si>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</si>
  <si>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</si>
  <si>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</si>
  <si>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</si>
  <si>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</si>
  <si>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</si>
  <si>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</si>
  <si>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</si>
  <si>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</si>
  <si>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</si>
  <si>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</si>
  <si>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</si>
  <si>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</si>
  <si>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</si>
  <si>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</si>
  <si>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</si>
  <si>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</si>
  <si>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</si>
  <si>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</si>
  <si>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</si>
  <si>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</si>
  <si>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</si>
  <si>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</si>
  <si>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</si>
  <si>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</si>
  <si>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</si>
  <si>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</si>
  <si>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</si>
  <si>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</si>
  <si>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</si>
  <si>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</si>
  <si>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</si>
  <si>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</si>
  <si>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</si>
  <si>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 xml:space="preserve">Ahsan Store </t>
  </si>
  <si>
    <t>Address: Nabipura</t>
  </si>
  <si>
    <t xml:space="preserve">SK Mart </t>
  </si>
  <si>
    <t>International Bakery</t>
  </si>
  <si>
    <t xml:space="preserve">Costorial Pharmacy </t>
  </si>
  <si>
    <t>Muhammad Ali Store</t>
  </si>
  <si>
    <t>Address: Guru mangat</t>
  </si>
  <si>
    <t>Jabbar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</si>
</sst>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U4" sqref="U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 t="s">
        <v>523</v>
      </c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512</v>
      </c>
      <c r="F3" s="358"/>
      <c r="G3" s="358"/>
      <c r="H3" s="355">
        <f ca="1">TODAY()</f>
        <v>46239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 xml:space="preserve">Ahsan Store </v>
      </c>
      <c r="T3" s="301">
        <f>+'1'!P35</f>
        <v>2265.051582838983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SK Mart </v>
      </c>
      <c r="T4" s="301">
        <f>+'2'!P35</f>
        <v>3950.5950118906781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>International Bakery</v>
      </c>
      <c r="T5" s="301">
        <f>+'3'!P35</f>
        <v>1060.5661622122882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 xml:space="preserve">Costorial Pharmacy </v>
      </c>
      <c r="T6" s="301">
        <f>+'4'!P35</f>
        <v>250.37668702372881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</v>
      </c>
      <c r="I7" s="235">
        <f>(G7*D7)*F7+H7*F7</f>
        <v>629.54999999999995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50.363999999999997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22.03425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557.15174999999999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118.98305084745758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3.3806740042372878</v>
      </c>
      <c r="P7" s="310">
        <f>M7+N7+O7</f>
        <v>679.51547485169488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Muhammad Ali Store</v>
      </c>
      <c r="T7" s="301">
        <f>+'5'!P35</f>
        <v>720.8084247864407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58</v>
      </c>
      <c r="I8" s="236">
        <f t="shared" ref="I8:I14" si="0">(G8*D8)*F8+H8*F8</f>
        <v>3042.8249999999998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243.42599999999999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106.498875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2692.9001249999997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575.08474576271169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16.339924353813558</v>
      </c>
      <c r="P8" s="311">
        <f t="shared" ref="P8:P15" si="2">M8+N8+O8</f>
        <v>3284.3247951165249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12</v>
      </c>
      <c r="I9" s="236">
        <f t="shared" si="0"/>
        <v>629.54999999999995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50.363999999999997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22.03425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557.15174999999999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118.98305084745758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3.3806740042372878</v>
      </c>
      <c r="P9" s="311">
        <f t="shared" si="2"/>
        <v>679.51547485169488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18</v>
      </c>
      <c r="I10" s="236">
        <f t="shared" si="0"/>
        <v>1307.52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104.60160000000002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45.763200000000005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1157.1551999999999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247.11864406779662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7.0213692203389835</v>
      </c>
      <c r="P10" s="311">
        <f t="shared" si="2"/>
        <v>1411.2952132881355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6</v>
      </c>
      <c r="I11" s="236">
        <f t="shared" si="0"/>
        <v>435.84000000000003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34.867200000000004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15.254400000000002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385.71840000000003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82.372881355932208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2.3404564067796612</v>
      </c>
      <c r="P11" s="311">
        <f t="shared" si="2"/>
        <v>470.43173776271186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6</v>
      </c>
      <c r="I12" s="236">
        <f t="shared" si="0"/>
        <v>435.84000000000003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34.867200000000004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15.254400000000002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385.71840000000003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82.372881355932208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2.3404564067796612</v>
      </c>
      <c r="P12" s="311">
        <f t="shared" si="2"/>
        <v>470.43173776271186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30</v>
      </c>
      <c r="I13" s="236">
        <f t="shared" si="0"/>
        <v>1176.9000000000001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58.845000000000013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41.191500000000012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60.021900000000002</v>
      </c>
      <c r="M13" s="230">
        <f t="shared" si="1"/>
        <v>1016.8416000000001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228.81355932203377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6.2282757966101689</v>
      </c>
      <c r="P13" s="311">
        <f t="shared" si="2"/>
        <v>1251.883435118644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3.55</v>
      </c>
      <c r="H16" s="113">
        <f t="shared" ref="H16:M16" si="3">SUM(H7:H15)</f>
        <v>142</v>
      </c>
      <c r="I16" s="114">
        <f t="shared" si="3"/>
        <v>7658.0249999999996</v>
      </c>
      <c r="J16" s="274">
        <f>SUM(J7:J15)</f>
        <v>577.33500000000004</v>
      </c>
      <c r="K16" s="275">
        <f t="shared" si="3"/>
        <v>268.03087499999998</v>
      </c>
      <c r="L16" s="276">
        <f t="shared" si="3"/>
        <v>60.021900000000002</v>
      </c>
      <c r="M16" s="232">
        <f t="shared" si="3"/>
        <v>6752.6372249999986</v>
      </c>
      <c r="N16" s="233">
        <f>SUM(N7:N15)</f>
        <v>1453.7288135593215</v>
      </c>
      <c r="O16" s="101">
        <f>SUM(O7:O15)</f>
        <v>41.031830192796605</v>
      </c>
      <c r="P16" s="113">
        <f>SUM(P7:P15)</f>
        <v>8247.3978687521176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7658.0249999999996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577.33500000000004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328.052775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6752.6372249999995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1453.7288135593215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8206.3660385593212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41.031830192796605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8247.3978687521176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8247.3978687521176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514</v>
      </c>
    </row>
    <row r="51" spans="2:2" x14ac:dyDescent="0.35">
      <c r="B51" t="s">
        <v>515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7.25" customHeight="1" x14ac:dyDescent="0.4">
      <c r="A6" s="396" t="s">
        <v>516</v>
      </c>
      <c r="B6" s="396"/>
      <c r="C6" s="396"/>
      <c r="F6" s="85"/>
      <c r="G6" s="86"/>
      <c r="K6" s="368" t="s">
        <v>69</v>
      </c>
      <c r="L6" s="368"/>
      <c r="M6" s="368"/>
      <c r="N6" s="397" t="s">
        <v>513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311">
        <f t="shared" ref="P17:P24" si="5">M17+N17+O17</f>
        <v>2265.051582838983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2098.5</v>
      </c>
      <c r="J25" s="274">
        <f>SUM(J16:J24)</f>
        <v>167.88</v>
      </c>
      <c r="K25" s="275">
        <f t="shared" si="10"/>
        <v>73.447500000000005</v>
      </c>
      <c r="L25" s="276">
        <f t="shared" si="10"/>
        <v>0</v>
      </c>
      <c r="M25" s="232">
        <f t="shared" si="10"/>
        <v>1857.1725000000001</v>
      </c>
      <c r="N25" s="233">
        <f>SUM(N16:N24)</f>
        <v>396.61016949152526</v>
      </c>
      <c r="O25" s="101">
        <f>SUM(O16:O24)</f>
        <v>11.268913347457627</v>
      </c>
      <c r="P25" s="113">
        <f>SUM(P16:P24)</f>
        <v>2265.051582838983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2098.5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167.88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73.447500000000005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1857.1724999999999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2253.7826694915252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42" t="s">
        <v>88</v>
      </c>
      <c r="O35" s="343"/>
      <c r="P35" s="297">
        <f>+P33+P34</f>
        <v>2265.051582838983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8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518</v>
      </c>
      <c r="B6" s="396"/>
      <c r="C6" s="396"/>
      <c r="F6" s="85"/>
      <c r="G6" s="86"/>
      <c r="K6" s="368" t="s">
        <v>69</v>
      </c>
      <c r="L6" s="368"/>
      <c r="M6" s="368"/>
      <c r="N6" s="397" t="s">
        <v>513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310">
        <f>M16+N16+O16</f>
        <v>679.51547485169488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311">
        <f t="shared" ref="P17:P24" si="5">M17+N17+O17</f>
        <v>679.51547485169488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311">
        <f t="shared" si="5"/>
        <v>679.51547485169488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311">
        <f t="shared" si="5"/>
        <v>470.43173776271186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311">
        <f t="shared" si="5"/>
        <v>470.43173776271186</v>
      </c>
      <c r="Q20" s="156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311">
        <f t="shared" si="5"/>
        <v>470.43173776271186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66</v>
      </c>
      <c r="I25" s="114">
        <f t="shared" si="7"/>
        <v>3666.9300000000003</v>
      </c>
      <c r="J25" s="274">
        <f>SUM(J16:J24)</f>
        <v>279.23159999999996</v>
      </c>
      <c r="K25" s="275">
        <f t="shared" si="7"/>
        <v>128.34255000000002</v>
      </c>
      <c r="L25" s="276">
        <f t="shared" si="7"/>
        <v>24.008760000000002</v>
      </c>
      <c r="M25" s="232">
        <f t="shared" si="7"/>
        <v>3235.3470900000007</v>
      </c>
      <c r="N25" s="233">
        <f>SUM(N16:N24)</f>
        <v>695.59322033898297</v>
      </c>
      <c r="O25" s="101">
        <f>SUM(O16:O24)</f>
        <v>19.654701551694917</v>
      </c>
      <c r="P25" s="113">
        <f>SUM(P16:P24)</f>
        <v>3950.5950118906776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3666.9300000000003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279.23159999999996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152.35131000000001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3235.3470900000002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695.59322033898297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3930.9403103389832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19.654701551694917</v>
      </c>
    </row>
    <row r="35" spans="2:16" ht="15.75" customHeight="1" thickBot="1" x14ac:dyDescent="0.4">
      <c r="N35" s="342" t="s">
        <v>88</v>
      </c>
      <c r="O35" s="343"/>
      <c r="P35" s="297">
        <f>+P33+P34</f>
        <v>3950.5950118906781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8.75" customHeight="1" x14ac:dyDescent="0.4">
      <c r="A6" s="396" t="s">
        <v>519</v>
      </c>
      <c r="B6" s="396"/>
      <c r="C6" s="396"/>
      <c r="F6" s="85"/>
      <c r="G6" s="86"/>
      <c r="K6" s="368" t="s">
        <v>69</v>
      </c>
      <c r="L6" s="368"/>
      <c r="M6" s="368"/>
      <c r="N6" s="397" t="s">
        <v>513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311">
        <f t="shared" ref="P17:P24" si="5">M17+N17+O17</f>
        <v>339.75773742584744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311">
        <f t="shared" si="5"/>
        <v>470.43173776271186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311">
        <f t="shared" si="5"/>
        <v>250.37668702372881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18</v>
      </c>
      <c r="I25" s="114">
        <f t="shared" si="7"/>
        <v>985.995</v>
      </c>
      <c r="J25" s="274">
        <f>SUM(J16:J24)</f>
        <v>71.818200000000004</v>
      </c>
      <c r="K25" s="275">
        <f t="shared" si="7"/>
        <v>34.509825000000006</v>
      </c>
      <c r="L25" s="276">
        <f t="shared" si="7"/>
        <v>12.004380000000001</v>
      </c>
      <c r="M25" s="232">
        <f t="shared" si="7"/>
        <v>867.66259500000001</v>
      </c>
      <c r="N25" s="233">
        <f>SUM(N16:N24)</f>
        <v>187.62711864406776</v>
      </c>
      <c r="O25" s="101">
        <f>SUM(O16:O24)</f>
        <v>5.2764485682203386</v>
      </c>
      <c r="P25" s="113">
        <f>SUM(P16:P24)</f>
        <v>1060.5661622122882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985.995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71.818200000000004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46.514205000000004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867.66259500000001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187.62711864406776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1055.2897136440679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5.2764485682203395</v>
      </c>
    </row>
    <row r="35" spans="2:16" ht="15.75" customHeight="1" thickBot="1" x14ac:dyDescent="0.4">
      <c r="N35" s="342" t="s">
        <v>88</v>
      </c>
      <c r="O35" s="343"/>
      <c r="P35" s="297">
        <f>+P33+P34</f>
        <v>1060.5661622122882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7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520</v>
      </c>
      <c r="B6" s="396"/>
      <c r="C6" s="396"/>
      <c r="F6" s="85"/>
      <c r="G6" s="86"/>
      <c r="K6" s="368" t="s">
        <v>69</v>
      </c>
      <c r="L6" s="368"/>
      <c r="M6" s="368"/>
      <c r="N6" s="397" t="s">
        <v>513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311">
        <f t="shared" si="5"/>
        <v>250.37668702372881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6</v>
      </c>
      <c r="I25" s="114">
        <f t="shared" si="7"/>
        <v>235.38000000000002</v>
      </c>
      <c r="J25" s="274">
        <f>SUM(J16:J24)</f>
        <v>11.769000000000002</v>
      </c>
      <c r="K25" s="275">
        <f t="shared" si="7"/>
        <v>8.2383000000000024</v>
      </c>
      <c r="L25" s="276">
        <f t="shared" si="7"/>
        <v>12.004380000000001</v>
      </c>
      <c r="M25" s="232">
        <f t="shared" si="7"/>
        <v>203.36832000000001</v>
      </c>
      <c r="N25" s="233">
        <f>SUM(N16:N24)</f>
        <v>45.762711864406754</v>
      </c>
      <c r="O25" s="101">
        <f>SUM(O16:O24)</f>
        <v>1.2456551593220337</v>
      </c>
      <c r="P25" s="113">
        <f>SUM(P16:P24)</f>
        <v>250.37668702372881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235.38000000000002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11.769000000000002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20.242680000000004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203.36832000000001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45.762711864406754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249.13103186440676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1.2456551593220337</v>
      </c>
    </row>
    <row r="35" spans="2:16" ht="15.75" customHeight="1" thickBot="1" x14ac:dyDescent="0.4">
      <c r="N35" s="342" t="s">
        <v>88</v>
      </c>
      <c r="O35" s="343"/>
      <c r="P35" s="297">
        <f>+P33+P34</f>
        <v>250.37668702372881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521</v>
      </c>
      <c r="B6" s="396"/>
      <c r="C6" s="396"/>
      <c r="F6" s="85"/>
      <c r="G6" s="86"/>
      <c r="K6" s="368" t="s">
        <v>69</v>
      </c>
      <c r="L6" s="368"/>
      <c r="M6" s="368"/>
      <c r="N6" s="397" t="s">
        <v>513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522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311">
        <f t="shared" si="5"/>
        <v>470.43173776271186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311">
        <f t="shared" si="5"/>
        <v>250.37668702372881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12</v>
      </c>
      <c r="I25" s="114">
        <f t="shared" si="7"/>
        <v>671.22</v>
      </c>
      <c r="J25" s="274">
        <f>SUM(J16:J24)</f>
        <v>46.636200000000002</v>
      </c>
      <c r="K25" s="275">
        <f t="shared" si="7"/>
        <v>23.492700000000006</v>
      </c>
      <c r="L25" s="276">
        <f t="shared" si="7"/>
        <v>12.004380000000001</v>
      </c>
      <c r="M25" s="232">
        <f t="shared" si="7"/>
        <v>589.08672000000001</v>
      </c>
      <c r="N25" s="233">
        <f>SUM(N16:N24)</f>
        <v>128.13559322033896</v>
      </c>
      <c r="O25" s="101">
        <f>SUM(O16:O24)</f>
        <v>3.5861115661016951</v>
      </c>
      <c r="P25" s="113">
        <f>SUM(P16:P24)</f>
        <v>720.8084247864407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671.22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46.636200000000002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35.497080000000011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589.08672000000001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128.13559322033896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717.22231322033895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3.5861115661016947</v>
      </c>
    </row>
    <row r="35" spans="2:16" ht="15.75" customHeight="1" thickBot="1" x14ac:dyDescent="0.4">
      <c r="N35" s="342" t="s">
        <v>88</v>
      </c>
      <c r="O35" s="343"/>
      <c r="P35" s="297">
        <f>+P33+P34</f>
        <v>720.8084247864407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E3" sqref="E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500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7"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10"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8.75" customHeight="1" x14ac:dyDescent="0.4">
      <c r="A6" s="396" t="s">
        <v>502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46240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46239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2026-08-05T11:17:07Z</dcterms:modified>
</cp:coreProperties>
</file>