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98E49F7-33F9-4E11-818F-F4C79DA5488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<sst xmlns="http://schemas.openxmlformats.org/spreadsheetml/2006/main" count="3977" uniqueCount="516">
  <si>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</si>
  <si>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</si>
  <si>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</si>
  <si>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</si>
  <si>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</si>
  <si>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</si>
  <si>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</si>
  <si>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</si>
  <si>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</si>
  <si>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</si>
  <si>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</si>
  <si>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</si>
  <si>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</si>
  <si>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</si>
  <si>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</si>
  <si>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</si>
  <si>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</si>
  <si>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</si>
  <si>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</si>
  <si>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</si>
  <si>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</si>
  <si>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</si>
  <si>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</si>
  <si>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</si>
  <si>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</si>
  <si>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</si>
  <si>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</si>
  <si>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</si>
  <si>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</si>
  <si>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</si>
  <si>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</si>
  <si>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</si>
  <si>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</si>
  <si>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</si>
  <si>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</si>
  <si>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</si>
  <si>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</si>
  <si>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</si>
  <si>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</si>
  <si>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</si>
  <si>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</si>
  <si>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</si>
  <si>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</si>
  <si>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</si>
  <si>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</si>
  <si>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</si>
  <si>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</si>
  <si>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</si>
  <si>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</si>
  <si>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</si>
  <si>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</si>
  <si>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</si>
  <si>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</si>
  <si>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</si>
  <si>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</si>
  <si>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</si>
  <si>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</si>
  <si>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</si>
  <si>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</si>
  <si>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</si>
  <si>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</si>
  <si>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</si>
  <si>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</si>
  <si>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</si>
  <si>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</si>
  <si>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</si>
  <si>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</si>
  <si>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</si>
  <si>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</si>
  <si>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</si>
  <si>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</si>
  <si>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</si>
  <si>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</si>
  <si>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</si>
  <si>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</si>
  <si>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</si>
  <si>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</si>
  <si>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</si>
  <si>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</si>
  <si>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</si>
  <si>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</si>
  <si>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</si>
  <si>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</si>
  <si>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</si>
  <si>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</si>
  <si>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</si>
  <si>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</si>
  <si>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</si>
  <si>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</si>
  <si>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</si>
  <si>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</si>
  <si>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</si>
  <si>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</si>
  <si>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</si>
  <si>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</si>
  <si>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</si>
  <si>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</si>
  <si>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</si>
  <si>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</si>
  <si>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</si>
  <si>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</si>
  <si>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</si>
  <si>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</si>
  <si>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</si>
  <si>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</si>
  <si>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</si>
  <si>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</si>
  <si>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</si>
  <si>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</si>
  <si>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</si>
  <si>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</si>
  <si>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</si>
  <si>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</si>
  <si>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</si>
  <si>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</si>
  <si>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</si>
  <si>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</si>
  <si>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</si>
  <si>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</si>
  <si>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</si>
  <si>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</si>
  <si>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</si>
  <si>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</si>
  <si>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</si>
  <si>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</si>
  <si>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</si>
  <si>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</si>
  <si>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</si>
  <si>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</si>
  <si>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</si>
  <si>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</si>
  <si>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</si>
  <si>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</si>
  <si>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</si>
  <si>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</si>
  <si>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</si>
  <si>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</si>
  <si>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</si>
  <si>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</si>
  <si>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</si>
  <si>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</si>
  <si>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</si>
  <si>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</si>
  <si>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</si>
  <si>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</si>
  <si>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</si>
  <si>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</si>
  <si>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</si>
  <si>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</si>
  <si>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</si>
  <si>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</si>
  <si>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</si>
  <si>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</si>
  <si>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</si>
  <si>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</si>
  <si>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</si>
  <si>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</si>
  <si>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</si>
  <si>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</si>
  <si>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</si>
  <si>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</si>
  <si>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</si>
  <si>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</si>
  <si>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</si>
  <si>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</si>
  <si>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</si>
  <si>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</si>
  <si>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</si>
  <si>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</si>
  <si>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</si>
  <si>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</si>
  <si>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</si>
  <si>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</si>
  <si>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</si>
  <si>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</si>
  <si>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</si>
  <si>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</si>
  <si>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</si>
  <si>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</si>
  <si>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</si>
  <si>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</si>
  <si>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</si>
  <si>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</si>
  <si>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</si>
  <si>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</si>
  <si>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</si>
  <si>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</si>
  <si>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</si>
  <si>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</si>
  <si>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</si>
  <si>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</si>
  <si>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</si>
  <si>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</si>
  <si>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</si>
  <si>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</si>
  <si>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</si>
  <si>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</si>
  <si>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</si>
  <si>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</si>
  <si>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</si>
  <si>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</si>
  <si>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</si>
  <si>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</si>
  <si>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</si>
  <si>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</si>
  <si>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</si>
  <si>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</si>
  <si>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</si>
  <si>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</si>
  <si>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</si>
  <si>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</si>
  <si>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</si>
  <si>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</si>
  <si>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</si>
  <si>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</si>
  <si>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</si>
  <si>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</si>
  <si>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</si>
  <si>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</si>
  <si>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</si>
  <si>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</si>
  <si>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</si>
  <si>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</si>
  <si>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</si>
  <si>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</si>
  <si>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</si>
  <si>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</si>
  <si>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</si>
  <si>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</si>
  <si>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</si>
  <si>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</si>
  <si>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</si>
  <si>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</si>
  <si>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</si>
  <si>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</si>
  <si>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</si>
  <si>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</si>
  <si>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</si>
  <si>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</si>
  <si>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</si>
  <si>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</si>
  <si>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</si>
  <si>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</si>
  <si>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</si>
  <si>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</si>
  <si>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</si>
  <si>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</si>
  <si>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</si>
  <si>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</si>
  <si>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</si>
  <si>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</si>
  <si>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</si>
  <si>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</si>
  <si>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</si>
  <si>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</si>
  <si>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</si>
  <si>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</si>
  <si>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</si>
  <si>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</si>
  <si>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</si>
  <si>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</si>
  <si>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</si>
  <si>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</si>
  <si>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</si>
  <si>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</si>
  <si>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</si>
  <si>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</si>
  <si>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</si>
  <si>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</si>
  <si>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</si>
  <si>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</si>
  <si>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</si>
  <si>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</si>
  <si>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</si>
  <si>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</si>
  <si>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</si>
  <si>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</si>
  <si>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</si>
  <si>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</si>
  <si>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</si>
  <si>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</si>
  <si>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</si>
  <si>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</si>
  <si>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</si>
  <si>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</si>
  <si>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</si>
  <si>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</si>
  <si>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</si>
  <si>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</si>
  <si>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</si>
  <si>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</si>
  <si>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</si>
  <si>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</si>
  <si>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</si>
  <si>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</si>
  <si>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</si>
  <si>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</si>
  <si>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</si>
  <si>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</si>
  <si>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</si>
  <si>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</si>
  <si>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</si>
  <si>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</si>
  <si>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</si>
  <si>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</si>
  <si>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</si>
  <si>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</si>
  <si>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</si>
  <si>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</si>
  <si>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</si>
  <si>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</si>
  <si>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</si>
  <si>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</si>
  <si>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</si>
  <si>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</si>
  <si>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</si>
  <si>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</si>
  <si>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</si>
  <si>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</si>
  <si>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</si>
  <si>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</si>
  <si>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</si>
  <si>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</si>
  <si>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</si>
  <si>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</si>
  <si>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</si>
  <si>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</si>
  <si>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</si>
  <si>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</si>
  <si>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</si>
  <si>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</si>
  <si>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</si>
  <si>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</si>
  <si>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</si>
  <si>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</si>
  <si>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</si>
  <si>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</si>
  <si>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</si>
  <si>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</si>
  <si>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</si>
  <si>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</si>
  <si>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</si>
  <si>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</si>
  <si>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</si>
  <si>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</si>
  <si>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</si>
  <si>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</si>
  <si>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</si>
  <si>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</si>
  <si>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</si>
  <si>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</si>
  <si>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</si>
  <si>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</si>
  <si>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</si>
  <si>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</si>
  <si>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</si>
  <si>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</si>
  <si>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</si>
  <si>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</si>
  <si>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</si>
  <si>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</si>
  <si>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</si>
  <si>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</si>
  <si>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</si>
  <si>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</si>
  <si>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</si>
  <si>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</si>
  <si>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</si>
  <si>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</si>
  <si>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</si>
  <si>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</si>
  <si>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</si>
  <si>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</si>
  <si>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</si>
  <si>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</si>
  <si>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</si>
  <si>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</si>
  <si>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</si>
  <si>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</si>
  <si>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</si>
  <si>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</si>
  <si>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</si>
  <si>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</si>
  <si>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</si>
  <si>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</si>
  <si>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</si>
  <si>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</si>
  <si>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</si>
  <si>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</si>
  <si>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</si>
  <si>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</si>
  <si>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</si>
  <si>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</si>
  <si>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</si>
  <si>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</si>
  <si>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</si>
  <si>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</si>
  <si>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</si>
  <si>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</si>
  <si>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</si>
  <si>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</si>
  <si>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</si>
  <si>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</si>
  <si>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</si>
  <si>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</si>
  <si>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</si>
  <si>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</si>
  <si>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</si>
  <si>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</si>
  <si>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</si>
  <si>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</si>
  <si>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</si>
  <si>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</si>
  <si>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</si>
  <si>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</si>
  <si>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</si>
  <si>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</si>
  <si>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</si>
  <si>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</si>
  <si>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</si>
  <si>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</si>
  <si>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</si>
  <si>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</si>
  <si>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</si>
  <si>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</si>
  <si>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</si>
  <si>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</si>
  <si>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</si>
  <si>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</si>
  <si>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</si>
  <si>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</si>
  <si>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</si>
  <si>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</si>
  <si>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</si>
  <si>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</si>
  <si>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</si>
  <si>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</si>
  <si>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</si>
  <si>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</si>
  <si>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</si>
  <si>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</si>
  <si>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</si>
  <si>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</si>
  <si>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</si>
  <si>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</si>
  <si>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</si>
  <si>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</si>
  <si>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</si>
  <si>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</si>
  <si>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</si>
  <si>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</si>
  <si>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</si>
  <si>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</si>
  <si>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</si>
  <si>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</si>
  <si>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</si>
  <si>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</si>
  <si>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</si>
  <si>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</si>
  <si>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</si>
  <si>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</si>
  <si>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</si>
  <si>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</si>
  <si>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</si>
  <si>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</si>
  <si>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</si>
  <si>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</si>
  <si>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</si>
  <si>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</si>
  <si>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</si>
  <si>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</si>
  <si>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</si>
  <si>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</si>
  <si>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</si>
  <si>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</si>
  <si>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</si>
  <si>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</si>
  <si>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</si>
  <si>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</si>
  <si>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</si>
  <si>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</si>
  <si>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</si>
  <si>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</si>
  <si>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</si>
  <si>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</si>
  <si>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</si>
  <si>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</si>
  <si>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</si>
  <si>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</si>
  <si>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</si>
  <si>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</si>
  <si>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</si>
  <si>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</si>
  <si>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</si>
  <si>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</si>
  <si>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</si>
  <si>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</si>
  <si>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</si>
  <si>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</si>
  <si>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</si>
  <si>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</si>
  <si>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</si>
  <si>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</si>
  <si>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</si>
  <si>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</si>
  <si>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</si>
  <si>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</si>
  <si>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</si>
  <si>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</si>
  <si>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</si>
  <si>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</si>
  <si>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</si>
  <si>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</si>
  <si>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</si>
  <si>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</si>
  <si>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>Invoice No # :123158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</si>
</sst>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28114.059280677968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48</v>
      </c>
      <c r="I8" s="236">
        <f t="shared" ref="I8:I14" si="0">(G8*D8)*F8+H8*F8</f>
        <v>2518.1999999999998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302.18399999999997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88.137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2127.8789999999999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475.93220338983031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13.01905601694915</v>
      </c>
      <c r="P8" s="311">
        <f t="shared" ref="P8:P15" si="2">M8+N8+O8</f>
        <v>2616.8302594067791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3546.4650000000001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21.698426694915252</v>
      </c>
      <c r="P9" s="311">
        <f t="shared" si="2"/>
        <v>4361.3837656779651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10.199999999999999</v>
      </c>
      <c r="H16" s="113">
        <f t="shared" ref="H16:M16" si="3">SUM(H7:H15)</f>
        <v>408</v>
      </c>
      <c r="I16" s="114">
        <f t="shared" si="3"/>
        <v>27054.399999999998</v>
      </c>
      <c r="J16" s="274">
        <f>SUM(J7:J15)</f>
        <v>3246.5279999999993</v>
      </c>
      <c r="K16" s="275">
        <f t="shared" si="3"/>
        <v>946.904</v>
      </c>
      <c r="L16" s="276">
        <f t="shared" si="3"/>
        <v>0</v>
      </c>
      <c r="M16" s="232">
        <f t="shared" si="3"/>
        <v>22860.968000000001</v>
      </c>
      <c r="N16" s="233">
        <f>SUM(N7:N15)</f>
        <v>5113.2203389830502</v>
      </c>
      <c r="O16" s="101">
        <f>SUM(O7:O15)</f>
        <v>139.87094169491525</v>
      </c>
      <c r="P16" s="113">
        <f>SUM(P7:P15)</f>
        <v>28114.059280677968</v>
      </c>
      <c r="Q16" s="128">
        <f>SUM(Q7:Q15)</f>
        <v>32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27054.399999999998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3246.5279999999993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946.904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22860.968000000001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5113.2203389830502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27974.188338983051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139.87094169491525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28114.059280677968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28114.059280677968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515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30</v>
      </c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48</v>
      </c>
      <c r="I17" s="236">
        <f t="shared" ref="I17:I23" si="0">(G17*D17)*F17+H17*F17</f>
        <v>2518.1999999999998</v>
      </c>
      <c r="J17" s="272">
        <f t="shared" ref="J17:L24" si="1">$I17*S17</f>
        <v>302.18399999999997</v>
      </c>
      <c r="K17" s="128">
        <f>$I17*T17</f>
        <v>88.137</v>
      </c>
      <c r="L17" s="119">
        <f>$I17*U17</f>
        <v>0</v>
      </c>
      <c r="M17" s="230">
        <f t="shared" ref="M17:M24" si="2">I17-SUM(J17:L17)</f>
        <v>2127.8789999999999</v>
      </c>
      <c r="N17" s="277">
        <f t="shared" ref="N17:N24" si="3">+(G17*D17+H17)*V17</f>
        <v>475.93220338983031</v>
      </c>
      <c r="O17" s="239">
        <f t="shared" ref="O17:O24" si="4">(N17+M17)*$O$15</f>
        <v>13.01905601694915</v>
      </c>
      <c r="P17" s="311">
        <f t="shared" ref="P17:P24" si="5">M17+N17+O17</f>
        <v>2616.8302594067791</v>
      </c>
      <c r="Q17" s="156">
        <v>2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503.64</v>
      </c>
      <c r="K18" s="128">
        <f t="shared" si="1"/>
        <v>146.89500000000001</v>
      </c>
      <c r="L18" s="119">
        <f t="shared" si="1"/>
        <v>0</v>
      </c>
      <c r="M18" s="230">
        <f t="shared" si="2"/>
        <v>3546.4650000000001</v>
      </c>
      <c r="N18" s="277">
        <f t="shared" si="3"/>
        <v>793.22033898305051</v>
      </c>
      <c r="O18" s="239">
        <f t="shared" si="4"/>
        <v>21.698426694915252</v>
      </c>
      <c r="P18" s="311">
        <f t="shared" si="5"/>
        <v>4361.3837656779651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408</v>
      </c>
      <c r="I25" s="114">
        <f t="shared" ref="I25:M25" si="10">SUM(I16:I24)</f>
        <v>27054.399999999998</v>
      </c>
      <c r="J25" s="274">
        <f>SUM(J16:J24)</f>
        <v>3246.5279999999993</v>
      </c>
      <c r="K25" s="275">
        <f t="shared" si="10"/>
        <v>946.904</v>
      </c>
      <c r="L25" s="276">
        <f t="shared" si="10"/>
        <v>0</v>
      </c>
      <c r="M25" s="232">
        <f t="shared" si="10"/>
        <v>22860.968000000001</v>
      </c>
      <c r="N25" s="233">
        <f>SUM(N16:N24)</f>
        <v>5113.2203389830502</v>
      </c>
      <c r="O25" s="101">
        <f>SUM(O16:O24)</f>
        <v>139.87094169491525</v>
      </c>
      <c r="P25" s="113">
        <f>SUM(P16:P24)</f>
        <v>28114.059280677968</v>
      </c>
      <c r="Q25" s="128">
        <f>SUM(Q16:Q24)</f>
        <v>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27054.399999999998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3246.5279999999993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946.904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22860.968000000001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5113.2203389830502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27974.188338983051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139.87094169491525</v>
      </c>
    </row>
    <row r="35" spans="2:16" ht="15.75" customHeight="1" thickBot="1" x14ac:dyDescent="0.4">
      <c r="N35" s="342" t="s">
        <v>88</v>
      </c>
      <c r="O35" s="343"/>
      <c r="P35" s="297">
        <f>+P33+P34</f>
        <v>28114.059280677968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2026-08-19T04:51:36Z</dcterms:modified>
</cp:coreProperties>
</file>