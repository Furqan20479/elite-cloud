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BFC3978-62CB-4EC1-A11D-651C7FD69CB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2" i="62" l="1"/>
  <c r="P12" i="62" s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<sst xmlns="http://schemas.openxmlformats.org/spreadsheetml/2006/main" count="3977" uniqueCount="516">
  <si>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</si>
  <si>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</si>
  <si>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</si>
  <si>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</si>
  <si>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</si>
  <si>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</si>
  <si>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</si>
  <si>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</si>
  <si>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</si>
  <si>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</si>
  <si>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</si>
  <si>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</si>
  <si>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</si>
  <si>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</si>
  <si>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</si>
  <si>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</si>
  <si>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</si>
  <si>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</si>
  <si>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</si>
  <si>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</si>
  <si>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</si>
  <si>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</si>
  <si>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</si>
  <si>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</si>
  <si>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</si>
  <si>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</si>
  <si>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</si>
  <si>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</si>
  <si>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</si>
  <si>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</si>
  <si>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</si>
  <si>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</si>
  <si>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</si>
  <si>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</si>
  <si>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</si>
  <si>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</si>
  <si>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</si>
  <si>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</si>
  <si>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</si>
  <si>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</si>
  <si>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</si>
  <si>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</si>
  <si>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</si>
  <si>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</si>
  <si>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</si>
  <si>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</si>
  <si>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</si>
  <si>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</si>
  <si>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</si>
  <si>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</si>
  <si>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</si>
  <si>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</si>
  <si>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</si>
  <si>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</si>
  <si>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</si>
  <si>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</si>
  <si>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</si>
  <si>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</si>
  <si>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</si>
  <si>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</si>
  <si>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</si>
  <si>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</si>
  <si>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</si>
  <si>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</si>
  <si>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</si>
  <si>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</si>
  <si>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</si>
  <si>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</si>
  <si>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</si>
  <si>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</si>
  <si>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</si>
  <si>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</si>
  <si>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</si>
  <si>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</si>
  <si>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</si>
  <si>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</si>
  <si>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</si>
  <si>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</si>
  <si>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</si>
  <si>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</si>
  <si>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</si>
  <si>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</si>
  <si>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</si>
  <si>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</si>
  <si>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</si>
  <si>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</si>
  <si>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</si>
  <si>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</si>
  <si>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</si>
  <si>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</si>
  <si>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</si>
  <si>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</si>
  <si>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</si>
  <si>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</si>
  <si>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</si>
  <si>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</si>
  <si>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</si>
  <si>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</si>
  <si>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</si>
  <si>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</si>
  <si>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</si>
  <si>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</si>
  <si>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</si>
  <si>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</si>
  <si>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</si>
  <si>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</si>
  <si>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</si>
  <si>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</si>
  <si>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</si>
  <si>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</si>
  <si>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</si>
  <si>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</si>
  <si>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</si>
  <si>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</si>
  <si>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</si>
  <si>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</si>
  <si>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</si>
  <si>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</si>
  <si>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</si>
  <si>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</si>
  <si>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</si>
  <si>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</si>
  <si>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</si>
  <si>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</si>
  <si>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</si>
  <si>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</si>
  <si>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</si>
  <si>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</si>
  <si>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</si>
  <si>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</si>
  <si>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</si>
  <si>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</si>
  <si>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</si>
  <si>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</si>
  <si>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</si>
  <si>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</si>
  <si>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</si>
  <si>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</si>
  <si>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</si>
  <si>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</si>
  <si>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</si>
  <si>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</si>
  <si>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</si>
  <si>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</si>
  <si>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</si>
  <si>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</si>
  <si>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</si>
  <si>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</si>
  <si>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</si>
  <si>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</si>
  <si>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</si>
  <si>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</si>
  <si>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</si>
  <si>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</si>
  <si>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</si>
  <si>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</si>
  <si>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</si>
  <si>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</si>
  <si>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</si>
  <si>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</si>
  <si>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</si>
  <si>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</si>
  <si>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</si>
  <si>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</si>
  <si>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</si>
  <si>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</si>
  <si>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</si>
  <si>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</si>
  <si>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</si>
  <si>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</si>
  <si>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</si>
  <si>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</si>
  <si>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</si>
  <si>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</si>
  <si>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</si>
  <si>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</si>
  <si>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</si>
  <si>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</si>
  <si>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</si>
  <si>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</si>
  <si>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</si>
  <si>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</si>
  <si>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</si>
  <si>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</si>
  <si>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</si>
  <si>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</si>
  <si>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</si>
  <si>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</si>
  <si>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</si>
  <si>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</si>
  <si>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</si>
  <si>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</si>
  <si>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</si>
  <si>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</si>
  <si>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</si>
  <si>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</si>
  <si>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</si>
  <si>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</si>
  <si>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</si>
  <si>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</si>
  <si>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</si>
  <si>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</si>
  <si>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</si>
  <si>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</si>
  <si>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</si>
  <si>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</si>
  <si>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</si>
  <si>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</si>
  <si>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</si>
  <si>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</si>
  <si>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</si>
  <si>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</si>
  <si>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</si>
  <si>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</si>
  <si>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</si>
  <si>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</si>
  <si>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</si>
  <si>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</si>
  <si>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</si>
  <si>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</si>
  <si>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</si>
  <si>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</si>
  <si>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</si>
  <si>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</si>
  <si>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</si>
  <si>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</si>
  <si>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</si>
  <si>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</si>
  <si>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</si>
  <si>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</si>
  <si>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</si>
  <si>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</si>
  <si>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</si>
  <si>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</si>
  <si>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</si>
  <si>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</si>
  <si>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</si>
  <si>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</si>
  <si>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</si>
  <si>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</si>
  <si>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</si>
  <si>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</si>
  <si>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</si>
  <si>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</si>
  <si>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</si>
  <si>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</si>
  <si>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</si>
  <si>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</si>
  <si>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</si>
  <si>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</si>
  <si>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</si>
  <si>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</si>
  <si>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</si>
  <si>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</si>
  <si>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</si>
  <si>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</si>
  <si>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</si>
  <si>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</si>
  <si>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</si>
  <si>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</si>
  <si>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</si>
  <si>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</si>
  <si>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</si>
  <si>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</si>
  <si>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</si>
  <si>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</si>
  <si>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</si>
  <si>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</si>
  <si>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</si>
  <si>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</si>
  <si>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</si>
  <si>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</si>
  <si>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</si>
  <si>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</si>
  <si>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</si>
  <si>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</si>
  <si>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</si>
  <si>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</si>
  <si>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</si>
  <si>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</si>
  <si>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</si>
  <si>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</si>
  <si>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</si>
  <si>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</si>
  <si>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</si>
  <si>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</si>
  <si>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</si>
  <si>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</si>
  <si>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</si>
  <si>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</si>
  <si>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</si>
  <si>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</si>
  <si>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</si>
  <si>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</si>
  <si>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</si>
  <si>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</si>
  <si>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</si>
  <si>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</si>
  <si>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</si>
  <si>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</si>
  <si>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</si>
  <si>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</si>
  <si>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</si>
  <si>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</si>
  <si>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</si>
  <si>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</si>
  <si>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</si>
  <si>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</si>
  <si>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</si>
  <si>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</si>
  <si>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</si>
  <si>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</si>
  <si>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</si>
  <si>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</si>
  <si>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</si>
  <si>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</si>
  <si>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</si>
  <si>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</si>
  <si>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</si>
  <si>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</si>
  <si>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</si>
  <si>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</si>
  <si>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</si>
  <si>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</si>
  <si>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</si>
  <si>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</si>
  <si>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</si>
  <si>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</si>
  <si>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</si>
  <si>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</si>
  <si>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</si>
  <si>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</si>
  <si>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</si>
  <si>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</si>
  <si>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</si>
  <si>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</si>
  <si>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</si>
  <si>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</si>
  <si>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</si>
  <si>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</si>
  <si>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</si>
  <si>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</si>
  <si>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</si>
  <si>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</si>
  <si>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</si>
  <si>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</si>
  <si>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</si>
  <si>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</si>
  <si>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</si>
  <si>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</si>
  <si>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</si>
  <si>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</si>
  <si>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</si>
  <si>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</si>
  <si>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</si>
  <si>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</si>
  <si>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</si>
  <si>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</si>
  <si>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</si>
  <si>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</si>
  <si>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</si>
  <si>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</si>
  <si>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</si>
  <si>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</si>
  <si>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</si>
  <si>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</si>
  <si>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</si>
  <si>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</si>
  <si>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</si>
  <si>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</si>
  <si>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</si>
  <si>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</si>
  <si>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</si>
  <si>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</si>
  <si>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</si>
  <si>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</si>
  <si>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</si>
  <si>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</si>
  <si>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</si>
  <si>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</si>
  <si>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</si>
  <si>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</si>
  <si>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</si>
  <si>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</si>
  <si>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</si>
  <si>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</si>
  <si>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</si>
  <si>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</si>
  <si>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</si>
  <si>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</si>
  <si>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</si>
  <si>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</si>
  <si>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</si>
  <si>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</si>
  <si>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</si>
  <si>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</si>
  <si>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</si>
  <si>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</si>
  <si>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</si>
  <si>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</si>
  <si>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</si>
  <si>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</si>
  <si>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</si>
  <si>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</si>
  <si>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</si>
  <si>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</si>
  <si>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</si>
  <si>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</si>
  <si>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</si>
  <si>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</si>
  <si>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</si>
  <si>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</si>
  <si>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</si>
  <si>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</si>
  <si>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</si>
  <si>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</si>
  <si>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</si>
  <si>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</si>
  <si>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</si>
  <si>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</si>
  <si>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</si>
  <si>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</si>
  <si>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</si>
  <si>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</si>
  <si>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</si>
  <si>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</si>
  <si>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</si>
  <si>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</si>
  <si>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</si>
  <si>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</si>
  <si>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</si>
  <si>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</si>
  <si>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</si>
  <si>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</si>
  <si>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</si>
  <si>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</si>
  <si>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</si>
  <si>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</si>
  <si>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</si>
  <si>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</si>
  <si>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</si>
  <si>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</si>
  <si>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</si>
  <si>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</si>
  <si>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</si>
  <si>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</si>
  <si>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</si>
  <si>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</si>
  <si>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</si>
  <si>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</si>
  <si>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</si>
  <si>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</si>
  <si>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</si>
  <si>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</si>
  <si>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</si>
  <si>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</si>
  <si>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</si>
  <si>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</si>
  <si>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</si>
  <si>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</si>
  <si>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</si>
  <si>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</si>
  <si>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</si>
  <si>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</si>
  <si>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</si>
  <si>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</si>
  <si>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</si>
  <si>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</si>
  <si>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</si>
  <si>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</si>
  <si>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</si>
  <si>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</si>
  <si>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</si>
  <si>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</si>
  <si>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</si>
  <si>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</si>
  <si>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</si>
  <si>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</si>
  <si>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</si>
  <si>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</si>
  <si>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</si>
  <si>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</si>
  <si>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</si>
  <si>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</si>
  <si>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</si>
  <si>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</si>
  <si>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</si>
  <si>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</si>
  <si>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</si>
  <si>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</si>
  <si>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</si>
  <si>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</si>
  <si>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</si>
  <si>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</si>
  <si>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</si>
  <si>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</si>
  <si>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</si>
  <si>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</si>
  <si>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</si>
  <si>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</si>
  <si>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</si>
  <si>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</si>
  <si>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</si>
  <si>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</si>
  <si>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</si>
  <si>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</si>
  <si>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</si>
  <si>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</si>
  <si>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</si>
  <si>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</si>
  <si>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</si>
  <si>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</si>
  <si>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Crown Super Market</t>
  </si>
  <si>
    <t>NTN #: G727712-0</t>
  </si>
  <si>
    <t>Address: Singh Pura</t>
  </si>
  <si>
    <t>Invoice No # : 844351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</si>
</sst>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46253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Crown Super Market</v>
      </c>
      <c r="T3" s="301">
        <f>+'1'!P35</f>
        <v>13344.117999305085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Crown Super 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Crown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Crown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Crown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Crown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3546.4650000000001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21.698426694915252</v>
      </c>
      <c r="P9" s="311">
        <f t="shared" si="2"/>
        <v>4361.3837656779651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Crown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Crown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39</v>
      </c>
      <c r="I11" s="236">
        <f t="shared" si="0"/>
        <v>2832.96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339.95519999999999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99.153600000000012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2393.8512000000001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535.42372881355936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14.646374644067796</v>
      </c>
      <c r="P11" s="311">
        <f t="shared" si="2"/>
        <v>2943.9213034576269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Crown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Crown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Crown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Crown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Crown Super Market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4.9749999999999996</v>
      </c>
      <c r="H16" s="113">
        <f t="shared" ref="H16:M16" si="3">SUM(H7:H15)</f>
        <v>199</v>
      </c>
      <c r="I16" s="114">
        <f t="shared" si="3"/>
        <v>12841.16</v>
      </c>
      <c r="J16" s="274">
        <f>SUM(J7:J15)</f>
        <v>1540.9391999999998</v>
      </c>
      <c r="K16" s="275">
        <f t="shared" si="3"/>
        <v>449.44060000000002</v>
      </c>
      <c r="L16" s="276">
        <f t="shared" si="3"/>
        <v>0</v>
      </c>
      <c r="M16" s="232">
        <f t="shared" si="3"/>
        <v>10850.780200000001</v>
      </c>
      <c r="N16" s="233">
        <f>SUM(N7:N15)</f>
        <v>2426.9491525423728</v>
      </c>
      <c r="O16" s="101">
        <f>SUM(O7:O15)</f>
        <v>66.388646762711858</v>
      </c>
      <c r="P16" s="113">
        <f>SUM(P7:P15)</f>
        <v>13344.117999305083</v>
      </c>
      <c r="Q16" s="128">
        <f>SUM(Q7:Q15)</f>
        <v>1</v>
      </c>
      <c r="R16" s="314">
        <v>14</v>
      </c>
      <c r="S16" s="300" t="str">
        <f>+'14'!A6:A6</f>
        <v>Crown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Crown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Crown Super Market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12841.16</v>
      </c>
      <c r="R19" s="299">
        <v>17</v>
      </c>
      <c r="S19" s="300" t="str">
        <f>+'17'!A6:A6</f>
        <v>Crown Super Market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1540.9391999999998</v>
      </c>
      <c r="R20" s="299">
        <v>18</v>
      </c>
      <c r="S20" s="300" t="str">
        <f>+'18'!A6:A6</f>
        <v>Crown Super Market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449.44060000000002</v>
      </c>
      <c r="R21" s="299">
        <v>19</v>
      </c>
      <c r="S21" s="300" t="str">
        <f>+'19'!A6:A6</f>
        <v>Crown Super Market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10850.780199999999</v>
      </c>
      <c r="R22" s="299">
        <v>20</v>
      </c>
      <c r="S22" s="300" t="str">
        <f>+'20'!A6:A6</f>
        <v>Crown Super Market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2426.9491525423728</v>
      </c>
      <c r="R23" s="299">
        <v>21</v>
      </c>
      <c r="S23" s="300" t="str">
        <f>+'21'!A6:A6</f>
        <v>Crown Super Market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13277.729352542372</v>
      </c>
      <c r="R24" s="299">
        <v>22</v>
      </c>
      <c r="S24" s="300" t="str">
        <f>+'22'!A6:A6</f>
        <v>Crown Super Market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66.388646762711858</v>
      </c>
      <c r="R25" s="299">
        <v>23</v>
      </c>
      <c r="S25" s="300" t="str">
        <f>+'23'!A6:A6</f>
        <v>Crown Super Market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13344.117999305085</v>
      </c>
      <c r="R26" s="299">
        <v>24</v>
      </c>
      <c r="S26" s="300" t="str">
        <f>+'24'!A6:A6</f>
        <v>Crown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Crown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Crown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Crown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Crown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Crown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Crown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13344.117999305085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515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503.64</v>
      </c>
      <c r="K18" s="128">
        <f t="shared" si="1"/>
        <v>146.89500000000001</v>
      </c>
      <c r="L18" s="119">
        <f t="shared" si="1"/>
        <v>0</v>
      </c>
      <c r="M18" s="230">
        <f t="shared" si="2"/>
        <v>3546.4650000000001</v>
      </c>
      <c r="N18" s="277">
        <f t="shared" si="3"/>
        <v>793.22033898305051</v>
      </c>
      <c r="O18" s="239">
        <f t="shared" si="4"/>
        <v>21.698426694915252</v>
      </c>
      <c r="P18" s="311">
        <f t="shared" si="5"/>
        <v>4361.3837656779651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39</v>
      </c>
      <c r="I20" s="236">
        <f t="shared" si="7"/>
        <v>2832.96</v>
      </c>
      <c r="J20" s="272">
        <f t="shared" si="1"/>
        <v>339.95519999999999</v>
      </c>
      <c r="K20" s="128">
        <f t="shared" si="1"/>
        <v>99.153600000000012</v>
      </c>
      <c r="L20" s="119">
        <f t="shared" si="1"/>
        <v>0</v>
      </c>
      <c r="M20" s="230">
        <f t="shared" si="2"/>
        <v>2393.8512000000001</v>
      </c>
      <c r="N20" s="277">
        <f t="shared" si="3"/>
        <v>535.42372881355936</v>
      </c>
      <c r="O20" s="239">
        <f t="shared" si="4"/>
        <v>14.646374644067796</v>
      </c>
      <c r="P20" s="311">
        <f t="shared" si="5"/>
        <v>2943.9213034576269</v>
      </c>
      <c r="Q20" s="156">
        <v>1</v>
      </c>
      <c r="R20">
        <f>P20/21</f>
        <v>140.18672873607747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199</v>
      </c>
      <c r="I25" s="114">
        <f t="shared" ref="I25:M25" si="10">SUM(I16:I24)</f>
        <v>12841.16</v>
      </c>
      <c r="J25" s="274">
        <f>SUM(J16:J24)</f>
        <v>1540.9391999999998</v>
      </c>
      <c r="K25" s="275">
        <f t="shared" si="10"/>
        <v>449.44060000000002</v>
      </c>
      <c r="L25" s="276">
        <f t="shared" si="10"/>
        <v>0</v>
      </c>
      <c r="M25" s="232">
        <f t="shared" si="10"/>
        <v>10850.780200000001</v>
      </c>
      <c r="N25" s="233">
        <f>SUM(N16:N24)</f>
        <v>2426.9491525423728</v>
      </c>
      <c r="O25" s="101">
        <f>SUM(O16:O24)</f>
        <v>66.388646762711858</v>
      </c>
      <c r="P25" s="113">
        <f>SUM(P16:P24)</f>
        <v>13344.117999305083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12841.16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1540.9391999999998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449.44060000000002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10850.780199999999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2426.9491525423728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13277.729352542372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66.388646762711858</v>
      </c>
    </row>
    <row r="35" spans="2:16" ht="15.75" customHeight="1" thickBot="1" x14ac:dyDescent="0.4">
      <c r="N35" s="342" t="s">
        <v>88</v>
      </c>
      <c r="O35" s="343"/>
      <c r="P35" s="297">
        <f>+P33+P34</f>
        <v>13344.117999305085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2026-08-19T04:50:30Z</dcterms:modified>
</cp:coreProperties>
</file>