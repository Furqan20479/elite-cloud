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72AB90D-66A8-4A67-A7A3-6CB432D94F32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1" l="1"/>
  <c r="K12" i="62"/>
  <c r="M20" i="46"/>
  <c r="O20" i="46" s="1"/>
  <c r="P20" i="46" s="1"/>
  <c r="R20" i="46" s="1"/>
  <c r="M16" i="44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<sst xmlns="http://schemas.openxmlformats.org/spreadsheetml/2006/main" count="3978" uniqueCount="528">
  <si>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</si>
  <si>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</si>
  <si>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</si>
  <si>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</si>
  <si>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</si>
  <si>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</si>
  <si>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</si>
  <si>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</si>
  <si>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</si>
  <si>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</si>
  <si>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</si>
  <si>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</si>
  <si>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</si>
  <si>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</si>
  <si>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</si>
  <si>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</si>
  <si>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</si>
  <si>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</si>
  <si>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</si>
  <si>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</si>
  <si>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</si>
  <si>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</si>
  <si>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</si>
  <si>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</si>
  <si>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</si>
  <si>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</si>
  <si>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</si>
  <si>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</si>
  <si>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</si>
  <si>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</si>
  <si>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</si>
  <si>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</si>
  <si>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</si>
  <si>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</si>
  <si>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</si>
  <si>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</si>
  <si>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</si>
  <si>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</si>
  <si>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</si>
  <si>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</si>
  <si>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</si>
  <si>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</si>
  <si>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</si>
  <si>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</si>
  <si>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</si>
  <si>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</si>
  <si>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</si>
  <si>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</si>
  <si>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</si>
  <si>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</si>
  <si>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</si>
  <si>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</si>
  <si>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</si>
  <si>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</si>
  <si>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</si>
  <si>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</si>
  <si>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</si>
  <si>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</si>
  <si>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</si>
  <si>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</si>
  <si>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</si>
  <si>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</si>
  <si>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</si>
  <si>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</si>
  <si>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</si>
  <si>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</si>
  <si>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</si>
  <si>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</si>
  <si>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</si>
  <si>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</si>
  <si>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</si>
  <si>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</si>
  <si>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</si>
  <si>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</si>
  <si>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</si>
  <si>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</si>
  <si>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</si>
  <si>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</si>
  <si>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</si>
  <si>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</si>
  <si>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</si>
  <si>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</si>
  <si>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</si>
  <si>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</si>
  <si>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</si>
  <si>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</si>
  <si>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</si>
  <si>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</si>
  <si>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</si>
  <si>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</si>
  <si>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</si>
  <si>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</si>
  <si>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</si>
  <si>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</si>
  <si>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</si>
  <si>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</si>
  <si>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</si>
  <si>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</si>
  <si>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</si>
  <si>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</si>
  <si>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</si>
  <si>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</si>
  <si>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</si>
  <si>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</si>
  <si>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</si>
  <si>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</si>
  <si>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</si>
  <si>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</si>
  <si>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</si>
  <si>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</si>
  <si>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</si>
  <si>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</si>
  <si>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</si>
  <si>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</si>
  <si>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</si>
  <si>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</si>
  <si>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</si>
  <si>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</si>
  <si>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</si>
  <si>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</si>
  <si>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</si>
  <si>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</si>
  <si>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</si>
  <si>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</si>
  <si>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</si>
  <si>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</si>
  <si>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</si>
  <si>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</si>
  <si>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</si>
  <si>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</si>
  <si>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</si>
  <si>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</si>
  <si>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</si>
  <si>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</si>
  <si>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</si>
  <si>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</si>
  <si>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</si>
  <si>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</si>
  <si>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</si>
  <si>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</si>
  <si>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</si>
  <si>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</si>
  <si>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</si>
  <si>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</si>
  <si>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</si>
  <si>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</si>
  <si>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</si>
  <si>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</si>
  <si>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</si>
  <si>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</si>
  <si>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</si>
  <si>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</si>
  <si>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</si>
  <si>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</si>
  <si>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</si>
  <si>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</si>
  <si>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</si>
  <si>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</si>
  <si>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</si>
  <si>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</si>
  <si>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</si>
  <si>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</si>
  <si>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</si>
  <si>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</si>
  <si>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</si>
  <si>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</si>
  <si>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</si>
  <si>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</si>
  <si>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</si>
  <si>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</si>
  <si>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</si>
  <si>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</si>
  <si>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</si>
  <si>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</si>
  <si>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</si>
  <si>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</si>
  <si>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</si>
  <si>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</si>
  <si>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</si>
  <si>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</si>
  <si>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</si>
  <si>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</si>
  <si>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</si>
  <si>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</si>
  <si>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</si>
  <si>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</si>
  <si>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</si>
  <si>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</si>
  <si>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</si>
  <si>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</si>
  <si>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</si>
  <si>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</si>
  <si>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</si>
  <si>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</si>
  <si>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</si>
  <si>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</si>
  <si>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</si>
  <si>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</si>
  <si>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</si>
  <si>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</si>
  <si>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</si>
  <si>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</si>
  <si>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</si>
  <si>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</si>
  <si>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</si>
  <si>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</si>
  <si>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</si>
  <si>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</si>
  <si>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</si>
  <si>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</si>
  <si>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</si>
  <si>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</si>
  <si>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</si>
  <si>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</si>
  <si>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</si>
  <si>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</si>
  <si>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</si>
  <si>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</si>
  <si>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</si>
  <si>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</si>
  <si>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</si>
  <si>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</si>
  <si>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</si>
  <si>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</si>
  <si>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</si>
  <si>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</si>
  <si>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</si>
  <si>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</si>
  <si>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</si>
  <si>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</si>
  <si>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</si>
  <si>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</si>
  <si>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</si>
  <si>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</si>
  <si>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</si>
  <si>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</si>
  <si>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</si>
  <si>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</si>
  <si>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</si>
  <si>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</si>
  <si>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</si>
  <si>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</si>
  <si>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</si>
  <si>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</si>
  <si>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</si>
  <si>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</si>
  <si>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</si>
  <si>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</si>
  <si>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</si>
  <si>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</si>
  <si>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</si>
  <si>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</si>
  <si>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</si>
  <si>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</si>
  <si>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</si>
  <si>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</si>
  <si>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</si>
  <si>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</si>
  <si>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</si>
  <si>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</si>
  <si>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</si>
  <si>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</si>
  <si>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</si>
  <si>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</si>
  <si>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</si>
  <si>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</si>
  <si>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</si>
  <si>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</si>
  <si>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</si>
  <si>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</si>
  <si>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</si>
  <si>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</si>
  <si>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</si>
  <si>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</si>
  <si>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</si>
  <si>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</si>
  <si>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</si>
  <si>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</si>
  <si>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</si>
  <si>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</si>
  <si>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</si>
  <si>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</si>
  <si>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</si>
  <si>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</si>
  <si>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</si>
  <si>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</si>
  <si>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</si>
  <si>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</si>
  <si>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</si>
  <si>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</si>
  <si>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</si>
  <si>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</si>
  <si>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</si>
  <si>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</si>
  <si>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</si>
  <si>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</si>
  <si>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</si>
  <si>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</si>
  <si>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</si>
  <si>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</si>
  <si>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</si>
  <si>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</si>
  <si>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</si>
  <si>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</si>
  <si>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</si>
  <si>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</si>
  <si>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</si>
  <si>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</si>
  <si>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</si>
  <si>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</si>
  <si>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</si>
  <si>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</si>
  <si>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</si>
  <si>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</si>
  <si>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</si>
  <si>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</si>
  <si>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</si>
  <si>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</si>
  <si>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</si>
  <si>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</si>
  <si>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</si>
  <si>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</si>
  <si>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</si>
  <si>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</si>
  <si>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</si>
  <si>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</si>
  <si>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</si>
  <si>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</si>
  <si>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</si>
  <si>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</si>
  <si>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</si>
  <si>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</si>
  <si>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</si>
  <si>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</si>
  <si>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</si>
  <si>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</si>
  <si>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</si>
  <si>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</si>
  <si>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</si>
  <si>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</si>
  <si>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</si>
  <si>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</si>
  <si>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</si>
  <si>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</si>
  <si>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</si>
  <si>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</si>
  <si>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</si>
  <si>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</si>
  <si>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</si>
  <si>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</si>
  <si>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</si>
  <si>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</si>
  <si>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</si>
  <si>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</si>
  <si>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</si>
  <si>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</si>
  <si>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</si>
  <si>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</si>
  <si>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</si>
  <si>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</si>
  <si>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</si>
  <si>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</si>
  <si>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</si>
  <si>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</si>
  <si>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</si>
  <si>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</si>
  <si>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</si>
  <si>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</si>
  <si>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</si>
  <si>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</si>
  <si>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</si>
  <si>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</si>
  <si>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</si>
  <si>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</si>
  <si>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</si>
  <si>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</si>
  <si>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</si>
  <si>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</si>
  <si>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</si>
  <si>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</si>
  <si>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</si>
  <si>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</si>
  <si>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</si>
  <si>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</si>
  <si>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</si>
  <si>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</si>
  <si>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</si>
  <si>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</si>
  <si>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</si>
  <si>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</si>
  <si>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</si>
  <si>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</si>
  <si>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</si>
  <si>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</si>
  <si>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</si>
  <si>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</si>
  <si>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</si>
  <si>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</si>
  <si>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</si>
  <si>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</si>
  <si>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</si>
  <si>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</si>
  <si>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</si>
  <si>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</si>
  <si>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</si>
  <si>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</si>
  <si>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</si>
  <si>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</si>
  <si>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</si>
  <si>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</si>
  <si>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</si>
  <si>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</si>
  <si>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</si>
  <si>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</si>
  <si>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</si>
  <si>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</si>
  <si>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</si>
  <si>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</si>
  <si>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</si>
  <si>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</si>
  <si>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</si>
  <si>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</si>
  <si>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</si>
  <si>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</si>
  <si>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</si>
  <si>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</si>
  <si>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</si>
  <si>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</si>
  <si>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</si>
  <si>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</si>
  <si>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</si>
  <si>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</si>
  <si>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</si>
  <si>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</si>
  <si>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</si>
  <si>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</si>
  <si>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</si>
  <si>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</si>
  <si>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</si>
  <si>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</si>
  <si>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</si>
  <si>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</si>
  <si>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</si>
  <si>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</si>
  <si>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</si>
  <si>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</si>
  <si>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</si>
  <si>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</si>
  <si>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</si>
  <si>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</si>
  <si>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</si>
  <si>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</si>
  <si>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</si>
  <si>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</si>
  <si>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</si>
  <si>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</si>
  <si>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</si>
  <si>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</si>
  <si>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</si>
  <si>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</si>
  <si>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</si>
  <si>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</si>
  <si>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</si>
  <si>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</si>
  <si>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</si>
  <si>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</si>
  <si>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</si>
  <si>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</si>
  <si>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</si>
  <si>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</si>
  <si>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</si>
  <si>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</si>
  <si>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</si>
  <si>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</si>
  <si>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</si>
  <si>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</si>
  <si>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</si>
  <si>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</si>
  <si>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</si>
  <si>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</si>
  <si>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</si>
  <si>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</si>
  <si>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</si>
  <si>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</si>
  <si>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</si>
  <si>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</si>
  <si>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</si>
  <si>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</si>
  <si>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</si>
  <si>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</si>
  <si>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</si>
  <si>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</si>
  <si>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</si>
  <si>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</si>
  <si>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</si>
  <si>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</si>
  <si>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</si>
  <si>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</si>
  <si>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</si>
  <si>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</si>
  <si>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</si>
  <si>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</si>
  <si>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</si>
  <si>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</si>
  <si>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</si>
  <si>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</si>
  <si>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</si>
  <si>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</si>
  <si>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</si>
  <si>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</si>
  <si>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</si>
  <si>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</si>
  <si>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</si>
  <si>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</si>
  <si>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</si>
  <si>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</si>
  <si>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Salman</t>
  </si>
  <si>
    <t>Address: Askari Market</t>
  </si>
  <si>
    <t xml:space="preserve">Express Mart </t>
  </si>
  <si>
    <t>Sanwal Store</t>
  </si>
  <si>
    <t xml:space="preserve">Askari Cash N Carry </t>
  </si>
  <si>
    <t>Buality Store</t>
  </si>
  <si>
    <t>Star GS</t>
  </si>
  <si>
    <t>Waleed Store</t>
  </si>
  <si>
    <t>Hafiz Store</t>
  </si>
  <si>
    <t>Almakkah Store</t>
  </si>
  <si>
    <t>Shaheen Store</t>
  </si>
  <si>
    <t>Askari Cash N Carry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</si>
</sst>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5" sqref="U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516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512</v>
      </c>
      <c r="F3" s="387"/>
      <c r="G3" s="387"/>
      <c r="H3" s="384">
        <f ca="1">TODAY()</f>
        <v>46251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 xml:space="preserve">Express Mart </v>
      </c>
      <c r="T3" s="301">
        <f>+'1'!P35</f>
        <v>2265.051582838983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Sanwal Store</v>
      </c>
      <c r="T4" s="301">
        <f>+'2'!P35</f>
        <v>1359.0309497033895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 xml:space="preserve">Askari Cash N Carry </v>
      </c>
      <c r="T5" s="301">
        <f>+'3'!P35</f>
        <v>2265.051582838983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Buality Store</v>
      </c>
      <c r="T6" s="301">
        <f>+'4'!P35</f>
        <v>2169.2204248919493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82</v>
      </c>
      <c r="I7" s="235">
        <f>(G7*D7)*F7+H7*F7</f>
        <v>4301.9250000000002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344.154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150.567375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3807.2036250000001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813.05084745762679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23.101272362288135</v>
      </c>
      <c r="P7" s="310">
        <f>M7+N7+O7</f>
        <v>4643.3557448199153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Star GS</v>
      </c>
      <c r="T7" s="301">
        <f>+'5'!P35</f>
        <v>4805.3894985762709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70</v>
      </c>
      <c r="I8" s="236">
        <f t="shared" ref="I8:I14" si="0">(G8*D8)*F8+H8*F8</f>
        <v>3672.375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293.78999999999996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128.53312500000001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3250.0518750000001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694.06779661016913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19.720598358050847</v>
      </c>
      <c r="P8" s="311">
        <f t="shared" ref="P8:P15" si="2">M8+N8+O8</f>
        <v>3963.8402699682201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Waleed Store</v>
      </c>
      <c r="T8" s="301">
        <f>+'6'!P35</f>
        <v>250.37668702372881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62</v>
      </c>
      <c r="I9" s="236">
        <f t="shared" si="0"/>
        <v>3252.6749999999997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260.214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113.843625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2878.6173749999998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614.74576271186413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17.466815688559322</v>
      </c>
      <c r="P9" s="311">
        <f t="shared" si="2"/>
        <v>3510.8299534004232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Hafiz Store</v>
      </c>
      <c r="T9" s="301">
        <f>+'7'!P35</f>
        <v>250.37668702372881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42</v>
      </c>
      <c r="I10" s="236">
        <f t="shared" si="0"/>
        <v>3050.88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244.07040000000001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106.78080000000001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2700.0288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576.61016949152543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16.383194847457627</v>
      </c>
      <c r="P10" s="311">
        <f t="shared" si="2"/>
        <v>3293.0221643389832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Almakkah Store</v>
      </c>
      <c r="T10" s="301">
        <f>+'8'!P35</f>
        <v>6199.2810791694919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32</v>
      </c>
      <c r="I11" s="236">
        <f t="shared" si="0"/>
        <v>2324.48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185.95840000000001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81.356800000000007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2057.1648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439.32203389830511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12.482434169491526</v>
      </c>
      <c r="P11" s="311">
        <f t="shared" si="2"/>
        <v>2508.9692680677967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Shaheen Store</v>
      </c>
      <c r="T11" s="301">
        <f>+'9'!P35</f>
        <v>2822.5904265762711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48</v>
      </c>
      <c r="I12" s="236">
        <f t="shared" si="0"/>
        <v>3486.7200000000003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278.93760000000003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122.0352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3085.7472000000002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658.98305084745766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18.723651254237289</v>
      </c>
      <c r="P12" s="311">
        <f t="shared" si="2"/>
        <v>3763.4539021016949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Askari Cash N Carry 1</v>
      </c>
      <c r="T12" s="301">
        <f>+'10'!P35</f>
        <v>3136.2115850847458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92</v>
      </c>
      <c r="I13" s="236">
        <f t="shared" si="0"/>
        <v>3609.1600000000003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180.45800000000006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126.32060000000003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184.06716</v>
      </c>
      <c r="M13" s="230">
        <f t="shared" si="1"/>
        <v>3118.3142400000002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701.69491525423689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19.100045776271187</v>
      </c>
      <c r="P13" s="311">
        <f t="shared" si="2"/>
        <v>3839.1092010305083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10.7</v>
      </c>
      <c r="H16" s="113">
        <f t="shared" ref="H16:M16" si="3">SUM(H7:H15)</f>
        <v>428</v>
      </c>
      <c r="I16" s="114">
        <f t="shared" si="3"/>
        <v>23698.215</v>
      </c>
      <c r="J16" s="274">
        <f>SUM(J7:J15)</f>
        <v>1787.5824</v>
      </c>
      <c r="K16" s="275">
        <f t="shared" si="3"/>
        <v>829.43752500000005</v>
      </c>
      <c r="L16" s="276">
        <f t="shared" si="3"/>
        <v>184.06716</v>
      </c>
      <c r="M16" s="232">
        <f t="shared" si="3"/>
        <v>20897.127915000001</v>
      </c>
      <c r="N16" s="233">
        <f>SUM(N7:N15)</f>
        <v>4498.4745762711846</v>
      </c>
      <c r="O16" s="101">
        <f>SUM(O7:O15)</f>
        <v>126.97801245635593</v>
      </c>
      <c r="P16" s="113">
        <f>SUM(P7:P15)</f>
        <v>25522.580503727542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23698.215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1787.5824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1013.5046850000001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20897.127915000001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4498.4745762711846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25395.602491271187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126.97801245635593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25522.580503727542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25522.580503727542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7.25" customHeight="1" x14ac:dyDescent="0.4">
      <c r="A6" s="397" t="s">
        <v>518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ref="I18:I21" si="7">(G18*D18)*F18+H18*F18</f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311">
        <f t="shared" si="5"/>
        <v>1132.5257914194915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2098.5</v>
      </c>
      <c r="J25" s="274">
        <f>SUM(J16:J24)</f>
        <v>167.88</v>
      </c>
      <c r="K25" s="275">
        <f t="shared" si="10"/>
        <v>73.447500000000005</v>
      </c>
      <c r="L25" s="276">
        <f t="shared" si="10"/>
        <v>0</v>
      </c>
      <c r="M25" s="232">
        <f t="shared" si="10"/>
        <v>1857.1725000000001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2098.5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167.88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73.447500000000005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1857.1724999999999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2253.7826694915252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1" t="s">
        <v>88</v>
      </c>
      <c r="O35" s="372"/>
      <c r="P35" s="297">
        <f>+P33+P34</f>
        <v>2265.051582838983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311">
        <f t="shared" si="5"/>
        <v>679.51547485169488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24</v>
      </c>
      <c r="I25" s="114">
        <f t="shared" si="7"/>
        <v>1259.0999999999999</v>
      </c>
      <c r="J25" s="274">
        <f>SUM(J16:J24)</f>
        <v>100.72799999999999</v>
      </c>
      <c r="K25" s="275">
        <f t="shared" si="7"/>
        <v>44.0685</v>
      </c>
      <c r="L25" s="276">
        <f t="shared" si="7"/>
        <v>0</v>
      </c>
      <c r="M25" s="232">
        <f t="shared" si="7"/>
        <v>1114.3035</v>
      </c>
      <c r="N25" s="233">
        <f>SUM(N16:N24)</f>
        <v>237.96610169491515</v>
      </c>
      <c r="O25" s="101">
        <f>SUM(O16:O24)</f>
        <v>6.7613480084745756</v>
      </c>
      <c r="P25" s="113">
        <f>SUM(P16:P24)</f>
        <v>1359.0309497033898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1259.0999999999999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100.72799999999999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44.0685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1114.3034999999998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237.96610169491515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1352.2696016949149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6.7613480084745747</v>
      </c>
    </row>
    <row r="35" spans="2:16" ht="15.75" customHeight="1" thickBot="1" x14ac:dyDescent="0.4">
      <c r="N35" s="371" t="s">
        <v>88</v>
      </c>
      <c r="O35" s="372"/>
      <c r="P35" s="297">
        <f>+P33+P34</f>
        <v>1359.0309497033895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8.7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311">
        <f t="shared" si="5"/>
        <v>1132.5257914194915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2098.5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167.88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73.447500000000005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1857.1724999999999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2253.7826694915252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1" t="s">
        <v>88</v>
      </c>
      <c r="O35" s="372"/>
      <c r="P35" s="297">
        <f>+P33+P34</f>
        <v>2265.051582838983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311">
        <f t="shared" si="5"/>
        <v>566.26289570974575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36</v>
      </c>
      <c r="I25" s="114">
        <f t="shared" si="7"/>
        <v>2009.7150000000001</v>
      </c>
      <c r="J25" s="274">
        <f>SUM(J16:J24)</f>
        <v>160.77719999999999</v>
      </c>
      <c r="K25" s="275">
        <f t="shared" si="7"/>
        <v>70.340025000000011</v>
      </c>
      <c r="L25" s="276">
        <f t="shared" si="7"/>
        <v>0</v>
      </c>
      <c r="M25" s="232">
        <f t="shared" si="7"/>
        <v>1778.597775</v>
      </c>
      <c r="N25" s="233">
        <f>SUM(N16:N24)</f>
        <v>379.83050847457616</v>
      </c>
      <c r="O25" s="101">
        <f>SUM(O16:O24)</f>
        <v>10.792141417372882</v>
      </c>
      <c r="P25" s="113">
        <f>SUM(P16:P24)</f>
        <v>2169.2204248919488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2009.7150000000001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160.77719999999999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70.340025000000011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1778.5977750000002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379.83050847457616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2158.4282834745763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10.792141417372882</v>
      </c>
    </row>
    <row r="35" spans="2:16" ht="15.75" customHeight="1" thickBot="1" x14ac:dyDescent="0.4">
      <c r="N35" s="371" t="s">
        <v>88</v>
      </c>
      <c r="O35" s="372"/>
      <c r="P35" s="297">
        <f>+P33+P34</f>
        <v>2169.2204248919493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156.61800000000002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4474.8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310.90800000000002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236.64720000000003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3927.2447999999999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4781.4820881355927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71" t="s">
        <v>88</v>
      </c>
      <c r="O35" s="372"/>
      <c r="P35" s="297">
        <f>+P33+P34</f>
        <v>4805.3894985762709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113">
        <f>SUM(P16:P24)</f>
        <v>250.37668702372881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235.38000000000002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11.769000000000002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20.242680000000004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203.36832000000001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249.13103186440676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71" t="s">
        <v>88</v>
      </c>
      <c r="O35" s="372"/>
      <c r="P35" s="297">
        <f>+P33+P34</f>
        <v>250.37668702372881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524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113">
        <f>SUM(P16:P24)</f>
        <v>250.37668702372881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235.38000000000002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11.769000000000002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20.242680000000004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203.36832000000001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249.13103186440676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71" t="s">
        <v>88</v>
      </c>
      <c r="O35" s="372"/>
      <c r="P35" s="297">
        <f>+P33+P34</f>
        <v>250.37668702372881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525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120</v>
      </c>
      <c r="I25" s="114">
        <f t="shared" si="7"/>
        <v>5766.2000000000007</v>
      </c>
      <c r="J25" s="274">
        <f>SUM(J16:J24)</f>
        <v>414.22</v>
      </c>
      <c r="K25" s="275">
        <f t="shared" si="7"/>
        <v>201.81700000000001</v>
      </c>
      <c r="L25" s="276">
        <f t="shared" si="7"/>
        <v>80.029200000000003</v>
      </c>
      <c r="M25" s="232">
        <f t="shared" si="7"/>
        <v>5070.1338000000005</v>
      </c>
      <c r="N25" s="233">
        <f>SUM(N16:N24)</f>
        <v>1098.3050847457621</v>
      </c>
      <c r="O25" s="101">
        <f>SUM(O16:O24)</f>
        <v>30.842194423728813</v>
      </c>
      <c r="P25" s="113">
        <f>SUM(P16:P24)</f>
        <v>6199.2810791694919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5766.2000000000007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414.22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281.84620000000001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5070.1338000000005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1098.3050847457621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6168.4388847457631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30.842194423728817</v>
      </c>
    </row>
    <row r="35" spans="2:16" ht="15.75" customHeight="1" thickBot="1" x14ac:dyDescent="0.4">
      <c r="N35" s="371" t="s">
        <v>88</v>
      </c>
      <c r="O35" s="372"/>
      <c r="P35" s="297">
        <f>+P33+P34</f>
        <v>6199.2810791694919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526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311">
        <f t="shared" si="5"/>
        <v>940.86347552542372</v>
      </c>
      <c r="Q20" s="156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36</v>
      </c>
      <c r="I25" s="114">
        <f t="shared" si="7"/>
        <v>2615.04</v>
      </c>
      <c r="J25" s="274">
        <f>SUM(J16:J24)</f>
        <v>209.20320000000004</v>
      </c>
      <c r="K25" s="275">
        <f t="shared" si="7"/>
        <v>91.52640000000001</v>
      </c>
      <c r="L25" s="276">
        <f t="shared" si="7"/>
        <v>0</v>
      </c>
      <c r="M25" s="232">
        <f t="shared" si="7"/>
        <v>2314.3104000000003</v>
      </c>
      <c r="N25" s="233">
        <f>SUM(N16:N24)</f>
        <v>494.23728813559325</v>
      </c>
      <c r="O25" s="101">
        <f>SUM(O16:O24)</f>
        <v>14.042738440677967</v>
      </c>
      <c r="P25" s="113">
        <f>SUM(P16:P24)</f>
        <v>2822.5904265762711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2615.04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209.20320000000004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91.52640000000001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2314.3103999999998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494.23728813559325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2808.547688135593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14.042738440677965</v>
      </c>
    </row>
    <row r="35" spans="2:16" ht="15.75" customHeight="1" thickBot="1" x14ac:dyDescent="0.4">
      <c r="N35" s="371" t="s">
        <v>88</v>
      </c>
      <c r="O35" s="372"/>
      <c r="P35" s="297">
        <f>+P33+P34</f>
        <v>2822.5904265762711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527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232.44800000000001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101.69600000000001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8.7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46252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46251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2026-08-17T12:15:52Z</dcterms:modified>
</cp:coreProperties>
</file>