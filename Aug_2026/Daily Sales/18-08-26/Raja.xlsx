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B71B7F9-0C91-423D-A8DE-9855C3CB6A76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3" l="1"/>
  <c r="O20" i="53" s="1"/>
  <c r="P20" i="53" s="1"/>
  <c r="R20" i="53" s="1"/>
  <c r="M21" i="69"/>
  <c r="O21" i="69" s="1"/>
  <c r="P21" i="69" s="1"/>
  <c r="M17" i="60"/>
  <c r="O17" i="60" s="1"/>
  <c r="P17" i="60" s="1"/>
  <c r="M16" i="59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12" i="62" s="1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<sst xmlns="http://schemas.openxmlformats.org/spreadsheetml/2006/main" count="3947" uniqueCount="516">
  <si>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</si>
  <si>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</si>
  <si>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</si>
  <si>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</si>
  <si>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</si>
  <si>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</si>
  <si>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</si>
  <si>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</si>
  <si>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</si>
  <si>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</si>
  <si>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</si>
  <si>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</si>
  <si>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</si>
  <si>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</si>
  <si>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</si>
  <si>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</si>
  <si>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</si>
  <si>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</si>
  <si>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</si>
  <si>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</si>
  <si>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</si>
  <si>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</si>
  <si>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</si>
  <si>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</si>
  <si>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</si>
  <si>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</si>
  <si>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</si>
  <si>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</si>
  <si>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</si>
  <si>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</si>
  <si>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</si>
  <si>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</si>
  <si>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</si>
  <si>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</si>
  <si>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</si>
  <si>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</si>
  <si>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</si>
  <si>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</si>
  <si>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</si>
  <si>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</si>
  <si>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</si>
  <si>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</si>
  <si>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</si>
  <si>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</si>
  <si>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</si>
  <si>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</si>
  <si>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</si>
  <si>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</si>
  <si>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</si>
  <si>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</si>
  <si>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</si>
  <si>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</si>
  <si>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</si>
  <si>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</si>
  <si>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</si>
  <si>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</si>
  <si>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</si>
  <si>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</si>
  <si>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</si>
  <si>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</si>
  <si>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</si>
  <si>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</si>
  <si>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</si>
  <si>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</si>
  <si>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</si>
  <si>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</si>
  <si>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</si>
  <si>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</si>
  <si>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</si>
  <si>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</si>
  <si>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</si>
  <si>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</si>
  <si>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</si>
  <si>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</si>
  <si>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</si>
  <si>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</si>
  <si>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</si>
  <si>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</si>
  <si>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</si>
  <si>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</si>
  <si>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</si>
  <si>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</si>
  <si>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</si>
  <si>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</si>
  <si>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</si>
  <si>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</si>
  <si>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</si>
  <si>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</si>
  <si>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</si>
  <si>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</si>
  <si>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</si>
  <si>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</si>
  <si>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</si>
  <si>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</si>
  <si>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</si>
  <si>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</si>
  <si>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</si>
  <si>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</si>
  <si>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</si>
  <si>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</si>
  <si>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</si>
  <si>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</si>
  <si>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</si>
  <si>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</si>
  <si>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</si>
  <si>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</si>
  <si>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</si>
  <si>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</si>
  <si>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</si>
  <si>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</si>
  <si>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</si>
  <si>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</si>
  <si>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</si>
  <si>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</si>
  <si>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</si>
  <si>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</si>
  <si>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</si>
  <si>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</si>
  <si>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</si>
  <si>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</si>
  <si>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</si>
  <si>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</si>
  <si>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</si>
  <si>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</si>
  <si>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</si>
  <si>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</si>
  <si>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</si>
  <si>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</si>
  <si>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</si>
  <si>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</si>
  <si>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</si>
  <si>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</si>
  <si>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</si>
  <si>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</si>
  <si>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</si>
  <si>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</si>
  <si>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</si>
  <si>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</si>
  <si>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</si>
  <si>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</si>
  <si>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</si>
  <si>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</si>
  <si>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</si>
  <si>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</si>
  <si>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</si>
  <si>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</si>
  <si>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</si>
  <si>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</si>
  <si>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</si>
  <si>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</si>
  <si>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</si>
  <si>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</si>
  <si>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</si>
  <si>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</si>
  <si>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</si>
  <si>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</si>
  <si>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</si>
  <si>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</si>
  <si>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</si>
  <si>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</si>
  <si>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</si>
  <si>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</si>
  <si>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</si>
  <si>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</si>
  <si>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</si>
  <si>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</si>
  <si>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</si>
  <si>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</si>
  <si>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</si>
  <si>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</si>
  <si>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</si>
  <si>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</si>
  <si>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</si>
  <si>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</si>
  <si>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</si>
  <si>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</si>
  <si>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</si>
  <si>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</si>
  <si>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</si>
  <si>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</si>
  <si>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</si>
  <si>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</si>
  <si>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</si>
  <si>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</si>
  <si>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</si>
  <si>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</si>
  <si>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</si>
  <si>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</si>
  <si>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</si>
  <si>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</si>
  <si>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</si>
  <si>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</si>
  <si>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</si>
  <si>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</si>
  <si>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</si>
  <si>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</si>
  <si>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</si>
  <si>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</si>
  <si>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</si>
  <si>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</si>
  <si>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</si>
  <si>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</si>
  <si>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</si>
  <si>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</si>
  <si>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</si>
  <si>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</si>
  <si>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</si>
  <si>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</si>
  <si>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</si>
  <si>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</si>
  <si>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</si>
  <si>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</si>
  <si>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</si>
  <si>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</si>
  <si>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</si>
  <si>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</si>
  <si>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</si>
  <si>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</si>
  <si>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</si>
  <si>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</si>
  <si>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</si>
  <si>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</si>
  <si>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</si>
  <si>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</si>
  <si>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</si>
  <si>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</si>
  <si>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</si>
  <si>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</si>
  <si>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</si>
  <si>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</si>
  <si>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</si>
  <si>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</si>
  <si>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</si>
  <si>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</si>
  <si>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</si>
  <si>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</si>
  <si>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</si>
  <si>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</si>
  <si>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</si>
  <si>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</si>
  <si>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</si>
  <si>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</si>
  <si>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</si>
  <si>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</si>
  <si>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</si>
  <si>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</si>
  <si>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</si>
  <si>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</si>
  <si>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</si>
  <si>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</si>
  <si>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</si>
  <si>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</si>
  <si>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</si>
  <si>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</si>
  <si>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</si>
  <si>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</si>
  <si>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</si>
  <si>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</si>
  <si>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</si>
  <si>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</si>
  <si>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</si>
  <si>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</si>
  <si>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</si>
  <si>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</si>
  <si>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</si>
  <si>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</si>
  <si>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</si>
  <si>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</si>
  <si>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</si>
  <si>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</si>
  <si>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</si>
  <si>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</si>
  <si>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</si>
  <si>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</si>
  <si>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</si>
  <si>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</si>
  <si>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</si>
  <si>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</si>
  <si>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</si>
  <si>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</si>
  <si>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</si>
  <si>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</si>
  <si>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</si>
  <si>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</si>
  <si>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</si>
  <si>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</si>
  <si>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</si>
  <si>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</si>
  <si>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</si>
  <si>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</si>
  <si>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</si>
  <si>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</si>
  <si>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</si>
  <si>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</si>
  <si>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</si>
  <si>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</si>
  <si>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</si>
  <si>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</si>
  <si>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</si>
  <si>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</si>
  <si>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</si>
  <si>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</si>
  <si>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</si>
  <si>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</si>
  <si>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</si>
  <si>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</si>
  <si>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</si>
  <si>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</si>
  <si>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</si>
  <si>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</si>
  <si>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</si>
  <si>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</si>
  <si>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</si>
  <si>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</si>
  <si>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</si>
  <si>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</si>
  <si>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</si>
  <si>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</si>
  <si>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</si>
  <si>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</si>
  <si>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</si>
  <si>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</si>
  <si>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</si>
  <si>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</si>
  <si>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</si>
  <si>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</si>
  <si>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</si>
  <si>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</si>
  <si>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</si>
  <si>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</si>
  <si>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</si>
  <si>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</si>
  <si>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</si>
  <si>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</si>
  <si>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</si>
  <si>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</si>
  <si>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</si>
  <si>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</si>
  <si>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</si>
  <si>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</si>
  <si>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</si>
  <si>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</si>
  <si>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</si>
  <si>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</si>
  <si>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</si>
  <si>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</si>
  <si>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</si>
  <si>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</si>
  <si>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</si>
  <si>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</si>
  <si>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</si>
  <si>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</si>
  <si>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</si>
  <si>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</si>
  <si>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</si>
  <si>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</si>
  <si>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</si>
  <si>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</si>
  <si>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</si>
  <si>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</si>
  <si>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</si>
  <si>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</si>
  <si>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</si>
  <si>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</si>
  <si>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</si>
  <si>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</si>
  <si>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</si>
  <si>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</si>
  <si>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</si>
  <si>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</si>
  <si>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</si>
  <si>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</si>
  <si>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</si>
  <si>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</si>
  <si>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</si>
  <si>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</si>
  <si>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</si>
  <si>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</si>
  <si>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</si>
  <si>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</si>
  <si>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</si>
  <si>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</si>
  <si>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</si>
  <si>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</si>
  <si>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</si>
  <si>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</si>
  <si>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</si>
  <si>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</si>
  <si>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</si>
  <si>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</si>
  <si>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</si>
  <si>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</si>
  <si>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</si>
  <si>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</si>
  <si>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</si>
  <si>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</si>
  <si>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</si>
  <si>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</si>
  <si>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</si>
  <si>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</si>
  <si>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</si>
  <si>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</si>
  <si>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</si>
  <si>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</si>
  <si>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</si>
  <si>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</si>
  <si>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</si>
  <si>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</si>
  <si>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</si>
  <si>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</si>
  <si>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</si>
  <si>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</si>
  <si>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</si>
  <si>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</si>
  <si>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</si>
  <si>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</si>
  <si>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</si>
  <si>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</si>
  <si>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</si>
  <si>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</si>
  <si>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</si>
  <si>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</si>
  <si>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</si>
  <si>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</si>
  <si>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</si>
  <si>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</si>
  <si>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</si>
  <si>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</si>
  <si>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</si>
  <si>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</si>
  <si>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</si>
  <si>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</si>
  <si>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</si>
  <si>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</si>
  <si>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</si>
  <si>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</si>
  <si>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</si>
  <si>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</si>
  <si>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</si>
  <si>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</si>
  <si>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</si>
  <si>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</si>
  <si>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</si>
  <si>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</si>
  <si>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</si>
  <si>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</si>
  <si>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</si>
  <si>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</si>
  <si>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</si>
  <si>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</si>
  <si>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</si>
  <si>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</si>
  <si>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</si>
  <si>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</si>
  <si>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</si>
  <si>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</si>
  <si>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</si>
  <si>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</si>
  <si>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</si>
  <si>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</si>
  <si>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</si>
  <si>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</si>
  <si>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</si>
  <si>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</si>
  <si>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</si>
  <si>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</si>
  <si>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</si>
  <si>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</si>
  <si>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</si>
  <si>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</si>
  <si>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</si>
  <si>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</si>
  <si>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</si>
  <si>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</si>
  <si>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</si>
  <si>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</si>
  <si>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</si>
  <si>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</si>
  <si>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</si>
  <si>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</si>
  <si>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</si>
  <si>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</si>
  <si>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</si>
  <si>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</si>
  <si>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</si>
  <si>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</si>
  <si>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</si>
  <si>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</si>
  <si>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</si>
  <si>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</si>
  <si>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</si>
  <si>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</si>
  <si>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</si>
  <si>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</si>
  <si>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</si>
  <si>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</si>
  <si>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</si>
  <si>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</si>
  <si>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</si>
  <si>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</si>
  <si>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</si>
  <si>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</si>
  <si>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</si>
  <si>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</si>
  <si>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</si>
  <si>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</si>
  <si>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</si>
  <si>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</si>
  <si>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</si>
  <si>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</si>
  <si>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</si>
  <si>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</si>
  <si>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RAJA SAHIB</t>
  </si>
  <si>
    <t>NTN #:  3612722-1</t>
  </si>
  <si>
    <t xml:space="preserve">Address: Wapda Town </t>
  </si>
  <si>
    <t>Invoice No # : 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</si>
</sst>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498</v>
      </c>
      <c r="F2" s="383"/>
      <c r="G2" s="383"/>
      <c r="H2" s="380"/>
      <c r="I2" s="380"/>
      <c r="J2" s="381"/>
      <c r="R2" s="377" t="s">
        <v>497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508</v>
      </c>
      <c r="F3" s="387"/>
      <c r="G3" s="387"/>
      <c r="H3" s="384">
        <f ca="1">TODAY()</f>
        <v>46252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RAJA SAHIB</v>
      </c>
      <c r="T3" s="301">
        <f>+'1'!P35</f>
        <v>51125.875990296612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RAJA SAHIB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RAJA SAHIB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RAJA SAHIB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RAJA SAHIB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RAJA SAHIB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1049.25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9076.0125000000007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55.29531673728814</v>
      </c>
      <c r="P9" s="311">
        <f t="shared" si="2"/>
        <v>11114.358664194917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RAJA SAHIB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871.68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7540.0319999999992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45.937448135593222</v>
      </c>
      <c r="P10" s="311">
        <f t="shared" si="2"/>
        <v>9233.4270752542379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RAJA SAHIB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1452.8000000000002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12566.72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76.562413559322039</v>
      </c>
      <c r="P11" s="311">
        <f t="shared" si="2"/>
        <v>15389.045125423729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RAJA SAHIB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1452.8000000000002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12566.72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76.562413559322039</v>
      </c>
      <c r="P12" s="311">
        <f t="shared" si="2"/>
        <v>15389.045125423729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RAJA SAHIB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RAJA SAHIB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RAJA SAHIB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RAJA SAHIB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18</v>
      </c>
      <c r="H16" s="113">
        <f t="shared" ref="H16:M16" si="3">SUM(H7:H15)</f>
        <v>720</v>
      </c>
      <c r="I16" s="114">
        <f t="shared" si="3"/>
        <v>48265.3</v>
      </c>
      <c r="J16" s="274">
        <f>SUM(J7:J15)</f>
        <v>4826.5300000000007</v>
      </c>
      <c r="K16" s="275">
        <f t="shared" si="3"/>
        <v>1689.2855000000002</v>
      </c>
      <c r="L16" s="276">
        <f t="shared" si="3"/>
        <v>0</v>
      </c>
      <c r="M16" s="232">
        <f t="shared" si="3"/>
        <v>41749.484499999999</v>
      </c>
      <c r="N16" s="233">
        <f>SUM(N7:N15)</f>
        <v>9122.0338983050842</v>
      </c>
      <c r="O16" s="101">
        <f>SUM(O7:O15)</f>
        <v>254.35759199152542</v>
      </c>
      <c r="P16" s="113">
        <f>SUM(P7:P15)</f>
        <v>51125.875990296612</v>
      </c>
      <c r="Q16" s="128">
        <f>SUM(Q7:Q15)</f>
        <v>0</v>
      </c>
      <c r="R16" s="314">
        <v>14</v>
      </c>
      <c r="S16" s="300" t="str">
        <f>+'14'!A6:A6</f>
        <v>RAJA SAHIB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RAJA SAHIB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RAJA SAHIB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48265.3</v>
      </c>
      <c r="R19" s="299">
        <v>17</v>
      </c>
      <c r="S19" s="300" t="str">
        <f>+'17'!A6:A6</f>
        <v>RAJA SAHIB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4826.5300000000007</v>
      </c>
      <c r="R20" s="299">
        <v>18</v>
      </c>
      <c r="S20" s="300" t="str">
        <f>+'18'!A6:A6</f>
        <v>RAJA SAHIB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1689.2855000000002</v>
      </c>
      <c r="R21" s="299">
        <v>19</v>
      </c>
      <c r="S21" s="300" t="str">
        <f>+'19'!A6:A6</f>
        <v>RAJA SAHIB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41749.484500000006</v>
      </c>
      <c r="R22" s="299">
        <v>20</v>
      </c>
      <c r="S22" s="300" t="str">
        <f>+'20'!A6:A6</f>
        <v>RAJA SAHIB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9122.0338983050842</v>
      </c>
      <c r="R23" s="299">
        <v>21</v>
      </c>
      <c r="S23" s="300" t="str">
        <f>+'21'!A6:A6</f>
        <v>RAJA SAHIB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50871.518398305088</v>
      </c>
      <c r="R24" s="299">
        <v>22</v>
      </c>
      <c r="S24" s="300" t="str">
        <f>+'22'!A6:A6</f>
        <v>RAJA SAHIB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254.35759199152542</v>
      </c>
      <c r="R25" s="299">
        <v>23</v>
      </c>
      <c r="S25" s="300" t="str">
        <f>+'23'!A6:A6</f>
        <v>RAJA SAHIB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51125.875990296612</v>
      </c>
      <c r="R26" s="299">
        <v>24</v>
      </c>
      <c r="S26" s="300" t="str">
        <f>+'24'!A6:A6</f>
        <v>RAJA SAHIB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RAJA SAHIB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RAJA SAHIB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RAJA SAHIB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RAJA SAHIB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RAJA SAHIB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RAJA SAHIB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51125.875990296612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E8" sqref="E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7.2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ref="I18:I21" si="7">(G18*D18)*F18+H18*F18</f>
        <v>10492.5</v>
      </c>
      <c r="J18" s="272">
        <f t="shared" si="1"/>
        <v>1049.25</v>
      </c>
      <c r="K18" s="128">
        <f t="shared" si="1"/>
        <v>367.23750000000001</v>
      </c>
      <c r="L18" s="119">
        <f t="shared" si="1"/>
        <v>0</v>
      </c>
      <c r="M18" s="230">
        <f t="shared" si="2"/>
        <v>9076.0125000000007</v>
      </c>
      <c r="N18" s="277">
        <f t="shared" si="3"/>
        <v>1983.0508474576263</v>
      </c>
      <c r="O18" s="239">
        <f t="shared" si="4"/>
        <v>55.29531673728814</v>
      </c>
      <c r="P18" s="311">
        <f t="shared" si="5"/>
        <v>11114.358664194917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871.68</v>
      </c>
      <c r="K19" s="128">
        <f t="shared" si="1"/>
        <v>305.08800000000002</v>
      </c>
      <c r="L19" s="119">
        <f t="shared" si="1"/>
        <v>0</v>
      </c>
      <c r="M19" s="230">
        <f t="shared" si="2"/>
        <v>7540.0319999999992</v>
      </c>
      <c r="N19" s="277">
        <f t="shared" si="3"/>
        <v>1647.4576271186443</v>
      </c>
      <c r="O19" s="239">
        <f t="shared" si="4"/>
        <v>45.937448135593222</v>
      </c>
      <c r="P19" s="311">
        <f t="shared" si="5"/>
        <v>9233.4270752542379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7"/>
        <v>14528</v>
      </c>
      <c r="J20" s="272">
        <f t="shared" si="1"/>
        <v>1452.8000000000002</v>
      </c>
      <c r="K20" s="128">
        <f t="shared" si="1"/>
        <v>508.48000000000008</v>
      </c>
      <c r="L20" s="119">
        <f t="shared" si="1"/>
        <v>0</v>
      </c>
      <c r="M20" s="230">
        <f t="shared" si="2"/>
        <v>12566.72</v>
      </c>
      <c r="N20" s="277">
        <f t="shared" si="3"/>
        <v>2745.7627118644068</v>
      </c>
      <c r="O20" s="239">
        <f t="shared" si="4"/>
        <v>76.562413559322039</v>
      </c>
      <c r="P20" s="311">
        <f t="shared" si="5"/>
        <v>15389.045125423729</v>
      </c>
      <c r="Q20" s="156"/>
      <c r="R20">
        <f>P20/21</f>
        <v>732.81167263922521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7"/>
        <v>14528</v>
      </c>
      <c r="J21" s="272">
        <f t="shared" si="1"/>
        <v>1452.8000000000002</v>
      </c>
      <c r="K21" s="128">
        <f t="shared" si="1"/>
        <v>508.48000000000008</v>
      </c>
      <c r="L21" s="119">
        <f t="shared" si="1"/>
        <v>0</v>
      </c>
      <c r="M21" s="230">
        <f t="shared" si="2"/>
        <v>12566.72</v>
      </c>
      <c r="N21" s="277">
        <f t="shared" si="3"/>
        <v>2745.7627118644068</v>
      </c>
      <c r="O21" s="239">
        <f t="shared" si="4"/>
        <v>76.562413559322039</v>
      </c>
      <c r="P21" s="311">
        <f t="shared" si="5"/>
        <v>15389.045125423729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720</v>
      </c>
      <c r="I25" s="114">
        <f t="shared" ref="I25:M25" si="10">SUM(I16:I24)</f>
        <v>48265.3</v>
      </c>
      <c r="J25" s="274">
        <f>SUM(J16:J24)</f>
        <v>4826.5300000000007</v>
      </c>
      <c r="K25" s="275">
        <f t="shared" si="10"/>
        <v>1689.2855000000002</v>
      </c>
      <c r="L25" s="276">
        <f t="shared" si="10"/>
        <v>0</v>
      </c>
      <c r="M25" s="232">
        <f t="shared" si="10"/>
        <v>41749.484499999999</v>
      </c>
      <c r="N25" s="233">
        <f>SUM(N16:N24)</f>
        <v>9122.0338983050842</v>
      </c>
      <c r="O25" s="101">
        <f>SUM(O16:O24)</f>
        <v>254.35759199152542</v>
      </c>
      <c r="P25" s="113">
        <f>SUM(P16:P24)</f>
        <v>51125.875990296612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48265.3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4826.5300000000007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1689.2855000000002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41749.484500000006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9122.0338983050842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50871.518398305088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254.35759199152545</v>
      </c>
    </row>
    <row r="35" spans="2:16" ht="15.75" customHeight="1" thickBot="1" x14ac:dyDescent="0.4">
      <c r="N35" s="371" t="s">
        <v>88</v>
      </c>
      <c r="O35" s="372"/>
      <c r="P35" s="297">
        <f>+P33+P34</f>
        <v>51125.875990296612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502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8.7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515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499</v>
      </c>
      <c r="B4" s="391"/>
      <c r="C4" s="391"/>
      <c r="F4" s="85"/>
      <c r="G4" s="1"/>
      <c r="K4" s="392" t="s">
        <v>44</v>
      </c>
      <c r="L4" s="392"/>
      <c r="M4" s="392"/>
      <c r="N4" s="395">
        <v>46252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46251</v>
      </c>
      <c r="O5" s="391"/>
      <c r="P5" s="391"/>
      <c r="R5" s="85"/>
      <c r="S5" s="266"/>
    </row>
    <row r="6" spans="1:22 16383:16384" ht="15" customHeight="1" x14ac:dyDescent="0.4">
      <c r="A6" s="397" t="s">
        <v>512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513</v>
      </c>
      <c r="B7" s="392"/>
      <c r="C7" s="392"/>
      <c r="F7" s="85"/>
      <c r="G7" s="86"/>
      <c r="K7" s="392" t="s">
        <v>66</v>
      </c>
      <c r="L7" s="392"/>
      <c r="M7" s="392"/>
      <c r="N7" s="394" t="s">
        <v>505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514</v>
      </c>
      <c r="B8" s="398"/>
      <c r="C8" s="398"/>
      <c r="F8" s="85"/>
      <c r="G8" s="86"/>
      <c r="K8" s="392" t="s">
        <v>67</v>
      </c>
      <c r="L8" s="392"/>
      <c r="M8" s="392"/>
      <c r="N8" s="394" t="s">
        <v>505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412">
        <v>0.1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2026-08-18T05:17:29Z</dcterms:modified>
</cp:coreProperties>
</file>